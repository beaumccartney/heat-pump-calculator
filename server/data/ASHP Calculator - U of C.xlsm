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calgarycity-my.sharepoint.com/personal/bdowney1_calgary_ca/Documents/UofC Capstone - ASHP Calculator/Background Info/"/>
    </mc:Choice>
  </mc:AlternateContent>
  <xr:revisionPtr revIDLastSave="6262" documentId="8_{3643A37C-5C6F-4DFC-AE13-A8BB7EF2AD70}" xr6:coauthVersionLast="47" xr6:coauthVersionMax="47" xr10:uidLastSave="{99F6FC62-9514-46E1-997A-D6CFA635F196}"/>
  <bookViews>
    <workbookView xWindow="19230" yWindow="-15870" windowWidth="25440" windowHeight="15270" activeTab="1" xr2:uid="{00000000-000D-0000-FFFF-FFFF00000000}"/>
  </bookViews>
  <sheets>
    <sheet name="Notes" sheetId="20" r:id="rId1"/>
    <sheet name="User Inputs" sheetId="17" r:id="rId2"/>
    <sheet name="HP Calcs" sheetId="2" r:id="rId3"/>
    <sheet name="HP Table" sheetId="3" r:id="rId4"/>
    <sheet name="Financial Calcs" sheetId="12" r:id="rId5"/>
    <sheet name="Outputs" sheetId="19" r:id="rId6"/>
    <sheet name="HP Database" sheetId="18" r:id="rId7"/>
    <sheet name="Cost sensitivity" sheetId="6" r:id="rId8"/>
    <sheet name="Emissions sensitivity" sheetId="8" r:id="rId9"/>
    <sheet name="Conversion Factors" sheetId="4" r:id="rId10"/>
    <sheet name="Financing(old)" sheetId="16" r:id="rId11"/>
    <sheet name="User Inputs (old)" sheetId="5" r:id="rId12"/>
  </sheets>
  <definedNames>
    <definedName name="_2600">'User Inputs'!$B$5</definedName>
    <definedName name="Dwelling_Size">'User Inputs'!$D$7:$D$8</definedName>
    <definedName name="Single_Family_Home">'User Inputs'!$B$3:$B$6</definedName>
    <definedName name="solver_adj" localSheetId="7" hidden="1">'Cost sensitivity'!$C$83</definedName>
    <definedName name="solver_adj" localSheetId="2" hidden="1">'HP Calcs'!$E$3</definedName>
    <definedName name="solver_cvg" localSheetId="7" hidden="1">0.0001</definedName>
    <definedName name="solver_cvg" localSheetId="2" hidden="1">0.0001</definedName>
    <definedName name="solver_drv" localSheetId="7" hidden="1">1</definedName>
    <definedName name="solver_drv" localSheetId="2" hidden="1">1</definedName>
    <definedName name="solver_eng" localSheetId="9" hidden="1">1</definedName>
    <definedName name="solver_eng" localSheetId="7" hidden="1">1</definedName>
    <definedName name="solver_eng" localSheetId="2" hidden="1">1</definedName>
    <definedName name="solver_est" localSheetId="7" hidden="1">1</definedName>
    <definedName name="solver_est" localSheetId="2" hidden="1">1</definedName>
    <definedName name="solver_itr" localSheetId="7" hidden="1">2147483647</definedName>
    <definedName name="solver_itr" localSheetId="2" hidden="1">2147483647</definedName>
    <definedName name="solver_lhs1" localSheetId="2" hidden="1">'HP Calcs'!$C$12</definedName>
    <definedName name="solver_mip" localSheetId="7" hidden="1">2147483647</definedName>
    <definedName name="solver_mip" localSheetId="2" hidden="1">2147483647</definedName>
    <definedName name="solver_mni" localSheetId="7" hidden="1">30</definedName>
    <definedName name="solver_mni" localSheetId="2" hidden="1">30</definedName>
    <definedName name="solver_mrt" localSheetId="7" hidden="1">0.075</definedName>
    <definedName name="solver_mrt" localSheetId="2" hidden="1">0.075</definedName>
    <definedName name="solver_msl" localSheetId="7" hidden="1">2</definedName>
    <definedName name="solver_msl" localSheetId="2" hidden="1">2</definedName>
    <definedName name="solver_neg" localSheetId="9" hidden="1">1</definedName>
    <definedName name="solver_neg" localSheetId="7" hidden="1">1</definedName>
    <definedName name="solver_neg" localSheetId="2" hidden="1">1</definedName>
    <definedName name="solver_nod" localSheetId="7" hidden="1">2147483647</definedName>
    <definedName name="solver_nod" localSheetId="2" hidden="1">2147483647</definedName>
    <definedName name="solver_num" localSheetId="9" hidden="1">0</definedName>
    <definedName name="solver_num" localSheetId="7" hidden="1">0</definedName>
    <definedName name="solver_num" localSheetId="2" hidden="1">1</definedName>
    <definedName name="solver_nwt" localSheetId="7" hidden="1">1</definedName>
    <definedName name="solver_nwt" localSheetId="2" hidden="1">1</definedName>
    <definedName name="solver_opt" localSheetId="9" hidden="1">'Conversion Factors'!$Q$7</definedName>
    <definedName name="solver_opt" localSheetId="7" hidden="1">'Cost sensitivity'!$F$83</definedName>
    <definedName name="solver_opt" localSheetId="2" hidden="1">'HP Calcs'!$C$12</definedName>
    <definedName name="solver_pre" localSheetId="7" hidden="1">0.000001</definedName>
    <definedName name="solver_pre" localSheetId="2" hidden="1">0.000001</definedName>
    <definedName name="solver_rbv" localSheetId="7" hidden="1">1</definedName>
    <definedName name="solver_rbv" localSheetId="2" hidden="1">1</definedName>
    <definedName name="solver_rel1" localSheetId="2" hidden="1">2</definedName>
    <definedName name="solver_rhs1" localSheetId="2" hidden="1">'HP Calcs'!$C$11</definedName>
    <definedName name="solver_rlx" localSheetId="7" hidden="1">2</definedName>
    <definedName name="solver_rlx" localSheetId="2" hidden="1">2</definedName>
    <definedName name="solver_rsd" localSheetId="7" hidden="1">0</definedName>
    <definedName name="solver_rsd" localSheetId="2" hidden="1">0</definedName>
    <definedName name="solver_scl" localSheetId="7" hidden="1">1</definedName>
    <definedName name="solver_scl" localSheetId="2" hidden="1">1</definedName>
    <definedName name="solver_sho" localSheetId="7" hidden="1">2</definedName>
    <definedName name="solver_sho" localSheetId="2" hidden="1">2</definedName>
    <definedName name="solver_ssz" localSheetId="7" hidden="1">100</definedName>
    <definedName name="solver_ssz" localSheetId="2" hidden="1">100</definedName>
    <definedName name="solver_tim" localSheetId="7" hidden="1">2147483647</definedName>
    <definedName name="solver_tim" localSheetId="2" hidden="1">2147483647</definedName>
    <definedName name="solver_tol" localSheetId="7" hidden="1">0.01</definedName>
    <definedName name="solver_tol" localSheetId="2" hidden="1">0.01</definedName>
    <definedName name="solver_typ" localSheetId="9" hidden="1">3</definedName>
    <definedName name="solver_typ" localSheetId="7" hidden="1">3</definedName>
    <definedName name="solver_typ" localSheetId="2" hidden="1">1</definedName>
    <definedName name="solver_val" localSheetId="9" hidden="1">0</definedName>
    <definedName name="solver_val" localSheetId="7" hidden="1">0</definedName>
    <definedName name="solver_val" localSheetId="2" hidden="1">0</definedName>
    <definedName name="solver_ver" localSheetId="9" hidden="1">3</definedName>
    <definedName name="solver_ver" localSheetId="7" hidden="1">3</definedName>
    <definedName name="solver_ver" localSheetId="2" hidden="1">3</definedName>
    <definedName name="Townhome_Rowhome">'User Inputs'!$C$3:$C$6</definedName>
  </definedNames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6" i="17" l="1"/>
  <c r="J16" i="17"/>
  <c r="I16" i="17"/>
  <c r="E74" i="2" s="1"/>
  <c r="H14" i="5"/>
  <c r="G3" i="5"/>
  <c r="G4" i="5"/>
  <c r="G5" i="5"/>
  <c r="G6" i="5"/>
  <c r="G7" i="5"/>
  <c r="G8" i="5"/>
  <c r="G9" i="5"/>
  <c r="G10" i="5"/>
  <c r="G11" i="5"/>
  <c r="G12" i="5"/>
  <c r="G13" i="5"/>
  <c r="G2" i="5"/>
  <c r="H2" i="5"/>
  <c r="AH3626" i="3"/>
  <c r="AH3627" i="3"/>
  <c r="AH3628" i="3"/>
  <c r="AH3629" i="3"/>
  <c r="AH3630" i="3"/>
  <c r="AH3631" i="3"/>
  <c r="AH3632" i="3"/>
  <c r="AH3633" i="3"/>
  <c r="AH3634" i="3"/>
  <c r="AH3635" i="3"/>
  <c r="AH3636" i="3"/>
  <c r="AH3637" i="3"/>
  <c r="AH3638" i="3"/>
  <c r="AH3639" i="3"/>
  <c r="AH3640" i="3"/>
  <c r="AH3641" i="3"/>
  <c r="AH3642" i="3"/>
  <c r="AH3643" i="3"/>
  <c r="AH3644" i="3"/>
  <c r="AH3645" i="3"/>
  <c r="AH3646" i="3"/>
  <c r="AH3647" i="3"/>
  <c r="AH3648" i="3"/>
  <c r="AH3649" i="3"/>
  <c r="AH3650" i="3"/>
  <c r="AH3651" i="3"/>
  <c r="AH3652" i="3"/>
  <c r="AH3653" i="3"/>
  <c r="AH3654" i="3"/>
  <c r="AH3655" i="3"/>
  <c r="AH3656" i="3"/>
  <c r="AH3657" i="3"/>
  <c r="AH3658" i="3"/>
  <c r="AH3659" i="3"/>
  <c r="AH3660" i="3"/>
  <c r="AH3661" i="3"/>
  <c r="AH3662" i="3"/>
  <c r="AH3663" i="3"/>
  <c r="AH3664" i="3"/>
  <c r="AH3665" i="3"/>
  <c r="AH3666" i="3"/>
  <c r="AH3667" i="3"/>
  <c r="AH3668" i="3"/>
  <c r="AH3669" i="3"/>
  <c r="AH3670" i="3"/>
  <c r="AH3671" i="3"/>
  <c r="AH3672" i="3"/>
  <c r="AH3673" i="3"/>
  <c r="AH3674" i="3"/>
  <c r="AH3675" i="3"/>
  <c r="AH3676" i="3"/>
  <c r="AH3677" i="3"/>
  <c r="AH3678" i="3"/>
  <c r="AH3679" i="3"/>
  <c r="AH3680" i="3"/>
  <c r="AH3681" i="3"/>
  <c r="AH3682" i="3"/>
  <c r="AH3683" i="3"/>
  <c r="AH3684" i="3"/>
  <c r="AH3685" i="3"/>
  <c r="AH3686" i="3"/>
  <c r="AH3687" i="3"/>
  <c r="AH3688" i="3"/>
  <c r="AH3689" i="3"/>
  <c r="AH3690" i="3"/>
  <c r="AH3691" i="3"/>
  <c r="AH3692" i="3"/>
  <c r="AH3693" i="3"/>
  <c r="AH3694" i="3"/>
  <c r="AH3695" i="3"/>
  <c r="AH3696" i="3"/>
  <c r="AH3697" i="3"/>
  <c r="AH3698" i="3"/>
  <c r="AH3699" i="3"/>
  <c r="AH3700" i="3"/>
  <c r="AH3701" i="3"/>
  <c r="AH3702" i="3"/>
  <c r="AH3703" i="3"/>
  <c r="AH3704" i="3"/>
  <c r="AH3705" i="3"/>
  <c r="AH3706" i="3"/>
  <c r="AH3707" i="3"/>
  <c r="AH3708" i="3"/>
  <c r="AH3709" i="3"/>
  <c r="AH3710" i="3"/>
  <c r="AH3711" i="3"/>
  <c r="AH3712" i="3"/>
  <c r="AH3713" i="3"/>
  <c r="AH3714" i="3"/>
  <c r="AH3715" i="3"/>
  <c r="AH3716" i="3"/>
  <c r="AH3717" i="3"/>
  <c r="AH3718" i="3"/>
  <c r="AH3719" i="3"/>
  <c r="AH3720" i="3"/>
  <c r="AH3721" i="3"/>
  <c r="AH3722" i="3"/>
  <c r="AH3723" i="3"/>
  <c r="AH3724" i="3"/>
  <c r="AH3725" i="3"/>
  <c r="AH3726" i="3"/>
  <c r="AH3727" i="3"/>
  <c r="AH3728" i="3"/>
  <c r="AH3729" i="3"/>
  <c r="AH3730" i="3"/>
  <c r="AH3731" i="3"/>
  <c r="AH3732" i="3"/>
  <c r="AH3733" i="3"/>
  <c r="AH3734" i="3"/>
  <c r="AH3735" i="3"/>
  <c r="AH3736" i="3"/>
  <c r="AH3737" i="3"/>
  <c r="AH3738" i="3"/>
  <c r="AH3739" i="3"/>
  <c r="AH3740" i="3"/>
  <c r="AH3741" i="3"/>
  <c r="AH3742" i="3"/>
  <c r="AH3743" i="3"/>
  <c r="AH3744" i="3"/>
  <c r="AH3745" i="3"/>
  <c r="AH3746" i="3"/>
  <c r="AH3747" i="3"/>
  <c r="AH3748" i="3"/>
  <c r="AH3749" i="3"/>
  <c r="AH3750" i="3"/>
  <c r="AH3751" i="3"/>
  <c r="AH3752" i="3"/>
  <c r="AH3753" i="3"/>
  <c r="AH3754" i="3"/>
  <c r="AH3755" i="3"/>
  <c r="AH3756" i="3"/>
  <c r="AH3757" i="3"/>
  <c r="AH3758" i="3"/>
  <c r="AH3759" i="3"/>
  <c r="AH3760" i="3"/>
  <c r="AH3761" i="3"/>
  <c r="AH3762" i="3"/>
  <c r="AH3763" i="3"/>
  <c r="AH3764" i="3"/>
  <c r="AH3765" i="3"/>
  <c r="AH3766" i="3"/>
  <c r="AH3767" i="3"/>
  <c r="AH3768" i="3"/>
  <c r="AH3769" i="3"/>
  <c r="AH3770" i="3"/>
  <c r="AH3771" i="3"/>
  <c r="AH3772" i="3"/>
  <c r="AH3773" i="3"/>
  <c r="AH3774" i="3"/>
  <c r="AH3775" i="3"/>
  <c r="AH3776" i="3"/>
  <c r="AH3777" i="3"/>
  <c r="AH3778" i="3"/>
  <c r="AH3779" i="3"/>
  <c r="AH3780" i="3"/>
  <c r="AH3781" i="3"/>
  <c r="AH3782" i="3"/>
  <c r="AH3783" i="3"/>
  <c r="AH3784" i="3"/>
  <c r="AH3785" i="3"/>
  <c r="AH3786" i="3"/>
  <c r="AH3787" i="3"/>
  <c r="AH3788" i="3"/>
  <c r="AH3789" i="3"/>
  <c r="AH3790" i="3"/>
  <c r="AH3791" i="3"/>
  <c r="AH3792" i="3"/>
  <c r="AH3793" i="3"/>
  <c r="AH3794" i="3"/>
  <c r="AH3795" i="3"/>
  <c r="AH3796" i="3"/>
  <c r="AH3797" i="3"/>
  <c r="AH3798" i="3"/>
  <c r="AH3799" i="3"/>
  <c r="AH3800" i="3"/>
  <c r="AH3801" i="3"/>
  <c r="AH3802" i="3"/>
  <c r="AH3803" i="3"/>
  <c r="AH3804" i="3"/>
  <c r="AH3805" i="3"/>
  <c r="AH3806" i="3"/>
  <c r="AH3807" i="3"/>
  <c r="AH3808" i="3"/>
  <c r="AH3809" i="3"/>
  <c r="AH3810" i="3"/>
  <c r="AH3811" i="3"/>
  <c r="AH3812" i="3"/>
  <c r="AH3813" i="3"/>
  <c r="AH3814" i="3"/>
  <c r="AH3815" i="3"/>
  <c r="AH3816" i="3"/>
  <c r="AH3817" i="3"/>
  <c r="AH3818" i="3"/>
  <c r="AH3819" i="3"/>
  <c r="AH3820" i="3"/>
  <c r="AH3821" i="3"/>
  <c r="AH3822" i="3"/>
  <c r="AH3823" i="3"/>
  <c r="AH3824" i="3"/>
  <c r="AH3825" i="3"/>
  <c r="AH3826" i="3"/>
  <c r="AH3827" i="3"/>
  <c r="AH3828" i="3"/>
  <c r="AH3829" i="3"/>
  <c r="AH3830" i="3"/>
  <c r="AH3831" i="3"/>
  <c r="AH3832" i="3"/>
  <c r="AH3833" i="3"/>
  <c r="AH3834" i="3"/>
  <c r="AH3835" i="3"/>
  <c r="AH3836" i="3"/>
  <c r="AH3837" i="3"/>
  <c r="AH3838" i="3"/>
  <c r="AH3839" i="3"/>
  <c r="AH3840" i="3"/>
  <c r="AH3841" i="3"/>
  <c r="AH3842" i="3"/>
  <c r="AH3843" i="3"/>
  <c r="AH3844" i="3"/>
  <c r="AH3845" i="3"/>
  <c r="AH3846" i="3"/>
  <c r="AH3847" i="3"/>
  <c r="AH3848" i="3"/>
  <c r="AH3849" i="3"/>
  <c r="AH3850" i="3"/>
  <c r="AH3851" i="3"/>
  <c r="AH3852" i="3"/>
  <c r="AH3853" i="3"/>
  <c r="AH3854" i="3"/>
  <c r="AH3855" i="3"/>
  <c r="AH3856" i="3"/>
  <c r="AH3857" i="3"/>
  <c r="AH3858" i="3"/>
  <c r="AH3859" i="3"/>
  <c r="AH3860" i="3"/>
  <c r="AH3861" i="3"/>
  <c r="AH3862" i="3"/>
  <c r="AH3863" i="3"/>
  <c r="AH3864" i="3"/>
  <c r="AH3865" i="3"/>
  <c r="AH3866" i="3"/>
  <c r="AH3867" i="3"/>
  <c r="AH3868" i="3"/>
  <c r="AH3869" i="3"/>
  <c r="AH3870" i="3"/>
  <c r="AH3871" i="3"/>
  <c r="AH3872" i="3"/>
  <c r="AH3873" i="3"/>
  <c r="AH3874" i="3"/>
  <c r="AH3875" i="3"/>
  <c r="AH3876" i="3"/>
  <c r="AH3877" i="3"/>
  <c r="AH3878" i="3"/>
  <c r="AH3879" i="3"/>
  <c r="AH3880" i="3"/>
  <c r="AH3881" i="3"/>
  <c r="AH3882" i="3"/>
  <c r="AH3883" i="3"/>
  <c r="AH3884" i="3"/>
  <c r="AH3885" i="3"/>
  <c r="AH3886" i="3"/>
  <c r="AH3887" i="3"/>
  <c r="AH3888" i="3"/>
  <c r="AH3889" i="3"/>
  <c r="AH3890" i="3"/>
  <c r="AH3891" i="3"/>
  <c r="AH3892" i="3"/>
  <c r="AH3893" i="3"/>
  <c r="AH3894" i="3"/>
  <c r="AH3895" i="3"/>
  <c r="AH3896" i="3"/>
  <c r="AH3897" i="3"/>
  <c r="AH3898" i="3"/>
  <c r="AH3899" i="3"/>
  <c r="AH3900" i="3"/>
  <c r="AH3901" i="3"/>
  <c r="AH3902" i="3"/>
  <c r="AH3903" i="3"/>
  <c r="AH3904" i="3"/>
  <c r="AH3905" i="3"/>
  <c r="AH3906" i="3"/>
  <c r="AH3907" i="3"/>
  <c r="AH3908" i="3"/>
  <c r="AH3909" i="3"/>
  <c r="AH3910" i="3"/>
  <c r="AH3911" i="3"/>
  <c r="AH3912" i="3"/>
  <c r="AH3913" i="3"/>
  <c r="AH3914" i="3"/>
  <c r="AH3915" i="3"/>
  <c r="AH3916" i="3"/>
  <c r="AH3917" i="3"/>
  <c r="AH3918" i="3"/>
  <c r="AH3919" i="3"/>
  <c r="AH3920" i="3"/>
  <c r="AH3921" i="3"/>
  <c r="AH3922" i="3"/>
  <c r="AH3923" i="3"/>
  <c r="AH3924" i="3"/>
  <c r="AH3925" i="3"/>
  <c r="AH3926" i="3"/>
  <c r="AH3927" i="3"/>
  <c r="AH3928" i="3"/>
  <c r="AH3929" i="3"/>
  <c r="AH3930" i="3"/>
  <c r="AH3931" i="3"/>
  <c r="AH3932" i="3"/>
  <c r="AH3933" i="3"/>
  <c r="AH3934" i="3"/>
  <c r="AH3935" i="3"/>
  <c r="AH3936" i="3"/>
  <c r="AH3937" i="3"/>
  <c r="AH3938" i="3"/>
  <c r="AH3939" i="3"/>
  <c r="AH3940" i="3"/>
  <c r="AH3941" i="3"/>
  <c r="AH3942" i="3"/>
  <c r="AH3943" i="3"/>
  <c r="AH3944" i="3"/>
  <c r="AH3945" i="3"/>
  <c r="AH3946" i="3"/>
  <c r="AH3947" i="3"/>
  <c r="AH3948" i="3"/>
  <c r="AH3949" i="3"/>
  <c r="AH3950" i="3"/>
  <c r="AH3951" i="3"/>
  <c r="AH3952" i="3"/>
  <c r="AH3953" i="3"/>
  <c r="AH3954" i="3"/>
  <c r="AH3955" i="3"/>
  <c r="AH3956" i="3"/>
  <c r="AH3957" i="3"/>
  <c r="AH3958" i="3"/>
  <c r="AH3959" i="3"/>
  <c r="AH3960" i="3"/>
  <c r="AH3961" i="3"/>
  <c r="AH3962" i="3"/>
  <c r="AH3963" i="3"/>
  <c r="AH3964" i="3"/>
  <c r="AH3965" i="3"/>
  <c r="AH3966" i="3"/>
  <c r="AH3967" i="3"/>
  <c r="AH3968" i="3"/>
  <c r="AH3969" i="3"/>
  <c r="AH3970" i="3"/>
  <c r="AH3971" i="3"/>
  <c r="AH3972" i="3"/>
  <c r="AH3973" i="3"/>
  <c r="AH3974" i="3"/>
  <c r="AH3975" i="3"/>
  <c r="AH3976" i="3"/>
  <c r="AH3977" i="3"/>
  <c r="AH3978" i="3"/>
  <c r="AH3979" i="3"/>
  <c r="AH3980" i="3"/>
  <c r="AH3981" i="3"/>
  <c r="AH3982" i="3"/>
  <c r="AH3983" i="3"/>
  <c r="AH3984" i="3"/>
  <c r="AH3985" i="3"/>
  <c r="AH3986" i="3"/>
  <c r="AH3987" i="3"/>
  <c r="AH3988" i="3"/>
  <c r="AH3989" i="3"/>
  <c r="AH3990" i="3"/>
  <c r="AH3991" i="3"/>
  <c r="AH3992" i="3"/>
  <c r="AH3993" i="3"/>
  <c r="AH3994" i="3"/>
  <c r="AH3995" i="3"/>
  <c r="AH3996" i="3"/>
  <c r="AH3997" i="3"/>
  <c r="AH3998" i="3"/>
  <c r="AH3999" i="3"/>
  <c r="AH4000" i="3"/>
  <c r="AH4001" i="3"/>
  <c r="AH4002" i="3"/>
  <c r="AH4003" i="3"/>
  <c r="AH4004" i="3"/>
  <c r="AH4005" i="3"/>
  <c r="AH4006" i="3"/>
  <c r="AH4007" i="3"/>
  <c r="AH4008" i="3"/>
  <c r="AH4009" i="3"/>
  <c r="AH4010" i="3"/>
  <c r="AH4011" i="3"/>
  <c r="AH4012" i="3"/>
  <c r="AH4013" i="3"/>
  <c r="AH4014" i="3"/>
  <c r="AH4015" i="3"/>
  <c r="AH4016" i="3"/>
  <c r="AH4017" i="3"/>
  <c r="AH4018" i="3"/>
  <c r="AH4019" i="3"/>
  <c r="AH4020" i="3"/>
  <c r="AH4021" i="3"/>
  <c r="AH4022" i="3"/>
  <c r="AH4023" i="3"/>
  <c r="AH4024" i="3"/>
  <c r="AH4025" i="3"/>
  <c r="AH4026" i="3"/>
  <c r="AH4027" i="3"/>
  <c r="AH4028" i="3"/>
  <c r="AH4029" i="3"/>
  <c r="AH4030" i="3"/>
  <c r="AH4031" i="3"/>
  <c r="AH4032" i="3"/>
  <c r="AH4033" i="3"/>
  <c r="AH4034" i="3"/>
  <c r="AH4035" i="3"/>
  <c r="AH4036" i="3"/>
  <c r="AH4037" i="3"/>
  <c r="AH4038" i="3"/>
  <c r="AH4039" i="3"/>
  <c r="AH4040" i="3"/>
  <c r="AH4041" i="3"/>
  <c r="AH4042" i="3"/>
  <c r="AH4043" i="3"/>
  <c r="AH4044" i="3"/>
  <c r="AH4045" i="3"/>
  <c r="AH4046" i="3"/>
  <c r="AH4047" i="3"/>
  <c r="AH4048" i="3"/>
  <c r="AH4049" i="3"/>
  <c r="AH4050" i="3"/>
  <c r="AH4051" i="3"/>
  <c r="AH4052" i="3"/>
  <c r="AH4053" i="3"/>
  <c r="AH4054" i="3"/>
  <c r="AH4055" i="3"/>
  <c r="AH4056" i="3"/>
  <c r="AH4057" i="3"/>
  <c r="AH4058" i="3"/>
  <c r="AH4059" i="3"/>
  <c r="AH4060" i="3"/>
  <c r="AH4061" i="3"/>
  <c r="AH4062" i="3"/>
  <c r="AH4063" i="3"/>
  <c r="AH4064" i="3"/>
  <c r="AH4065" i="3"/>
  <c r="AH4066" i="3"/>
  <c r="AH4067" i="3"/>
  <c r="AH4068" i="3"/>
  <c r="AH4069" i="3"/>
  <c r="AH4070" i="3"/>
  <c r="AH4071" i="3"/>
  <c r="AH4072" i="3"/>
  <c r="AH4073" i="3"/>
  <c r="AH4074" i="3"/>
  <c r="AH4075" i="3"/>
  <c r="AH4076" i="3"/>
  <c r="AH4077" i="3"/>
  <c r="AH4078" i="3"/>
  <c r="AH4079" i="3"/>
  <c r="AH4080" i="3"/>
  <c r="AH4081" i="3"/>
  <c r="AH4082" i="3"/>
  <c r="AH4083" i="3"/>
  <c r="AH4084" i="3"/>
  <c r="AH4085" i="3"/>
  <c r="AH4086" i="3"/>
  <c r="AH4087" i="3"/>
  <c r="AH4088" i="3"/>
  <c r="AH4089" i="3"/>
  <c r="AH4090" i="3"/>
  <c r="AH4091" i="3"/>
  <c r="AH4092" i="3"/>
  <c r="AH4093" i="3"/>
  <c r="AH4094" i="3"/>
  <c r="AH4095" i="3"/>
  <c r="AH4096" i="3"/>
  <c r="AH4097" i="3"/>
  <c r="AH4098" i="3"/>
  <c r="AH4099" i="3"/>
  <c r="AH4100" i="3"/>
  <c r="AH4101" i="3"/>
  <c r="AH4102" i="3"/>
  <c r="AH4103" i="3"/>
  <c r="AH4104" i="3"/>
  <c r="AH4105" i="3"/>
  <c r="AH4106" i="3"/>
  <c r="AH4107" i="3"/>
  <c r="AH4108" i="3"/>
  <c r="AH4109" i="3"/>
  <c r="AH4110" i="3"/>
  <c r="AH4111" i="3"/>
  <c r="AH4112" i="3"/>
  <c r="AH4113" i="3"/>
  <c r="AH4114" i="3"/>
  <c r="AH4115" i="3"/>
  <c r="AH4116" i="3"/>
  <c r="AH4117" i="3"/>
  <c r="AH4118" i="3"/>
  <c r="AH4119" i="3"/>
  <c r="AH4120" i="3"/>
  <c r="AH4121" i="3"/>
  <c r="AH4122" i="3"/>
  <c r="AH4123" i="3"/>
  <c r="AH4124" i="3"/>
  <c r="AH4125" i="3"/>
  <c r="AH4126" i="3"/>
  <c r="AH4127" i="3"/>
  <c r="AH4128" i="3"/>
  <c r="AH4129" i="3"/>
  <c r="AH4130" i="3"/>
  <c r="AH4131" i="3"/>
  <c r="AH4132" i="3"/>
  <c r="AH4133" i="3"/>
  <c r="AH4134" i="3"/>
  <c r="AH4135" i="3"/>
  <c r="AH4136" i="3"/>
  <c r="AH4137" i="3"/>
  <c r="AH4138" i="3"/>
  <c r="AH4139" i="3"/>
  <c r="AH4140" i="3"/>
  <c r="AH4141" i="3"/>
  <c r="AH4142" i="3"/>
  <c r="AH4143" i="3"/>
  <c r="AH4144" i="3"/>
  <c r="AH4145" i="3"/>
  <c r="AH4146" i="3"/>
  <c r="AH4147" i="3"/>
  <c r="AH4148" i="3"/>
  <c r="AH4149" i="3"/>
  <c r="AH4150" i="3"/>
  <c r="AH4151" i="3"/>
  <c r="AH4152" i="3"/>
  <c r="AH4153" i="3"/>
  <c r="AH4154" i="3"/>
  <c r="AH4155" i="3"/>
  <c r="AH4156" i="3"/>
  <c r="AH4157" i="3"/>
  <c r="AH4158" i="3"/>
  <c r="AH4159" i="3"/>
  <c r="AH4160" i="3"/>
  <c r="AH4161" i="3"/>
  <c r="AH4162" i="3"/>
  <c r="AH4163" i="3"/>
  <c r="AH4164" i="3"/>
  <c r="AH4165" i="3"/>
  <c r="AH4166" i="3"/>
  <c r="AH4167" i="3"/>
  <c r="AH4168" i="3"/>
  <c r="AH4169" i="3"/>
  <c r="AH4170" i="3"/>
  <c r="AH4171" i="3"/>
  <c r="AH4172" i="3"/>
  <c r="AH4173" i="3"/>
  <c r="AH4174" i="3"/>
  <c r="AH4175" i="3"/>
  <c r="AH4176" i="3"/>
  <c r="AH4177" i="3"/>
  <c r="AH4178" i="3"/>
  <c r="AH4179" i="3"/>
  <c r="AH4180" i="3"/>
  <c r="AH4181" i="3"/>
  <c r="AH4182" i="3"/>
  <c r="AH4183" i="3"/>
  <c r="AH4184" i="3"/>
  <c r="AH4185" i="3"/>
  <c r="AH4186" i="3"/>
  <c r="AH4187" i="3"/>
  <c r="AH4188" i="3"/>
  <c r="AH4189" i="3"/>
  <c r="AH4190" i="3"/>
  <c r="AH4191" i="3"/>
  <c r="AH4192" i="3"/>
  <c r="AH4193" i="3"/>
  <c r="AH4194" i="3"/>
  <c r="AH4195" i="3"/>
  <c r="AH4196" i="3"/>
  <c r="AH4197" i="3"/>
  <c r="AH4198" i="3"/>
  <c r="AH4199" i="3"/>
  <c r="AH4200" i="3"/>
  <c r="AH4201" i="3"/>
  <c r="AH4202" i="3"/>
  <c r="AH4203" i="3"/>
  <c r="AH4204" i="3"/>
  <c r="AH4205" i="3"/>
  <c r="AH4206" i="3"/>
  <c r="AH4207" i="3"/>
  <c r="AH4208" i="3"/>
  <c r="AH4209" i="3"/>
  <c r="AH4210" i="3"/>
  <c r="AH4211" i="3"/>
  <c r="AH4212" i="3"/>
  <c r="AH4213" i="3"/>
  <c r="AH4214" i="3"/>
  <c r="AH4215" i="3"/>
  <c r="AH4216" i="3"/>
  <c r="AH4217" i="3"/>
  <c r="AH4218" i="3"/>
  <c r="AH4219" i="3"/>
  <c r="AH4220" i="3"/>
  <c r="AH4221" i="3"/>
  <c r="AH4222" i="3"/>
  <c r="AH4223" i="3"/>
  <c r="AH4224" i="3"/>
  <c r="AH4225" i="3"/>
  <c r="AH4226" i="3"/>
  <c r="AH4227" i="3"/>
  <c r="AH4228" i="3"/>
  <c r="AH4229" i="3"/>
  <c r="AH4230" i="3"/>
  <c r="AH4231" i="3"/>
  <c r="AH4232" i="3"/>
  <c r="AH4233" i="3"/>
  <c r="AH4234" i="3"/>
  <c r="AH4235" i="3"/>
  <c r="AH4236" i="3"/>
  <c r="AH4237" i="3"/>
  <c r="AH4238" i="3"/>
  <c r="AH4239" i="3"/>
  <c r="AH4240" i="3"/>
  <c r="AH4241" i="3"/>
  <c r="AH4242" i="3"/>
  <c r="AH4243" i="3"/>
  <c r="AH4244" i="3"/>
  <c r="AH4245" i="3"/>
  <c r="AH4246" i="3"/>
  <c r="AH4247" i="3"/>
  <c r="AH4248" i="3"/>
  <c r="AH4249" i="3"/>
  <c r="AH4250" i="3"/>
  <c r="AH4251" i="3"/>
  <c r="AH4252" i="3"/>
  <c r="AH4253" i="3"/>
  <c r="AH4254" i="3"/>
  <c r="AH4255" i="3"/>
  <c r="AH4256" i="3"/>
  <c r="AH4257" i="3"/>
  <c r="AH4258" i="3"/>
  <c r="AH4259" i="3"/>
  <c r="AH4260" i="3"/>
  <c r="AH4261" i="3"/>
  <c r="AH4262" i="3"/>
  <c r="AH4263" i="3"/>
  <c r="AH4264" i="3"/>
  <c r="AH4265" i="3"/>
  <c r="AH4266" i="3"/>
  <c r="AH4267" i="3"/>
  <c r="AH4268" i="3"/>
  <c r="AH4269" i="3"/>
  <c r="AH4270" i="3"/>
  <c r="AH4271" i="3"/>
  <c r="AH4272" i="3"/>
  <c r="AH4273" i="3"/>
  <c r="AH4274" i="3"/>
  <c r="AH4275" i="3"/>
  <c r="AH4276" i="3"/>
  <c r="AH4277" i="3"/>
  <c r="AH4278" i="3"/>
  <c r="AH4279" i="3"/>
  <c r="AH4280" i="3"/>
  <c r="AH4281" i="3"/>
  <c r="AH4282" i="3"/>
  <c r="AH4283" i="3"/>
  <c r="AH4284" i="3"/>
  <c r="AH4285" i="3"/>
  <c r="AH4286" i="3"/>
  <c r="AH4287" i="3"/>
  <c r="AH4288" i="3"/>
  <c r="AH4289" i="3"/>
  <c r="AH4290" i="3"/>
  <c r="AH4291" i="3"/>
  <c r="AH4292" i="3"/>
  <c r="AH4293" i="3"/>
  <c r="AH4294" i="3"/>
  <c r="AH4295" i="3"/>
  <c r="AH4296" i="3"/>
  <c r="AH4297" i="3"/>
  <c r="AH4298" i="3"/>
  <c r="AH4299" i="3"/>
  <c r="AH4300" i="3"/>
  <c r="AH4301" i="3"/>
  <c r="AH4302" i="3"/>
  <c r="AH4303" i="3"/>
  <c r="AH4304" i="3"/>
  <c r="AH4305" i="3"/>
  <c r="AH4306" i="3"/>
  <c r="AH4307" i="3"/>
  <c r="AH4308" i="3"/>
  <c r="AH4309" i="3"/>
  <c r="AH4310" i="3"/>
  <c r="AH4311" i="3"/>
  <c r="AH4312" i="3"/>
  <c r="AH4313" i="3"/>
  <c r="AH4314" i="3"/>
  <c r="AH4315" i="3"/>
  <c r="AH4316" i="3"/>
  <c r="AH4317" i="3"/>
  <c r="AH4318" i="3"/>
  <c r="AH4319" i="3"/>
  <c r="AH4320" i="3"/>
  <c r="AH4321" i="3"/>
  <c r="AH4322" i="3"/>
  <c r="AH4323" i="3"/>
  <c r="AH4324" i="3"/>
  <c r="AH4325" i="3"/>
  <c r="AH4326" i="3"/>
  <c r="AH4327" i="3"/>
  <c r="AH4328" i="3"/>
  <c r="AH4329" i="3"/>
  <c r="AH4330" i="3"/>
  <c r="AH4331" i="3"/>
  <c r="AH4332" i="3"/>
  <c r="AH4333" i="3"/>
  <c r="AH4334" i="3"/>
  <c r="AH4335" i="3"/>
  <c r="AH4336" i="3"/>
  <c r="AH4337" i="3"/>
  <c r="AH4338" i="3"/>
  <c r="AH4339" i="3"/>
  <c r="AH4340" i="3"/>
  <c r="AH4341" i="3"/>
  <c r="AH4342" i="3"/>
  <c r="AH4343" i="3"/>
  <c r="AH4344" i="3"/>
  <c r="AH4345" i="3"/>
  <c r="AH4346" i="3"/>
  <c r="AH4347" i="3"/>
  <c r="AH4348" i="3"/>
  <c r="AH4349" i="3"/>
  <c r="AH4350" i="3"/>
  <c r="AH4351" i="3"/>
  <c r="AH4352" i="3"/>
  <c r="AH4353" i="3"/>
  <c r="AH4354" i="3"/>
  <c r="AH4355" i="3"/>
  <c r="AH4356" i="3"/>
  <c r="AH4357" i="3"/>
  <c r="AH4358" i="3"/>
  <c r="AH4359" i="3"/>
  <c r="AH4360" i="3"/>
  <c r="AH4361" i="3"/>
  <c r="AH4362" i="3"/>
  <c r="AH4363" i="3"/>
  <c r="AH4364" i="3"/>
  <c r="AH4365" i="3"/>
  <c r="AH4366" i="3"/>
  <c r="AH4367" i="3"/>
  <c r="AH4368" i="3"/>
  <c r="AH4369" i="3"/>
  <c r="AH4370" i="3"/>
  <c r="AH4371" i="3"/>
  <c r="AH4372" i="3"/>
  <c r="AH4373" i="3"/>
  <c r="AH4374" i="3"/>
  <c r="AH4375" i="3"/>
  <c r="AH4376" i="3"/>
  <c r="AH4377" i="3"/>
  <c r="AH4378" i="3"/>
  <c r="AH4379" i="3"/>
  <c r="AH4380" i="3"/>
  <c r="AH4381" i="3"/>
  <c r="AH4382" i="3"/>
  <c r="AH4383" i="3"/>
  <c r="AH4384" i="3"/>
  <c r="AH4385" i="3"/>
  <c r="AH4386" i="3"/>
  <c r="AH4387" i="3"/>
  <c r="AH4388" i="3"/>
  <c r="AH4389" i="3"/>
  <c r="AH4390" i="3"/>
  <c r="AH4391" i="3"/>
  <c r="AH4392" i="3"/>
  <c r="AH4393" i="3"/>
  <c r="AH4394" i="3"/>
  <c r="AH4395" i="3"/>
  <c r="AH4396" i="3"/>
  <c r="AH4397" i="3"/>
  <c r="AH4398" i="3"/>
  <c r="AH4399" i="3"/>
  <c r="AH4400" i="3"/>
  <c r="AH4401" i="3"/>
  <c r="AH4402" i="3"/>
  <c r="AH4403" i="3"/>
  <c r="AH4404" i="3"/>
  <c r="AH4405" i="3"/>
  <c r="AH4406" i="3"/>
  <c r="AH4407" i="3"/>
  <c r="AH4408" i="3"/>
  <c r="AH4409" i="3"/>
  <c r="AH4410" i="3"/>
  <c r="AH4411" i="3"/>
  <c r="AH4412" i="3"/>
  <c r="AH4413" i="3"/>
  <c r="AH4414" i="3"/>
  <c r="AH4415" i="3"/>
  <c r="AH4416" i="3"/>
  <c r="AH4417" i="3"/>
  <c r="AH4418" i="3"/>
  <c r="AH4419" i="3"/>
  <c r="AH4420" i="3"/>
  <c r="AH4421" i="3"/>
  <c r="AH4422" i="3"/>
  <c r="AH4423" i="3"/>
  <c r="AH4424" i="3"/>
  <c r="AH4425" i="3"/>
  <c r="AH4426" i="3"/>
  <c r="AH4427" i="3"/>
  <c r="AH4428" i="3"/>
  <c r="AH4429" i="3"/>
  <c r="AH4430" i="3"/>
  <c r="AH4431" i="3"/>
  <c r="AH4432" i="3"/>
  <c r="AH4433" i="3"/>
  <c r="AH4434" i="3"/>
  <c r="AH4435" i="3"/>
  <c r="AH4436" i="3"/>
  <c r="AH4437" i="3"/>
  <c r="AH4438" i="3"/>
  <c r="AH4439" i="3"/>
  <c r="AH4440" i="3"/>
  <c r="AH4441" i="3"/>
  <c r="AH4442" i="3"/>
  <c r="AH4443" i="3"/>
  <c r="AH4444" i="3"/>
  <c r="AH4445" i="3"/>
  <c r="AH4446" i="3"/>
  <c r="AH4447" i="3"/>
  <c r="AH4448" i="3"/>
  <c r="AH4449" i="3"/>
  <c r="AH4450" i="3"/>
  <c r="AH4451" i="3"/>
  <c r="AH4452" i="3"/>
  <c r="AH4453" i="3"/>
  <c r="AH4454" i="3"/>
  <c r="AH4455" i="3"/>
  <c r="AH4456" i="3"/>
  <c r="AH4457" i="3"/>
  <c r="AH4458" i="3"/>
  <c r="AH4459" i="3"/>
  <c r="AH4460" i="3"/>
  <c r="AH4461" i="3"/>
  <c r="AH4462" i="3"/>
  <c r="AH4463" i="3"/>
  <c r="AH4464" i="3"/>
  <c r="AH4465" i="3"/>
  <c r="AH4466" i="3"/>
  <c r="AH4467" i="3"/>
  <c r="AH4468" i="3"/>
  <c r="AH4469" i="3"/>
  <c r="AH4470" i="3"/>
  <c r="AH4471" i="3"/>
  <c r="AH4472" i="3"/>
  <c r="AH4473" i="3"/>
  <c r="AH4474" i="3"/>
  <c r="AH4475" i="3"/>
  <c r="AH4476" i="3"/>
  <c r="AH4477" i="3"/>
  <c r="AH4478" i="3"/>
  <c r="AH4479" i="3"/>
  <c r="AH4480" i="3"/>
  <c r="AH4481" i="3"/>
  <c r="AH4482" i="3"/>
  <c r="AH4483" i="3"/>
  <c r="AH4484" i="3"/>
  <c r="AH4485" i="3"/>
  <c r="AH4486" i="3"/>
  <c r="AH4487" i="3"/>
  <c r="AH4488" i="3"/>
  <c r="AH4489" i="3"/>
  <c r="AH4490" i="3"/>
  <c r="AH4491" i="3"/>
  <c r="AH4492" i="3"/>
  <c r="AH4493" i="3"/>
  <c r="AH4494" i="3"/>
  <c r="AH4495" i="3"/>
  <c r="AH4496" i="3"/>
  <c r="AH4497" i="3"/>
  <c r="AH4498" i="3"/>
  <c r="AH4499" i="3"/>
  <c r="AH4500" i="3"/>
  <c r="AH4501" i="3"/>
  <c r="AH4502" i="3"/>
  <c r="AH4503" i="3"/>
  <c r="AH4504" i="3"/>
  <c r="AH4505" i="3"/>
  <c r="AH4506" i="3"/>
  <c r="AH4507" i="3"/>
  <c r="AH4508" i="3"/>
  <c r="AH4509" i="3"/>
  <c r="AH4510" i="3"/>
  <c r="AH4511" i="3"/>
  <c r="AH4512" i="3"/>
  <c r="AH4513" i="3"/>
  <c r="AH4514" i="3"/>
  <c r="AH4515" i="3"/>
  <c r="AH4516" i="3"/>
  <c r="AH4517" i="3"/>
  <c r="AH4518" i="3"/>
  <c r="AH4519" i="3"/>
  <c r="AH4520" i="3"/>
  <c r="AH4521" i="3"/>
  <c r="AH4522" i="3"/>
  <c r="AH4523" i="3"/>
  <c r="AH4524" i="3"/>
  <c r="AH4525" i="3"/>
  <c r="AH4526" i="3"/>
  <c r="AH4527" i="3"/>
  <c r="AH4528" i="3"/>
  <c r="AH4529" i="3"/>
  <c r="AH4530" i="3"/>
  <c r="AH4531" i="3"/>
  <c r="AH4532" i="3"/>
  <c r="AH4533" i="3"/>
  <c r="AH4534" i="3"/>
  <c r="AH4535" i="3"/>
  <c r="AH4536" i="3"/>
  <c r="AH4537" i="3"/>
  <c r="AH4538" i="3"/>
  <c r="AH4539" i="3"/>
  <c r="AH4540" i="3"/>
  <c r="AH4541" i="3"/>
  <c r="AH4542" i="3"/>
  <c r="AH4543" i="3"/>
  <c r="AH4544" i="3"/>
  <c r="AH4545" i="3"/>
  <c r="AH4546" i="3"/>
  <c r="AH4547" i="3"/>
  <c r="AH4548" i="3"/>
  <c r="AH4549" i="3"/>
  <c r="AH4550" i="3"/>
  <c r="AH4551" i="3"/>
  <c r="AH4552" i="3"/>
  <c r="AH4553" i="3"/>
  <c r="AH4554" i="3"/>
  <c r="AH4555" i="3"/>
  <c r="AH4556" i="3"/>
  <c r="AH4557" i="3"/>
  <c r="AH4558" i="3"/>
  <c r="AH4559" i="3"/>
  <c r="AH4560" i="3"/>
  <c r="AH4561" i="3"/>
  <c r="AH4562" i="3"/>
  <c r="AH4563" i="3"/>
  <c r="AH4564" i="3"/>
  <c r="AH4565" i="3"/>
  <c r="AH4566" i="3"/>
  <c r="AH4567" i="3"/>
  <c r="AH4568" i="3"/>
  <c r="AH4569" i="3"/>
  <c r="AH4570" i="3"/>
  <c r="AH4571" i="3"/>
  <c r="AH4572" i="3"/>
  <c r="AH4573" i="3"/>
  <c r="AH4574" i="3"/>
  <c r="AH4575" i="3"/>
  <c r="AH4576" i="3"/>
  <c r="AH4577" i="3"/>
  <c r="AH4578" i="3"/>
  <c r="AH4579" i="3"/>
  <c r="AH4580" i="3"/>
  <c r="AH4581" i="3"/>
  <c r="AH4582" i="3"/>
  <c r="AH4583" i="3"/>
  <c r="AH4584" i="3"/>
  <c r="AH4585" i="3"/>
  <c r="AH4586" i="3"/>
  <c r="AH4587" i="3"/>
  <c r="AH4588" i="3"/>
  <c r="AH4589" i="3"/>
  <c r="AH4590" i="3"/>
  <c r="AH4591" i="3"/>
  <c r="AH4592" i="3"/>
  <c r="AH4593" i="3"/>
  <c r="AH4594" i="3"/>
  <c r="AH4595" i="3"/>
  <c r="AH4596" i="3"/>
  <c r="AH4597" i="3"/>
  <c r="AH4598" i="3"/>
  <c r="AH4599" i="3"/>
  <c r="AH4600" i="3"/>
  <c r="AH4601" i="3"/>
  <c r="AH4602" i="3"/>
  <c r="AH4603" i="3"/>
  <c r="AH4604" i="3"/>
  <c r="AH4605" i="3"/>
  <c r="AH4606" i="3"/>
  <c r="AH4607" i="3"/>
  <c r="AH4608" i="3"/>
  <c r="AH4609" i="3"/>
  <c r="AH4610" i="3"/>
  <c r="AH4611" i="3"/>
  <c r="AH4612" i="3"/>
  <c r="AH4613" i="3"/>
  <c r="AH4614" i="3"/>
  <c r="AH4615" i="3"/>
  <c r="AH4616" i="3"/>
  <c r="AH4617" i="3"/>
  <c r="AH4618" i="3"/>
  <c r="AH4619" i="3"/>
  <c r="AH4620" i="3"/>
  <c r="AH4621" i="3"/>
  <c r="AH4622" i="3"/>
  <c r="AH4623" i="3"/>
  <c r="AH4624" i="3"/>
  <c r="AH4625" i="3"/>
  <c r="AH4626" i="3"/>
  <c r="AH4627" i="3"/>
  <c r="AH4628" i="3"/>
  <c r="AH4629" i="3"/>
  <c r="AH4630" i="3"/>
  <c r="AH4631" i="3"/>
  <c r="AH4632" i="3"/>
  <c r="AH4633" i="3"/>
  <c r="AH4634" i="3"/>
  <c r="AH4635" i="3"/>
  <c r="AH4636" i="3"/>
  <c r="AH4637" i="3"/>
  <c r="AH4638" i="3"/>
  <c r="AH4639" i="3"/>
  <c r="AH4640" i="3"/>
  <c r="AH4641" i="3"/>
  <c r="AH4642" i="3"/>
  <c r="AH4643" i="3"/>
  <c r="AH4644" i="3"/>
  <c r="AH4645" i="3"/>
  <c r="AH4646" i="3"/>
  <c r="AH4647" i="3"/>
  <c r="AH4648" i="3"/>
  <c r="AH4649" i="3"/>
  <c r="AH4650" i="3"/>
  <c r="AH4651" i="3"/>
  <c r="AH4652" i="3"/>
  <c r="AH4653" i="3"/>
  <c r="AH4654" i="3"/>
  <c r="AH4655" i="3"/>
  <c r="AH4656" i="3"/>
  <c r="AH4657" i="3"/>
  <c r="AH4658" i="3"/>
  <c r="AH4659" i="3"/>
  <c r="AH4660" i="3"/>
  <c r="AH4661" i="3"/>
  <c r="AH4662" i="3"/>
  <c r="AH4663" i="3"/>
  <c r="AH4664" i="3"/>
  <c r="AH4665" i="3"/>
  <c r="AH4666" i="3"/>
  <c r="AH4667" i="3"/>
  <c r="AH4668" i="3"/>
  <c r="AH4669" i="3"/>
  <c r="AH4670" i="3"/>
  <c r="AH4671" i="3"/>
  <c r="AH4672" i="3"/>
  <c r="AH4673" i="3"/>
  <c r="AH4674" i="3"/>
  <c r="AH4675" i="3"/>
  <c r="AH4676" i="3"/>
  <c r="AH4677" i="3"/>
  <c r="AH4678" i="3"/>
  <c r="AH4679" i="3"/>
  <c r="AH4680" i="3"/>
  <c r="AH4681" i="3"/>
  <c r="AH4682" i="3"/>
  <c r="AH4683" i="3"/>
  <c r="AH4684" i="3"/>
  <c r="AH4685" i="3"/>
  <c r="AH4686" i="3"/>
  <c r="AH4687" i="3"/>
  <c r="AH4688" i="3"/>
  <c r="AH4689" i="3"/>
  <c r="AH4690" i="3"/>
  <c r="AH4691" i="3"/>
  <c r="AH4692" i="3"/>
  <c r="AH4693" i="3"/>
  <c r="AH4694" i="3"/>
  <c r="AH4695" i="3"/>
  <c r="AH4696" i="3"/>
  <c r="AH4697" i="3"/>
  <c r="AH4698" i="3"/>
  <c r="AH4699" i="3"/>
  <c r="AH4700" i="3"/>
  <c r="AH4701" i="3"/>
  <c r="AH4702" i="3"/>
  <c r="AH4703" i="3"/>
  <c r="AH4704" i="3"/>
  <c r="AH4705" i="3"/>
  <c r="AH4706" i="3"/>
  <c r="AH4707" i="3"/>
  <c r="AH4708" i="3"/>
  <c r="AH4709" i="3"/>
  <c r="AH4710" i="3"/>
  <c r="AH4711" i="3"/>
  <c r="AH4712" i="3"/>
  <c r="AH4713" i="3"/>
  <c r="AH4714" i="3"/>
  <c r="AH4715" i="3"/>
  <c r="AH4716" i="3"/>
  <c r="AH4717" i="3"/>
  <c r="AH4718" i="3"/>
  <c r="AH4719" i="3"/>
  <c r="AH4720" i="3"/>
  <c r="AH4721" i="3"/>
  <c r="AH4722" i="3"/>
  <c r="AH4723" i="3"/>
  <c r="AH4724" i="3"/>
  <c r="AH4725" i="3"/>
  <c r="AH4726" i="3"/>
  <c r="AH4727" i="3"/>
  <c r="AH4728" i="3"/>
  <c r="AH4729" i="3"/>
  <c r="AH4730" i="3"/>
  <c r="AH4731" i="3"/>
  <c r="AH4732" i="3"/>
  <c r="AH4733" i="3"/>
  <c r="AH4734" i="3"/>
  <c r="AH4735" i="3"/>
  <c r="AH4736" i="3"/>
  <c r="AH4737" i="3"/>
  <c r="AH4738" i="3"/>
  <c r="AH4739" i="3"/>
  <c r="AH4740" i="3"/>
  <c r="AH4741" i="3"/>
  <c r="AH4742" i="3"/>
  <c r="AH4743" i="3"/>
  <c r="AH4744" i="3"/>
  <c r="AH4745" i="3"/>
  <c r="AH4746" i="3"/>
  <c r="AH4747" i="3"/>
  <c r="AH4748" i="3"/>
  <c r="AH4749" i="3"/>
  <c r="AH4750" i="3"/>
  <c r="AH4751" i="3"/>
  <c r="AH4752" i="3"/>
  <c r="AH4753" i="3"/>
  <c r="AH4754" i="3"/>
  <c r="AH4755" i="3"/>
  <c r="AH4756" i="3"/>
  <c r="AH4757" i="3"/>
  <c r="AH4758" i="3"/>
  <c r="AH4759" i="3"/>
  <c r="AH4760" i="3"/>
  <c r="AH4761" i="3"/>
  <c r="AH4762" i="3"/>
  <c r="AH4763" i="3"/>
  <c r="AH4764" i="3"/>
  <c r="AH4765" i="3"/>
  <c r="AH4766" i="3"/>
  <c r="AH4767" i="3"/>
  <c r="AH4768" i="3"/>
  <c r="AH4769" i="3"/>
  <c r="AH4770" i="3"/>
  <c r="AH4771" i="3"/>
  <c r="AH4772" i="3"/>
  <c r="AH4773" i="3"/>
  <c r="AH4774" i="3"/>
  <c r="AH4775" i="3"/>
  <c r="AH4776" i="3"/>
  <c r="AH4777" i="3"/>
  <c r="AH4778" i="3"/>
  <c r="AH4779" i="3"/>
  <c r="AH4780" i="3"/>
  <c r="AH4781" i="3"/>
  <c r="AH4782" i="3"/>
  <c r="AH4783" i="3"/>
  <c r="AH4784" i="3"/>
  <c r="AH4785" i="3"/>
  <c r="AH4786" i="3"/>
  <c r="AH4787" i="3"/>
  <c r="AH4788" i="3"/>
  <c r="AH4789" i="3"/>
  <c r="AH4790" i="3"/>
  <c r="AH4791" i="3"/>
  <c r="AH4792" i="3"/>
  <c r="AH4793" i="3"/>
  <c r="AH4794" i="3"/>
  <c r="AH4795" i="3"/>
  <c r="AH4796" i="3"/>
  <c r="AH4797" i="3"/>
  <c r="AH4798" i="3"/>
  <c r="AH4799" i="3"/>
  <c r="AH4800" i="3"/>
  <c r="AH4801" i="3"/>
  <c r="AH4802" i="3"/>
  <c r="AH4803" i="3"/>
  <c r="AH4804" i="3"/>
  <c r="AH4805" i="3"/>
  <c r="AH4806" i="3"/>
  <c r="AH4807" i="3"/>
  <c r="AH4808" i="3"/>
  <c r="AH4809" i="3"/>
  <c r="AH4810" i="3"/>
  <c r="AH4811" i="3"/>
  <c r="AH4812" i="3"/>
  <c r="AH4813" i="3"/>
  <c r="AH4814" i="3"/>
  <c r="AH4815" i="3"/>
  <c r="AH4816" i="3"/>
  <c r="AH4817" i="3"/>
  <c r="AH4818" i="3"/>
  <c r="AH4819" i="3"/>
  <c r="AH4820" i="3"/>
  <c r="AH4821" i="3"/>
  <c r="AH4822" i="3"/>
  <c r="AH4823" i="3"/>
  <c r="AH4824" i="3"/>
  <c r="AH4825" i="3"/>
  <c r="AH4826" i="3"/>
  <c r="AH4827" i="3"/>
  <c r="AH4828" i="3"/>
  <c r="AH4829" i="3"/>
  <c r="AH4830" i="3"/>
  <c r="AH4831" i="3"/>
  <c r="AH4832" i="3"/>
  <c r="AH4833" i="3"/>
  <c r="AH4834" i="3"/>
  <c r="AH4835" i="3"/>
  <c r="AH4836" i="3"/>
  <c r="AH4837" i="3"/>
  <c r="AH4838" i="3"/>
  <c r="AH4839" i="3"/>
  <c r="AH4840" i="3"/>
  <c r="AH4841" i="3"/>
  <c r="AH4842" i="3"/>
  <c r="AH4843" i="3"/>
  <c r="AH4844" i="3"/>
  <c r="AH4845" i="3"/>
  <c r="AH4846" i="3"/>
  <c r="AH4847" i="3"/>
  <c r="AH4848" i="3"/>
  <c r="AH4849" i="3"/>
  <c r="AH4850" i="3"/>
  <c r="AH4851" i="3"/>
  <c r="AH4852" i="3"/>
  <c r="AH4853" i="3"/>
  <c r="AH4854" i="3"/>
  <c r="AH4855" i="3"/>
  <c r="AH4856" i="3"/>
  <c r="AH4857" i="3"/>
  <c r="AH4858" i="3"/>
  <c r="AH4859" i="3"/>
  <c r="AH4860" i="3"/>
  <c r="AH4861" i="3"/>
  <c r="AH4862" i="3"/>
  <c r="AH4863" i="3"/>
  <c r="AH4864" i="3"/>
  <c r="AH4865" i="3"/>
  <c r="AH4866" i="3"/>
  <c r="AH4867" i="3"/>
  <c r="AH4868" i="3"/>
  <c r="AH4869" i="3"/>
  <c r="AH4870" i="3"/>
  <c r="AH4871" i="3"/>
  <c r="AH4872" i="3"/>
  <c r="AH4873" i="3"/>
  <c r="AH4874" i="3"/>
  <c r="AH4875" i="3"/>
  <c r="AH4876" i="3"/>
  <c r="AH4877" i="3"/>
  <c r="AH4878" i="3"/>
  <c r="AH4879" i="3"/>
  <c r="AH4880" i="3"/>
  <c r="AH4881" i="3"/>
  <c r="AH4882" i="3"/>
  <c r="AH4883" i="3"/>
  <c r="AH4884" i="3"/>
  <c r="AH4885" i="3"/>
  <c r="AH4886" i="3"/>
  <c r="AH4887" i="3"/>
  <c r="AH4888" i="3"/>
  <c r="AH4889" i="3"/>
  <c r="AH4890" i="3"/>
  <c r="AH4891" i="3"/>
  <c r="AH4892" i="3"/>
  <c r="AH4893" i="3"/>
  <c r="AH4894" i="3"/>
  <c r="AH4895" i="3"/>
  <c r="AH4896" i="3"/>
  <c r="AH4897" i="3"/>
  <c r="AH4898" i="3"/>
  <c r="AH4899" i="3"/>
  <c r="AH4900" i="3"/>
  <c r="AH4901" i="3"/>
  <c r="AH4902" i="3"/>
  <c r="AH4903" i="3"/>
  <c r="AH4904" i="3"/>
  <c r="AH4905" i="3"/>
  <c r="AH4906" i="3"/>
  <c r="AH4907" i="3"/>
  <c r="AH4908" i="3"/>
  <c r="AH4909" i="3"/>
  <c r="AH4910" i="3"/>
  <c r="AH4911" i="3"/>
  <c r="AH4912" i="3"/>
  <c r="AH4913" i="3"/>
  <c r="AH4914" i="3"/>
  <c r="AH4915" i="3"/>
  <c r="AH4916" i="3"/>
  <c r="AH4917" i="3"/>
  <c r="AH4918" i="3"/>
  <c r="AH4919" i="3"/>
  <c r="AH4920" i="3"/>
  <c r="AH4921" i="3"/>
  <c r="AH4922" i="3"/>
  <c r="AH4923" i="3"/>
  <c r="AH4924" i="3"/>
  <c r="AH4925" i="3"/>
  <c r="AH4926" i="3"/>
  <c r="AH4927" i="3"/>
  <c r="AH4928" i="3"/>
  <c r="AH4929" i="3"/>
  <c r="AH4930" i="3"/>
  <c r="AH4931" i="3"/>
  <c r="AH4932" i="3"/>
  <c r="AH4933" i="3"/>
  <c r="AH4934" i="3"/>
  <c r="AH4935" i="3"/>
  <c r="AH4936" i="3"/>
  <c r="AH4937" i="3"/>
  <c r="AH4938" i="3"/>
  <c r="AH4939" i="3"/>
  <c r="AH4940" i="3"/>
  <c r="AH4941" i="3"/>
  <c r="AH4942" i="3"/>
  <c r="AH4943" i="3"/>
  <c r="AH4944" i="3"/>
  <c r="AH4945" i="3"/>
  <c r="AH4946" i="3"/>
  <c r="AH4947" i="3"/>
  <c r="AH4948" i="3"/>
  <c r="AH4949" i="3"/>
  <c r="AH4950" i="3"/>
  <c r="AH4951" i="3"/>
  <c r="AH4952" i="3"/>
  <c r="AH4953" i="3"/>
  <c r="AH4954" i="3"/>
  <c r="AH4955" i="3"/>
  <c r="AH4956" i="3"/>
  <c r="AH4957" i="3"/>
  <c r="AH4958" i="3"/>
  <c r="AH4959" i="3"/>
  <c r="AH4960" i="3"/>
  <c r="AH4961" i="3"/>
  <c r="AH4962" i="3"/>
  <c r="AH4963" i="3"/>
  <c r="AH4964" i="3"/>
  <c r="AH4965" i="3"/>
  <c r="AH4966" i="3"/>
  <c r="AH4967" i="3"/>
  <c r="AH4968" i="3"/>
  <c r="AH4969" i="3"/>
  <c r="AH4970" i="3"/>
  <c r="AH4971" i="3"/>
  <c r="AH4972" i="3"/>
  <c r="AH4973" i="3"/>
  <c r="AH4974" i="3"/>
  <c r="AH4975" i="3"/>
  <c r="AH4976" i="3"/>
  <c r="AH4977" i="3"/>
  <c r="AH4978" i="3"/>
  <c r="AH4979" i="3"/>
  <c r="AH4980" i="3"/>
  <c r="AH4981" i="3"/>
  <c r="AH4982" i="3"/>
  <c r="AH4983" i="3"/>
  <c r="AH4984" i="3"/>
  <c r="AH4985" i="3"/>
  <c r="AH4986" i="3"/>
  <c r="AH4987" i="3"/>
  <c r="AH4988" i="3"/>
  <c r="AH4989" i="3"/>
  <c r="AH4990" i="3"/>
  <c r="AH4991" i="3"/>
  <c r="AH4992" i="3"/>
  <c r="AH4993" i="3"/>
  <c r="AH4994" i="3"/>
  <c r="AH4995" i="3"/>
  <c r="AH4996" i="3"/>
  <c r="AH4997" i="3"/>
  <c r="AH4998" i="3"/>
  <c r="AH4999" i="3"/>
  <c r="AH5000" i="3"/>
  <c r="AH5001" i="3"/>
  <c r="AH5002" i="3"/>
  <c r="AH5003" i="3"/>
  <c r="AH5004" i="3"/>
  <c r="AH5005" i="3"/>
  <c r="AH5006" i="3"/>
  <c r="AH5007" i="3"/>
  <c r="AH5008" i="3"/>
  <c r="AH5009" i="3"/>
  <c r="AH5010" i="3"/>
  <c r="AH5011" i="3"/>
  <c r="AH5012" i="3"/>
  <c r="AH5013" i="3"/>
  <c r="AH5014" i="3"/>
  <c r="AH5015" i="3"/>
  <c r="AH5016" i="3"/>
  <c r="AH5017" i="3"/>
  <c r="AH5018" i="3"/>
  <c r="AH5019" i="3"/>
  <c r="AH5020" i="3"/>
  <c r="AH5021" i="3"/>
  <c r="AH5022" i="3"/>
  <c r="AH5023" i="3"/>
  <c r="AH5024" i="3"/>
  <c r="AH5025" i="3"/>
  <c r="AH5026" i="3"/>
  <c r="AH5027" i="3"/>
  <c r="AH5028" i="3"/>
  <c r="AH5029" i="3"/>
  <c r="AH5030" i="3"/>
  <c r="AH5031" i="3"/>
  <c r="AH5032" i="3"/>
  <c r="AH5033" i="3"/>
  <c r="AH5034" i="3"/>
  <c r="AH5035" i="3"/>
  <c r="AH5036" i="3"/>
  <c r="AH5037" i="3"/>
  <c r="AH5038" i="3"/>
  <c r="AH5039" i="3"/>
  <c r="AH5040" i="3"/>
  <c r="AH5041" i="3"/>
  <c r="AH5042" i="3"/>
  <c r="AH5043" i="3"/>
  <c r="AH5044" i="3"/>
  <c r="AH5045" i="3"/>
  <c r="AH5046" i="3"/>
  <c r="AH5047" i="3"/>
  <c r="AH5048" i="3"/>
  <c r="AH5049" i="3"/>
  <c r="AH5050" i="3"/>
  <c r="AH5051" i="3"/>
  <c r="AH5052" i="3"/>
  <c r="AH5053" i="3"/>
  <c r="AH5054" i="3"/>
  <c r="AH5055" i="3"/>
  <c r="AH5056" i="3"/>
  <c r="AH5057" i="3"/>
  <c r="AH5058" i="3"/>
  <c r="AH5059" i="3"/>
  <c r="AH5060" i="3"/>
  <c r="AH5061" i="3"/>
  <c r="AH5062" i="3"/>
  <c r="AH5063" i="3"/>
  <c r="AH5064" i="3"/>
  <c r="AH5065" i="3"/>
  <c r="AH5066" i="3"/>
  <c r="AH5067" i="3"/>
  <c r="AH5068" i="3"/>
  <c r="AH5069" i="3"/>
  <c r="AH5070" i="3"/>
  <c r="AH5071" i="3"/>
  <c r="AH5072" i="3"/>
  <c r="AH5073" i="3"/>
  <c r="AH5074" i="3"/>
  <c r="AH5075" i="3"/>
  <c r="AH5076" i="3"/>
  <c r="AH5077" i="3"/>
  <c r="AH5078" i="3"/>
  <c r="AH5079" i="3"/>
  <c r="AH5080" i="3"/>
  <c r="AH5081" i="3"/>
  <c r="AH5082" i="3"/>
  <c r="AH5083" i="3"/>
  <c r="AH5084" i="3"/>
  <c r="AH5085" i="3"/>
  <c r="AH5086" i="3"/>
  <c r="AH5087" i="3"/>
  <c r="AH5088" i="3"/>
  <c r="AH5089" i="3"/>
  <c r="AH5090" i="3"/>
  <c r="AH5091" i="3"/>
  <c r="AH5092" i="3"/>
  <c r="AH5093" i="3"/>
  <c r="AH5094" i="3"/>
  <c r="AH5095" i="3"/>
  <c r="AH5096" i="3"/>
  <c r="AH5097" i="3"/>
  <c r="AH5098" i="3"/>
  <c r="AH5099" i="3"/>
  <c r="AH5100" i="3"/>
  <c r="AH5101" i="3"/>
  <c r="AH5102" i="3"/>
  <c r="AH5103" i="3"/>
  <c r="AH5104" i="3"/>
  <c r="AH5105" i="3"/>
  <c r="AH5106" i="3"/>
  <c r="AH5107" i="3"/>
  <c r="AH5108" i="3"/>
  <c r="AH5109" i="3"/>
  <c r="AH5110" i="3"/>
  <c r="AH5111" i="3"/>
  <c r="AH5112" i="3"/>
  <c r="AH5113" i="3"/>
  <c r="AH5114" i="3"/>
  <c r="AH5115" i="3"/>
  <c r="AH5116" i="3"/>
  <c r="AH5117" i="3"/>
  <c r="AH5118" i="3"/>
  <c r="AH5119" i="3"/>
  <c r="AH5120" i="3"/>
  <c r="AH5121" i="3"/>
  <c r="AH5122" i="3"/>
  <c r="AH5123" i="3"/>
  <c r="AH5124" i="3"/>
  <c r="AH5125" i="3"/>
  <c r="AH5126" i="3"/>
  <c r="AH5127" i="3"/>
  <c r="AH5128" i="3"/>
  <c r="AH5129" i="3"/>
  <c r="AH5130" i="3"/>
  <c r="AH5131" i="3"/>
  <c r="AH5132" i="3"/>
  <c r="AH5133" i="3"/>
  <c r="AH5134" i="3"/>
  <c r="AH5135" i="3"/>
  <c r="AH5136" i="3"/>
  <c r="AH5137" i="3"/>
  <c r="AH5138" i="3"/>
  <c r="AH5139" i="3"/>
  <c r="AH5140" i="3"/>
  <c r="AH5141" i="3"/>
  <c r="AH5142" i="3"/>
  <c r="AH5143" i="3"/>
  <c r="AH5144" i="3"/>
  <c r="AH5145" i="3"/>
  <c r="AH5146" i="3"/>
  <c r="AH5147" i="3"/>
  <c r="AH5148" i="3"/>
  <c r="AH5149" i="3"/>
  <c r="AH5150" i="3"/>
  <c r="AH5151" i="3"/>
  <c r="AH5152" i="3"/>
  <c r="AH5153" i="3"/>
  <c r="AH5154" i="3"/>
  <c r="AH5155" i="3"/>
  <c r="AH5156" i="3"/>
  <c r="AH5157" i="3"/>
  <c r="AH5158" i="3"/>
  <c r="AH5159" i="3"/>
  <c r="AH5160" i="3"/>
  <c r="AH5161" i="3"/>
  <c r="AH5162" i="3"/>
  <c r="AH5163" i="3"/>
  <c r="AH5164" i="3"/>
  <c r="AH5165" i="3"/>
  <c r="AH5166" i="3"/>
  <c r="AH5167" i="3"/>
  <c r="AH5168" i="3"/>
  <c r="AH5169" i="3"/>
  <c r="AH5170" i="3"/>
  <c r="AH5171" i="3"/>
  <c r="AH5172" i="3"/>
  <c r="AH5173" i="3"/>
  <c r="AH5174" i="3"/>
  <c r="AH5175" i="3"/>
  <c r="AH5176" i="3"/>
  <c r="AH5177" i="3"/>
  <c r="AH5178" i="3"/>
  <c r="AH5179" i="3"/>
  <c r="AH5180" i="3"/>
  <c r="AH5181" i="3"/>
  <c r="AH5182" i="3"/>
  <c r="AH5183" i="3"/>
  <c r="AH5184" i="3"/>
  <c r="AH5185" i="3"/>
  <c r="AH5186" i="3"/>
  <c r="AH5187" i="3"/>
  <c r="AH5188" i="3"/>
  <c r="AH5189" i="3"/>
  <c r="AH5190" i="3"/>
  <c r="AH5191" i="3"/>
  <c r="AH5192" i="3"/>
  <c r="AH5193" i="3"/>
  <c r="AH5194" i="3"/>
  <c r="AH5195" i="3"/>
  <c r="AH5196" i="3"/>
  <c r="AH5197" i="3"/>
  <c r="AH5198" i="3"/>
  <c r="AH5199" i="3"/>
  <c r="AH5200" i="3"/>
  <c r="AH5201" i="3"/>
  <c r="AH5202" i="3"/>
  <c r="AH5203" i="3"/>
  <c r="AH5204" i="3"/>
  <c r="AH5205" i="3"/>
  <c r="AH5206" i="3"/>
  <c r="AH5207" i="3"/>
  <c r="AH5208" i="3"/>
  <c r="AH5209" i="3"/>
  <c r="AH5210" i="3"/>
  <c r="AH5211" i="3"/>
  <c r="AH5212" i="3"/>
  <c r="AH5213" i="3"/>
  <c r="AH5214" i="3"/>
  <c r="AH5215" i="3"/>
  <c r="AH5216" i="3"/>
  <c r="AH5217" i="3"/>
  <c r="AH5218" i="3"/>
  <c r="AH5219" i="3"/>
  <c r="AH5220" i="3"/>
  <c r="AH5221" i="3"/>
  <c r="AH5222" i="3"/>
  <c r="AH5223" i="3"/>
  <c r="AH5224" i="3"/>
  <c r="AH5225" i="3"/>
  <c r="AH5226" i="3"/>
  <c r="AH5227" i="3"/>
  <c r="AH5228" i="3"/>
  <c r="AH5229" i="3"/>
  <c r="AH5230" i="3"/>
  <c r="AH5231" i="3"/>
  <c r="AH5232" i="3"/>
  <c r="AH5233" i="3"/>
  <c r="AH5234" i="3"/>
  <c r="AH5235" i="3"/>
  <c r="AH5236" i="3"/>
  <c r="AH5237" i="3"/>
  <c r="AH5238" i="3"/>
  <c r="AH5239" i="3"/>
  <c r="AH5240" i="3"/>
  <c r="AH5241" i="3"/>
  <c r="AH5242" i="3"/>
  <c r="AH5243" i="3"/>
  <c r="AH5244" i="3"/>
  <c r="AH5245" i="3"/>
  <c r="AH5246" i="3"/>
  <c r="AH5247" i="3"/>
  <c r="AH5248" i="3"/>
  <c r="AH5249" i="3"/>
  <c r="AH5250" i="3"/>
  <c r="AH5251" i="3"/>
  <c r="AH5252" i="3"/>
  <c r="AH5253" i="3"/>
  <c r="AH5254" i="3"/>
  <c r="AH5255" i="3"/>
  <c r="AH5256" i="3"/>
  <c r="AH5257" i="3"/>
  <c r="AH5258" i="3"/>
  <c r="AH5259" i="3"/>
  <c r="AH5260" i="3"/>
  <c r="AH5261" i="3"/>
  <c r="AH5262" i="3"/>
  <c r="AH5263" i="3"/>
  <c r="AH5264" i="3"/>
  <c r="AH5265" i="3"/>
  <c r="AH5266" i="3"/>
  <c r="AH5267" i="3"/>
  <c r="AH5268" i="3"/>
  <c r="AH5269" i="3"/>
  <c r="AH5270" i="3"/>
  <c r="AH5271" i="3"/>
  <c r="AH5272" i="3"/>
  <c r="AH5273" i="3"/>
  <c r="AH5274" i="3"/>
  <c r="AH5275" i="3"/>
  <c r="AH5276" i="3"/>
  <c r="AH5277" i="3"/>
  <c r="AH5278" i="3"/>
  <c r="AH5279" i="3"/>
  <c r="AH5280" i="3"/>
  <c r="AH5281" i="3"/>
  <c r="AH5282" i="3"/>
  <c r="AH5283" i="3"/>
  <c r="AH5284" i="3"/>
  <c r="AH5285" i="3"/>
  <c r="AH5286" i="3"/>
  <c r="AH5287" i="3"/>
  <c r="AH5288" i="3"/>
  <c r="AH5289" i="3"/>
  <c r="AH5290" i="3"/>
  <c r="AH5291" i="3"/>
  <c r="AH5292" i="3"/>
  <c r="AH5293" i="3"/>
  <c r="AH5294" i="3"/>
  <c r="AH5295" i="3"/>
  <c r="AH5296" i="3"/>
  <c r="AH5297" i="3"/>
  <c r="AH5298" i="3"/>
  <c r="AH5299" i="3"/>
  <c r="AH5300" i="3"/>
  <c r="AH5301" i="3"/>
  <c r="AH5302" i="3"/>
  <c r="AH5303" i="3"/>
  <c r="AH5304" i="3"/>
  <c r="AH5305" i="3"/>
  <c r="AH5306" i="3"/>
  <c r="AH5307" i="3"/>
  <c r="AH5308" i="3"/>
  <c r="AH5309" i="3"/>
  <c r="AH5310" i="3"/>
  <c r="AH5311" i="3"/>
  <c r="AH5312" i="3"/>
  <c r="AH5313" i="3"/>
  <c r="AH5314" i="3"/>
  <c r="AH5315" i="3"/>
  <c r="AH5316" i="3"/>
  <c r="AH5317" i="3"/>
  <c r="AH5318" i="3"/>
  <c r="AH5319" i="3"/>
  <c r="AH5320" i="3"/>
  <c r="AH5321" i="3"/>
  <c r="AH5322" i="3"/>
  <c r="AH5323" i="3"/>
  <c r="AH5324" i="3"/>
  <c r="AH5325" i="3"/>
  <c r="AH5326" i="3"/>
  <c r="AH5327" i="3"/>
  <c r="AH5328" i="3"/>
  <c r="AH5329" i="3"/>
  <c r="AH5330" i="3"/>
  <c r="AH5331" i="3"/>
  <c r="AH5332" i="3"/>
  <c r="AH5333" i="3"/>
  <c r="AH5334" i="3"/>
  <c r="AH5335" i="3"/>
  <c r="AH5336" i="3"/>
  <c r="AH5337" i="3"/>
  <c r="AH5338" i="3"/>
  <c r="AH5339" i="3"/>
  <c r="AH5340" i="3"/>
  <c r="AH5341" i="3"/>
  <c r="AH5342" i="3"/>
  <c r="AH5343" i="3"/>
  <c r="AH5344" i="3"/>
  <c r="AH5345" i="3"/>
  <c r="AH5346" i="3"/>
  <c r="AH5347" i="3"/>
  <c r="AH5348" i="3"/>
  <c r="AH5349" i="3"/>
  <c r="AH5350" i="3"/>
  <c r="AH5351" i="3"/>
  <c r="AH5352" i="3"/>
  <c r="AH5353" i="3"/>
  <c r="AH5354" i="3"/>
  <c r="AH5355" i="3"/>
  <c r="AH5356" i="3"/>
  <c r="AH5357" i="3"/>
  <c r="AH5358" i="3"/>
  <c r="AH5359" i="3"/>
  <c r="AH5360" i="3"/>
  <c r="AH5361" i="3"/>
  <c r="AH5362" i="3"/>
  <c r="AH5363" i="3"/>
  <c r="AH5364" i="3"/>
  <c r="AH5365" i="3"/>
  <c r="AH5366" i="3"/>
  <c r="AH5367" i="3"/>
  <c r="AH5368" i="3"/>
  <c r="AH5369" i="3"/>
  <c r="AH5370" i="3"/>
  <c r="AH5371" i="3"/>
  <c r="AH5372" i="3"/>
  <c r="AH5373" i="3"/>
  <c r="AH5374" i="3"/>
  <c r="AH5375" i="3"/>
  <c r="AH5376" i="3"/>
  <c r="AH5377" i="3"/>
  <c r="AH5378" i="3"/>
  <c r="AH5379" i="3"/>
  <c r="AH5380" i="3"/>
  <c r="AH5381" i="3"/>
  <c r="AH5382" i="3"/>
  <c r="AH5383" i="3"/>
  <c r="AH5384" i="3"/>
  <c r="AH5385" i="3"/>
  <c r="AH5386" i="3"/>
  <c r="AH5387" i="3"/>
  <c r="AH5388" i="3"/>
  <c r="AH5389" i="3"/>
  <c r="AH5390" i="3"/>
  <c r="AH5391" i="3"/>
  <c r="AH5392" i="3"/>
  <c r="AH5393" i="3"/>
  <c r="AH5394" i="3"/>
  <c r="AH5395" i="3"/>
  <c r="AH5396" i="3"/>
  <c r="AH5397" i="3"/>
  <c r="AH5398" i="3"/>
  <c r="AH5399" i="3"/>
  <c r="AH5400" i="3"/>
  <c r="AH5401" i="3"/>
  <c r="AH5402" i="3"/>
  <c r="AH5403" i="3"/>
  <c r="AH5404" i="3"/>
  <c r="AH5405" i="3"/>
  <c r="AH5406" i="3"/>
  <c r="AH5407" i="3"/>
  <c r="AH5408" i="3"/>
  <c r="AH5409" i="3"/>
  <c r="AH5410" i="3"/>
  <c r="AH5411" i="3"/>
  <c r="AH5412" i="3"/>
  <c r="AH5413" i="3"/>
  <c r="AH5414" i="3"/>
  <c r="AH5415" i="3"/>
  <c r="AH5416" i="3"/>
  <c r="AH5417" i="3"/>
  <c r="AH5418" i="3"/>
  <c r="AH5419" i="3"/>
  <c r="AH5420" i="3"/>
  <c r="AH5421" i="3"/>
  <c r="AH5422" i="3"/>
  <c r="AH5423" i="3"/>
  <c r="AH5424" i="3"/>
  <c r="AH5425" i="3"/>
  <c r="AH5426" i="3"/>
  <c r="AH5427" i="3"/>
  <c r="AH5428" i="3"/>
  <c r="AH5429" i="3"/>
  <c r="AH5430" i="3"/>
  <c r="AH5431" i="3"/>
  <c r="AH5432" i="3"/>
  <c r="AH5433" i="3"/>
  <c r="AH5434" i="3"/>
  <c r="AH5435" i="3"/>
  <c r="AH5436" i="3"/>
  <c r="AH5437" i="3"/>
  <c r="AH5438" i="3"/>
  <c r="AH5439" i="3"/>
  <c r="AH5440" i="3"/>
  <c r="AH5441" i="3"/>
  <c r="AH5442" i="3"/>
  <c r="AH5443" i="3"/>
  <c r="AH5444" i="3"/>
  <c r="AH5445" i="3"/>
  <c r="AH5446" i="3"/>
  <c r="AH5447" i="3"/>
  <c r="AH5448" i="3"/>
  <c r="AH5449" i="3"/>
  <c r="AH5450" i="3"/>
  <c r="AH5451" i="3"/>
  <c r="AH5452" i="3"/>
  <c r="AH5453" i="3"/>
  <c r="AH5454" i="3"/>
  <c r="AH5455" i="3"/>
  <c r="AH5456" i="3"/>
  <c r="AH5457" i="3"/>
  <c r="AH5458" i="3"/>
  <c r="AH5459" i="3"/>
  <c r="AH5460" i="3"/>
  <c r="AH5461" i="3"/>
  <c r="AH5462" i="3"/>
  <c r="AH5463" i="3"/>
  <c r="AH5464" i="3"/>
  <c r="AH5465" i="3"/>
  <c r="AH5466" i="3"/>
  <c r="AH5467" i="3"/>
  <c r="AH5468" i="3"/>
  <c r="AH5469" i="3"/>
  <c r="AH5470" i="3"/>
  <c r="AH5471" i="3"/>
  <c r="AH5472" i="3"/>
  <c r="AH5473" i="3"/>
  <c r="AH5474" i="3"/>
  <c r="AH5475" i="3"/>
  <c r="AH5476" i="3"/>
  <c r="AH5477" i="3"/>
  <c r="AH5478" i="3"/>
  <c r="AH5479" i="3"/>
  <c r="AH5480" i="3"/>
  <c r="AH5481" i="3"/>
  <c r="AH5482" i="3"/>
  <c r="AH5483" i="3"/>
  <c r="AH5484" i="3"/>
  <c r="AH5485" i="3"/>
  <c r="AH5486" i="3"/>
  <c r="AH5487" i="3"/>
  <c r="AH5488" i="3"/>
  <c r="AH5489" i="3"/>
  <c r="AH5490" i="3"/>
  <c r="AH5491" i="3"/>
  <c r="AH5492" i="3"/>
  <c r="AH5493" i="3"/>
  <c r="AH5494" i="3"/>
  <c r="AH5495" i="3"/>
  <c r="AH5496" i="3"/>
  <c r="AH5497" i="3"/>
  <c r="AH5498" i="3"/>
  <c r="AH5499" i="3"/>
  <c r="AH5500" i="3"/>
  <c r="AH5501" i="3"/>
  <c r="AH5502" i="3"/>
  <c r="AH5503" i="3"/>
  <c r="AH5504" i="3"/>
  <c r="AH5505" i="3"/>
  <c r="AH5506" i="3"/>
  <c r="AH5507" i="3"/>
  <c r="AH5508" i="3"/>
  <c r="AH5509" i="3"/>
  <c r="AH5510" i="3"/>
  <c r="AH5511" i="3"/>
  <c r="AH5512" i="3"/>
  <c r="AH5513" i="3"/>
  <c r="AH5514" i="3"/>
  <c r="AH5515" i="3"/>
  <c r="AH5516" i="3"/>
  <c r="AH5517" i="3"/>
  <c r="AH5518" i="3"/>
  <c r="AH5519" i="3"/>
  <c r="AH5520" i="3"/>
  <c r="AH5521" i="3"/>
  <c r="AH5522" i="3"/>
  <c r="AH5523" i="3"/>
  <c r="AH5524" i="3"/>
  <c r="AH5525" i="3"/>
  <c r="AH5526" i="3"/>
  <c r="AH5527" i="3"/>
  <c r="AH5528" i="3"/>
  <c r="AH5529" i="3"/>
  <c r="AH5530" i="3"/>
  <c r="AH5531" i="3"/>
  <c r="AH5532" i="3"/>
  <c r="AH5533" i="3"/>
  <c r="AH5534" i="3"/>
  <c r="AH5535" i="3"/>
  <c r="AH5536" i="3"/>
  <c r="AH5537" i="3"/>
  <c r="AH5538" i="3"/>
  <c r="AH5539" i="3"/>
  <c r="AH5540" i="3"/>
  <c r="AH5541" i="3"/>
  <c r="AH5542" i="3"/>
  <c r="AH5543" i="3"/>
  <c r="AH5544" i="3"/>
  <c r="AH5545" i="3"/>
  <c r="AH5546" i="3"/>
  <c r="AH5547" i="3"/>
  <c r="AH5548" i="3"/>
  <c r="AH5549" i="3"/>
  <c r="AH5550" i="3"/>
  <c r="AH5551" i="3"/>
  <c r="AH5552" i="3"/>
  <c r="AH5553" i="3"/>
  <c r="AH5554" i="3"/>
  <c r="AH5555" i="3"/>
  <c r="AH5556" i="3"/>
  <c r="AH5557" i="3"/>
  <c r="AH5558" i="3"/>
  <c r="AH5559" i="3"/>
  <c r="AH5560" i="3"/>
  <c r="AH5561" i="3"/>
  <c r="AH5562" i="3"/>
  <c r="AH5563" i="3"/>
  <c r="AH5564" i="3"/>
  <c r="AH5565" i="3"/>
  <c r="AH5566" i="3"/>
  <c r="AH5567" i="3"/>
  <c r="AH5568" i="3"/>
  <c r="AH5569" i="3"/>
  <c r="AH5570" i="3"/>
  <c r="AH5571" i="3"/>
  <c r="AH5572" i="3"/>
  <c r="AH5573" i="3"/>
  <c r="AH5574" i="3"/>
  <c r="AH5575" i="3"/>
  <c r="AH5576" i="3"/>
  <c r="AH5577" i="3"/>
  <c r="AH5578" i="3"/>
  <c r="AH5579" i="3"/>
  <c r="AH5580" i="3"/>
  <c r="AH5581" i="3"/>
  <c r="AH5582" i="3"/>
  <c r="AH5583" i="3"/>
  <c r="AH5584" i="3"/>
  <c r="AH5585" i="3"/>
  <c r="AH5586" i="3"/>
  <c r="AH5587" i="3"/>
  <c r="AH5588" i="3"/>
  <c r="AH5589" i="3"/>
  <c r="AH5590" i="3"/>
  <c r="AH5591" i="3"/>
  <c r="AH5592" i="3"/>
  <c r="AH5593" i="3"/>
  <c r="AH5594" i="3"/>
  <c r="AH5595" i="3"/>
  <c r="AH5596" i="3"/>
  <c r="AH5597" i="3"/>
  <c r="AH5598" i="3"/>
  <c r="AH5599" i="3"/>
  <c r="AH5600" i="3"/>
  <c r="AH5601" i="3"/>
  <c r="AH5602" i="3"/>
  <c r="AH5603" i="3"/>
  <c r="AH5604" i="3"/>
  <c r="AH5605" i="3"/>
  <c r="AH5606" i="3"/>
  <c r="AH5607" i="3"/>
  <c r="AH5608" i="3"/>
  <c r="AH5609" i="3"/>
  <c r="AH5610" i="3"/>
  <c r="AH5611" i="3"/>
  <c r="AH5612" i="3"/>
  <c r="AH5613" i="3"/>
  <c r="AH5614" i="3"/>
  <c r="AH5615" i="3"/>
  <c r="AH5616" i="3"/>
  <c r="AH5617" i="3"/>
  <c r="AH5618" i="3"/>
  <c r="AH5619" i="3"/>
  <c r="AH5620" i="3"/>
  <c r="AH5621" i="3"/>
  <c r="AH5622" i="3"/>
  <c r="AH5623" i="3"/>
  <c r="AH5624" i="3"/>
  <c r="AH5625" i="3"/>
  <c r="AH5626" i="3"/>
  <c r="AH5627" i="3"/>
  <c r="AH5628" i="3"/>
  <c r="AH5629" i="3"/>
  <c r="AH5630" i="3"/>
  <c r="AH5631" i="3"/>
  <c r="AH5632" i="3"/>
  <c r="AH5633" i="3"/>
  <c r="AH5634" i="3"/>
  <c r="AH5635" i="3"/>
  <c r="AH5636" i="3"/>
  <c r="AH5637" i="3"/>
  <c r="AH5638" i="3"/>
  <c r="AH5639" i="3"/>
  <c r="AH5640" i="3"/>
  <c r="AH5641" i="3"/>
  <c r="AH5642" i="3"/>
  <c r="AH5643" i="3"/>
  <c r="AH5644" i="3"/>
  <c r="AH5645" i="3"/>
  <c r="AH5646" i="3"/>
  <c r="AH5647" i="3"/>
  <c r="AH5648" i="3"/>
  <c r="AH5649" i="3"/>
  <c r="AH5650" i="3"/>
  <c r="AH5651" i="3"/>
  <c r="AH5652" i="3"/>
  <c r="AH5653" i="3"/>
  <c r="AH5654" i="3"/>
  <c r="AH5655" i="3"/>
  <c r="AH5656" i="3"/>
  <c r="AH5657" i="3"/>
  <c r="AH5658" i="3"/>
  <c r="AH5659" i="3"/>
  <c r="AH5660" i="3"/>
  <c r="AH5661" i="3"/>
  <c r="AH5662" i="3"/>
  <c r="AH5663" i="3"/>
  <c r="AH5664" i="3"/>
  <c r="AH5665" i="3"/>
  <c r="AH5666" i="3"/>
  <c r="AH5667" i="3"/>
  <c r="AH5668" i="3"/>
  <c r="AH5669" i="3"/>
  <c r="AH5670" i="3"/>
  <c r="AH5671" i="3"/>
  <c r="AH5672" i="3"/>
  <c r="AH5673" i="3"/>
  <c r="AH5674" i="3"/>
  <c r="AH5675" i="3"/>
  <c r="AH5676" i="3"/>
  <c r="AH5677" i="3"/>
  <c r="AH5678" i="3"/>
  <c r="AH5679" i="3"/>
  <c r="AH5680" i="3"/>
  <c r="AH5681" i="3"/>
  <c r="AH5682" i="3"/>
  <c r="AH5683" i="3"/>
  <c r="AH5684" i="3"/>
  <c r="AH5685" i="3"/>
  <c r="AH5686" i="3"/>
  <c r="AH5687" i="3"/>
  <c r="AH5688" i="3"/>
  <c r="AH5689" i="3"/>
  <c r="AH5690" i="3"/>
  <c r="AH5691" i="3"/>
  <c r="AH5692" i="3"/>
  <c r="AH5693" i="3"/>
  <c r="AH5694" i="3"/>
  <c r="AH5695" i="3"/>
  <c r="AH5696" i="3"/>
  <c r="AH5697" i="3"/>
  <c r="AH5698" i="3"/>
  <c r="AH5699" i="3"/>
  <c r="AH5700" i="3"/>
  <c r="AH5701" i="3"/>
  <c r="AH5702" i="3"/>
  <c r="AH5703" i="3"/>
  <c r="AH5704" i="3"/>
  <c r="AH5705" i="3"/>
  <c r="AH5706" i="3"/>
  <c r="AH5707" i="3"/>
  <c r="AH5708" i="3"/>
  <c r="AH5709" i="3"/>
  <c r="AH5710" i="3"/>
  <c r="AH5711" i="3"/>
  <c r="AH5712" i="3"/>
  <c r="AH5713" i="3"/>
  <c r="AH5714" i="3"/>
  <c r="AH5715" i="3"/>
  <c r="AH5716" i="3"/>
  <c r="AH5717" i="3"/>
  <c r="AH5718" i="3"/>
  <c r="AH5719" i="3"/>
  <c r="AH5720" i="3"/>
  <c r="AH5721" i="3"/>
  <c r="AH5722" i="3"/>
  <c r="AH5723" i="3"/>
  <c r="AH5724" i="3"/>
  <c r="AH5725" i="3"/>
  <c r="AH5726" i="3"/>
  <c r="AH5727" i="3"/>
  <c r="AH5728" i="3"/>
  <c r="AH5729" i="3"/>
  <c r="AH5730" i="3"/>
  <c r="AH5731" i="3"/>
  <c r="AH5732" i="3"/>
  <c r="AH5733" i="3"/>
  <c r="AH5734" i="3"/>
  <c r="AH5735" i="3"/>
  <c r="AH5736" i="3"/>
  <c r="AH5737" i="3"/>
  <c r="AH5738" i="3"/>
  <c r="AH5739" i="3"/>
  <c r="AH5740" i="3"/>
  <c r="AH5741" i="3"/>
  <c r="AH5742" i="3"/>
  <c r="AH5743" i="3"/>
  <c r="AH5744" i="3"/>
  <c r="AH5745" i="3"/>
  <c r="AH5746" i="3"/>
  <c r="AH5747" i="3"/>
  <c r="AH5748" i="3"/>
  <c r="AH5749" i="3"/>
  <c r="AH5750" i="3"/>
  <c r="AH5751" i="3"/>
  <c r="AH5752" i="3"/>
  <c r="AH5753" i="3"/>
  <c r="AH5754" i="3"/>
  <c r="AH5755" i="3"/>
  <c r="AH5756" i="3"/>
  <c r="AH5757" i="3"/>
  <c r="AH5758" i="3"/>
  <c r="AH5759" i="3"/>
  <c r="AH5760" i="3"/>
  <c r="AH5761" i="3"/>
  <c r="AH5762" i="3"/>
  <c r="AH5763" i="3"/>
  <c r="AH5764" i="3"/>
  <c r="AH5765" i="3"/>
  <c r="AH5766" i="3"/>
  <c r="AH5767" i="3"/>
  <c r="AH5768" i="3"/>
  <c r="AH5769" i="3"/>
  <c r="AH5770" i="3"/>
  <c r="AH5771" i="3"/>
  <c r="AH5772" i="3"/>
  <c r="AH5773" i="3"/>
  <c r="AH5774" i="3"/>
  <c r="AH5775" i="3"/>
  <c r="AH5776" i="3"/>
  <c r="AH5777" i="3"/>
  <c r="AH5778" i="3"/>
  <c r="AH5779" i="3"/>
  <c r="AH5780" i="3"/>
  <c r="AH5781" i="3"/>
  <c r="AH5782" i="3"/>
  <c r="AH5783" i="3"/>
  <c r="AH5784" i="3"/>
  <c r="AH5785" i="3"/>
  <c r="AH5786" i="3"/>
  <c r="AH5787" i="3"/>
  <c r="AH5788" i="3"/>
  <c r="AH5789" i="3"/>
  <c r="AH5790" i="3"/>
  <c r="AH5791" i="3"/>
  <c r="AH5792" i="3"/>
  <c r="AH5793" i="3"/>
  <c r="AH5794" i="3"/>
  <c r="AH5795" i="3"/>
  <c r="AH5796" i="3"/>
  <c r="AH5797" i="3"/>
  <c r="AH5798" i="3"/>
  <c r="AH5799" i="3"/>
  <c r="AH5800" i="3"/>
  <c r="AH5801" i="3"/>
  <c r="AH5802" i="3"/>
  <c r="AH5803" i="3"/>
  <c r="AH5804" i="3"/>
  <c r="AH5805" i="3"/>
  <c r="AH5806" i="3"/>
  <c r="AH5807" i="3"/>
  <c r="AH5808" i="3"/>
  <c r="AH5809" i="3"/>
  <c r="AH5810" i="3"/>
  <c r="AH5811" i="3"/>
  <c r="AH5812" i="3"/>
  <c r="AH5813" i="3"/>
  <c r="AH5814" i="3"/>
  <c r="AH5815" i="3"/>
  <c r="AH5816" i="3"/>
  <c r="AH5817" i="3"/>
  <c r="AH5818" i="3"/>
  <c r="AH5819" i="3"/>
  <c r="AH5820" i="3"/>
  <c r="AH5821" i="3"/>
  <c r="AH5822" i="3"/>
  <c r="AH5823" i="3"/>
  <c r="AH5824" i="3"/>
  <c r="AH5825" i="3"/>
  <c r="AH5826" i="3"/>
  <c r="AH5827" i="3"/>
  <c r="AH5828" i="3"/>
  <c r="AH5829" i="3"/>
  <c r="AH5830" i="3"/>
  <c r="AH5831" i="3"/>
  <c r="AH5832" i="3"/>
  <c r="AH5833" i="3"/>
  <c r="J2" i="3"/>
  <c r="G16" i="17"/>
  <c r="N21" i="4"/>
  <c r="N20" i="4"/>
  <c r="C31" i="18"/>
  <c r="C30" i="18"/>
  <c r="C29" i="18"/>
  <c r="C28" i="18"/>
  <c r="C27" i="18"/>
  <c r="C26" i="18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E8" i="19"/>
  <c r="E7" i="19"/>
  <c r="C41" i="16"/>
  <c r="C40" i="16"/>
  <c r="C21" i="18"/>
  <c r="C22" i="18"/>
  <c r="C23" i="18"/>
  <c r="C24" i="18"/>
  <c r="C25" i="18"/>
  <c r="C20" i="18"/>
  <c r="R52" i="3"/>
  <c r="R53" i="3"/>
  <c r="R54" i="3"/>
  <c r="R55" i="3"/>
  <c r="R56" i="3"/>
  <c r="R57" i="3"/>
  <c r="R58" i="3"/>
  <c r="R59" i="3"/>
  <c r="R60" i="3"/>
  <c r="R61" i="3"/>
  <c r="R62" i="3"/>
  <c r="R63" i="3"/>
  <c r="R64" i="3"/>
  <c r="R65" i="3"/>
  <c r="R66" i="3"/>
  <c r="R67" i="3"/>
  <c r="R68" i="3"/>
  <c r="R69" i="3"/>
  <c r="R70" i="3"/>
  <c r="R71" i="3"/>
  <c r="R72" i="3"/>
  <c r="R73" i="3"/>
  <c r="R74" i="3"/>
  <c r="E6" i="19"/>
  <c r="M3" i="12"/>
  <c r="W3" i="12" s="1"/>
  <c r="E5" i="19"/>
  <c r="H3" i="12"/>
  <c r="R3" i="12" s="1"/>
  <c r="E4" i="19"/>
  <c r="C3" i="12"/>
  <c r="C5" i="16"/>
  <c r="H16" i="17"/>
  <c r="C24" i="2" s="1"/>
  <c r="N33" i="2" s="1"/>
  <c r="P28" i="2" l="1"/>
  <c r="H29" i="2"/>
  <c r="N28" i="2"/>
  <c r="H31" i="2"/>
  <c r="N29" i="2"/>
  <c r="P31" i="2"/>
  <c r="J30" i="2"/>
  <c r="P29" i="2"/>
  <c r="J32" i="2"/>
  <c r="J33" i="2"/>
  <c r="H32" i="2"/>
  <c r="L28" i="2"/>
  <c r="N30" i="2"/>
  <c r="P32" i="2"/>
  <c r="H28" i="2"/>
  <c r="L33" i="2"/>
  <c r="H30" i="2"/>
  <c r="H33" i="2"/>
  <c r="L29" i="2"/>
  <c r="N31" i="2"/>
  <c r="P33" i="2"/>
  <c r="J28" i="2"/>
  <c r="L30" i="2"/>
  <c r="N32" i="2"/>
  <c r="L32" i="2"/>
  <c r="J31" i="2"/>
  <c r="P30" i="2"/>
  <c r="J29" i="2"/>
  <c r="L31" i="2"/>
  <c r="J79" i="2"/>
  <c r="J83" i="2"/>
  <c r="F33" i="2"/>
  <c r="F32" i="2"/>
  <c r="F30" i="2"/>
  <c r="F28" i="2"/>
  <c r="F29" i="2"/>
  <c r="F31" i="2"/>
  <c r="C15" i="18"/>
  <c r="C16" i="18"/>
  <c r="C17" i="18"/>
  <c r="C18" i="18"/>
  <c r="C19" i="18"/>
  <c r="C14" i="18"/>
  <c r="C8" i="18"/>
  <c r="C9" i="18"/>
  <c r="C10" i="18"/>
  <c r="C11" i="18"/>
  <c r="C12" i="18"/>
  <c r="C13" i="18"/>
  <c r="C2" i="18"/>
  <c r="C3" i="18"/>
  <c r="C4" i="18"/>
  <c r="C5" i="18"/>
  <c r="C6" i="18"/>
  <c r="C7" i="18"/>
  <c r="C4" i="17"/>
  <c r="C5" i="17"/>
  <c r="C6" i="17"/>
  <c r="C7" i="17"/>
  <c r="C3" i="17"/>
  <c r="D3" i="17" s="1"/>
  <c r="J75" i="2"/>
  <c r="J74" i="2"/>
  <c r="J63" i="2"/>
  <c r="J53" i="2"/>
  <c r="I33" i="2" l="1"/>
  <c r="I32" i="2"/>
  <c r="G33" i="2"/>
  <c r="P69" i="3"/>
  <c r="O19" i="3"/>
  <c r="O26" i="3"/>
  <c r="P19" i="3"/>
  <c r="P26" i="3"/>
  <c r="O62" i="3"/>
  <c r="O69" i="3"/>
  <c r="P62" i="3"/>
  <c r="B8" i="17"/>
  <c r="C8" i="17" s="1"/>
  <c r="D4" i="17"/>
  <c r="D5" i="17"/>
  <c r="D6" i="17"/>
  <c r="D7" i="17"/>
  <c r="K59" i="3"/>
  <c r="C54" i="17"/>
  <c r="C51" i="17"/>
  <c r="C52" i="17" s="1"/>
  <c r="D37" i="17"/>
  <c r="C36" i="17"/>
  <c r="C37" i="17" s="1"/>
  <c r="M29" i="2" l="1"/>
  <c r="Q29" i="2"/>
  <c r="K29" i="2"/>
  <c r="G29" i="2"/>
  <c r="I29" i="2"/>
  <c r="G32" i="2"/>
  <c r="M33" i="2"/>
  <c r="M32" i="2"/>
  <c r="Q32" i="2"/>
  <c r="Q33" i="2"/>
  <c r="O29" i="2"/>
  <c r="O32" i="2"/>
  <c r="O33" i="2"/>
  <c r="K33" i="2"/>
  <c r="K32" i="2"/>
  <c r="D81" i="17"/>
  <c r="E81" i="17" s="1"/>
  <c r="D67" i="17"/>
  <c r="E67" i="17" s="1"/>
  <c r="F16" i="17"/>
  <c r="C14" i="2" s="1"/>
  <c r="D74" i="17"/>
  <c r="E74" i="17" s="1"/>
  <c r="D80" i="17"/>
  <c r="E80" i="17" s="1"/>
  <c r="D62" i="17"/>
  <c r="E62" i="17" s="1"/>
  <c r="D66" i="17"/>
  <c r="E66" i="17" s="1"/>
  <c r="D78" i="17"/>
  <c r="E78" i="17" s="1"/>
  <c r="D65" i="17"/>
  <c r="E65" i="17" s="1"/>
  <c r="D69" i="17"/>
  <c r="E69" i="17" s="1"/>
  <c r="D77" i="17"/>
  <c r="E77" i="17" s="1"/>
  <c r="D64" i="17"/>
  <c r="E64" i="17" s="1"/>
  <c r="D68" i="17"/>
  <c r="E68" i="17" s="1"/>
  <c r="D76" i="17"/>
  <c r="E76" i="17" s="1"/>
  <c r="D79" i="17"/>
  <c r="E79" i="17" s="1"/>
  <c r="D63" i="17"/>
  <c r="E63" i="17" s="1"/>
  <c r="D75" i="17"/>
  <c r="E75" i="17" s="1"/>
  <c r="K3" i="3"/>
  <c r="AH721" i="3"/>
  <c r="AH722" i="3"/>
  <c r="AH723" i="3"/>
  <c r="AH724" i="3"/>
  <c r="AH725" i="3"/>
  <c r="AH726" i="3"/>
  <c r="AH727" i="3"/>
  <c r="AH728" i="3"/>
  <c r="AH729" i="3"/>
  <c r="AH730" i="3"/>
  <c r="AH731" i="3"/>
  <c r="AH732" i="3"/>
  <c r="AH733" i="3"/>
  <c r="AH734" i="3"/>
  <c r="AH735" i="3"/>
  <c r="AH736" i="3"/>
  <c r="AH737" i="3"/>
  <c r="AH738" i="3"/>
  <c r="AH739" i="3"/>
  <c r="AH740" i="3"/>
  <c r="AH741" i="3"/>
  <c r="AH742" i="3"/>
  <c r="AH743" i="3"/>
  <c r="AH744" i="3"/>
  <c r="AH745" i="3"/>
  <c r="AH746" i="3"/>
  <c r="AH747" i="3"/>
  <c r="AH748" i="3"/>
  <c r="AH749" i="3"/>
  <c r="AH750" i="3"/>
  <c r="AH751" i="3"/>
  <c r="AH752" i="3"/>
  <c r="AH753" i="3"/>
  <c r="AH754" i="3"/>
  <c r="AH755" i="3"/>
  <c r="AH756" i="3"/>
  <c r="AH757" i="3"/>
  <c r="AH758" i="3"/>
  <c r="AH759" i="3"/>
  <c r="AH760" i="3"/>
  <c r="AH761" i="3"/>
  <c r="AH762" i="3"/>
  <c r="AH763" i="3"/>
  <c r="AH764" i="3"/>
  <c r="AH765" i="3"/>
  <c r="AH766" i="3"/>
  <c r="AH767" i="3"/>
  <c r="AH768" i="3"/>
  <c r="AH769" i="3"/>
  <c r="AH770" i="3"/>
  <c r="AH771" i="3"/>
  <c r="AH772" i="3"/>
  <c r="AH773" i="3"/>
  <c r="AH774" i="3"/>
  <c r="AH775" i="3"/>
  <c r="AH776" i="3"/>
  <c r="AH777" i="3"/>
  <c r="AH778" i="3"/>
  <c r="AH779" i="3"/>
  <c r="AH780" i="3"/>
  <c r="AH781" i="3"/>
  <c r="AH782" i="3"/>
  <c r="AH783" i="3"/>
  <c r="AH784" i="3"/>
  <c r="AH785" i="3"/>
  <c r="AH786" i="3"/>
  <c r="AH787" i="3"/>
  <c r="AH788" i="3"/>
  <c r="AH789" i="3"/>
  <c r="AH790" i="3"/>
  <c r="AH791" i="3"/>
  <c r="AH792" i="3"/>
  <c r="AH793" i="3"/>
  <c r="AH794" i="3"/>
  <c r="AH795" i="3"/>
  <c r="AH796" i="3"/>
  <c r="AH797" i="3"/>
  <c r="AH798" i="3"/>
  <c r="AH799" i="3"/>
  <c r="AH800" i="3"/>
  <c r="AH801" i="3"/>
  <c r="AH802" i="3"/>
  <c r="AH803" i="3"/>
  <c r="AH804" i="3"/>
  <c r="AH805" i="3"/>
  <c r="AH806" i="3"/>
  <c r="AH807" i="3"/>
  <c r="AH808" i="3"/>
  <c r="AH809" i="3"/>
  <c r="AH810" i="3"/>
  <c r="AH811" i="3"/>
  <c r="AH812" i="3"/>
  <c r="AH813" i="3"/>
  <c r="AH814" i="3"/>
  <c r="AH815" i="3"/>
  <c r="AH816" i="3"/>
  <c r="AH817" i="3"/>
  <c r="AH818" i="3"/>
  <c r="AH819" i="3"/>
  <c r="AH820" i="3"/>
  <c r="AH821" i="3"/>
  <c r="AH822" i="3"/>
  <c r="AH823" i="3"/>
  <c r="AH824" i="3"/>
  <c r="AH825" i="3"/>
  <c r="AH826" i="3"/>
  <c r="AH827" i="3"/>
  <c r="AH828" i="3"/>
  <c r="AH829" i="3"/>
  <c r="AH830" i="3"/>
  <c r="AH831" i="3"/>
  <c r="AH832" i="3"/>
  <c r="AH833" i="3"/>
  <c r="AH834" i="3"/>
  <c r="AH835" i="3"/>
  <c r="AH836" i="3"/>
  <c r="AH837" i="3"/>
  <c r="AH838" i="3"/>
  <c r="AH839" i="3"/>
  <c r="AH840" i="3"/>
  <c r="AH841" i="3"/>
  <c r="AH842" i="3"/>
  <c r="AH843" i="3"/>
  <c r="AH844" i="3"/>
  <c r="AH845" i="3"/>
  <c r="AH846" i="3"/>
  <c r="AH847" i="3"/>
  <c r="AH848" i="3"/>
  <c r="AH849" i="3"/>
  <c r="AH850" i="3"/>
  <c r="AH851" i="3"/>
  <c r="AH852" i="3"/>
  <c r="AH853" i="3"/>
  <c r="AH854" i="3"/>
  <c r="AH855" i="3"/>
  <c r="AH856" i="3"/>
  <c r="AH857" i="3"/>
  <c r="AH858" i="3"/>
  <c r="AH859" i="3"/>
  <c r="AH860" i="3"/>
  <c r="AH861" i="3"/>
  <c r="AH862" i="3"/>
  <c r="AH863" i="3"/>
  <c r="AH864" i="3"/>
  <c r="AH865" i="3"/>
  <c r="AH866" i="3"/>
  <c r="AH867" i="3"/>
  <c r="AH868" i="3"/>
  <c r="AH869" i="3"/>
  <c r="AH870" i="3"/>
  <c r="AH871" i="3"/>
  <c r="AH872" i="3"/>
  <c r="AH873" i="3"/>
  <c r="AH874" i="3"/>
  <c r="AH875" i="3"/>
  <c r="AH876" i="3"/>
  <c r="AH877" i="3"/>
  <c r="AH878" i="3"/>
  <c r="AH879" i="3"/>
  <c r="AH880" i="3"/>
  <c r="AH881" i="3"/>
  <c r="AH882" i="3"/>
  <c r="AH883" i="3"/>
  <c r="AH884" i="3"/>
  <c r="AH885" i="3"/>
  <c r="AH886" i="3"/>
  <c r="AH887" i="3"/>
  <c r="AH888" i="3"/>
  <c r="AH889" i="3"/>
  <c r="AH890" i="3"/>
  <c r="AH891" i="3"/>
  <c r="AH892" i="3"/>
  <c r="AH893" i="3"/>
  <c r="AH894" i="3"/>
  <c r="AH895" i="3"/>
  <c r="AH896" i="3"/>
  <c r="AH897" i="3"/>
  <c r="AH898" i="3"/>
  <c r="AH899" i="3"/>
  <c r="AH900" i="3"/>
  <c r="AH901" i="3"/>
  <c r="AH902" i="3"/>
  <c r="AH903" i="3"/>
  <c r="AH904" i="3"/>
  <c r="AH905" i="3"/>
  <c r="AH906" i="3"/>
  <c r="AH907" i="3"/>
  <c r="AH908" i="3"/>
  <c r="AH909" i="3"/>
  <c r="AH910" i="3"/>
  <c r="AH911" i="3"/>
  <c r="AH912" i="3"/>
  <c r="AH913" i="3"/>
  <c r="AH914" i="3"/>
  <c r="AH915" i="3"/>
  <c r="AH916" i="3"/>
  <c r="AH917" i="3"/>
  <c r="AH918" i="3"/>
  <c r="AH919" i="3"/>
  <c r="AH920" i="3"/>
  <c r="AH921" i="3"/>
  <c r="AH922" i="3"/>
  <c r="AH923" i="3"/>
  <c r="AH924" i="3"/>
  <c r="AH925" i="3"/>
  <c r="AH926" i="3"/>
  <c r="AH927" i="3"/>
  <c r="AH928" i="3"/>
  <c r="AH929" i="3"/>
  <c r="AH930" i="3"/>
  <c r="AH931" i="3"/>
  <c r="AH932" i="3"/>
  <c r="AH933" i="3"/>
  <c r="AH934" i="3"/>
  <c r="AH935" i="3"/>
  <c r="AH936" i="3"/>
  <c r="AH937" i="3"/>
  <c r="AH938" i="3"/>
  <c r="AH939" i="3"/>
  <c r="AH940" i="3"/>
  <c r="AH941" i="3"/>
  <c r="AH942" i="3"/>
  <c r="AH943" i="3"/>
  <c r="AH944" i="3"/>
  <c r="AH945" i="3"/>
  <c r="AH946" i="3"/>
  <c r="AH947" i="3"/>
  <c r="AH948" i="3"/>
  <c r="AH949" i="3"/>
  <c r="AH950" i="3"/>
  <c r="AH951" i="3"/>
  <c r="AH952" i="3"/>
  <c r="AH953" i="3"/>
  <c r="AH954" i="3"/>
  <c r="AH955" i="3"/>
  <c r="AH956" i="3"/>
  <c r="AH957" i="3"/>
  <c r="AH958" i="3"/>
  <c r="AH959" i="3"/>
  <c r="AH960" i="3"/>
  <c r="AH961" i="3"/>
  <c r="AH962" i="3"/>
  <c r="AH963" i="3"/>
  <c r="AH964" i="3"/>
  <c r="AH965" i="3"/>
  <c r="AH966" i="3"/>
  <c r="AH967" i="3"/>
  <c r="AH968" i="3"/>
  <c r="AH969" i="3"/>
  <c r="AH970" i="3"/>
  <c r="AH971" i="3"/>
  <c r="AH972" i="3"/>
  <c r="AH973" i="3"/>
  <c r="AH974" i="3"/>
  <c r="AH975" i="3"/>
  <c r="AH976" i="3"/>
  <c r="AH977" i="3"/>
  <c r="AH978" i="3"/>
  <c r="AH979" i="3"/>
  <c r="AH980" i="3"/>
  <c r="AH981" i="3"/>
  <c r="AH982" i="3"/>
  <c r="AH983" i="3"/>
  <c r="AH984" i="3"/>
  <c r="AH985" i="3"/>
  <c r="AH986" i="3"/>
  <c r="AH987" i="3"/>
  <c r="AH988" i="3"/>
  <c r="AH989" i="3"/>
  <c r="AH990" i="3"/>
  <c r="AH991" i="3"/>
  <c r="AH992" i="3"/>
  <c r="AH993" i="3"/>
  <c r="AH994" i="3"/>
  <c r="AH995" i="3"/>
  <c r="AH996" i="3"/>
  <c r="AH997" i="3"/>
  <c r="AH998" i="3"/>
  <c r="AH999" i="3"/>
  <c r="AH1000" i="3"/>
  <c r="AH1001" i="3"/>
  <c r="AH1002" i="3"/>
  <c r="AH1003" i="3"/>
  <c r="AH1004" i="3"/>
  <c r="AH1005" i="3"/>
  <c r="AH1006" i="3"/>
  <c r="AH1007" i="3"/>
  <c r="AH1008" i="3"/>
  <c r="AH1009" i="3"/>
  <c r="AH1010" i="3"/>
  <c r="AH1011" i="3"/>
  <c r="AH1012" i="3"/>
  <c r="AH1013" i="3"/>
  <c r="AH1014" i="3"/>
  <c r="AH1015" i="3"/>
  <c r="AH1016" i="3"/>
  <c r="AH1017" i="3"/>
  <c r="AH1018" i="3"/>
  <c r="AH1019" i="3"/>
  <c r="AH1020" i="3"/>
  <c r="AH1021" i="3"/>
  <c r="AH1022" i="3"/>
  <c r="AH1023" i="3"/>
  <c r="AH1024" i="3"/>
  <c r="AH1025" i="3"/>
  <c r="AH1026" i="3"/>
  <c r="AH1027" i="3"/>
  <c r="AH1028" i="3"/>
  <c r="AH1029" i="3"/>
  <c r="AH1030" i="3"/>
  <c r="AH1031" i="3"/>
  <c r="AH1032" i="3"/>
  <c r="AH1033" i="3"/>
  <c r="AH1034" i="3"/>
  <c r="AH1035" i="3"/>
  <c r="AH1036" i="3"/>
  <c r="AH1037" i="3"/>
  <c r="AH1038" i="3"/>
  <c r="AH1039" i="3"/>
  <c r="AH1040" i="3"/>
  <c r="AH1041" i="3"/>
  <c r="AH1042" i="3"/>
  <c r="AH1043" i="3"/>
  <c r="AH1044" i="3"/>
  <c r="AH1045" i="3"/>
  <c r="AH1046" i="3"/>
  <c r="AH1047" i="3"/>
  <c r="AH1048" i="3"/>
  <c r="AH1049" i="3"/>
  <c r="AH1050" i="3"/>
  <c r="AH1051" i="3"/>
  <c r="AH1052" i="3"/>
  <c r="AH1053" i="3"/>
  <c r="AH1054" i="3"/>
  <c r="AH1055" i="3"/>
  <c r="AH1056" i="3"/>
  <c r="AH1057" i="3"/>
  <c r="AH1058" i="3"/>
  <c r="AH1059" i="3"/>
  <c r="AH1060" i="3"/>
  <c r="AH1061" i="3"/>
  <c r="AH1062" i="3"/>
  <c r="AH1063" i="3"/>
  <c r="AH1064" i="3"/>
  <c r="AH1065" i="3"/>
  <c r="AH1066" i="3"/>
  <c r="AH1067" i="3"/>
  <c r="AH1068" i="3"/>
  <c r="AH1069" i="3"/>
  <c r="AH1070" i="3"/>
  <c r="AH1071" i="3"/>
  <c r="AH1072" i="3"/>
  <c r="AH1073" i="3"/>
  <c r="AH1074" i="3"/>
  <c r="AH1075" i="3"/>
  <c r="AH1076" i="3"/>
  <c r="AH1077" i="3"/>
  <c r="AH1078" i="3"/>
  <c r="AH1079" i="3"/>
  <c r="AH1080" i="3"/>
  <c r="AH1081" i="3"/>
  <c r="AH1082" i="3"/>
  <c r="AH1083" i="3"/>
  <c r="AH1084" i="3"/>
  <c r="AH1085" i="3"/>
  <c r="AH1086" i="3"/>
  <c r="AH1087" i="3"/>
  <c r="AH1088" i="3"/>
  <c r="AH1089" i="3"/>
  <c r="AH1090" i="3"/>
  <c r="AH1091" i="3"/>
  <c r="AH1092" i="3"/>
  <c r="AH1093" i="3"/>
  <c r="AH1094" i="3"/>
  <c r="AH1095" i="3"/>
  <c r="AH1096" i="3"/>
  <c r="AH1097" i="3"/>
  <c r="AH1098" i="3"/>
  <c r="AH1099" i="3"/>
  <c r="AH1100" i="3"/>
  <c r="AH1101" i="3"/>
  <c r="AH1102" i="3"/>
  <c r="AH1103" i="3"/>
  <c r="AH1104" i="3"/>
  <c r="AH1105" i="3"/>
  <c r="AH1106" i="3"/>
  <c r="AH1107" i="3"/>
  <c r="AH1108" i="3"/>
  <c r="AH1109" i="3"/>
  <c r="AH1110" i="3"/>
  <c r="AH1111" i="3"/>
  <c r="AH1112" i="3"/>
  <c r="AH1113" i="3"/>
  <c r="AH1114" i="3"/>
  <c r="AH1115" i="3"/>
  <c r="AH1116" i="3"/>
  <c r="AH1117" i="3"/>
  <c r="AH1118" i="3"/>
  <c r="AH1119" i="3"/>
  <c r="AH1120" i="3"/>
  <c r="AH1121" i="3"/>
  <c r="AH1122" i="3"/>
  <c r="AH1123" i="3"/>
  <c r="AH1124" i="3"/>
  <c r="AH1125" i="3"/>
  <c r="AH1126" i="3"/>
  <c r="AH1127" i="3"/>
  <c r="AH1128" i="3"/>
  <c r="AH1129" i="3"/>
  <c r="AH1130" i="3"/>
  <c r="AH1131" i="3"/>
  <c r="AH1132" i="3"/>
  <c r="AH1133" i="3"/>
  <c r="AH1134" i="3"/>
  <c r="AH1135" i="3"/>
  <c r="AH1136" i="3"/>
  <c r="AH1137" i="3"/>
  <c r="AH1138" i="3"/>
  <c r="AH1139" i="3"/>
  <c r="AH1140" i="3"/>
  <c r="AH1141" i="3"/>
  <c r="AH1142" i="3"/>
  <c r="AH1143" i="3"/>
  <c r="AH1144" i="3"/>
  <c r="AH1145" i="3"/>
  <c r="AH1146" i="3"/>
  <c r="AH1147" i="3"/>
  <c r="AH1148" i="3"/>
  <c r="AH1149" i="3"/>
  <c r="AH1150" i="3"/>
  <c r="AH1151" i="3"/>
  <c r="AH1152" i="3"/>
  <c r="AH1153" i="3"/>
  <c r="AH1154" i="3"/>
  <c r="AH1155" i="3"/>
  <c r="AH1156" i="3"/>
  <c r="AH1157" i="3"/>
  <c r="AH1158" i="3"/>
  <c r="AH1159" i="3"/>
  <c r="AH1160" i="3"/>
  <c r="AH1161" i="3"/>
  <c r="AH1162" i="3"/>
  <c r="AH1163" i="3"/>
  <c r="AH1164" i="3"/>
  <c r="AH1165" i="3"/>
  <c r="AH1166" i="3"/>
  <c r="AH1167" i="3"/>
  <c r="AH1168" i="3"/>
  <c r="AH1169" i="3"/>
  <c r="AH1170" i="3"/>
  <c r="AH1171" i="3"/>
  <c r="AH1172" i="3"/>
  <c r="AH1173" i="3"/>
  <c r="AH1174" i="3"/>
  <c r="AH1175" i="3"/>
  <c r="AH1176" i="3"/>
  <c r="AH1177" i="3"/>
  <c r="AH1178" i="3"/>
  <c r="AH1179" i="3"/>
  <c r="AH1180" i="3"/>
  <c r="AH1181" i="3"/>
  <c r="AH1182" i="3"/>
  <c r="AH1183" i="3"/>
  <c r="AH1184" i="3"/>
  <c r="AH1185" i="3"/>
  <c r="AH1186" i="3"/>
  <c r="AH1187" i="3"/>
  <c r="AH1188" i="3"/>
  <c r="AH1189" i="3"/>
  <c r="AH1190" i="3"/>
  <c r="AH1191" i="3"/>
  <c r="AH1192" i="3"/>
  <c r="AH1193" i="3"/>
  <c r="AH1194" i="3"/>
  <c r="AH1195" i="3"/>
  <c r="AH1196" i="3"/>
  <c r="AH1197" i="3"/>
  <c r="AH1198" i="3"/>
  <c r="AH1199" i="3"/>
  <c r="AH1200" i="3"/>
  <c r="AH1201" i="3"/>
  <c r="AH1202" i="3"/>
  <c r="AH1203" i="3"/>
  <c r="AH1204" i="3"/>
  <c r="AH1205" i="3"/>
  <c r="AH1206" i="3"/>
  <c r="AH1207" i="3"/>
  <c r="AH1208" i="3"/>
  <c r="AH1209" i="3"/>
  <c r="AH1210" i="3"/>
  <c r="AH1211" i="3"/>
  <c r="AH1212" i="3"/>
  <c r="AH1213" i="3"/>
  <c r="AH1214" i="3"/>
  <c r="AH1215" i="3"/>
  <c r="AH1216" i="3"/>
  <c r="AH1217" i="3"/>
  <c r="AH1218" i="3"/>
  <c r="AH1219" i="3"/>
  <c r="AH1220" i="3"/>
  <c r="AH1221" i="3"/>
  <c r="AH1222" i="3"/>
  <c r="AH1223" i="3"/>
  <c r="AH1224" i="3"/>
  <c r="AH1225" i="3"/>
  <c r="AH1226" i="3"/>
  <c r="AH1227" i="3"/>
  <c r="AH1228" i="3"/>
  <c r="AH1229" i="3"/>
  <c r="AH1230" i="3"/>
  <c r="AH1231" i="3"/>
  <c r="AH1232" i="3"/>
  <c r="AH1233" i="3"/>
  <c r="AH1234" i="3"/>
  <c r="AH1235" i="3"/>
  <c r="AH1236" i="3"/>
  <c r="AH1237" i="3"/>
  <c r="AH1238" i="3"/>
  <c r="AH1239" i="3"/>
  <c r="AH1240" i="3"/>
  <c r="AH1241" i="3"/>
  <c r="AH1242" i="3"/>
  <c r="AH1243" i="3"/>
  <c r="AH1244" i="3"/>
  <c r="AH1245" i="3"/>
  <c r="AH1246" i="3"/>
  <c r="AH1247" i="3"/>
  <c r="AH1248" i="3"/>
  <c r="AH1249" i="3"/>
  <c r="AH1250" i="3"/>
  <c r="AH1251" i="3"/>
  <c r="AH1252" i="3"/>
  <c r="AH1253" i="3"/>
  <c r="AH1254" i="3"/>
  <c r="AH1255" i="3"/>
  <c r="AH1256" i="3"/>
  <c r="AH1257" i="3"/>
  <c r="AH1258" i="3"/>
  <c r="AH1259" i="3"/>
  <c r="AH1260" i="3"/>
  <c r="AH1261" i="3"/>
  <c r="AH1262" i="3"/>
  <c r="AH1263" i="3"/>
  <c r="AH1264" i="3"/>
  <c r="AH1265" i="3"/>
  <c r="AH1266" i="3"/>
  <c r="AH1267" i="3"/>
  <c r="AH1268" i="3"/>
  <c r="AH1269" i="3"/>
  <c r="AH1270" i="3"/>
  <c r="AH1271" i="3"/>
  <c r="AH1272" i="3"/>
  <c r="AH1273" i="3"/>
  <c r="AH1274" i="3"/>
  <c r="AH1275" i="3"/>
  <c r="AH1276" i="3"/>
  <c r="AH1277" i="3"/>
  <c r="AH1278" i="3"/>
  <c r="AH1279" i="3"/>
  <c r="AH1280" i="3"/>
  <c r="AH1281" i="3"/>
  <c r="AH1282" i="3"/>
  <c r="AH1283" i="3"/>
  <c r="AH1284" i="3"/>
  <c r="AH1285" i="3"/>
  <c r="AH1286" i="3"/>
  <c r="AH1287" i="3"/>
  <c r="AH1288" i="3"/>
  <c r="AH1289" i="3"/>
  <c r="AH1290" i="3"/>
  <c r="AH1291" i="3"/>
  <c r="AH1292" i="3"/>
  <c r="AH1293" i="3"/>
  <c r="AH1294" i="3"/>
  <c r="AH1295" i="3"/>
  <c r="AH1296" i="3"/>
  <c r="AH1297" i="3"/>
  <c r="AH1298" i="3"/>
  <c r="AH1299" i="3"/>
  <c r="AH1300" i="3"/>
  <c r="AH1301" i="3"/>
  <c r="AH1302" i="3"/>
  <c r="AH1303" i="3"/>
  <c r="AH1304" i="3"/>
  <c r="AH1305" i="3"/>
  <c r="AH1306" i="3"/>
  <c r="AH1307" i="3"/>
  <c r="AH1308" i="3"/>
  <c r="AH1309" i="3"/>
  <c r="AH1310" i="3"/>
  <c r="AH1311" i="3"/>
  <c r="AH1312" i="3"/>
  <c r="AH1313" i="3"/>
  <c r="AH1314" i="3"/>
  <c r="AH1315" i="3"/>
  <c r="AH1316" i="3"/>
  <c r="AH1317" i="3"/>
  <c r="AH1318" i="3"/>
  <c r="AH1319" i="3"/>
  <c r="AH1320" i="3"/>
  <c r="AH1321" i="3"/>
  <c r="AH1322" i="3"/>
  <c r="AH1323" i="3"/>
  <c r="AH1324" i="3"/>
  <c r="AH1325" i="3"/>
  <c r="AH1326" i="3"/>
  <c r="AH1327" i="3"/>
  <c r="AH1328" i="3"/>
  <c r="AH1329" i="3"/>
  <c r="AH1330" i="3"/>
  <c r="AH1331" i="3"/>
  <c r="AH1332" i="3"/>
  <c r="AH1333" i="3"/>
  <c r="AH1334" i="3"/>
  <c r="AH1335" i="3"/>
  <c r="AH1336" i="3"/>
  <c r="AH1337" i="3"/>
  <c r="AH1338" i="3"/>
  <c r="AH1339" i="3"/>
  <c r="AH1340" i="3"/>
  <c r="AH1341" i="3"/>
  <c r="AH1342" i="3"/>
  <c r="AH1343" i="3"/>
  <c r="AH1344" i="3"/>
  <c r="AH1345" i="3"/>
  <c r="AH1346" i="3"/>
  <c r="AH1347" i="3"/>
  <c r="AH1348" i="3"/>
  <c r="AH1349" i="3"/>
  <c r="AH1350" i="3"/>
  <c r="AH1351" i="3"/>
  <c r="AH1352" i="3"/>
  <c r="AH1353" i="3"/>
  <c r="AH1354" i="3"/>
  <c r="AH1355" i="3"/>
  <c r="AH1356" i="3"/>
  <c r="AH1357" i="3"/>
  <c r="AH1358" i="3"/>
  <c r="AH1359" i="3"/>
  <c r="AH1360" i="3"/>
  <c r="AH1361" i="3"/>
  <c r="AH1362" i="3"/>
  <c r="AH1363" i="3"/>
  <c r="AH1364" i="3"/>
  <c r="AH1365" i="3"/>
  <c r="AH1366" i="3"/>
  <c r="AH1367" i="3"/>
  <c r="AH1368" i="3"/>
  <c r="AH1369" i="3"/>
  <c r="AH1370" i="3"/>
  <c r="AH1371" i="3"/>
  <c r="AH1372" i="3"/>
  <c r="AH1373" i="3"/>
  <c r="AH1374" i="3"/>
  <c r="AH1375" i="3"/>
  <c r="AH1376" i="3"/>
  <c r="AH1377" i="3"/>
  <c r="AH1378" i="3"/>
  <c r="AH1379" i="3"/>
  <c r="AH1380" i="3"/>
  <c r="AH1381" i="3"/>
  <c r="AH1382" i="3"/>
  <c r="AH1383" i="3"/>
  <c r="AH1384" i="3"/>
  <c r="AH1385" i="3"/>
  <c r="AH1386" i="3"/>
  <c r="AH1387" i="3"/>
  <c r="AH1388" i="3"/>
  <c r="AH1389" i="3"/>
  <c r="AH1390" i="3"/>
  <c r="AH1391" i="3"/>
  <c r="AH1392" i="3"/>
  <c r="AH1393" i="3"/>
  <c r="AH1394" i="3"/>
  <c r="AH1395" i="3"/>
  <c r="AH1396" i="3"/>
  <c r="AH1397" i="3"/>
  <c r="AH1398" i="3"/>
  <c r="AH1399" i="3"/>
  <c r="AH1400" i="3"/>
  <c r="AH1401" i="3"/>
  <c r="AH1402" i="3"/>
  <c r="AH1403" i="3"/>
  <c r="AH1404" i="3"/>
  <c r="AH1405" i="3"/>
  <c r="AH1406" i="3"/>
  <c r="AH1407" i="3"/>
  <c r="AH1408" i="3"/>
  <c r="AH1409" i="3"/>
  <c r="AH1410" i="3"/>
  <c r="AH1411" i="3"/>
  <c r="AH1412" i="3"/>
  <c r="AH1413" i="3"/>
  <c r="AH1414" i="3"/>
  <c r="AH1415" i="3"/>
  <c r="AH1416" i="3"/>
  <c r="AH1417" i="3"/>
  <c r="AH1418" i="3"/>
  <c r="AH1419" i="3"/>
  <c r="AH1420" i="3"/>
  <c r="AH1421" i="3"/>
  <c r="AH1422" i="3"/>
  <c r="AH1423" i="3"/>
  <c r="AH1424" i="3"/>
  <c r="AH1425" i="3"/>
  <c r="AH1426" i="3"/>
  <c r="AH1427" i="3"/>
  <c r="AH1428" i="3"/>
  <c r="AH1429" i="3"/>
  <c r="AH1430" i="3"/>
  <c r="AH1431" i="3"/>
  <c r="AH1432" i="3"/>
  <c r="AH1433" i="3"/>
  <c r="AH1434" i="3"/>
  <c r="AH1435" i="3"/>
  <c r="AH1436" i="3"/>
  <c r="AH1437" i="3"/>
  <c r="AH1438" i="3"/>
  <c r="AH1439" i="3"/>
  <c r="AH1440" i="3"/>
  <c r="AH1441" i="3"/>
  <c r="AH1442" i="3"/>
  <c r="AH1443" i="3"/>
  <c r="AH1444" i="3"/>
  <c r="AH1445" i="3"/>
  <c r="AH1446" i="3"/>
  <c r="AH1447" i="3"/>
  <c r="AH1448" i="3"/>
  <c r="AH1449" i="3"/>
  <c r="AH1450" i="3"/>
  <c r="AH1451" i="3"/>
  <c r="AH1452" i="3"/>
  <c r="AH1453" i="3"/>
  <c r="AH1454" i="3"/>
  <c r="AH1455" i="3"/>
  <c r="AH1456" i="3"/>
  <c r="AH1457" i="3"/>
  <c r="AH1458" i="3"/>
  <c r="AH1459" i="3"/>
  <c r="AH1460" i="3"/>
  <c r="AH1461" i="3"/>
  <c r="AH1462" i="3"/>
  <c r="AH1463" i="3"/>
  <c r="AH1464" i="3"/>
  <c r="AH1465" i="3"/>
  <c r="AH1466" i="3"/>
  <c r="AH1467" i="3"/>
  <c r="AH1468" i="3"/>
  <c r="AH1469" i="3"/>
  <c r="AH1470" i="3"/>
  <c r="AH1471" i="3"/>
  <c r="AH1472" i="3"/>
  <c r="AH1473" i="3"/>
  <c r="AH1474" i="3"/>
  <c r="AH1475" i="3"/>
  <c r="AH1476" i="3"/>
  <c r="AH1477" i="3"/>
  <c r="AH1478" i="3"/>
  <c r="AH1479" i="3"/>
  <c r="AH1480" i="3"/>
  <c r="AH1481" i="3"/>
  <c r="AH1482" i="3"/>
  <c r="AH1483" i="3"/>
  <c r="AH1484" i="3"/>
  <c r="AH1485" i="3"/>
  <c r="AH1486" i="3"/>
  <c r="AH1487" i="3"/>
  <c r="AH1488" i="3"/>
  <c r="AH1489" i="3"/>
  <c r="AH1490" i="3"/>
  <c r="AH1491" i="3"/>
  <c r="AH1492" i="3"/>
  <c r="AH1493" i="3"/>
  <c r="AH1494" i="3"/>
  <c r="AH1495" i="3"/>
  <c r="AH1496" i="3"/>
  <c r="AH1497" i="3"/>
  <c r="AH1498" i="3"/>
  <c r="AH1499" i="3"/>
  <c r="AH1500" i="3"/>
  <c r="AH1501" i="3"/>
  <c r="AH1502" i="3"/>
  <c r="AH1503" i="3"/>
  <c r="AH1504" i="3"/>
  <c r="AH1505" i="3"/>
  <c r="AH1506" i="3"/>
  <c r="AH1507" i="3"/>
  <c r="AH1508" i="3"/>
  <c r="AH1509" i="3"/>
  <c r="AH1510" i="3"/>
  <c r="AH1511" i="3"/>
  <c r="AH1512" i="3"/>
  <c r="AH1513" i="3"/>
  <c r="AH1514" i="3"/>
  <c r="AH1515" i="3"/>
  <c r="AH1516" i="3"/>
  <c r="AH1517" i="3"/>
  <c r="AH1518" i="3"/>
  <c r="AH1519" i="3"/>
  <c r="AH1520" i="3"/>
  <c r="AH1521" i="3"/>
  <c r="AH1522" i="3"/>
  <c r="AH1523" i="3"/>
  <c r="AH1524" i="3"/>
  <c r="AH1525" i="3"/>
  <c r="AH1526" i="3"/>
  <c r="AH1527" i="3"/>
  <c r="AH1528" i="3"/>
  <c r="AH1529" i="3"/>
  <c r="AH1530" i="3"/>
  <c r="AH1531" i="3"/>
  <c r="AH1532" i="3"/>
  <c r="AH1533" i="3"/>
  <c r="AH1534" i="3"/>
  <c r="AH1535" i="3"/>
  <c r="AH1536" i="3"/>
  <c r="AH1537" i="3"/>
  <c r="AH1538" i="3"/>
  <c r="AH1539" i="3"/>
  <c r="AH1540" i="3"/>
  <c r="AH1541" i="3"/>
  <c r="AH1542" i="3"/>
  <c r="AH1543" i="3"/>
  <c r="AH1544" i="3"/>
  <c r="AH1545" i="3"/>
  <c r="AH1546" i="3"/>
  <c r="AH1547" i="3"/>
  <c r="AH1548" i="3"/>
  <c r="AH1549" i="3"/>
  <c r="AH1550" i="3"/>
  <c r="AH1551" i="3"/>
  <c r="AH1552" i="3"/>
  <c r="AH1553" i="3"/>
  <c r="AH1554" i="3"/>
  <c r="AH1555" i="3"/>
  <c r="AH1556" i="3"/>
  <c r="AH1557" i="3"/>
  <c r="AH1558" i="3"/>
  <c r="AH1559" i="3"/>
  <c r="AH1560" i="3"/>
  <c r="AH1561" i="3"/>
  <c r="AH1562" i="3"/>
  <c r="AH1563" i="3"/>
  <c r="AH1564" i="3"/>
  <c r="AH1565" i="3"/>
  <c r="AH1566" i="3"/>
  <c r="AH1567" i="3"/>
  <c r="AH1568" i="3"/>
  <c r="AH1569" i="3"/>
  <c r="AH1570" i="3"/>
  <c r="AH1571" i="3"/>
  <c r="AH1572" i="3"/>
  <c r="AH1573" i="3"/>
  <c r="AH1574" i="3"/>
  <c r="AH1575" i="3"/>
  <c r="AH1576" i="3"/>
  <c r="AH1577" i="3"/>
  <c r="AH1578" i="3"/>
  <c r="AH1579" i="3"/>
  <c r="AH1580" i="3"/>
  <c r="AH1581" i="3"/>
  <c r="AH1582" i="3"/>
  <c r="AH1583" i="3"/>
  <c r="AH1584" i="3"/>
  <c r="AH1585" i="3"/>
  <c r="AH1586" i="3"/>
  <c r="AH1587" i="3"/>
  <c r="AH1588" i="3"/>
  <c r="AH1589" i="3"/>
  <c r="AH1590" i="3"/>
  <c r="AH1591" i="3"/>
  <c r="AH1592" i="3"/>
  <c r="AH1593" i="3"/>
  <c r="AH1594" i="3"/>
  <c r="AH1595" i="3"/>
  <c r="AH1596" i="3"/>
  <c r="AH1597" i="3"/>
  <c r="AH1598" i="3"/>
  <c r="AH1599" i="3"/>
  <c r="AH1600" i="3"/>
  <c r="AH1601" i="3"/>
  <c r="AH1602" i="3"/>
  <c r="AH1603" i="3"/>
  <c r="AH1604" i="3"/>
  <c r="AH1605" i="3"/>
  <c r="AH1606" i="3"/>
  <c r="AH1607" i="3"/>
  <c r="AH1608" i="3"/>
  <c r="AH1609" i="3"/>
  <c r="AH1610" i="3"/>
  <c r="AH1611" i="3"/>
  <c r="AH1612" i="3"/>
  <c r="AH1613" i="3"/>
  <c r="AH1614" i="3"/>
  <c r="AH1615" i="3"/>
  <c r="AH1616" i="3"/>
  <c r="AH1617" i="3"/>
  <c r="AH1618" i="3"/>
  <c r="AH1619" i="3"/>
  <c r="AH1620" i="3"/>
  <c r="AH1621" i="3"/>
  <c r="AH1622" i="3"/>
  <c r="AH1623" i="3"/>
  <c r="AH1624" i="3"/>
  <c r="AH1625" i="3"/>
  <c r="AH1626" i="3"/>
  <c r="AH1627" i="3"/>
  <c r="AH1628" i="3"/>
  <c r="AH1629" i="3"/>
  <c r="AH1630" i="3"/>
  <c r="AH1631" i="3"/>
  <c r="AH1632" i="3"/>
  <c r="AH1633" i="3"/>
  <c r="AH1634" i="3"/>
  <c r="AH1635" i="3"/>
  <c r="AH1636" i="3"/>
  <c r="AH1637" i="3"/>
  <c r="AH1638" i="3"/>
  <c r="AH1639" i="3"/>
  <c r="AH1640" i="3"/>
  <c r="AH1641" i="3"/>
  <c r="AH1642" i="3"/>
  <c r="AH1643" i="3"/>
  <c r="AH1644" i="3"/>
  <c r="AH1645" i="3"/>
  <c r="AH1646" i="3"/>
  <c r="AH1647" i="3"/>
  <c r="AH1648" i="3"/>
  <c r="AH1649" i="3"/>
  <c r="AH1650" i="3"/>
  <c r="AH1651" i="3"/>
  <c r="AH1652" i="3"/>
  <c r="AH1653" i="3"/>
  <c r="AH1654" i="3"/>
  <c r="AH1655" i="3"/>
  <c r="AH1656" i="3"/>
  <c r="AH1657" i="3"/>
  <c r="AH1658" i="3"/>
  <c r="AH1659" i="3"/>
  <c r="AH1660" i="3"/>
  <c r="AH1661" i="3"/>
  <c r="AH1662" i="3"/>
  <c r="AH1663" i="3"/>
  <c r="AH1664" i="3"/>
  <c r="AH1665" i="3"/>
  <c r="AH1666" i="3"/>
  <c r="AH1667" i="3"/>
  <c r="AH1668" i="3"/>
  <c r="AH1669" i="3"/>
  <c r="AH1670" i="3"/>
  <c r="AH1671" i="3"/>
  <c r="AH1672" i="3"/>
  <c r="AH1673" i="3"/>
  <c r="AH1674" i="3"/>
  <c r="AH1675" i="3"/>
  <c r="AH1676" i="3"/>
  <c r="AH1677" i="3"/>
  <c r="AH1678" i="3"/>
  <c r="AH1679" i="3"/>
  <c r="AH1680" i="3"/>
  <c r="AH1681" i="3"/>
  <c r="AH1682" i="3"/>
  <c r="AH1683" i="3"/>
  <c r="AH1684" i="3"/>
  <c r="AH1685" i="3"/>
  <c r="AH1686" i="3"/>
  <c r="AH1687" i="3"/>
  <c r="AH1688" i="3"/>
  <c r="AH1689" i="3"/>
  <c r="AH1690" i="3"/>
  <c r="AH1691" i="3"/>
  <c r="AH1692" i="3"/>
  <c r="AH1693" i="3"/>
  <c r="AH1694" i="3"/>
  <c r="AH1695" i="3"/>
  <c r="AH1696" i="3"/>
  <c r="AH1697" i="3"/>
  <c r="AH1698" i="3"/>
  <c r="AH1699" i="3"/>
  <c r="AH1700" i="3"/>
  <c r="AH1701" i="3"/>
  <c r="AH1702" i="3"/>
  <c r="AH1703" i="3"/>
  <c r="AH1704" i="3"/>
  <c r="AH1705" i="3"/>
  <c r="AH1706" i="3"/>
  <c r="AH1707" i="3"/>
  <c r="AH1708" i="3"/>
  <c r="AH1709" i="3"/>
  <c r="AH1710" i="3"/>
  <c r="AH1711" i="3"/>
  <c r="AH1712" i="3"/>
  <c r="AH1713" i="3"/>
  <c r="AH1714" i="3"/>
  <c r="AH1715" i="3"/>
  <c r="AH1716" i="3"/>
  <c r="AH1717" i="3"/>
  <c r="AH1718" i="3"/>
  <c r="AH1719" i="3"/>
  <c r="AH1720" i="3"/>
  <c r="AH1721" i="3"/>
  <c r="AH1722" i="3"/>
  <c r="AH1723" i="3"/>
  <c r="AH1724" i="3"/>
  <c r="AH1725" i="3"/>
  <c r="AH1726" i="3"/>
  <c r="AH1727" i="3"/>
  <c r="AH1728" i="3"/>
  <c r="AH1729" i="3"/>
  <c r="AH1730" i="3"/>
  <c r="AH1731" i="3"/>
  <c r="AH1732" i="3"/>
  <c r="AH1733" i="3"/>
  <c r="AH1734" i="3"/>
  <c r="AH1735" i="3"/>
  <c r="AH1736" i="3"/>
  <c r="AH1737" i="3"/>
  <c r="AH1738" i="3"/>
  <c r="AH1739" i="3"/>
  <c r="AH1740" i="3"/>
  <c r="AH1741" i="3"/>
  <c r="AH1742" i="3"/>
  <c r="AH1743" i="3"/>
  <c r="AH1744" i="3"/>
  <c r="AH1745" i="3"/>
  <c r="AH1746" i="3"/>
  <c r="AH1747" i="3"/>
  <c r="AH1748" i="3"/>
  <c r="AH1749" i="3"/>
  <c r="AH1750" i="3"/>
  <c r="AH1751" i="3"/>
  <c r="AH1752" i="3"/>
  <c r="AH1753" i="3"/>
  <c r="AH1754" i="3"/>
  <c r="AH1755" i="3"/>
  <c r="AH1756" i="3"/>
  <c r="AH1757" i="3"/>
  <c r="AH1758" i="3"/>
  <c r="AH1759" i="3"/>
  <c r="AH1760" i="3"/>
  <c r="AH1761" i="3"/>
  <c r="AH1762" i="3"/>
  <c r="AH1763" i="3"/>
  <c r="AH1764" i="3"/>
  <c r="AH1765" i="3"/>
  <c r="AH1766" i="3"/>
  <c r="AH1767" i="3"/>
  <c r="AH1768" i="3"/>
  <c r="AH1769" i="3"/>
  <c r="AH1770" i="3"/>
  <c r="AH1771" i="3"/>
  <c r="AH1772" i="3"/>
  <c r="AH1773" i="3"/>
  <c r="AH1774" i="3"/>
  <c r="AH1775" i="3"/>
  <c r="AH1776" i="3"/>
  <c r="AH1777" i="3"/>
  <c r="AH1778" i="3"/>
  <c r="AH1779" i="3"/>
  <c r="AH1780" i="3"/>
  <c r="AH1781" i="3"/>
  <c r="AH1782" i="3"/>
  <c r="AH1783" i="3"/>
  <c r="AH1784" i="3"/>
  <c r="AH1785" i="3"/>
  <c r="AH1786" i="3"/>
  <c r="AH1787" i="3"/>
  <c r="AH1788" i="3"/>
  <c r="AH1789" i="3"/>
  <c r="AH1790" i="3"/>
  <c r="AH1791" i="3"/>
  <c r="AH1792" i="3"/>
  <c r="AH1793" i="3"/>
  <c r="AH1794" i="3"/>
  <c r="AH1795" i="3"/>
  <c r="AH1796" i="3"/>
  <c r="AH1797" i="3"/>
  <c r="AH1798" i="3"/>
  <c r="AH1799" i="3"/>
  <c r="AH1800" i="3"/>
  <c r="AH1801" i="3"/>
  <c r="AH1802" i="3"/>
  <c r="AH1803" i="3"/>
  <c r="AH1804" i="3"/>
  <c r="AH1805" i="3"/>
  <c r="AH1806" i="3"/>
  <c r="AH1807" i="3"/>
  <c r="AH1808" i="3"/>
  <c r="AH1809" i="3"/>
  <c r="AH1810" i="3"/>
  <c r="AH1811" i="3"/>
  <c r="AH1812" i="3"/>
  <c r="AH1813" i="3"/>
  <c r="AH1814" i="3"/>
  <c r="AH1815" i="3"/>
  <c r="AH1816" i="3"/>
  <c r="AH1817" i="3"/>
  <c r="AH1818" i="3"/>
  <c r="AH1819" i="3"/>
  <c r="AH1820" i="3"/>
  <c r="AH1821" i="3"/>
  <c r="AH1822" i="3"/>
  <c r="AH1823" i="3"/>
  <c r="AH1824" i="3"/>
  <c r="AH1825" i="3"/>
  <c r="AH1826" i="3"/>
  <c r="AH1827" i="3"/>
  <c r="AH1828" i="3"/>
  <c r="AH1829" i="3"/>
  <c r="AH1830" i="3"/>
  <c r="AH1831" i="3"/>
  <c r="AH1832" i="3"/>
  <c r="AH1833" i="3"/>
  <c r="AH1834" i="3"/>
  <c r="AH1835" i="3"/>
  <c r="AH1836" i="3"/>
  <c r="AH1837" i="3"/>
  <c r="AH1838" i="3"/>
  <c r="AH1839" i="3"/>
  <c r="AH1840" i="3"/>
  <c r="AH1841" i="3"/>
  <c r="AH1842" i="3"/>
  <c r="AH1843" i="3"/>
  <c r="AH1844" i="3"/>
  <c r="AH1845" i="3"/>
  <c r="AH1846" i="3"/>
  <c r="AH1847" i="3"/>
  <c r="AH1848" i="3"/>
  <c r="AH1849" i="3"/>
  <c r="AH1850" i="3"/>
  <c r="AH1851" i="3"/>
  <c r="AH1852" i="3"/>
  <c r="AH1853" i="3"/>
  <c r="AH1854" i="3"/>
  <c r="AH1855" i="3"/>
  <c r="AH1856" i="3"/>
  <c r="AH1857" i="3"/>
  <c r="AH1858" i="3"/>
  <c r="AH1859" i="3"/>
  <c r="AH1860" i="3"/>
  <c r="AH1861" i="3"/>
  <c r="AH1862" i="3"/>
  <c r="AH1863" i="3"/>
  <c r="AH1864" i="3"/>
  <c r="AH1865" i="3"/>
  <c r="AH1866" i="3"/>
  <c r="AH1867" i="3"/>
  <c r="AH1868" i="3"/>
  <c r="AH1869" i="3"/>
  <c r="AH1870" i="3"/>
  <c r="AH1871" i="3"/>
  <c r="AH1872" i="3"/>
  <c r="AH1873" i="3"/>
  <c r="AH1874" i="3"/>
  <c r="AH1875" i="3"/>
  <c r="AH1876" i="3"/>
  <c r="AH1877" i="3"/>
  <c r="AH1878" i="3"/>
  <c r="AH1879" i="3"/>
  <c r="AH1880" i="3"/>
  <c r="AH1881" i="3"/>
  <c r="AH1882" i="3"/>
  <c r="AH1883" i="3"/>
  <c r="AH1884" i="3"/>
  <c r="AH1885" i="3"/>
  <c r="AH1886" i="3"/>
  <c r="AH1887" i="3"/>
  <c r="AH1888" i="3"/>
  <c r="AH1889" i="3"/>
  <c r="AH1890" i="3"/>
  <c r="AH1891" i="3"/>
  <c r="AH1892" i="3"/>
  <c r="AH1893" i="3"/>
  <c r="AH1894" i="3"/>
  <c r="AH1895" i="3"/>
  <c r="AH1896" i="3"/>
  <c r="AH1897" i="3"/>
  <c r="AH1898" i="3"/>
  <c r="AH1899" i="3"/>
  <c r="AH1900" i="3"/>
  <c r="AH1901" i="3"/>
  <c r="AH1902" i="3"/>
  <c r="AH1903" i="3"/>
  <c r="AH1904" i="3"/>
  <c r="AH1905" i="3"/>
  <c r="AH1906" i="3"/>
  <c r="AH1907" i="3"/>
  <c r="AH1908" i="3"/>
  <c r="AH1909" i="3"/>
  <c r="AH1910" i="3"/>
  <c r="AH1911" i="3"/>
  <c r="AH1912" i="3"/>
  <c r="AH1913" i="3"/>
  <c r="AH1914" i="3"/>
  <c r="AH1915" i="3"/>
  <c r="AH1916" i="3"/>
  <c r="AH1917" i="3"/>
  <c r="AH1918" i="3"/>
  <c r="AH1919" i="3"/>
  <c r="AH1920" i="3"/>
  <c r="AH1921" i="3"/>
  <c r="AH1922" i="3"/>
  <c r="AH1923" i="3"/>
  <c r="AH1924" i="3"/>
  <c r="AH1925" i="3"/>
  <c r="AH1926" i="3"/>
  <c r="AH1927" i="3"/>
  <c r="AH1928" i="3"/>
  <c r="AH1929" i="3"/>
  <c r="AH1930" i="3"/>
  <c r="AH1931" i="3"/>
  <c r="AH1932" i="3"/>
  <c r="AH1933" i="3"/>
  <c r="AH1934" i="3"/>
  <c r="AH1935" i="3"/>
  <c r="AH1936" i="3"/>
  <c r="AH1937" i="3"/>
  <c r="AH1938" i="3"/>
  <c r="AH1939" i="3"/>
  <c r="AH1940" i="3"/>
  <c r="AH1941" i="3"/>
  <c r="AH1942" i="3"/>
  <c r="AH1943" i="3"/>
  <c r="AH1944" i="3"/>
  <c r="AH1945" i="3"/>
  <c r="AH1946" i="3"/>
  <c r="AH1947" i="3"/>
  <c r="AH1948" i="3"/>
  <c r="AH1949" i="3"/>
  <c r="AH1950" i="3"/>
  <c r="AH1951" i="3"/>
  <c r="AH1952" i="3"/>
  <c r="AH1953" i="3"/>
  <c r="AH1954" i="3"/>
  <c r="AH1955" i="3"/>
  <c r="AH1956" i="3"/>
  <c r="AH1957" i="3"/>
  <c r="AH1958" i="3"/>
  <c r="AH1959" i="3"/>
  <c r="AH1960" i="3"/>
  <c r="AH1961" i="3"/>
  <c r="AH1962" i="3"/>
  <c r="AH1963" i="3"/>
  <c r="AH1964" i="3"/>
  <c r="AH1965" i="3"/>
  <c r="AH1966" i="3"/>
  <c r="AH1967" i="3"/>
  <c r="AH1968" i="3"/>
  <c r="AH1969" i="3"/>
  <c r="AH1970" i="3"/>
  <c r="AH1971" i="3"/>
  <c r="AH1972" i="3"/>
  <c r="AH1973" i="3"/>
  <c r="AH1974" i="3"/>
  <c r="AH1975" i="3"/>
  <c r="AH1976" i="3"/>
  <c r="AH1977" i="3"/>
  <c r="AH1978" i="3"/>
  <c r="AH1979" i="3"/>
  <c r="AH1980" i="3"/>
  <c r="AH1981" i="3"/>
  <c r="AH1982" i="3"/>
  <c r="AH1983" i="3"/>
  <c r="AH1984" i="3"/>
  <c r="AH1985" i="3"/>
  <c r="AH1986" i="3"/>
  <c r="AH1987" i="3"/>
  <c r="AH1988" i="3"/>
  <c r="AH1989" i="3"/>
  <c r="AH1990" i="3"/>
  <c r="AH1991" i="3"/>
  <c r="AH1992" i="3"/>
  <c r="AH1993" i="3"/>
  <c r="AH1994" i="3"/>
  <c r="AH1995" i="3"/>
  <c r="AH1996" i="3"/>
  <c r="AH1997" i="3"/>
  <c r="AH1998" i="3"/>
  <c r="AH1999" i="3"/>
  <c r="AH2000" i="3"/>
  <c r="AH2001" i="3"/>
  <c r="AH2002" i="3"/>
  <c r="AH2003" i="3"/>
  <c r="AH2004" i="3"/>
  <c r="AH2005" i="3"/>
  <c r="AH2006" i="3"/>
  <c r="AH2007" i="3"/>
  <c r="AH2008" i="3"/>
  <c r="AH2009" i="3"/>
  <c r="AH2010" i="3"/>
  <c r="AH2011" i="3"/>
  <c r="AH2012" i="3"/>
  <c r="AH2013" i="3"/>
  <c r="AH2014" i="3"/>
  <c r="AH2015" i="3"/>
  <c r="AH2016" i="3"/>
  <c r="AH2017" i="3"/>
  <c r="AH2018" i="3"/>
  <c r="AH2019" i="3"/>
  <c r="AH2020" i="3"/>
  <c r="AH2021" i="3"/>
  <c r="AH2022" i="3"/>
  <c r="AH2023" i="3"/>
  <c r="AH2024" i="3"/>
  <c r="AH2025" i="3"/>
  <c r="AH2026" i="3"/>
  <c r="AH2027" i="3"/>
  <c r="AH2028" i="3"/>
  <c r="AH2029" i="3"/>
  <c r="AH2030" i="3"/>
  <c r="AH2031" i="3"/>
  <c r="AH2032" i="3"/>
  <c r="AH2033" i="3"/>
  <c r="AH2034" i="3"/>
  <c r="AH2035" i="3"/>
  <c r="AH2036" i="3"/>
  <c r="AH2037" i="3"/>
  <c r="AH2038" i="3"/>
  <c r="AH2039" i="3"/>
  <c r="AH2040" i="3"/>
  <c r="AH2041" i="3"/>
  <c r="AH2042" i="3"/>
  <c r="AH2043" i="3"/>
  <c r="AH2044" i="3"/>
  <c r="AH2045" i="3"/>
  <c r="AH2046" i="3"/>
  <c r="AH2047" i="3"/>
  <c r="AH2048" i="3"/>
  <c r="AH2049" i="3"/>
  <c r="AH2050" i="3"/>
  <c r="AH2051" i="3"/>
  <c r="AH2052" i="3"/>
  <c r="AH2053" i="3"/>
  <c r="AH2054" i="3"/>
  <c r="AH2055" i="3"/>
  <c r="AH2056" i="3"/>
  <c r="AH2057" i="3"/>
  <c r="AH2058" i="3"/>
  <c r="AH2059" i="3"/>
  <c r="AH2060" i="3"/>
  <c r="AH2061" i="3"/>
  <c r="AH2062" i="3"/>
  <c r="AH2063" i="3"/>
  <c r="AH2064" i="3"/>
  <c r="AH2065" i="3"/>
  <c r="AH2066" i="3"/>
  <c r="AH2067" i="3"/>
  <c r="AH2068" i="3"/>
  <c r="AH2069" i="3"/>
  <c r="AH2070" i="3"/>
  <c r="AH2071" i="3"/>
  <c r="AH2072" i="3"/>
  <c r="AH2073" i="3"/>
  <c r="AH2074" i="3"/>
  <c r="AH2075" i="3"/>
  <c r="AH2076" i="3"/>
  <c r="AH2077" i="3"/>
  <c r="AH2078" i="3"/>
  <c r="AH2079" i="3"/>
  <c r="AH2080" i="3"/>
  <c r="AH2081" i="3"/>
  <c r="AH2082" i="3"/>
  <c r="AH2083" i="3"/>
  <c r="AH2084" i="3"/>
  <c r="AH2085" i="3"/>
  <c r="AH2086" i="3"/>
  <c r="AH2087" i="3"/>
  <c r="AH2088" i="3"/>
  <c r="AH2089" i="3"/>
  <c r="AH2090" i="3"/>
  <c r="AH2091" i="3"/>
  <c r="AH2092" i="3"/>
  <c r="AH2093" i="3"/>
  <c r="AH2094" i="3"/>
  <c r="AH2095" i="3"/>
  <c r="AH2096" i="3"/>
  <c r="AH2097" i="3"/>
  <c r="AH2098" i="3"/>
  <c r="AH2099" i="3"/>
  <c r="AH2100" i="3"/>
  <c r="AH2101" i="3"/>
  <c r="AH2102" i="3"/>
  <c r="AH2103" i="3"/>
  <c r="AH2104" i="3"/>
  <c r="AH2105" i="3"/>
  <c r="AH2106" i="3"/>
  <c r="AH2107" i="3"/>
  <c r="AH2108" i="3"/>
  <c r="AH2109" i="3"/>
  <c r="AH2110" i="3"/>
  <c r="AH2111" i="3"/>
  <c r="AH2112" i="3"/>
  <c r="AH2113" i="3"/>
  <c r="AH2114" i="3"/>
  <c r="AH2115" i="3"/>
  <c r="AH2116" i="3"/>
  <c r="AH2117" i="3"/>
  <c r="AH2118" i="3"/>
  <c r="AH2119" i="3"/>
  <c r="AH2120" i="3"/>
  <c r="AH2121" i="3"/>
  <c r="AH2122" i="3"/>
  <c r="AH2123" i="3"/>
  <c r="AH2124" i="3"/>
  <c r="AH2125" i="3"/>
  <c r="AH2126" i="3"/>
  <c r="AH2127" i="3"/>
  <c r="AH2128" i="3"/>
  <c r="AH2129" i="3"/>
  <c r="AH2130" i="3"/>
  <c r="AH2131" i="3"/>
  <c r="AH2132" i="3"/>
  <c r="AH2133" i="3"/>
  <c r="AH2134" i="3"/>
  <c r="AH2135" i="3"/>
  <c r="AH2136" i="3"/>
  <c r="AH2137" i="3"/>
  <c r="AH2138" i="3"/>
  <c r="AH2139" i="3"/>
  <c r="AH2140" i="3"/>
  <c r="AH2141" i="3"/>
  <c r="AH2142" i="3"/>
  <c r="AH2143" i="3"/>
  <c r="AH2144" i="3"/>
  <c r="AH2145" i="3"/>
  <c r="AH2146" i="3"/>
  <c r="AH2147" i="3"/>
  <c r="AH2148" i="3"/>
  <c r="AH2149" i="3"/>
  <c r="AH2150" i="3"/>
  <c r="AH2151" i="3"/>
  <c r="AH2152" i="3"/>
  <c r="AH2153" i="3"/>
  <c r="AH2154" i="3"/>
  <c r="AH2155" i="3"/>
  <c r="AH2156" i="3"/>
  <c r="AH2157" i="3"/>
  <c r="AH2158" i="3"/>
  <c r="AH2159" i="3"/>
  <c r="AH2160" i="3"/>
  <c r="AH2161" i="3"/>
  <c r="AH2162" i="3"/>
  <c r="AH2163" i="3"/>
  <c r="AH2164" i="3"/>
  <c r="AH2165" i="3"/>
  <c r="AH2166" i="3"/>
  <c r="AH2167" i="3"/>
  <c r="AH2168" i="3"/>
  <c r="AH2169" i="3"/>
  <c r="AH2170" i="3"/>
  <c r="AH2171" i="3"/>
  <c r="AH2172" i="3"/>
  <c r="AH2173" i="3"/>
  <c r="AH2174" i="3"/>
  <c r="AH2175" i="3"/>
  <c r="AH2176" i="3"/>
  <c r="AH2177" i="3"/>
  <c r="AH2178" i="3"/>
  <c r="AH2179" i="3"/>
  <c r="AH2180" i="3"/>
  <c r="AH2181" i="3"/>
  <c r="AH2182" i="3"/>
  <c r="AH2183" i="3"/>
  <c r="AH2184" i="3"/>
  <c r="AH2185" i="3"/>
  <c r="AH2186" i="3"/>
  <c r="AH2187" i="3"/>
  <c r="AH2188" i="3"/>
  <c r="AH2189" i="3"/>
  <c r="AH2190" i="3"/>
  <c r="AH2191" i="3"/>
  <c r="AH2192" i="3"/>
  <c r="AH2193" i="3"/>
  <c r="AH2194" i="3"/>
  <c r="AH2195" i="3"/>
  <c r="AH2196" i="3"/>
  <c r="AH2197" i="3"/>
  <c r="AH2198" i="3"/>
  <c r="AH2199" i="3"/>
  <c r="AH2200" i="3"/>
  <c r="AH2201" i="3"/>
  <c r="AH2202" i="3"/>
  <c r="AH2203" i="3"/>
  <c r="AH2204" i="3"/>
  <c r="AH2205" i="3"/>
  <c r="AH2206" i="3"/>
  <c r="AH2207" i="3"/>
  <c r="AH2208" i="3"/>
  <c r="AH2209" i="3"/>
  <c r="AH2210" i="3"/>
  <c r="AH2211" i="3"/>
  <c r="AH2212" i="3"/>
  <c r="AH2213" i="3"/>
  <c r="AH2214" i="3"/>
  <c r="AH2215" i="3"/>
  <c r="AH2216" i="3"/>
  <c r="AH2217" i="3"/>
  <c r="AH2218" i="3"/>
  <c r="AH2219" i="3"/>
  <c r="AH2220" i="3"/>
  <c r="AH2221" i="3"/>
  <c r="AH2222" i="3"/>
  <c r="AH2223" i="3"/>
  <c r="AH2224" i="3"/>
  <c r="AH2225" i="3"/>
  <c r="AH2226" i="3"/>
  <c r="AH2227" i="3"/>
  <c r="AH2228" i="3"/>
  <c r="AH2229" i="3"/>
  <c r="AH2230" i="3"/>
  <c r="AH2231" i="3"/>
  <c r="AH2232" i="3"/>
  <c r="AH2233" i="3"/>
  <c r="AH2234" i="3"/>
  <c r="AH2235" i="3"/>
  <c r="AH2236" i="3"/>
  <c r="AH2237" i="3"/>
  <c r="AH2238" i="3"/>
  <c r="AH2239" i="3"/>
  <c r="AH2240" i="3"/>
  <c r="AH2241" i="3"/>
  <c r="AH2242" i="3"/>
  <c r="AH2243" i="3"/>
  <c r="AH2244" i="3"/>
  <c r="AH2245" i="3"/>
  <c r="AH2246" i="3"/>
  <c r="AH2247" i="3"/>
  <c r="AH2248" i="3"/>
  <c r="AH2249" i="3"/>
  <c r="AH2250" i="3"/>
  <c r="AH2251" i="3"/>
  <c r="AH2252" i="3"/>
  <c r="AH2253" i="3"/>
  <c r="AH2254" i="3"/>
  <c r="AH2255" i="3"/>
  <c r="AH2256" i="3"/>
  <c r="AH2257" i="3"/>
  <c r="AH2258" i="3"/>
  <c r="AH2259" i="3"/>
  <c r="AH2260" i="3"/>
  <c r="AH2261" i="3"/>
  <c r="AH2262" i="3"/>
  <c r="AH2263" i="3"/>
  <c r="AH2264" i="3"/>
  <c r="AH2265" i="3"/>
  <c r="AH2266" i="3"/>
  <c r="AH2267" i="3"/>
  <c r="AH2268" i="3"/>
  <c r="AH2269" i="3"/>
  <c r="AH2270" i="3"/>
  <c r="AH2271" i="3"/>
  <c r="AH2272" i="3"/>
  <c r="AH2273" i="3"/>
  <c r="AH2274" i="3"/>
  <c r="AH2275" i="3"/>
  <c r="AH2276" i="3"/>
  <c r="AH2277" i="3"/>
  <c r="AH2278" i="3"/>
  <c r="AH2279" i="3"/>
  <c r="AH2280" i="3"/>
  <c r="AH2281" i="3"/>
  <c r="AH2282" i="3"/>
  <c r="AH2283" i="3"/>
  <c r="AH2284" i="3"/>
  <c r="AH2285" i="3"/>
  <c r="AH2286" i="3"/>
  <c r="AH2287" i="3"/>
  <c r="AH2288" i="3"/>
  <c r="AH2289" i="3"/>
  <c r="AH2290" i="3"/>
  <c r="AH2291" i="3"/>
  <c r="AH2292" i="3"/>
  <c r="AH2293" i="3"/>
  <c r="AH2294" i="3"/>
  <c r="AH2295" i="3"/>
  <c r="AH2296" i="3"/>
  <c r="AH2297" i="3"/>
  <c r="AH2298" i="3"/>
  <c r="AH2299" i="3"/>
  <c r="AH2300" i="3"/>
  <c r="AH2301" i="3"/>
  <c r="AH2302" i="3"/>
  <c r="AH2303" i="3"/>
  <c r="AH2304" i="3"/>
  <c r="AH2305" i="3"/>
  <c r="AH2306" i="3"/>
  <c r="AH2307" i="3"/>
  <c r="AH2308" i="3"/>
  <c r="AH2309" i="3"/>
  <c r="AH2310" i="3"/>
  <c r="AH2311" i="3"/>
  <c r="AH2312" i="3"/>
  <c r="AH2313" i="3"/>
  <c r="AH2314" i="3"/>
  <c r="AH2315" i="3"/>
  <c r="AH2316" i="3"/>
  <c r="AH2317" i="3"/>
  <c r="AH2318" i="3"/>
  <c r="AH2319" i="3"/>
  <c r="AH2320" i="3"/>
  <c r="AH2321" i="3"/>
  <c r="AH2322" i="3"/>
  <c r="AH2323" i="3"/>
  <c r="AH2324" i="3"/>
  <c r="AH2325" i="3"/>
  <c r="AH2326" i="3"/>
  <c r="AH2327" i="3"/>
  <c r="AH2328" i="3"/>
  <c r="AH2329" i="3"/>
  <c r="AH2330" i="3"/>
  <c r="AH2331" i="3"/>
  <c r="AH2332" i="3"/>
  <c r="AH2333" i="3"/>
  <c r="AH2334" i="3"/>
  <c r="AH2335" i="3"/>
  <c r="AH2336" i="3"/>
  <c r="AH2337" i="3"/>
  <c r="AH2338" i="3"/>
  <c r="AH2339" i="3"/>
  <c r="AH2340" i="3"/>
  <c r="AH2341" i="3"/>
  <c r="AH2342" i="3"/>
  <c r="AH2343" i="3"/>
  <c r="AH2344" i="3"/>
  <c r="AH2345" i="3"/>
  <c r="AH2346" i="3"/>
  <c r="AH2347" i="3"/>
  <c r="AH2348" i="3"/>
  <c r="AH2349" i="3"/>
  <c r="AH2350" i="3"/>
  <c r="AH2351" i="3"/>
  <c r="AH2352" i="3"/>
  <c r="AH2353" i="3"/>
  <c r="AH2354" i="3"/>
  <c r="AH2355" i="3"/>
  <c r="AH2356" i="3"/>
  <c r="AH2357" i="3"/>
  <c r="AH2358" i="3"/>
  <c r="AH2359" i="3"/>
  <c r="AH2360" i="3"/>
  <c r="AH2361" i="3"/>
  <c r="AH2362" i="3"/>
  <c r="AH2363" i="3"/>
  <c r="AH2364" i="3"/>
  <c r="AH2365" i="3"/>
  <c r="AH2366" i="3"/>
  <c r="AH2367" i="3"/>
  <c r="AH2368" i="3"/>
  <c r="AH2369" i="3"/>
  <c r="AH2370" i="3"/>
  <c r="AH2371" i="3"/>
  <c r="AH2372" i="3"/>
  <c r="AH2373" i="3"/>
  <c r="AH2374" i="3"/>
  <c r="AH2375" i="3"/>
  <c r="AH2376" i="3"/>
  <c r="AH2377" i="3"/>
  <c r="AH2378" i="3"/>
  <c r="AH2379" i="3"/>
  <c r="AH2380" i="3"/>
  <c r="AH2381" i="3"/>
  <c r="AH2382" i="3"/>
  <c r="AH2383" i="3"/>
  <c r="AH2384" i="3"/>
  <c r="AH2385" i="3"/>
  <c r="AH2386" i="3"/>
  <c r="AH2387" i="3"/>
  <c r="AH2388" i="3"/>
  <c r="AH2389" i="3"/>
  <c r="AH2390" i="3"/>
  <c r="AH2391" i="3"/>
  <c r="AH2392" i="3"/>
  <c r="AH2393" i="3"/>
  <c r="AH2394" i="3"/>
  <c r="AH2395" i="3"/>
  <c r="AH2396" i="3"/>
  <c r="AH2397" i="3"/>
  <c r="AH2398" i="3"/>
  <c r="AH2399" i="3"/>
  <c r="AH2400" i="3"/>
  <c r="AH2401" i="3"/>
  <c r="AH2402" i="3"/>
  <c r="AH2403" i="3"/>
  <c r="AH2404" i="3"/>
  <c r="AH2405" i="3"/>
  <c r="AH2406" i="3"/>
  <c r="AH2407" i="3"/>
  <c r="AH2408" i="3"/>
  <c r="AH2409" i="3"/>
  <c r="AH2410" i="3"/>
  <c r="AH2411" i="3"/>
  <c r="AH2412" i="3"/>
  <c r="AH2413" i="3"/>
  <c r="AH2414" i="3"/>
  <c r="AH2415" i="3"/>
  <c r="AH2416" i="3"/>
  <c r="AH2417" i="3"/>
  <c r="AH2418" i="3"/>
  <c r="AH2419" i="3"/>
  <c r="AH2420" i="3"/>
  <c r="AH2421" i="3"/>
  <c r="AH2422" i="3"/>
  <c r="AH2423" i="3"/>
  <c r="AH2424" i="3"/>
  <c r="AH2425" i="3"/>
  <c r="AH2426" i="3"/>
  <c r="AH2427" i="3"/>
  <c r="AH2428" i="3"/>
  <c r="AH2429" i="3"/>
  <c r="AH2430" i="3"/>
  <c r="AH2431" i="3"/>
  <c r="AH2432" i="3"/>
  <c r="AH2433" i="3"/>
  <c r="AH2434" i="3"/>
  <c r="AH2435" i="3"/>
  <c r="AH2436" i="3"/>
  <c r="AH2437" i="3"/>
  <c r="AH2438" i="3"/>
  <c r="AH2439" i="3"/>
  <c r="AH2440" i="3"/>
  <c r="AH2441" i="3"/>
  <c r="AH2442" i="3"/>
  <c r="AH2443" i="3"/>
  <c r="AH2444" i="3"/>
  <c r="AH2445" i="3"/>
  <c r="AH2446" i="3"/>
  <c r="AH2447" i="3"/>
  <c r="AH2448" i="3"/>
  <c r="AH2449" i="3"/>
  <c r="AH2450" i="3"/>
  <c r="AH2451" i="3"/>
  <c r="AH2452" i="3"/>
  <c r="AH2453" i="3"/>
  <c r="AH2454" i="3"/>
  <c r="AH2455" i="3"/>
  <c r="AH2456" i="3"/>
  <c r="AH2457" i="3"/>
  <c r="AH2458" i="3"/>
  <c r="AH2459" i="3"/>
  <c r="AH2460" i="3"/>
  <c r="AH2461" i="3"/>
  <c r="AH2462" i="3"/>
  <c r="AH2463" i="3"/>
  <c r="AH2464" i="3"/>
  <c r="AH2465" i="3"/>
  <c r="AH2466" i="3"/>
  <c r="AH2467" i="3"/>
  <c r="AH2468" i="3"/>
  <c r="AH2469" i="3"/>
  <c r="AH2470" i="3"/>
  <c r="AH2471" i="3"/>
  <c r="AH2472" i="3"/>
  <c r="AH2473" i="3"/>
  <c r="AH2474" i="3"/>
  <c r="AH2475" i="3"/>
  <c r="AH2476" i="3"/>
  <c r="AH2477" i="3"/>
  <c r="AH2478" i="3"/>
  <c r="AH2479" i="3"/>
  <c r="AH2480" i="3"/>
  <c r="AH2481" i="3"/>
  <c r="AH2482" i="3"/>
  <c r="AH2483" i="3"/>
  <c r="AH2484" i="3"/>
  <c r="AH2485" i="3"/>
  <c r="AH2486" i="3"/>
  <c r="AH2487" i="3"/>
  <c r="AH2488" i="3"/>
  <c r="AH2489" i="3"/>
  <c r="AH2490" i="3"/>
  <c r="AH2491" i="3"/>
  <c r="AH2492" i="3"/>
  <c r="AH2493" i="3"/>
  <c r="AH2494" i="3"/>
  <c r="AH2495" i="3"/>
  <c r="AH2496" i="3"/>
  <c r="AH2497" i="3"/>
  <c r="AH2498" i="3"/>
  <c r="AH2499" i="3"/>
  <c r="AH2500" i="3"/>
  <c r="AH2501" i="3"/>
  <c r="AH2502" i="3"/>
  <c r="AH2503" i="3"/>
  <c r="AH2504" i="3"/>
  <c r="AH2505" i="3"/>
  <c r="AH2506" i="3"/>
  <c r="AH2507" i="3"/>
  <c r="AH2508" i="3"/>
  <c r="AH2509" i="3"/>
  <c r="AH2510" i="3"/>
  <c r="AH2511" i="3"/>
  <c r="AH2512" i="3"/>
  <c r="AH2513" i="3"/>
  <c r="AH2514" i="3"/>
  <c r="AH2515" i="3"/>
  <c r="AH2516" i="3"/>
  <c r="AH2517" i="3"/>
  <c r="AH2518" i="3"/>
  <c r="AH2519" i="3"/>
  <c r="AH2520" i="3"/>
  <c r="AH2521" i="3"/>
  <c r="AH2522" i="3"/>
  <c r="AH2523" i="3"/>
  <c r="AH2524" i="3"/>
  <c r="AH2525" i="3"/>
  <c r="AH2526" i="3"/>
  <c r="AH2527" i="3"/>
  <c r="AH2528" i="3"/>
  <c r="AH2529" i="3"/>
  <c r="AH2530" i="3"/>
  <c r="AH2531" i="3"/>
  <c r="AH2532" i="3"/>
  <c r="AH2533" i="3"/>
  <c r="AH2534" i="3"/>
  <c r="AH2535" i="3"/>
  <c r="AH2536" i="3"/>
  <c r="AH2537" i="3"/>
  <c r="AH2538" i="3"/>
  <c r="AH2539" i="3"/>
  <c r="AH2540" i="3"/>
  <c r="AH2541" i="3"/>
  <c r="AH2542" i="3"/>
  <c r="AH2543" i="3"/>
  <c r="AH2544" i="3"/>
  <c r="AH2545" i="3"/>
  <c r="AH2546" i="3"/>
  <c r="AH2547" i="3"/>
  <c r="AH2548" i="3"/>
  <c r="AH2549" i="3"/>
  <c r="AH2550" i="3"/>
  <c r="AH2551" i="3"/>
  <c r="AH2552" i="3"/>
  <c r="AH2553" i="3"/>
  <c r="AH2554" i="3"/>
  <c r="AH2555" i="3"/>
  <c r="AH2556" i="3"/>
  <c r="AH2557" i="3"/>
  <c r="AH2558" i="3"/>
  <c r="AH2559" i="3"/>
  <c r="AH2560" i="3"/>
  <c r="AH2561" i="3"/>
  <c r="AH2562" i="3"/>
  <c r="AH2563" i="3"/>
  <c r="AH2564" i="3"/>
  <c r="AH2565" i="3"/>
  <c r="AH2566" i="3"/>
  <c r="AH2567" i="3"/>
  <c r="AH2568" i="3"/>
  <c r="AH2569" i="3"/>
  <c r="AH2570" i="3"/>
  <c r="AH2571" i="3"/>
  <c r="AH2572" i="3"/>
  <c r="AH2573" i="3"/>
  <c r="AH2574" i="3"/>
  <c r="AH2575" i="3"/>
  <c r="AH2576" i="3"/>
  <c r="AH2577" i="3"/>
  <c r="AH2578" i="3"/>
  <c r="AH2579" i="3"/>
  <c r="AH2580" i="3"/>
  <c r="AH2581" i="3"/>
  <c r="AH2582" i="3"/>
  <c r="AH2583" i="3"/>
  <c r="AH2584" i="3"/>
  <c r="AH2585" i="3"/>
  <c r="AH2586" i="3"/>
  <c r="AH2587" i="3"/>
  <c r="AH2588" i="3"/>
  <c r="AH2589" i="3"/>
  <c r="AH2590" i="3"/>
  <c r="AH2591" i="3"/>
  <c r="AH2592" i="3"/>
  <c r="AH2593" i="3"/>
  <c r="AH2594" i="3"/>
  <c r="AH2595" i="3"/>
  <c r="AH2596" i="3"/>
  <c r="AH2597" i="3"/>
  <c r="AH2598" i="3"/>
  <c r="AH2599" i="3"/>
  <c r="AH2600" i="3"/>
  <c r="AH2601" i="3"/>
  <c r="AH2602" i="3"/>
  <c r="AH2603" i="3"/>
  <c r="AH2604" i="3"/>
  <c r="AH2605" i="3"/>
  <c r="AH2606" i="3"/>
  <c r="AH2607" i="3"/>
  <c r="AH2608" i="3"/>
  <c r="AH2609" i="3"/>
  <c r="AH2610" i="3"/>
  <c r="AH2611" i="3"/>
  <c r="AH2612" i="3"/>
  <c r="AH2613" i="3"/>
  <c r="AH2614" i="3"/>
  <c r="AH2615" i="3"/>
  <c r="AH2616" i="3"/>
  <c r="AH2617" i="3"/>
  <c r="AH2618" i="3"/>
  <c r="AH2619" i="3"/>
  <c r="AH2620" i="3"/>
  <c r="AH2621" i="3"/>
  <c r="AH2622" i="3"/>
  <c r="AH2623" i="3"/>
  <c r="AH2624" i="3"/>
  <c r="AH2625" i="3"/>
  <c r="AH2626" i="3"/>
  <c r="AH2627" i="3"/>
  <c r="AH2628" i="3"/>
  <c r="AH2629" i="3"/>
  <c r="AH2630" i="3"/>
  <c r="AH2631" i="3"/>
  <c r="AH2632" i="3"/>
  <c r="AH2633" i="3"/>
  <c r="AH2634" i="3"/>
  <c r="AH2635" i="3"/>
  <c r="AH2636" i="3"/>
  <c r="AH2637" i="3"/>
  <c r="AH2638" i="3"/>
  <c r="AH2639" i="3"/>
  <c r="AH2640" i="3"/>
  <c r="AH2641" i="3"/>
  <c r="AH2642" i="3"/>
  <c r="AH2643" i="3"/>
  <c r="AH2644" i="3"/>
  <c r="AH2645" i="3"/>
  <c r="AH2646" i="3"/>
  <c r="AH2647" i="3"/>
  <c r="AH2648" i="3"/>
  <c r="AH2649" i="3"/>
  <c r="AH2650" i="3"/>
  <c r="AH2651" i="3"/>
  <c r="AH2652" i="3"/>
  <c r="AH2653" i="3"/>
  <c r="AH2654" i="3"/>
  <c r="AH2655" i="3"/>
  <c r="AH2656" i="3"/>
  <c r="AH2657" i="3"/>
  <c r="AH2658" i="3"/>
  <c r="AH2659" i="3"/>
  <c r="AH2660" i="3"/>
  <c r="AH2661" i="3"/>
  <c r="AH2662" i="3"/>
  <c r="AH2663" i="3"/>
  <c r="AH2664" i="3"/>
  <c r="AH2665" i="3"/>
  <c r="AH2666" i="3"/>
  <c r="AH2667" i="3"/>
  <c r="AH2668" i="3"/>
  <c r="AH2669" i="3"/>
  <c r="AH2670" i="3"/>
  <c r="AH2671" i="3"/>
  <c r="AH2672" i="3"/>
  <c r="AH2673" i="3"/>
  <c r="AH2674" i="3"/>
  <c r="AH2675" i="3"/>
  <c r="AH2676" i="3"/>
  <c r="AH2677" i="3"/>
  <c r="AH2678" i="3"/>
  <c r="AH2679" i="3"/>
  <c r="AH2680" i="3"/>
  <c r="AH2681" i="3"/>
  <c r="AH2682" i="3"/>
  <c r="AH2683" i="3"/>
  <c r="AH2684" i="3"/>
  <c r="AH2685" i="3"/>
  <c r="AH2686" i="3"/>
  <c r="AH2687" i="3"/>
  <c r="AH2688" i="3"/>
  <c r="AH2689" i="3"/>
  <c r="AH2690" i="3"/>
  <c r="AH2691" i="3"/>
  <c r="AH2692" i="3"/>
  <c r="AH2693" i="3"/>
  <c r="AH2694" i="3"/>
  <c r="AH2695" i="3"/>
  <c r="AH2696" i="3"/>
  <c r="AH2697" i="3"/>
  <c r="AH2698" i="3"/>
  <c r="AH2699" i="3"/>
  <c r="AH2700" i="3"/>
  <c r="AH2701" i="3"/>
  <c r="AH2702" i="3"/>
  <c r="AH2703" i="3"/>
  <c r="AH2704" i="3"/>
  <c r="AH2705" i="3"/>
  <c r="AH2706" i="3"/>
  <c r="AH2707" i="3"/>
  <c r="AH2708" i="3"/>
  <c r="AH2709" i="3"/>
  <c r="AH2710" i="3"/>
  <c r="AH2711" i="3"/>
  <c r="AH2712" i="3"/>
  <c r="AH2713" i="3"/>
  <c r="AH2714" i="3"/>
  <c r="AH2715" i="3"/>
  <c r="AH2716" i="3"/>
  <c r="AH2717" i="3"/>
  <c r="AH2718" i="3"/>
  <c r="AH2719" i="3"/>
  <c r="AH2720" i="3"/>
  <c r="AH2721" i="3"/>
  <c r="AH2722" i="3"/>
  <c r="AH2723" i="3"/>
  <c r="AH2724" i="3"/>
  <c r="AH2725" i="3"/>
  <c r="AH2726" i="3"/>
  <c r="AH2727" i="3"/>
  <c r="AH2728" i="3"/>
  <c r="AH2729" i="3"/>
  <c r="AH2730" i="3"/>
  <c r="AH2731" i="3"/>
  <c r="AH2732" i="3"/>
  <c r="AH2733" i="3"/>
  <c r="AH2734" i="3"/>
  <c r="AH2735" i="3"/>
  <c r="AH2736" i="3"/>
  <c r="AH2737" i="3"/>
  <c r="AH2738" i="3"/>
  <c r="AH2739" i="3"/>
  <c r="AH2740" i="3"/>
  <c r="AH2741" i="3"/>
  <c r="AH2742" i="3"/>
  <c r="AH2743" i="3"/>
  <c r="AH2744" i="3"/>
  <c r="AH2745" i="3"/>
  <c r="AH2746" i="3"/>
  <c r="AH2747" i="3"/>
  <c r="AH2748" i="3"/>
  <c r="AH2749" i="3"/>
  <c r="AH2750" i="3"/>
  <c r="AH2751" i="3"/>
  <c r="AH2752" i="3"/>
  <c r="AH2753" i="3"/>
  <c r="AH2754" i="3"/>
  <c r="AH2755" i="3"/>
  <c r="AH2756" i="3"/>
  <c r="AH2757" i="3"/>
  <c r="AH2758" i="3"/>
  <c r="AH2759" i="3"/>
  <c r="AH2760" i="3"/>
  <c r="AH2761" i="3"/>
  <c r="AH2762" i="3"/>
  <c r="AH2763" i="3"/>
  <c r="AH2764" i="3"/>
  <c r="AH2765" i="3"/>
  <c r="AH2766" i="3"/>
  <c r="AH2767" i="3"/>
  <c r="AH2768" i="3"/>
  <c r="AH2769" i="3"/>
  <c r="AH2770" i="3"/>
  <c r="AH2771" i="3"/>
  <c r="AH2772" i="3"/>
  <c r="AH2773" i="3"/>
  <c r="AH2774" i="3"/>
  <c r="AH2775" i="3"/>
  <c r="AH2776" i="3"/>
  <c r="AH2777" i="3"/>
  <c r="AH2778" i="3"/>
  <c r="AH2779" i="3"/>
  <c r="AH2780" i="3"/>
  <c r="AH2781" i="3"/>
  <c r="AH2782" i="3"/>
  <c r="AH2783" i="3"/>
  <c r="AH2784" i="3"/>
  <c r="AH2785" i="3"/>
  <c r="AH2786" i="3"/>
  <c r="AH2787" i="3"/>
  <c r="AH2788" i="3"/>
  <c r="AH2789" i="3"/>
  <c r="AH2790" i="3"/>
  <c r="AH2791" i="3"/>
  <c r="AH2792" i="3"/>
  <c r="AH2793" i="3"/>
  <c r="AH2794" i="3"/>
  <c r="AH2795" i="3"/>
  <c r="AH2796" i="3"/>
  <c r="AH2797" i="3"/>
  <c r="AH2798" i="3"/>
  <c r="AH2799" i="3"/>
  <c r="AH2800" i="3"/>
  <c r="AH2801" i="3"/>
  <c r="AH2802" i="3"/>
  <c r="AH2803" i="3"/>
  <c r="AH2804" i="3"/>
  <c r="AH2805" i="3"/>
  <c r="AH2806" i="3"/>
  <c r="AH2807" i="3"/>
  <c r="AH2808" i="3"/>
  <c r="AH2809" i="3"/>
  <c r="AH2810" i="3"/>
  <c r="AH2811" i="3"/>
  <c r="AH2812" i="3"/>
  <c r="AH2813" i="3"/>
  <c r="AH2814" i="3"/>
  <c r="AH2815" i="3"/>
  <c r="AH2816" i="3"/>
  <c r="AH2817" i="3"/>
  <c r="AH2818" i="3"/>
  <c r="AH2819" i="3"/>
  <c r="AH2820" i="3"/>
  <c r="AH2821" i="3"/>
  <c r="AH2822" i="3"/>
  <c r="AH2823" i="3"/>
  <c r="AH2824" i="3"/>
  <c r="AH2825" i="3"/>
  <c r="AH2826" i="3"/>
  <c r="AH2827" i="3"/>
  <c r="AH2828" i="3"/>
  <c r="AH2829" i="3"/>
  <c r="AH2830" i="3"/>
  <c r="AH2831" i="3"/>
  <c r="AH2832" i="3"/>
  <c r="AH2833" i="3"/>
  <c r="AH2834" i="3"/>
  <c r="AH2835" i="3"/>
  <c r="AH2836" i="3"/>
  <c r="AH2837" i="3"/>
  <c r="AH2838" i="3"/>
  <c r="AH2839" i="3"/>
  <c r="AH2840" i="3"/>
  <c r="AH2841" i="3"/>
  <c r="AH2842" i="3"/>
  <c r="AH2843" i="3"/>
  <c r="AH2844" i="3"/>
  <c r="AH2845" i="3"/>
  <c r="AH2846" i="3"/>
  <c r="AH2847" i="3"/>
  <c r="AH2848" i="3"/>
  <c r="AH2849" i="3"/>
  <c r="AH2850" i="3"/>
  <c r="AH2851" i="3"/>
  <c r="AH2852" i="3"/>
  <c r="AH2853" i="3"/>
  <c r="AH2854" i="3"/>
  <c r="AH2855" i="3"/>
  <c r="AH2856" i="3"/>
  <c r="AH2857" i="3"/>
  <c r="AH2858" i="3"/>
  <c r="AH2859" i="3"/>
  <c r="AH2860" i="3"/>
  <c r="AH2861" i="3"/>
  <c r="AH2862" i="3"/>
  <c r="AH2863" i="3"/>
  <c r="AH2864" i="3"/>
  <c r="AH2865" i="3"/>
  <c r="AH2866" i="3"/>
  <c r="AH2867" i="3"/>
  <c r="AH2868" i="3"/>
  <c r="AH2869" i="3"/>
  <c r="AH2870" i="3"/>
  <c r="AH2871" i="3"/>
  <c r="AH2872" i="3"/>
  <c r="AH2873" i="3"/>
  <c r="AH2874" i="3"/>
  <c r="AH2875" i="3"/>
  <c r="AH2876" i="3"/>
  <c r="AH2877" i="3"/>
  <c r="AH2878" i="3"/>
  <c r="AH2879" i="3"/>
  <c r="AH2880" i="3"/>
  <c r="AH2881" i="3"/>
  <c r="AH2882" i="3"/>
  <c r="AH2883" i="3"/>
  <c r="AH2884" i="3"/>
  <c r="AH2885" i="3"/>
  <c r="AH2886" i="3"/>
  <c r="AH2887" i="3"/>
  <c r="AH2888" i="3"/>
  <c r="AH2889" i="3"/>
  <c r="AH2890" i="3"/>
  <c r="AH2891" i="3"/>
  <c r="AH2892" i="3"/>
  <c r="AH2893" i="3"/>
  <c r="AH2894" i="3"/>
  <c r="AH2895" i="3"/>
  <c r="AH2896" i="3"/>
  <c r="AH2897" i="3"/>
  <c r="AH2898" i="3"/>
  <c r="AH2899" i="3"/>
  <c r="AH2900" i="3"/>
  <c r="AH2901" i="3"/>
  <c r="AH2902" i="3"/>
  <c r="AH2903" i="3"/>
  <c r="AH2904" i="3"/>
  <c r="AH2905" i="3"/>
  <c r="AH2906" i="3"/>
  <c r="AH2907" i="3"/>
  <c r="AH2908" i="3"/>
  <c r="AH2909" i="3"/>
  <c r="AH2910" i="3"/>
  <c r="AH2911" i="3"/>
  <c r="AH2912" i="3"/>
  <c r="AH2913" i="3"/>
  <c r="AH2914" i="3"/>
  <c r="AH2915" i="3"/>
  <c r="AH2916" i="3"/>
  <c r="AH2917" i="3"/>
  <c r="AH2918" i="3"/>
  <c r="AH2919" i="3"/>
  <c r="AH2920" i="3"/>
  <c r="AH2921" i="3"/>
  <c r="AH2922" i="3"/>
  <c r="AH2923" i="3"/>
  <c r="AH2924" i="3"/>
  <c r="AH2925" i="3"/>
  <c r="AH2926" i="3"/>
  <c r="AH2927" i="3"/>
  <c r="AH2928" i="3"/>
  <c r="AH2929" i="3"/>
  <c r="AH2930" i="3"/>
  <c r="AH2931" i="3"/>
  <c r="AH2932" i="3"/>
  <c r="AH2933" i="3"/>
  <c r="AH2934" i="3"/>
  <c r="AH2935" i="3"/>
  <c r="AH2936" i="3"/>
  <c r="AH2937" i="3"/>
  <c r="AH2938" i="3"/>
  <c r="AH2939" i="3"/>
  <c r="AH2940" i="3"/>
  <c r="AH2941" i="3"/>
  <c r="AH2942" i="3"/>
  <c r="AH2943" i="3"/>
  <c r="AH2944" i="3"/>
  <c r="AH2945" i="3"/>
  <c r="AH2946" i="3"/>
  <c r="AH2947" i="3"/>
  <c r="AH2948" i="3"/>
  <c r="AH2949" i="3"/>
  <c r="AH2950" i="3"/>
  <c r="AH2951" i="3"/>
  <c r="AH2952" i="3"/>
  <c r="AH2953" i="3"/>
  <c r="AH2954" i="3"/>
  <c r="AH2955" i="3"/>
  <c r="AH2956" i="3"/>
  <c r="AH2957" i="3"/>
  <c r="AH2958" i="3"/>
  <c r="AH2959" i="3"/>
  <c r="AH2960" i="3"/>
  <c r="AH2961" i="3"/>
  <c r="AH2962" i="3"/>
  <c r="AH2963" i="3"/>
  <c r="AH2964" i="3"/>
  <c r="AH2965" i="3"/>
  <c r="AH2966" i="3"/>
  <c r="AH2967" i="3"/>
  <c r="AH2968" i="3"/>
  <c r="AH2969" i="3"/>
  <c r="AH2970" i="3"/>
  <c r="AH2971" i="3"/>
  <c r="AH2972" i="3"/>
  <c r="AH2973" i="3"/>
  <c r="AH2974" i="3"/>
  <c r="AH2975" i="3"/>
  <c r="AH2976" i="3"/>
  <c r="AH2977" i="3"/>
  <c r="AH2978" i="3"/>
  <c r="AH2979" i="3"/>
  <c r="AH2980" i="3"/>
  <c r="AH2981" i="3"/>
  <c r="AH2982" i="3"/>
  <c r="AH2983" i="3"/>
  <c r="AH2984" i="3"/>
  <c r="AH2985" i="3"/>
  <c r="AH2986" i="3"/>
  <c r="AH2987" i="3"/>
  <c r="AH2988" i="3"/>
  <c r="AH2989" i="3"/>
  <c r="AH2990" i="3"/>
  <c r="AH2991" i="3"/>
  <c r="AH2992" i="3"/>
  <c r="AH2993" i="3"/>
  <c r="AH2994" i="3"/>
  <c r="AH2995" i="3"/>
  <c r="AH2996" i="3"/>
  <c r="AH2997" i="3"/>
  <c r="AH2998" i="3"/>
  <c r="AH2999" i="3"/>
  <c r="AH3000" i="3"/>
  <c r="AH3001" i="3"/>
  <c r="AH3002" i="3"/>
  <c r="AH3003" i="3"/>
  <c r="AH3004" i="3"/>
  <c r="AH3005" i="3"/>
  <c r="AH3006" i="3"/>
  <c r="AH3007" i="3"/>
  <c r="AH3008" i="3"/>
  <c r="AH3009" i="3"/>
  <c r="AH3010" i="3"/>
  <c r="AH3011" i="3"/>
  <c r="AH3012" i="3"/>
  <c r="AH3013" i="3"/>
  <c r="AH3014" i="3"/>
  <c r="AH3015" i="3"/>
  <c r="AH3016" i="3"/>
  <c r="AH3017" i="3"/>
  <c r="AH3018" i="3"/>
  <c r="AH3019" i="3"/>
  <c r="AH3020" i="3"/>
  <c r="AH3021" i="3"/>
  <c r="AH3022" i="3"/>
  <c r="AH3023" i="3"/>
  <c r="AH3024" i="3"/>
  <c r="AH3025" i="3"/>
  <c r="AH3026" i="3"/>
  <c r="AH3027" i="3"/>
  <c r="AH3028" i="3"/>
  <c r="AH3029" i="3"/>
  <c r="AH3030" i="3"/>
  <c r="AH3031" i="3"/>
  <c r="AH3032" i="3"/>
  <c r="AH3033" i="3"/>
  <c r="AH3034" i="3"/>
  <c r="AH3035" i="3"/>
  <c r="AH3036" i="3"/>
  <c r="AH3037" i="3"/>
  <c r="AH3038" i="3"/>
  <c r="AH3039" i="3"/>
  <c r="AH3040" i="3"/>
  <c r="AH3041" i="3"/>
  <c r="AH3042" i="3"/>
  <c r="AH3043" i="3"/>
  <c r="AH3044" i="3"/>
  <c r="AH3045" i="3"/>
  <c r="AH3046" i="3"/>
  <c r="AH3047" i="3"/>
  <c r="AH3048" i="3"/>
  <c r="AH3049" i="3"/>
  <c r="AH3050" i="3"/>
  <c r="AH3051" i="3"/>
  <c r="AH3052" i="3"/>
  <c r="AH3053" i="3"/>
  <c r="AH3054" i="3"/>
  <c r="AH3055" i="3"/>
  <c r="AH3056" i="3"/>
  <c r="AH3057" i="3"/>
  <c r="AH3058" i="3"/>
  <c r="AH3059" i="3"/>
  <c r="AH3060" i="3"/>
  <c r="AH3061" i="3"/>
  <c r="AH3062" i="3"/>
  <c r="AH3063" i="3"/>
  <c r="AH3064" i="3"/>
  <c r="AH3065" i="3"/>
  <c r="AH3066" i="3"/>
  <c r="AH3067" i="3"/>
  <c r="AH3068" i="3"/>
  <c r="AH3069" i="3"/>
  <c r="AH3070" i="3"/>
  <c r="AH3071" i="3"/>
  <c r="AH3072" i="3"/>
  <c r="AH3073" i="3"/>
  <c r="AH3074" i="3"/>
  <c r="AH3075" i="3"/>
  <c r="AH3076" i="3"/>
  <c r="AH3077" i="3"/>
  <c r="AH3078" i="3"/>
  <c r="AH3079" i="3"/>
  <c r="AH3080" i="3"/>
  <c r="AH3081" i="3"/>
  <c r="AH3082" i="3"/>
  <c r="AH3083" i="3"/>
  <c r="AH3084" i="3"/>
  <c r="AH3085" i="3"/>
  <c r="AH3086" i="3"/>
  <c r="AH3087" i="3"/>
  <c r="AH3088" i="3"/>
  <c r="AH3089" i="3"/>
  <c r="AH3090" i="3"/>
  <c r="AH3091" i="3"/>
  <c r="AH3092" i="3"/>
  <c r="AH3093" i="3"/>
  <c r="AH3094" i="3"/>
  <c r="AH3095" i="3"/>
  <c r="AH3096" i="3"/>
  <c r="AH3097" i="3"/>
  <c r="AH3098" i="3"/>
  <c r="AH3099" i="3"/>
  <c r="AH3100" i="3"/>
  <c r="AH3101" i="3"/>
  <c r="AH3102" i="3"/>
  <c r="AH3103" i="3"/>
  <c r="AH3104" i="3"/>
  <c r="AH3105" i="3"/>
  <c r="AH3106" i="3"/>
  <c r="AH3107" i="3"/>
  <c r="AH3108" i="3"/>
  <c r="AH3109" i="3"/>
  <c r="AH3110" i="3"/>
  <c r="AH3111" i="3"/>
  <c r="AH3112" i="3"/>
  <c r="AH3113" i="3"/>
  <c r="AH3114" i="3"/>
  <c r="AH3115" i="3"/>
  <c r="AH3116" i="3"/>
  <c r="AH3117" i="3"/>
  <c r="AH3118" i="3"/>
  <c r="AH3119" i="3"/>
  <c r="AH3120" i="3"/>
  <c r="AH3121" i="3"/>
  <c r="AH3122" i="3"/>
  <c r="AH3123" i="3"/>
  <c r="AH3124" i="3"/>
  <c r="AH3125" i="3"/>
  <c r="AH3126" i="3"/>
  <c r="AH3127" i="3"/>
  <c r="AH3128" i="3"/>
  <c r="AH3129" i="3"/>
  <c r="AH3130" i="3"/>
  <c r="AH3131" i="3"/>
  <c r="AH3132" i="3"/>
  <c r="AH3133" i="3"/>
  <c r="AH3134" i="3"/>
  <c r="AH3135" i="3"/>
  <c r="AH3136" i="3"/>
  <c r="AH3137" i="3"/>
  <c r="AH3138" i="3"/>
  <c r="AH3139" i="3"/>
  <c r="AH3140" i="3"/>
  <c r="AH3141" i="3"/>
  <c r="AH3142" i="3"/>
  <c r="AH3143" i="3"/>
  <c r="AH3144" i="3"/>
  <c r="AH3145" i="3"/>
  <c r="AH3146" i="3"/>
  <c r="AH3147" i="3"/>
  <c r="AH3148" i="3"/>
  <c r="AH3149" i="3"/>
  <c r="AH3150" i="3"/>
  <c r="AH3151" i="3"/>
  <c r="AH3152" i="3"/>
  <c r="AH3153" i="3"/>
  <c r="AH3154" i="3"/>
  <c r="AH3155" i="3"/>
  <c r="AH3156" i="3"/>
  <c r="AH3157" i="3"/>
  <c r="AH3158" i="3"/>
  <c r="AH3159" i="3"/>
  <c r="AH3160" i="3"/>
  <c r="AH3161" i="3"/>
  <c r="AH3162" i="3"/>
  <c r="AH3163" i="3"/>
  <c r="AH3164" i="3"/>
  <c r="AH3165" i="3"/>
  <c r="AH3166" i="3"/>
  <c r="AH3167" i="3"/>
  <c r="AH3168" i="3"/>
  <c r="AH3169" i="3"/>
  <c r="AH3170" i="3"/>
  <c r="AH3171" i="3"/>
  <c r="AH3172" i="3"/>
  <c r="AH3173" i="3"/>
  <c r="AH3174" i="3"/>
  <c r="AH3175" i="3"/>
  <c r="AH3176" i="3"/>
  <c r="AH3177" i="3"/>
  <c r="AH3178" i="3"/>
  <c r="AH3179" i="3"/>
  <c r="AH3180" i="3"/>
  <c r="AH3181" i="3"/>
  <c r="AH3182" i="3"/>
  <c r="AH3183" i="3"/>
  <c r="AH3184" i="3"/>
  <c r="AH3185" i="3"/>
  <c r="AH3186" i="3"/>
  <c r="AH3187" i="3"/>
  <c r="AH3188" i="3"/>
  <c r="AH3189" i="3"/>
  <c r="AH3190" i="3"/>
  <c r="AH3191" i="3"/>
  <c r="AH3192" i="3"/>
  <c r="AH3193" i="3"/>
  <c r="AH3194" i="3"/>
  <c r="AH3195" i="3"/>
  <c r="AH3196" i="3"/>
  <c r="AH3197" i="3"/>
  <c r="AH3198" i="3"/>
  <c r="AH3199" i="3"/>
  <c r="AH3200" i="3"/>
  <c r="AH3201" i="3"/>
  <c r="AH3202" i="3"/>
  <c r="AH3203" i="3"/>
  <c r="AH3204" i="3"/>
  <c r="AH3205" i="3"/>
  <c r="AH3206" i="3"/>
  <c r="AH3207" i="3"/>
  <c r="AH3208" i="3"/>
  <c r="AH3209" i="3"/>
  <c r="AH3210" i="3"/>
  <c r="AH3211" i="3"/>
  <c r="AH3212" i="3"/>
  <c r="AH3213" i="3"/>
  <c r="AH3214" i="3"/>
  <c r="AH3215" i="3"/>
  <c r="AH3216" i="3"/>
  <c r="AH3217" i="3"/>
  <c r="AH3218" i="3"/>
  <c r="AH3219" i="3"/>
  <c r="AH3220" i="3"/>
  <c r="AH3221" i="3"/>
  <c r="AH3222" i="3"/>
  <c r="AH3223" i="3"/>
  <c r="AH3224" i="3"/>
  <c r="AH3225" i="3"/>
  <c r="AH3226" i="3"/>
  <c r="AH3227" i="3"/>
  <c r="AH3228" i="3"/>
  <c r="AH3229" i="3"/>
  <c r="AH3230" i="3"/>
  <c r="AH3231" i="3"/>
  <c r="AH3232" i="3"/>
  <c r="AH3233" i="3"/>
  <c r="AH3234" i="3"/>
  <c r="AH3235" i="3"/>
  <c r="AH3236" i="3"/>
  <c r="AH3237" i="3"/>
  <c r="AH3238" i="3"/>
  <c r="AH3239" i="3"/>
  <c r="AH3240" i="3"/>
  <c r="AH3241" i="3"/>
  <c r="AH3242" i="3"/>
  <c r="AH3243" i="3"/>
  <c r="AH3244" i="3"/>
  <c r="AH3245" i="3"/>
  <c r="AH3246" i="3"/>
  <c r="AH3247" i="3"/>
  <c r="AH3248" i="3"/>
  <c r="AH3249" i="3"/>
  <c r="AH3250" i="3"/>
  <c r="AH3251" i="3"/>
  <c r="AH3252" i="3"/>
  <c r="AH3253" i="3"/>
  <c r="AH3254" i="3"/>
  <c r="AH3255" i="3"/>
  <c r="AH3256" i="3"/>
  <c r="AH3257" i="3"/>
  <c r="AH3258" i="3"/>
  <c r="AH3259" i="3"/>
  <c r="AH3260" i="3"/>
  <c r="AH3261" i="3"/>
  <c r="AH3262" i="3"/>
  <c r="AH3263" i="3"/>
  <c r="AH3264" i="3"/>
  <c r="AH3265" i="3"/>
  <c r="AH3266" i="3"/>
  <c r="AH3267" i="3"/>
  <c r="AH3268" i="3"/>
  <c r="AH3269" i="3"/>
  <c r="AH3270" i="3"/>
  <c r="AH3271" i="3"/>
  <c r="AH3272" i="3"/>
  <c r="AH3273" i="3"/>
  <c r="AH3274" i="3"/>
  <c r="AH3275" i="3"/>
  <c r="AH3276" i="3"/>
  <c r="AH3277" i="3"/>
  <c r="AH3278" i="3"/>
  <c r="AH3279" i="3"/>
  <c r="AH3280" i="3"/>
  <c r="AH3281" i="3"/>
  <c r="AH3282" i="3"/>
  <c r="AH3283" i="3"/>
  <c r="AH3284" i="3"/>
  <c r="AH3285" i="3"/>
  <c r="AH3286" i="3"/>
  <c r="AH3287" i="3"/>
  <c r="AH3288" i="3"/>
  <c r="AH3289" i="3"/>
  <c r="AH3290" i="3"/>
  <c r="AH3291" i="3"/>
  <c r="AH3292" i="3"/>
  <c r="AH3293" i="3"/>
  <c r="AH3294" i="3"/>
  <c r="AH3295" i="3"/>
  <c r="AH3296" i="3"/>
  <c r="AH3297" i="3"/>
  <c r="AH3298" i="3"/>
  <c r="AH3299" i="3"/>
  <c r="AH3300" i="3"/>
  <c r="AH3301" i="3"/>
  <c r="AH3302" i="3"/>
  <c r="AH3303" i="3"/>
  <c r="AH3304" i="3"/>
  <c r="AH3305" i="3"/>
  <c r="AH3306" i="3"/>
  <c r="AH3307" i="3"/>
  <c r="AH3308" i="3"/>
  <c r="AH3309" i="3"/>
  <c r="AH3310" i="3"/>
  <c r="AH3311" i="3"/>
  <c r="AH3312" i="3"/>
  <c r="AH3313" i="3"/>
  <c r="AH3314" i="3"/>
  <c r="AH3315" i="3"/>
  <c r="AH3316" i="3"/>
  <c r="AH3317" i="3"/>
  <c r="AH3318" i="3"/>
  <c r="AH3319" i="3"/>
  <c r="AH3320" i="3"/>
  <c r="AH3321" i="3"/>
  <c r="AH3322" i="3"/>
  <c r="AH3323" i="3"/>
  <c r="AH3324" i="3"/>
  <c r="AH3325" i="3"/>
  <c r="AH3326" i="3"/>
  <c r="AH3327" i="3"/>
  <c r="AH3328" i="3"/>
  <c r="AH3329" i="3"/>
  <c r="AH3330" i="3"/>
  <c r="AH3331" i="3"/>
  <c r="AH3332" i="3"/>
  <c r="AH3333" i="3"/>
  <c r="AH3334" i="3"/>
  <c r="AH3335" i="3"/>
  <c r="AH3336" i="3"/>
  <c r="AH3337" i="3"/>
  <c r="AH3338" i="3"/>
  <c r="AH3339" i="3"/>
  <c r="AH3340" i="3"/>
  <c r="AH3341" i="3"/>
  <c r="AH3342" i="3"/>
  <c r="AH3343" i="3"/>
  <c r="AH3344" i="3"/>
  <c r="AH3345" i="3"/>
  <c r="AH3346" i="3"/>
  <c r="AH3347" i="3"/>
  <c r="AH3348" i="3"/>
  <c r="AH3349" i="3"/>
  <c r="AH3350" i="3"/>
  <c r="AH3351" i="3"/>
  <c r="AH3352" i="3"/>
  <c r="AH3353" i="3"/>
  <c r="AH3354" i="3"/>
  <c r="AH3355" i="3"/>
  <c r="AH3356" i="3"/>
  <c r="AH3357" i="3"/>
  <c r="AH3358" i="3"/>
  <c r="AH3359" i="3"/>
  <c r="AH3360" i="3"/>
  <c r="AH3361" i="3"/>
  <c r="AH3362" i="3"/>
  <c r="AH3363" i="3"/>
  <c r="AH3364" i="3"/>
  <c r="AH3365" i="3"/>
  <c r="AH3366" i="3"/>
  <c r="AH3367" i="3"/>
  <c r="AH3368" i="3"/>
  <c r="AH3369" i="3"/>
  <c r="AH3370" i="3"/>
  <c r="AH3371" i="3"/>
  <c r="AH3372" i="3"/>
  <c r="AH3373" i="3"/>
  <c r="AH3374" i="3"/>
  <c r="AH3375" i="3"/>
  <c r="AH3376" i="3"/>
  <c r="AH3377" i="3"/>
  <c r="AH3378" i="3"/>
  <c r="AH3379" i="3"/>
  <c r="AH3380" i="3"/>
  <c r="AH3381" i="3"/>
  <c r="AH3382" i="3"/>
  <c r="AH3383" i="3"/>
  <c r="AH3384" i="3"/>
  <c r="AH3385" i="3"/>
  <c r="AH3386" i="3"/>
  <c r="AH3387" i="3"/>
  <c r="AH3388" i="3"/>
  <c r="AH3389" i="3"/>
  <c r="AH3390" i="3"/>
  <c r="AH3391" i="3"/>
  <c r="AH3392" i="3"/>
  <c r="AH3393" i="3"/>
  <c r="AH3394" i="3"/>
  <c r="AH3395" i="3"/>
  <c r="AH3396" i="3"/>
  <c r="AH3397" i="3"/>
  <c r="AH3398" i="3"/>
  <c r="AH3399" i="3"/>
  <c r="AH3400" i="3"/>
  <c r="AH3401" i="3"/>
  <c r="AH3402" i="3"/>
  <c r="AH3403" i="3"/>
  <c r="AH3404" i="3"/>
  <c r="AH3405" i="3"/>
  <c r="AH3406" i="3"/>
  <c r="AH3407" i="3"/>
  <c r="AH3408" i="3"/>
  <c r="AH3409" i="3"/>
  <c r="AH3410" i="3"/>
  <c r="AH3411" i="3"/>
  <c r="AH3412" i="3"/>
  <c r="AH3413" i="3"/>
  <c r="AH3414" i="3"/>
  <c r="AH3415" i="3"/>
  <c r="AH3416" i="3"/>
  <c r="AH3417" i="3"/>
  <c r="AH3418" i="3"/>
  <c r="AH3419" i="3"/>
  <c r="AH3420" i="3"/>
  <c r="AH3421" i="3"/>
  <c r="AH3422" i="3"/>
  <c r="AH3423" i="3"/>
  <c r="AH3424" i="3"/>
  <c r="AH3425" i="3"/>
  <c r="AH3426" i="3"/>
  <c r="AH3427" i="3"/>
  <c r="AH3428" i="3"/>
  <c r="AH3429" i="3"/>
  <c r="AH3430" i="3"/>
  <c r="AH3431" i="3"/>
  <c r="AH3432" i="3"/>
  <c r="AH3433" i="3"/>
  <c r="AH3434" i="3"/>
  <c r="AH3435" i="3"/>
  <c r="AH3436" i="3"/>
  <c r="AH3437" i="3"/>
  <c r="AH3438" i="3"/>
  <c r="AH3439" i="3"/>
  <c r="AH3440" i="3"/>
  <c r="AH3441" i="3"/>
  <c r="AH3442" i="3"/>
  <c r="AH3443" i="3"/>
  <c r="AH3444" i="3"/>
  <c r="AH3445" i="3"/>
  <c r="AH3446" i="3"/>
  <c r="AH3447" i="3"/>
  <c r="AH3448" i="3"/>
  <c r="AH3449" i="3"/>
  <c r="AH3450" i="3"/>
  <c r="AH3451" i="3"/>
  <c r="AH3452" i="3"/>
  <c r="AH3453" i="3"/>
  <c r="AH3454" i="3"/>
  <c r="AH3455" i="3"/>
  <c r="AH3456" i="3"/>
  <c r="AH3457" i="3"/>
  <c r="AH3458" i="3"/>
  <c r="AH3459" i="3"/>
  <c r="AH3460" i="3"/>
  <c r="AH3461" i="3"/>
  <c r="AH3462" i="3"/>
  <c r="AH3463" i="3"/>
  <c r="AH3464" i="3"/>
  <c r="AH3465" i="3"/>
  <c r="AH3466" i="3"/>
  <c r="AH3467" i="3"/>
  <c r="AH3468" i="3"/>
  <c r="AH3469" i="3"/>
  <c r="AH3470" i="3"/>
  <c r="AH3471" i="3"/>
  <c r="AH3472" i="3"/>
  <c r="AH3473" i="3"/>
  <c r="AH3474" i="3"/>
  <c r="AH3475" i="3"/>
  <c r="AH3476" i="3"/>
  <c r="AH3477" i="3"/>
  <c r="AH3478" i="3"/>
  <c r="AH3479" i="3"/>
  <c r="AH3480" i="3"/>
  <c r="AH3481" i="3"/>
  <c r="AH3482" i="3"/>
  <c r="AH3483" i="3"/>
  <c r="AH3484" i="3"/>
  <c r="AH3485" i="3"/>
  <c r="AH3486" i="3"/>
  <c r="AH3487" i="3"/>
  <c r="AH3488" i="3"/>
  <c r="AH3489" i="3"/>
  <c r="AH3490" i="3"/>
  <c r="AH3491" i="3"/>
  <c r="AH3492" i="3"/>
  <c r="AH3493" i="3"/>
  <c r="AH3494" i="3"/>
  <c r="AH3495" i="3"/>
  <c r="AH3496" i="3"/>
  <c r="AH3497" i="3"/>
  <c r="AH3498" i="3"/>
  <c r="AH3499" i="3"/>
  <c r="AH3500" i="3"/>
  <c r="AH3501" i="3"/>
  <c r="AH3502" i="3"/>
  <c r="AH3503" i="3"/>
  <c r="AH3504" i="3"/>
  <c r="AH3505" i="3"/>
  <c r="AH3506" i="3"/>
  <c r="AH3507" i="3"/>
  <c r="AH3508" i="3"/>
  <c r="AH3509" i="3"/>
  <c r="AH3510" i="3"/>
  <c r="AH3511" i="3"/>
  <c r="AH3512" i="3"/>
  <c r="AH3513" i="3"/>
  <c r="AH3514" i="3"/>
  <c r="AH3515" i="3"/>
  <c r="AH3516" i="3"/>
  <c r="AH3517" i="3"/>
  <c r="AH3518" i="3"/>
  <c r="AH3519" i="3"/>
  <c r="AH3520" i="3"/>
  <c r="AH3521" i="3"/>
  <c r="AH3522" i="3"/>
  <c r="AH3523" i="3"/>
  <c r="AH3524" i="3"/>
  <c r="AH3525" i="3"/>
  <c r="AH3526" i="3"/>
  <c r="AH3527" i="3"/>
  <c r="AH3528" i="3"/>
  <c r="AH3529" i="3"/>
  <c r="AH3530" i="3"/>
  <c r="AH3531" i="3"/>
  <c r="AH3532" i="3"/>
  <c r="AH3533" i="3"/>
  <c r="AH3534" i="3"/>
  <c r="AH3535" i="3"/>
  <c r="AH3536" i="3"/>
  <c r="AH3537" i="3"/>
  <c r="AH3538" i="3"/>
  <c r="AH3539" i="3"/>
  <c r="AH3540" i="3"/>
  <c r="AH3541" i="3"/>
  <c r="AH3542" i="3"/>
  <c r="AH3543" i="3"/>
  <c r="AH3544" i="3"/>
  <c r="AH3545" i="3"/>
  <c r="AH3546" i="3"/>
  <c r="AH3547" i="3"/>
  <c r="AH3548" i="3"/>
  <c r="AH3549" i="3"/>
  <c r="AH3550" i="3"/>
  <c r="AH3551" i="3"/>
  <c r="AH3552" i="3"/>
  <c r="AH3553" i="3"/>
  <c r="AH3554" i="3"/>
  <c r="AH3555" i="3"/>
  <c r="AH3556" i="3"/>
  <c r="AH3557" i="3"/>
  <c r="AH3558" i="3"/>
  <c r="AH3559" i="3"/>
  <c r="AH3560" i="3"/>
  <c r="AH3561" i="3"/>
  <c r="AH3562" i="3"/>
  <c r="AH3563" i="3"/>
  <c r="AH3564" i="3"/>
  <c r="AH3565" i="3"/>
  <c r="AH3566" i="3"/>
  <c r="AH3567" i="3"/>
  <c r="AH3568" i="3"/>
  <c r="AH3569" i="3"/>
  <c r="AH3570" i="3"/>
  <c r="AH3571" i="3"/>
  <c r="AH3572" i="3"/>
  <c r="AH3573" i="3"/>
  <c r="AH3574" i="3"/>
  <c r="AH3575" i="3"/>
  <c r="AH3576" i="3"/>
  <c r="AH3577" i="3"/>
  <c r="AH3578" i="3"/>
  <c r="AH3579" i="3"/>
  <c r="AH3580" i="3"/>
  <c r="AH3581" i="3"/>
  <c r="AH3582" i="3"/>
  <c r="AH3583" i="3"/>
  <c r="AH3584" i="3"/>
  <c r="AH3585" i="3"/>
  <c r="AH3586" i="3"/>
  <c r="AH3587" i="3"/>
  <c r="AH3588" i="3"/>
  <c r="AH3589" i="3"/>
  <c r="AH3590" i="3"/>
  <c r="AH3591" i="3"/>
  <c r="AH3592" i="3"/>
  <c r="AH3593" i="3"/>
  <c r="AH3594" i="3"/>
  <c r="AH3595" i="3"/>
  <c r="AH3596" i="3"/>
  <c r="AH3597" i="3"/>
  <c r="AH3598" i="3"/>
  <c r="AH3599" i="3"/>
  <c r="AH3600" i="3"/>
  <c r="AH3601" i="3"/>
  <c r="AH3602" i="3"/>
  <c r="AH3603" i="3"/>
  <c r="AH3604" i="3"/>
  <c r="AH3605" i="3"/>
  <c r="AH3606" i="3"/>
  <c r="AH3607" i="3"/>
  <c r="AH3608" i="3"/>
  <c r="AH3609" i="3"/>
  <c r="AH3610" i="3"/>
  <c r="AH3611" i="3"/>
  <c r="AH3612" i="3"/>
  <c r="AH3613" i="3"/>
  <c r="AH3614" i="3"/>
  <c r="AH3615" i="3"/>
  <c r="AH3616" i="3"/>
  <c r="AH3617" i="3"/>
  <c r="AH3618" i="3"/>
  <c r="AH3619" i="3"/>
  <c r="AH3620" i="3"/>
  <c r="AH3621" i="3"/>
  <c r="AH3622" i="3"/>
  <c r="AH3623" i="3"/>
  <c r="AH3624" i="3"/>
  <c r="AH3625" i="3"/>
  <c r="AH5834" i="3"/>
  <c r="AH5835" i="3"/>
  <c r="AH5836" i="3"/>
  <c r="AH5837" i="3"/>
  <c r="AH5838" i="3"/>
  <c r="AH5839" i="3"/>
  <c r="AH5840" i="3"/>
  <c r="AH5841" i="3"/>
  <c r="AH5842" i="3"/>
  <c r="AH5843" i="3"/>
  <c r="AH5844" i="3"/>
  <c r="AH5845" i="3"/>
  <c r="AH5846" i="3"/>
  <c r="AH5847" i="3"/>
  <c r="AH5848" i="3"/>
  <c r="AH5849" i="3"/>
  <c r="AH5850" i="3"/>
  <c r="AH5851" i="3"/>
  <c r="AH5852" i="3"/>
  <c r="AH5853" i="3"/>
  <c r="AH5854" i="3"/>
  <c r="AH5855" i="3"/>
  <c r="AH5856" i="3"/>
  <c r="AH5857" i="3"/>
  <c r="AH5858" i="3"/>
  <c r="AH5859" i="3"/>
  <c r="AH5860" i="3"/>
  <c r="AH5861" i="3"/>
  <c r="AH5862" i="3"/>
  <c r="AH5863" i="3"/>
  <c r="AH5864" i="3"/>
  <c r="AH5865" i="3"/>
  <c r="AH5866" i="3"/>
  <c r="AH5867" i="3"/>
  <c r="AH5868" i="3"/>
  <c r="AH5869" i="3"/>
  <c r="AH5870" i="3"/>
  <c r="AH5871" i="3"/>
  <c r="AH5872" i="3"/>
  <c r="AH5873" i="3"/>
  <c r="AH5874" i="3"/>
  <c r="AH5875" i="3"/>
  <c r="AH5876" i="3"/>
  <c r="AH5877" i="3"/>
  <c r="AH5878" i="3"/>
  <c r="AH5879" i="3"/>
  <c r="AH5880" i="3"/>
  <c r="AH5881" i="3"/>
  <c r="AH5882" i="3"/>
  <c r="AH5883" i="3"/>
  <c r="AH5884" i="3"/>
  <c r="AH5885" i="3"/>
  <c r="AH5886" i="3"/>
  <c r="AH5887" i="3"/>
  <c r="AH5888" i="3"/>
  <c r="AH5889" i="3"/>
  <c r="AH5890" i="3"/>
  <c r="AH5891" i="3"/>
  <c r="AH5892" i="3"/>
  <c r="AH5893" i="3"/>
  <c r="AH5894" i="3"/>
  <c r="AH5895" i="3"/>
  <c r="AH5896" i="3"/>
  <c r="AH5897" i="3"/>
  <c r="AH5898" i="3"/>
  <c r="AH5899" i="3"/>
  <c r="AH5900" i="3"/>
  <c r="AH5901" i="3"/>
  <c r="AH5902" i="3"/>
  <c r="AH5903" i="3"/>
  <c r="AH5904" i="3"/>
  <c r="AH5905" i="3"/>
  <c r="AH5906" i="3"/>
  <c r="AH5907" i="3"/>
  <c r="AH5908" i="3"/>
  <c r="AH5909" i="3"/>
  <c r="AH5910" i="3"/>
  <c r="AH5911" i="3"/>
  <c r="AH5912" i="3"/>
  <c r="AH5913" i="3"/>
  <c r="AH5914" i="3"/>
  <c r="AH5915" i="3"/>
  <c r="AH5916" i="3"/>
  <c r="AH5917" i="3"/>
  <c r="AH5918" i="3"/>
  <c r="AH5919" i="3"/>
  <c r="AH5920" i="3"/>
  <c r="AH5921" i="3"/>
  <c r="AH5922" i="3"/>
  <c r="AH5923" i="3"/>
  <c r="AH5924" i="3"/>
  <c r="AH5925" i="3"/>
  <c r="AH5926" i="3"/>
  <c r="AH5927" i="3"/>
  <c r="AH5928" i="3"/>
  <c r="AH5929" i="3"/>
  <c r="AH5930" i="3"/>
  <c r="AH5931" i="3"/>
  <c r="AH5932" i="3"/>
  <c r="AH5933" i="3"/>
  <c r="AH5934" i="3"/>
  <c r="AH5935" i="3"/>
  <c r="AH5936" i="3"/>
  <c r="AH5937" i="3"/>
  <c r="AH5938" i="3"/>
  <c r="AH5939" i="3"/>
  <c r="AH5940" i="3"/>
  <c r="AH5941" i="3"/>
  <c r="AH5942" i="3"/>
  <c r="AH5943" i="3"/>
  <c r="AH5944" i="3"/>
  <c r="AH5945" i="3"/>
  <c r="AH5946" i="3"/>
  <c r="AH5947" i="3"/>
  <c r="AH5948" i="3"/>
  <c r="AH5949" i="3"/>
  <c r="AH5950" i="3"/>
  <c r="AH5951" i="3"/>
  <c r="AH5952" i="3"/>
  <c r="AH5953" i="3"/>
  <c r="AH5954" i="3"/>
  <c r="AH5955" i="3"/>
  <c r="AH5956" i="3"/>
  <c r="AH5957" i="3"/>
  <c r="AH5958" i="3"/>
  <c r="AH5959" i="3"/>
  <c r="AH5960" i="3"/>
  <c r="AH5961" i="3"/>
  <c r="AH5962" i="3"/>
  <c r="AH5963" i="3"/>
  <c r="AH5964" i="3"/>
  <c r="AH5965" i="3"/>
  <c r="AH5966" i="3"/>
  <c r="AH5967" i="3"/>
  <c r="AH5968" i="3"/>
  <c r="AH5969" i="3"/>
  <c r="AH5970" i="3"/>
  <c r="AH5971" i="3"/>
  <c r="AH5972" i="3"/>
  <c r="AH5973" i="3"/>
  <c r="AH5974" i="3"/>
  <c r="AH5975" i="3"/>
  <c r="AH5976" i="3"/>
  <c r="AH5977" i="3"/>
  <c r="AH5978" i="3"/>
  <c r="AH5979" i="3"/>
  <c r="AH5980" i="3"/>
  <c r="AH5981" i="3"/>
  <c r="AH5982" i="3"/>
  <c r="AH5983" i="3"/>
  <c r="AH5984" i="3"/>
  <c r="AH5985" i="3"/>
  <c r="AH5986" i="3"/>
  <c r="AH5987" i="3"/>
  <c r="AH5988" i="3"/>
  <c r="AH5989" i="3"/>
  <c r="AH5990" i="3"/>
  <c r="AH5991" i="3"/>
  <c r="AH5992" i="3"/>
  <c r="AH5993" i="3"/>
  <c r="AH5994" i="3"/>
  <c r="AH5995" i="3"/>
  <c r="AH5996" i="3"/>
  <c r="AH5997" i="3"/>
  <c r="AH5998" i="3"/>
  <c r="AH5999" i="3"/>
  <c r="AH6000" i="3"/>
  <c r="AH6001" i="3"/>
  <c r="AH6002" i="3"/>
  <c r="AH6003" i="3"/>
  <c r="AH6004" i="3"/>
  <c r="AH6005" i="3"/>
  <c r="AH6006" i="3"/>
  <c r="AH6007" i="3"/>
  <c r="AH6008" i="3"/>
  <c r="AH6009" i="3"/>
  <c r="AH6010" i="3"/>
  <c r="AH6011" i="3"/>
  <c r="AH6012" i="3"/>
  <c r="AH6013" i="3"/>
  <c r="AH6014" i="3"/>
  <c r="AH6015" i="3"/>
  <c r="AH6016" i="3"/>
  <c r="AH6017" i="3"/>
  <c r="AH6018" i="3"/>
  <c r="AH6019" i="3"/>
  <c r="AH6020" i="3"/>
  <c r="AH6021" i="3"/>
  <c r="AH6022" i="3"/>
  <c r="AH6023" i="3"/>
  <c r="AH6024" i="3"/>
  <c r="AH6025" i="3"/>
  <c r="AH6026" i="3"/>
  <c r="AH6027" i="3"/>
  <c r="AH6028" i="3"/>
  <c r="AH6029" i="3"/>
  <c r="AH6030" i="3"/>
  <c r="AH6031" i="3"/>
  <c r="AH6032" i="3"/>
  <c r="AH6033" i="3"/>
  <c r="AH6034" i="3"/>
  <c r="AH6035" i="3"/>
  <c r="AH6036" i="3"/>
  <c r="AH6037" i="3"/>
  <c r="AH6038" i="3"/>
  <c r="AH6039" i="3"/>
  <c r="AH6040" i="3"/>
  <c r="AH6041" i="3"/>
  <c r="AH6042" i="3"/>
  <c r="AH6043" i="3"/>
  <c r="AH6044" i="3"/>
  <c r="AH6045" i="3"/>
  <c r="AH6046" i="3"/>
  <c r="AH6047" i="3"/>
  <c r="AH6048" i="3"/>
  <c r="AH6049" i="3"/>
  <c r="AH6050" i="3"/>
  <c r="AH6051" i="3"/>
  <c r="AH6052" i="3"/>
  <c r="AH6053" i="3"/>
  <c r="AH6054" i="3"/>
  <c r="AH6055" i="3"/>
  <c r="AH6056" i="3"/>
  <c r="AH6057" i="3"/>
  <c r="AH6058" i="3"/>
  <c r="AH6059" i="3"/>
  <c r="AH6060" i="3"/>
  <c r="AH6061" i="3"/>
  <c r="AH6062" i="3"/>
  <c r="AH6063" i="3"/>
  <c r="AH6064" i="3"/>
  <c r="AH6065" i="3"/>
  <c r="AH6066" i="3"/>
  <c r="AH6067" i="3"/>
  <c r="AH6068" i="3"/>
  <c r="AH6069" i="3"/>
  <c r="AH6070" i="3"/>
  <c r="AH6071" i="3"/>
  <c r="AH6072" i="3"/>
  <c r="AH6073" i="3"/>
  <c r="AH6074" i="3"/>
  <c r="AH6075" i="3"/>
  <c r="AH6076" i="3"/>
  <c r="AH6077" i="3"/>
  <c r="AH6078" i="3"/>
  <c r="AH6079" i="3"/>
  <c r="AH6080" i="3"/>
  <c r="AH6081" i="3"/>
  <c r="AH6082" i="3"/>
  <c r="AH6083" i="3"/>
  <c r="AH6084" i="3"/>
  <c r="AH6085" i="3"/>
  <c r="AH6086" i="3"/>
  <c r="AH6087" i="3"/>
  <c r="AH6088" i="3"/>
  <c r="AH6089" i="3"/>
  <c r="AH6090" i="3"/>
  <c r="AH6091" i="3"/>
  <c r="AH6092" i="3"/>
  <c r="AH6093" i="3"/>
  <c r="AH6094" i="3"/>
  <c r="AH6095" i="3"/>
  <c r="AH6096" i="3"/>
  <c r="AH6097" i="3"/>
  <c r="AH6098" i="3"/>
  <c r="AH6099" i="3"/>
  <c r="AH6100" i="3"/>
  <c r="AH6101" i="3"/>
  <c r="AH6102" i="3"/>
  <c r="AH6103" i="3"/>
  <c r="AH6104" i="3"/>
  <c r="AH6105" i="3"/>
  <c r="AH6106" i="3"/>
  <c r="AH6107" i="3"/>
  <c r="AH6108" i="3"/>
  <c r="AH6109" i="3"/>
  <c r="AH6110" i="3"/>
  <c r="AH6111" i="3"/>
  <c r="AH6112" i="3"/>
  <c r="AH6113" i="3"/>
  <c r="AH6114" i="3"/>
  <c r="AH6115" i="3"/>
  <c r="AH6116" i="3"/>
  <c r="AH6117" i="3"/>
  <c r="AH6118" i="3"/>
  <c r="AH6119" i="3"/>
  <c r="AH6120" i="3"/>
  <c r="AH6121" i="3"/>
  <c r="AH6122" i="3"/>
  <c r="AH6123" i="3"/>
  <c r="AH6124" i="3"/>
  <c r="AH6125" i="3"/>
  <c r="AH6126" i="3"/>
  <c r="AH6127" i="3"/>
  <c r="AH6128" i="3"/>
  <c r="AH6129" i="3"/>
  <c r="AH6130" i="3"/>
  <c r="AH6131" i="3"/>
  <c r="AH6132" i="3"/>
  <c r="AH6133" i="3"/>
  <c r="AH6134" i="3"/>
  <c r="AH6135" i="3"/>
  <c r="AH6136" i="3"/>
  <c r="AH6137" i="3"/>
  <c r="AH6138" i="3"/>
  <c r="AH6139" i="3"/>
  <c r="AH6140" i="3"/>
  <c r="AH6141" i="3"/>
  <c r="AH6142" i="3"/>
  <c r="AH6143" i="3"/>
  <c r="AH6144" i="3"/>
  <c r="AH6145" i="3"/>
  <c r="AH6146" i="3"/>
  <c r="AH6147" i="3"/>
  <c r="AH6148" i="3"/>
  <c r="AH6149" i="3"/>
  <c r="AH6150" i="3"/>
  <c r="AH6151" i="3"/>
  <c r="AH6152" i="3"/>
  <c r="AH6153" i="3"/>
  <c r="AH6154" i="3"/>
  <c r="AH6155" i="3"/>
  <c r="AH6156" i="3"/>
  <c r="AH6157" i="3"/>
  <c r="AH6158" i="3"/>
  <c r="AH6159" i="3"/>
  <c r="AH6160" i="3"/>
  <c r="AH6161" i="3"/>
  <c r="AH6162" i="3"/>
  <c r="AH6163" i="3"/>
  <c r="AH6164" i="3"/>
  <c r="AH6165" i="3"/>
  <c r="AH6166" i="3"/>
  <c r="AH6167" i="3"/>
  <c r="AH6168" i="3"/>
  <c r="AH6169" i="3"/>
  <c r="AH6170" i="3"/>
  <c r="AH6171" i="3"/>
  <c r="AH6172" i="3"/>
  <c r="AH6173" i="3"/>
  <c r="AH6174" i="3"/>
  <c r="AH6175" i="3"/>
  <c r="AH6176" i="3"/>
  <c r="AH6177" i="3"/>
  <c r="AH6178" i="3"/>
  <c r="AH6179" i="3"/>
  <c r="AH6180" i="3"/>
  <c r="AH6181" i="3"/>
  <c r="AH6182" i="3"/>
  <c r="AH6183" i="3"/>
  <c r="AH6184" i="3"/>
  <c r="AH6185" i="3"/>
  <c r="AH6186" i="3"/>
  <c r="AH6187" i="3"/>
  <c r="AH6188" i="3"/>
  <c r="AH6189" i="3"/>
  <c r="AH6190" i="3"/>
  <c r="AH6191" i="3"/>
  <c r="AH6192" i="3"/>
  <c r="AH6193" i="3"/>
  <c r="AH6194" i="3"/>
  <c r="AH6195" i="3"/>
  <c r="AH6196" i="3"/>
  <c r="AH6197" i="3"/>
  <c r="AH6198" i="3"/>
  <c r="AH6199" i="3"/>
  <c r="AH6200" i="3"/>
  <c r="AH6201" i="3"/>
  <c r="AH6202" i="3"/>
  <c r="AH6203" i="3"/>
  <c r="AH6204" i="3"/>
  <c r="AH6205" i="3"/>
  <c r="AH6206" i="3"/>
  <c r="AH6207" i="3"/>
  <c r="AH6208" i="3"/>
  <c r="AH6209" i="3"/>
  <c r="AH6210" i="3"/>
  <c r="AH6211" i="3"/>
  <c r="AH6212" i="3"/>
  <c r="AH6213" i="3"/>
  <c r="AH6214" i="3"/>
  <c r="AH6215" i="3"/>
  <c r="AH6216" i="3"/>
  <c r="AH6217" i="3"/>
  <c r="AH6218" i="3"/>
  <c r="AH6219" i="3"/>
  <c r="AH6220" i="3"/>
  <c r="AH6221" i="3"/>
  <c r="AH6222" i="3"/>
  <c r="AH6223" i="3"/>
  <c r="AH6224" i="3"/>
  <c r="AH6225" i="3"/>
  <c r="AH6226" i="3"/>
  <c r="AH6227" i="3"/>
  <c r="AH6228" i="3"/>
  <c r="AH6229" i="3"/>
  <c r="AH6230" i="3"/>
  <c r="AH6231" i="3"/>
  <c r="AH6232" i="3"/>
  <c r="AH6233" i="3"/>
  <c r="AH6234" i="3"/>
  <c r="AH6235" i="3"/>
  <c r="AH6236" i="3"/>
  <c r="AH6237" i="3"/>
  <c r="AH6238" i="3"/>
  <c r="AH6239" i="3"/>
  <c r="AH6240" i="3"/>
  <c r="AH6241" i="3"/>
  <c r="AH6242" i="3"/>
  <c r="AH6243" i="3"/>
  <c r="AH6244" i="3"/>
  <c r="AH6245" i="3"/>
  <c r="AH6246" i="3"/>
  <c r="AH6247" i="3"/>
  <c r="AH6248" i="3"/>
  <c r="AH6249" i="3"/>
  <c r="AH6250" i="3"/>
  <c r="AH6251" i="3"/>
  <c r="AH6252" i="3"/>
  <c r="AH6253" i="3"/>
  <c r="AH6254" i="3"/>
  <c r="AH6255" i="3"/>
  <c r="AH6256" i="3"/>
  <c r="AH6257" i="3"/>
  <c r="AH6258" i="3"/>
  <c r="AH6259" i="3"/>
  <c r="AH6260" i="3"/>
  <c r="AH6261" i="3"/>
  <c r="AH6262" i="3"/>
  <c r="AH6263" i="3"/>
  <c r="AH6264" i="3"/>
  <c r="AH6265" i="3"/>
  <c r="AH6266" i="3"/>
  <c r="AH6267" i="3"/>
  <c r="AH6268" i="3"/>
  <c r="AH6269" i="3"/>
  <c r="AH6270" i="3"/>
  <c r="AH6271" i="3"/>
  <c r="AH6272" i="3"/>
  <c r="AH6273" i="3"/>
  <c r="AH6274" i="3"/>
  <c r="AH6275" i="3"/>
  <c r="AH6276" i="3"/>
  <c r="AH6277" i="3"/>
  <c r="AH6278" i="3"/>
  <c r="AH6279" i="3"/>
  <c r="AH6280" i="3"/>
  <c r="AH6281" i="3"/>
  <c r="AH6282" i="3"/>
  <c r="AH6283" i="3"/>
  <c r="AH6284" i="3"/>
  <c r="AH6285" i="3"/>
  <c r="AH6286" i="3"/>
  <c r="AH6287" i="3"/>
  <c r="AH6288" i="3"/>
  <c r="AH6289" i="3"/>
  <c r="AH6290" i="3"/>
  <c r="AH6291" i="3"/>
  <c r="AH6292" i="3"/>
  <c r="AH6293" i="3"/>
  <c r="AH6294" i="3"/>
  <c r="AH6295" i="3"/>
  <c r="AH6296" i="3"/>
  <c r="AH6297" i="3"/>
  <c r="AH6298" i="3"/>
  <c r="AH6299" i="3"/>
  <c r="AH6300" i="3"/>
  <c r="AH6301" i="3"/>
  <c r="AH6302" i="3"/>
  <c r="AH6303" i="3"/>
  <c r="AH6304" i="3"/>
  <c r="AH6305" i="3"/>
  <c r="AH6306" i="3"/>
  <c r="AH6307" i="3"/>
  <c r="AH6308" i="3"/>
  <c r="AH6309" i="3"/>
  <c r="AH6310" i="3"/>
  <c r="AH6311" i="3"/>
  <c r="AH6312" i="3"/>
  <c r="AH6313" i="3"/>
  <c r="AH6314" i="3"/>
  <c r="AH6315" i="3"/>
  <c r="AH6316" i="3"/>
  <c r="AH6317" i="3"/>
  <c r="AH6318" i="3"/>
  <c r="AH6319" i="3"/>
  <c r="AH6320" i="3"/>
  <c r="AH6321" i="3"/>
  <c r="AH6322" i="3"/>
  <c r="AH6323" i="3"/>
  <c r="AH6324" i="3"/>
  <c r="AH6325" i="3"/>
  <c r="AH6326" i="3"/>
  <c r="AH6327" i="3"/>
  <c r="AH6328" i="3"/>
  <c r="AH6329" i="3"/>
  <c r="AH6330" i="3"/>
  <c r="AH6331" i="3"/>
  <c r="AH6332" i="3"/>
  <c r="AH6333" i="3"/>
  <c r="AH6334" i="3"/>
  <c r="AH6335" i="3"/>
  <c r="AH6336" i="3"/>
  <c r="AH6337" i="3"/>
  <c r="AH6338" i="3"/>
  <c r="AH6339" i="3"/>
  <c r="AH6340" i="3"/>
  <c r="AH6341" i="3"/>
  <c r="AH6342" i="3"/>
  <c r="AH6343" i="3"/>
  <c r="AH6344" i="3"/>
  <c r="AH6345" i="3"/>
  <c r="AH6346" i="3"/>
  <c r="AH6347" i="3"/>
  <c r="AH6348" i="3"/>
  <c r="AH6349" i="3"/>
  <c r="AH6350" i="3"/>
  <c r="AH6351" i="3"/>
  <c r="AH6352" i="3"/>
  <c r="AH6353" i="3"/>
  <c r="AH6354" i="3"/>
  <c r="AH6355" i="3"/>
  <c r="AH6356" i="3"/>
  <c r="AH6357" i="3"/>
  <c r="AH6358" i="3"/>
  <c r="AH6359" i="3"/>
  <c r="AH6360" i="3"/>
  <c r="AH6361" i="3"/>
  <c r="AH6362" i="3"/>
  <c r="AH6363" i="3"/>
  <c r="AH6364" i="3"/>
  <c r="AH6365" i="3"/>
  <c r="AH6366" i="3"/>
  <c r="AH6367" i="3"/>
  <c r="AH6368" i="3"/>
  <c r="AH6369" i="3"/>
  <c r="AH6370" i="3"/>
  <c r="AH6371" i="3"/>
  <c r="AH6372" i="3"/>
  <c r="AH6373" i="3"/>
  <c r="AH6374" i="3"/>
  <c r="AH6375" i="3"/>
  <c r="AH6376" i="3"/>
  <c r="AH6377" i="3"/>
  <c r="AH6378" i="3"/>
  <c r="AH6379" i="3"/>
  <c r="AH6380" i="3"/>
  <c r="AH6381" i="3"/>
  <c r="AH6382" i="3"/>
  <c r="AH6383" i="3"/>
  <c r="AH6384" i="3"/>
  <c r="AH6385" i="3"/>
  <c r="AH6386" i="3"/>
  <c r="AH6387" i="3"/>
  <c r="AH6388" i="3"/>
  <c r="AH6389" i="3"/>
  <c r="AH6390" i="3"/>
  <c r="AH6391" i="3"/>
  <c r="AH6392" i="3"/>
  <c r="AH6393" i="3"/>
  <c r="AH6394" i="3"/>
  <c r="AH6395" i="3"/>
  <c r="AH6396" i="3"/>
  <c r="AH6397" i="3"/>
  <c r="AH6398" i="3"/>
  <c r="AH6399" i="3"/>
  <c r="AH6400" i="3"/>
  <c r="AH6401" i="3"/>
  <c r="AH6402" i="3"/>
  <c r="AH6403" i="3"/>
  <c r="AH6404" i="3"/>
  <c r="AH6405" i="3"/>
  <c r="AH6406" i="3"/>
  <c r="AH6407" i="3"/>
  <c r="AH6408" i="3"/>
  <c r="AH6409" i="3"/>
  <c r="AH6410" i="3"/>
  <c r="AH6411" i="3"/>
  <c r="AH6412" i="3"/>
  <c r="AH6413" i="3"/>
  <c r="AH6414" i="3"/>
  <c r="AH6415" i="3"/>
  <c r="AH6416" i="3"/>
  <c r="AH6417" i="3"/>
  <c r="AH6418" i="3"/>
  <c r="AH6419" i="3"/>
  <c r="AH6420" i="3"/>
  <c r="AH6421" i="3"/>
  <c r="AH6422" i="3"/>
  <c r="AH6423" i="3"/>
  <c r="AH6424" i="3"/>
  <c r="AH6425" i="3"/>
  <c r="AH6426" i="3"/>
  <c r="AH6427" i="3"/>
  <c r="AH6428" i="3"/>
  <c r="AH6429" i="3"/>
  <c r="AH6430" i="3"/>
  <c r="AH6431" i="3"/>
  <c r="AH6432" i="3"/>
  <c r="AH6433" i="3"/>
  <c r="AH6434" i="3"/>
  <c r="AH6435" i="3"/>
  <c r="AH6436" i="3"/>
  <c r="AH6437" i="3"/>
  <c r="AH6438" i="3"/>
  <c r="AH6439" i="3"/>
  <c r="AH6440" i="3"/>
  <c r="AH6441" i="3"/>
  <c r="AH6442" i="3"/>
  <c r="AH6443" i="3"/>
  <c r="AH6444" i="3"/>
  <c r="AH6445" i="3"/>
  <c r="AH6446" i="3"/>
  <c r="AH6447" i="3"/>
  <c r="AH6448" i="3"/>
  <c r="AH6449" i="3"/>
  <c r="AH6450" i="3"/>
  <c r="AH6451" i="3"/>
  <c r="AH6452" i="3"/>
  <c r="AH6453" i="3"/>
  <c r="AH6454" i="3"/>
  <c r="AH6455" i="3"/>
  <c r="AH6456" i="3"/>
  <c r="AH6457" i="3"/>
  <c r="AH6458" i="3"/>
  <c r="AH6459" i="3"/>
  <c r="AH6460" i="3"/>
  <c r="AH6461" i="3"/>
  <c r="AH6462" i="3"/>
  <c r="AH6463" i="3"/>
  <c r="AH6464" i="3"/>
  <c r="AH6465" i="3"/>
  <c r="AH6466" i="3"/>
  <c r="AH6467" i="3"/>
  <c r="AH6468" i="3"/>
  <c r="AH6469" i="3"/>
  <c r="AH6470" i="3"/>
  <c r="AH6471" i="3"/>
  <c r="AH6472" i="3"/>
  <c r="AH6473" i="3"/>
  <c r="AH6474" i="3"/>
  <c r="AH6475" i="3"/>
  <c r="AH6476" i="3"/>
  <c r="AH6477" i="3"/>
  <c r="AH6478" i="3"/>
  <c r="AH6479" i="3"/>
  <c r="AH6480" i="3"/>
  <c r="AH6481" i="3"/>
  <c r="AH6482" i="3"/>
  <c r="AH6483" i="3"/>
  <c r="AH6484" i="3"/>
  <c r="AH6485" i="3"/>
  <c r="AH6486" i="3"/>
  <c r="AH6487" i="3"/>
  <c r="AH6488" i="3"/>
  <c r="AH6489" i="3"/>
  <c r="AH6490" i="3"/>
  <c r="AH6491" i="3"/>
  <c r="AH6492" i="3"/>
  <c r="AH6493" i="3"/>
  <c r="AH6494" i="3"/>
  <c r="AH6495" i="3"/>
  <c r="AH6496" i="3"/>
  <c r="AH6497" i="3"/>
  <c r="AH6498" i="3"/>
  <c r="AH6499" i="3"/>
  <c r="AH6500" i="3"/>
  <c r="AH6501" i="3"/>
  <c r="AH6502" i="3"/>
  <c r="AH6503" i="3"/>
  <c r="AH6504" i="3"/>
  <c r="AH6505" i="3"/>
  <c r="AH6506" i="3"/>
  <c r="AH6507" i="3"/>
  <c r="AH6508" i="3"/>
  <c r="AH6509" i="3"/>
  <c r="AH6510" i="3"/>
  <c r="AH6511" i="3"/>
  <c r="AH6512" i="3"/>
  <c r="AH6513" i="3"/>
  <c r="AH6514" i="3"/>
  <c r="AH6515" i="3"/>
  <c r="AH6516" i="3"/>
  <c r="AH6517" i="3"/>
  <c r="AH6518" i="3"/>
  <c r="AH6519" i="3"/>
  <c r="AH6520" i="3"/>
  <c r="AH6521" i="3"/>
  <c r="AH6522" i="3"/>
  <c r="AH6523" i="3"/>
  <c r="AH6524" i="3"/>
  <c r="AH6525" i="3"/>
  <c r="AH6526" i="3"/>
  <c r="AH6527" i="3"/>
  <c r="AH6528" i="3"/>
  <c r="AH6529" i="3"/>
  <c r="AH6530" i="3"/>
  <c r="AH6531" i="3"/>
  <c r="AH6532" i="3"/>
  <c r="AH6533" i="3"/>
  <c r="AH6534" i="3"/>
  <c r="AH6535" i="3"/>
  <c r="AH6536" i="3"/>
  <c r="AH6537" i="3"/>
  <c r="AH6538" i="3"/>
  <c r="AH6539" i="3"/>
  <c r="AH6540" i="3"/>
  <c r="AH6541" i="3"/>
  <c r="AH6542" i="3"/>
  <c r="AH6543" i="3"/>
  <c r="AH6544" i="3"/>
  <c r="AH6545" i="3"/>
  <c r="AH6546" i="3"/>
  <c r="AH6547" i="3"/>
  <c r="AH6548" i="3"/>
  <c r="AH6549" i="3"/>
  <c r="AH6550" i="3"/>
  <c r="AH6551" i="3"/>
  <c r="AH6552" i="3"/>
  <c r="AH6553" i="3"/>
  <c r="AH6554" i="3"/>
  <c r="AH6555" i="3"/>
  <c r="AH6556" i="3"/>
  <c r="AH6557" i="3"/>
  <c r="AH6558" i="3"/>
  <c r="AH6559" i="3"/>
  <c r="AH6560" i="3"/>
  <c r="AH6561" i="3"/>
  <c r="AH6562" i="3"/>
  <c r="AH6563" i="3"/>
  <c r="AH6564" i="3"/>
  <c r="AH6565" i="3"/>
  <c r="AH6566" i="3"/>
  <c r="AH6567" i="3"/>
  <c r="AH6568" i="3"/>
  <c r="AH6569" i="3"/>
  <c r="AH6570" i="3"/>
  <c r="AH6571" i="3"/>
  <c r="AH6572" i="3"/>
  <c r="AH6573" i="3"/>
  <c r="AH6574" i="3"/>
  <c r="AH6575" i="3"/>
  <c r="AH6576" i="3"/>
  <c r="AH6577" i="3"/>
  <c r="AH6578" i="3"/>
  <c r="AH6579" i="3"/>
  <c r="AH6580" i="3"/>
  <c r="AH6581" i="3"/>
  <c r="AH6582" i="3"/>
  <c r="AH6583" i="3"/>
  <c r="AH6584" i="3"/>
  <c r="AH6585" i="3"/>
  <c r="AH6586" i="3"/>
  <c r="AH6587" i="3"/>
  <c r="AH6588" i="3"/>
  <c r="AH6589" i="3"/>
  <c r="AH6590" i="3"/>
  <c r="AH6591" i="3"/>
  <c r="AH6592" i="3"/>
  <c r="AH6593" i="3"/>
  <c r="AH6594" i="3"/>
  <c r="AH6595" i="3"/>
  <c r="AH6596" i="3"/>
  <c r="AH6597" i="3"/>
  <c r="AH6598" i="3"/>
  <c r="AH6599" i="3"/>
  <c r="AH6600" i="3"/>
  <c r="AH6601" i="3"/>
  <c r="AH6602" i="3"/>
  <c r="AH6603" i="3"/>
  <c r="AH6604" i="3"/>
  <c r="AH6605" i="3"/>
  <c r="AH6606" i="3"/>
  <c r="AH6607" i="3"/>
  <c r="AH6608" i="3"/>
  <c r="AH6609" i="3"/>
  <c r="AH6610" i="3"/>
  <c r="AH6611" i="3"/>
  <c r="AH6612" i="3"/>
  <c r="AH6613" i="3"/>
  <c r="AH6614" i="3"/>
  <c r="AH6615" i="3"/>
  <c r="AH6616" i="3"/>
  <c r="AH6617" i="3"/>
  <c r="AH6618" i="3"/>
  <c r="AH6619" i="3"/>
  <c r="AH6620" i="3"/>
  <c r="AH6621" i="3"/>
  <c r="AH6622" i="3"/>
  <c r="AH6623" i="3"/>
  <c r="AH6624" i="3"/>
  <c r="AH6625" i="3"/>
  <c r="AH6626" i="3"/>
  <c r="AH6627" i="3"/>
  <c r="AH6628" i="3"/>
  <c r="AH6629" i="3"/>
  <c r="AH6630" i="3"/>
  <c r="AH6631" i="3"/>
  <c r="AH6632" i="3"/>
  <c r="AH6633" i="3"/>
  <c r="AH6634" i="3"/>
  <c r="AH6635" i="3"/>
  <c r="AH6636" i="3"/>
  <c r="AH6637" i="3"/>
  <c r="AH6638" i="3"/>
  <c r="AH6639" i="3"/>
  <c r="AH6640" i="3"/>
  <c r="AH6641" i="3"/>
  <c r="AH6642" i="3"/>
  <c r="AH6643" i="3"/>
  <c r="AH6644" i="3"/>
  <c r="AH6645" i="3"/>
  <c r="AH6646" i="3"/>
  <c r="AH6647" i="3"/>
  <c r="AH6648" i="3"/>
  <c r="AH6649" i="3"/>
  <c r="AH6650" i="3"/>
  <c r="AH6651" i="3"/>
  <c r="AH6652" i="3"/>
  <c r="AH6653" i="3"/>
  <c r="AH6654" i="3"/>
  <c r="AH6655" i="3"/>
  <c r="AH6656" i="3"/>
  <c r="AH6657" i="3"/>
  <c r="AH6658" i="3"/>
  <c r="AH6659" i="3"/>
  <c r="AH6660" i="3"/>
  <c r="AH6661" i="3"/>
  <c r="AH6662" i="3"/>
  <c r="AH6663" i="3"/>
  <c r="AH6664" i="3"/>
  <c r="AH6665" i="3"/>
  <c r="AH6666" i="3"/>
  <c r="AH6667" i="3"/>
  <c r="AH6668" i="3"/>
  <c r="AH6669" i="3"/>
  <c r="AH6670" i="3"/>
  <c r="AH6671" i="3"/>
  <c r="AH6672" i="3"/>
  <c r="AH6673" i="3"/>
  <c r="AH6674" i="3"/>
  <c r="AH6675" i="3"/>
  <c r="AH6676" i="3"/>
  <c r="AH6677" i="3"/>
  <c r="AH6678" i="3"/>
  <c r="AH6679" i="3"/>
  <c r="AH6680" i="3"/>
  <c r="AH6681" i="3"/>
  <c r="AH6682" i="3"/>
  <c r="AH6683" i="3"/>
  <c r="AH6684" i="3"/>
  <c r="AH6685" i="3"/>
  <c r="AH6686" i="3"/>
  <c r="AH6687" i="3"/>
  <c r="AH6688" i="3"/>
  <c r="AH6689" i="3"/>
  <c r="AH6690" i="3"/>
  <c r="AH6691" i="3"/>
  <c r="AH6692" i="3"/>
  <c r="AH6693" i="3"/>
  <c r="AH6694" i="3"/>
  <c r="AH6695" i="3"/>
  <c r="AH6696" i="3"/>
  <c r="AH6697" i="3"/>
  <c r="AH6698" i="3"/>
  <c r="AH6699" i="3"/>
  <c r="AH6700" i="3"/>
  <c r="AH6701" i="3"/>
  <c r="AH6702" i="3"/>
  <c r="AH6703" i="3"/>
  <c r="AH6704" i="3"/>
  <c r="AH6705" i="3"/>
  <c r="AH6706" i="3"/>
  <c r="AH6707" i="3"/>
  <c r="AH6708" i="3"/>
  <c r="AH6709" i="3"/>
  <c r="AH6710" i="3"/>
  <c r="AH6711" i="3"/>
  <c r="AH6712" i="3"/>
  <c r="AH6713" i="3"/>
  <c r="AH6714" i="3"/>
  <c r="AH6715" i="3"/>
  <c r="AH6716" i="3"/>
  <c r="AH6717" i="3"/>
  <c r="AH6718" i="3"/>
  <c r="AH6719" i="3"/>
  <c r="AH6720" i="3"/>
  <c r="AH6721" i="3"/>
  <c r="AH6722" i="3"/>
  <c r="AH6723" i="3"/>
  <c r="AH6724" i="3"/>
  <c r="AH6725" i="3"/>
  <c r="AH6726" i="3"/>
  <c r="AH6727" i="3"/>
  <c r="AH6728" i="3"/>
  <c r="AH6729" i="3"/>
  <c r="AH6730" i="3"/>
  <c r="AH6731" i="3"/>
  <c r="AH6732" i="3"/>
  <c r="AH6733" i="3"/>
  <c r="AH6734" i="3"/>
  <c r="AH6735" i="3"/>
  <c r="AH6736" i="3"/>
  <c r="AH6737" i="3"/>
  <c r="AH6738" i="3"/>
  <c r="AH6739" i="3"/>
  <c r="AH6740" i="3"/>
  <c r="AH6741" i="3"/>
  <c r="AH6742" i="3"/>
  <c r="AH6743" i="3"/>
  <c r="AH6744" i="3"/>
  <c r="AH6745" i="3"/>
  <c r="AH6746" i="3"/>
  <c r="AH6747" i="3"/>
  <c r="AH6748" i="3"/>
  <c r="AH6749" i="3"/>
  <c r="AH6750" i="3"/>
  <c r="AH6751" i="3"/>
  <c r="AH6752" i="3"/>
  <c r="AH6753" i="3"/>
  <c r="AH6754" i="3"/>
  <c r="AH6755" i="3"/>
  <c r="AH6756" i="3"/>
  <c r="AH6757" i="3"/>
  <c r="AH6758" i="3"/>
  <c r="AH6759" i="3"/>
  <c r="AH6760" i="3"/>
  <c r="AH6761" i="3"/>
  <c r="AH6762" i="3"/>
  <c r="AH6763" i="3"/>
  <c r="AH6764" i="3"/>
  <c r="AH6765" i="3"/>
  <c r="AH6766" i="3"/>
  <c r="AH6767" i="3"/>
  <c r="AH6768" i="3"/>
  <c r="AH6769" i="3"/>
  <c r="AH6770" i="3"/>
  <c r="AH6771" i="3"/>
  <c r="AH6772" i="3"/>
  <c r="AH6773" i="3"/>
  <c r="AH6774" i="3"/>
  <c r="AH6775" i="3"/>
  <c r="AH6776" i="3"/>
  <c r="AH6777" i="3"/>
  <c r="AH6778" i="3"/>
  <c r="AH6779" i="3"/>
  <c r="AH6780" i="3"/>
  <c r="AH6781" i="3"/>
  <c r="AH6782" i="3"/>
  <c r="AH6783" i="3"/>
  <c r="AH6784" i="3"/>
  <c r="AH6785" i="3"/>
  <c r="AH6786" i="3"/>
  <c r="AH6787" i="3"/>
  <c r="AH6788" i="3"/>
  <c r="AH6789" i="3"/>
  <c r="AH6790" i="3"/>
  <c r="AH6791" i="3"/>
  <c r="AH6792" i="3"/>
  <c r="AH6793" i="3"/>
  <c r="AH6794" i="3"/>
  <c r="AH6795" i="3"/>
  <c r="AH6796" i="3"/>
  <c r="AH6797" i="3"/>
  <c r="AH6798" i="3"/>
  <c r="AH6799" i="3"/>
  <c r="AH6800" i="3"/>
  <c r="AH6801" i="3"/>
  <c r="AH6802" i="3"/>
  <c r="AH6803" i="3"/>
  <c r="AH6804" i="3"/>
  <c r="AH6805" i="3"/>
  <c r="AH6806" i="3"/>
  <c r="AH6807" i="3"/>
  <c r="AH6808" i="3"/>
  <c r="AH6809" i="3"/>
  <c r="AH6810" i="3"/>
  <c r="AH6811" i="3"/>
  <c r="AH6812" i="3"/>
  <c r="AH6813" i="3"/>
  <c r="AH6814" i="3"/>
  <c r="AH6815" i="3"/>
  <c r="AH6816" i="3"/>
  <c r="AH6817" i="3"/>
  <c r="AH6818" i="3"/>
  <c r="AH6819" i="3"/>
  <c r="AH6820" i="3"/>
  <c r="AH6821" i="3"/>
  <c r="AH6822" i="3"/>
  <c r="AH6823" i="3"/>
  <c r="AH6824" i="3"/>
  <c r="AH6825" i="3"/>
  <c r="AH6826" i="3"/>
  <c r="AH6827" i="3"/>
  <c r="AH6828" i="3"/>
  <c r="AH6829" i="3"/>
  <c r="AH6830" i="3"/>
  <c r="AH6831" i="3"/>
  <c r="AH6832" i="3"/>
  <c r="AH6833" i="3"/>
  <c r="AH6834" i="3"/>
  <c r="AH6835" i="3"/>
  <c r="AH6836" i="3"/>
  <c r="AH6837" i="3"/>
  <c r="AH6838" i="3"/>
  <c r="AH6839" i="3"/>
  <c r="AH6840" i="3"/>
  <c r="AH6841" i="3"/>
  <c r="AH6842" i="3"/>
  <c r="AH6843" i="3"/>
  <c r="AH6844" i="3"/>
  <c r="AH6845" i="3"/>
  <c r="AH6846" i="3"/>
  <c r="AH6847" i="3"/>
  <c r="AH6848" i="3"/>
  <c r="AH6849" i="3"/>
  <c r="AH6850" i="3"/>
  <c r="AH6851" i="3"/>
  <c r="AH6852" i="3"/>
  <c r="AH6853" i="3"/>
  <c r="AH6854" i="3"/>
  <c r="AH6855" i="3"/>
  <c r="AH6856" i="3"/>
  <c r="AH6857" i="3"/>
  <c r="AH6858" i="3"/>
  <c r="AH6859" i="3"/>
  <c r="AH6860" i="3"/>
  <c r="AH6861" i="3"/>
  <c r="AH6862" i="3"/>
  <c r="AH6863" i="3"/>
  <c r="AH6864" i="3"/>
  <c r="AH6865" i="3"/>
  <c r="AH6866" i="3"/>
  <c r="AH6867" i="3"/>
  <c r="AH6868" i="3"/>
  <c r="AH6869" i="3"/>
  <c r="AH6870" i="3"/>
  <c r="AH6871" i="3"/>
  <c r="AH6872" i="3"/>
  <c r="AH6873" i="3"/>
  <c r="AH6874" i="3"/>
  <c r="AH6875" i="3"/>
  <c r="AH6876" i="3"/>
  <c r="AH6877" i="3"/>
  <c r="AH6878" i="3"/>
  <c r="AH6879" i="3"/>
  <c r="AH6880" i="3"/>
  <c r="AH6881" i="3"/>
  <c r="AH6882" i="3"/>
  <c r="AH6883" i="3"/>
  <c r="AH6884" i="3"/>
  <c r="AH6885" i="3"/>
  <c r="AH6886" i="3"/>
  <c r="AH6887" i="3"/>
  <c r="AH6888" i="3"/>
  <c r="AH6889" i="3"/>
  <c r="AH6890" i="3"/>
  <c r="AH6891" i="3"/>
  <c r="AH6892" i="3"/>
  <c r="AH6893" i="3"/>
  <c r="AH6894" i="3"/>
  <c r="AH6895" i="3"/>
  <c r="AH6896" i="3"/>
  <c r="AH6897" i="3"/>
  <c r="AH6898" i="3"/>
  <c r="AH6899" i="3"/>
  <c r="AH6900" i="3"/>
  <c r="AH6901" i="3"/>
  <c r="AH6902" i="3"/>
  <c r="AH6903" i="3"/>
  <c r="AH6904" i="3"/>
  <c r="AH6905" i="3"/>
  <c r="AH6906" i="3"/>
  <c r="AH6907" i="3"/>
  <c r="AH6908" i="3"/>
  <c r="AH6909" i="3"/>
  <c r="AH6910" i="3"/>
  <c r="AH6911" i="3"/>
  <c r="AH6912" i="3"/>
  <c r="AH6913" i="3"/>
  <c r="AH6914" i="3"/>
  <c r="AH6915" i="3"/>
  <c r="AH6916" i="3"/>
  <c r="AH6917" i="3"/>
  <c r="AH6918" i="3"/>
  <c r="AH6919" i="3"/>
  <c r="AH6920" i="3"/>
  <c r="AH6921" i="3"/>
  <c r="AH6922" i="3"/>
  <c r="AH6923" i="3"/>
  <c r="AH6924" i="3"/>
  <c r="AH6925" i="3"/>
  <c r="AH6926" i="3"/>
  <c r="AH6927" i="3"/>
  <c r="AH6928" i="3"/>
  <c r="AH6929" i="3"/>
  <c r="AH6930" i="3"/>
  <c r="AH6931" i="3"/>
  <c r="AH6932" i="3"/>
  <c r="AH6933" i="3"/>
  <c r="AH6934" i="3"/>
  <c r="AH6935" i="3"/>
  <c r="AH6936" i="3"/>
  <c r="AH6937" i="3"/>
  <c r="AH6938" i="3"/>
  <c r="AH6939" i="3"/>
  <c r="AH6940" i="3"/>
  <c r="AH6941" i="3"/>
  <c r="AH6942" i="3"/>
  <c r="AH6943" i="3"/>
  <c r="AH6944" i="3"/>
  <c r="AH6945" i="3"/>
  <c r="AH6946" i="3"/>
  <c r="AH6947" i="3"/>
  <c r="AH6948" i="3"/>
  <c r="AH6949" i="3"/>
  <c r="AH6950" i="3"/>
  <c r="AH6951" i="3"/>
  <c r="AH6952" i="3"/>
  <c r="AH6953" i="3"/>
  <c r="AH6954" i="3"/>
  <c r="AH6955" i="3"/>
  <c r="AH6956" i="3"/>
  <c r="AH6957" i="3"/>
  <c r="AH6958" i="3"/>
  <c r="AH6959" i="3"/>
  <c r="AH6960" i="3"/>
  <c r="AH6961" i="3"/>
  <c r="AH6962" i="3"/>
  <c r="AH6963" i="3"/>
  <c r="AH6964" i="3"/>
  <c r="AH6965" i="3"/>
  <c r="AH6966" i="3"/>
  <c r="AH6967" i="3"/>
  <c r="AH6968" i="3"/>
  <c r="AH6969" i="3"/>
  <c r="AH6970" i="3"/>
  <c r="AH6971" i="3"/>
  <c r="AH6972" i="3"/>
  <c r="AH6973" i="3"/>
  <c r="AH6974" i="3"/>
  <c r="AH6975" i="3"/>
  <c r="AH6976" i="3"/>
  <c r="AH6977" i="3"/>
  <c r="AH6978" i="3"/>
  <c r="AH6979" i="3"/>
  <c r="AH6980" i="3"/>
  <c r="AH6981" i="3"/>
  <c r="AH6982" i="3"/>
  <c r="AH6983" i="3"/>
  <c r="AH6984" i="3"/>
  <c r="AH6985" i="3"/>
  <c r="AH6986" i="3"/>
  <c r="AH6987" i="3"/>
  <c r="AH6988" i="3"/>
  <c r="AH6989" i="3"/>
  <c r="AH6990" i="3"/>
  <c r="AH6991" i="3"/>
  <c r="AH6992" i="3"/>
  <c r="AH6993" i="3"/>
  <c r="AH6994" i="3"/>
  <c r="AH6995" i="3"/>
  <c r="AH6996" i="3"/>
  <c r="AH6997" i="3"/>
  <c r="AH6998" i="3"/>
  <c r="AH6999" i="3"/>
  <c r="AH7000" i="3"/>
  <c r="AH7001" i="3"/>
  <c r="AH7002" i="3"/>
  <c r="AH7003" i="3"/>
  <c r="AH7004" i="3"/>
  <c r="AH7005" i="3"/>
  <c r="AH7006" i="3"/>
  <c r="AH7007" i="3"/>
  <c r="AH7008" i="3"/>
  <c r="AH7009" i="3"/>
  <c r="AH7010" i="3"/>
  <c r="AH7011" i="3"/>
  <c r="AH7012" i="3"/>
  <c r="AH7013" i="3"/>
  <c r="AH7014" i="3"/>
  <c r="AH7015" i="3"/>
  <c r="AH7016" i="3"/>
  <c r="AH7017" i="3"/>
  <c r="AH7018" i="3"/>
  <c r="AH7019" i="3"/>
  <c r="AH7020" i="3"/>
  <c r="AH7021" i="3"/>
  <c r="AH7022" i="3"/>
  <c r="AH7023" i="3"/>
  <c r="AH7024" i="3"/>
  <c r="AH7025" i="3"/>
  <c r="AH7026" i="3"/>
  <c r="AH7027" i="3"/>
  <c r="AH7028" i="3"/>
  <c r="AH7029" i="3"/>
  <c r="AH7030" i="3"/>
  <c r="AH7031" i="3"/>
  <c r="AH7032" i="3"/>
  <c r="AH7033" i="3"/>
  <c r="AH7034" i="3"/>
  <c r="AH7035" i="3"/>
  <c r="AH7036" i="3"/>
  <c r="AH7037" i="3"/>
  <c r="AH7038" i="3"/>
  <c r="AH7039" i="3"/>
  <c r="AH7040" i="3"/>
  <c r="AH7041" i="3"/>
  <c r="AH7042" i="3"/>
  <c r="AH7043" i="3"/>
  <c r="AH7044" i="3"/>
  <c r="AH7045" i="3"/>
  <c r="AH7046" i="3"/>
  <c r="AH7047" i="3"/>
  <c r="AH7048" i="3"/>
  <c r="AH7049" i="3"/>
  <c r="AH7050" i="3"/>
  <c r="AH7051" i="3"/>
  <c r="AH7052" i="3"/>
  <c r="AH7053" i="3"/>
  <c r="AH7054" i="3"/>
  <c r="AH7055" i="3"/>
  <c r="AH7056" i="3"/>
  <c r="AH7057" i="3"/>
  <c r="AH7058" i="3"/>
  <c r="AH7059" i="3"/>
  <c r="AH7060" i="3"/>
  <c r="AH7061" i="3"/>
  <c r="AH7062" i="3"/>
  <c r="AH7063" i="3"/>
  <c r="AH7064" i="3"/>
  <c r="AH7065" i="3"/>
  <c r="AH7066" i="3"/>
  <c r="AH7067" i="3"/>
  <c r="AH7068" i="3"/>
  <c r="AH7069" i="3"/>
  <c r="AH7070" i="3"/>
  <c r="AH7071" i="3"/>
  <c r="AH7072" i="3"/>
  <c r="AH7073" i="3"/>
  <c r="AH7074" i="3"/>
  <c r="AH7075" i="3"/>
  <c r="AH7076" i="3"/>
  <c r="AH7077" i="3"/>
  <c r="AH7078" i="3"/>
  <c r="AH7079" i="3"/>
  <c r="AH7080" i="3"/>
  <c r="AH7081" i="3"/>
  <c r="AH7082" i="3"/>
  <c r="AH7083" i="3"/>
  <c r="AH7084" i="3"/>
  <c r="AH7085" i="3"/>
  <c r="AH7086" i="3"/>
  <c r="AH7087" i="3"/>
  <c r="AH7088" i="3"/>
  <c r="AH7089" i="3"/>
  <c r="AH7090" i="3"/>
  <c r="AH7091" i="3"/>
  <c r="AH7092" i="3"/>
  <c r="AH7093" i="3"/>
  <c r="AH7094" i="3"/>
  <c r="AH7095" i="3"/>
  <c r="AH7096" i="3"/>
  <c r="AH7097" i="3"/>
  <c r="AH7098" i="3"/>
  <c r="AH7099" i="3"/>
  <c r="AH7100" i="3"/>
  <c r="AH7101" i="3"/>
  <c r="AH7102" i="3"/>
  <c r="AH7103" i="3"/>
  <c r="AH7104" i="3"/>
  <c r="AH7105" i="3"/>
  <c r="AH7106" i="3"/>
  <c r="AH7107" i="3"/>
  <c r="AH7108" i="3"/>
  <c r="AH7109" i="3"/>
  <c r="AH7110" i="3"/>
  <c r="AH7111" i="3"/>
  <c r="AH7112" i="3"/>
  <c r="AH7113" i="3"/>
  <c r="AH7114" i="3"/>
  <c r="AH7115" i="3"/>
  <c r="AH7116" i="3"/>
  <c r="AH7117" i="3"/>
  <c r="AH7118" i="3"/>
  <c r="AH7119" i="3"/>
  <c r="AH7120" i="3"/>
  <c r="AH7121" i="3"/>
  <c r="AH7122" i="3"/>
  <c r="AH7123" i="3"/>
  <c r="AH7124" i="3"/>
  <c r="AH7125" i="3"/>
  <c r="AH7126" i="3"/>
  <c r="AH7127" i="3"/>
  <c r="AH7128" i="3"/>
  <c r="AH7129" i="3"/>
  <c r="AH7130" i="3"/>
  <c r="AH7131" i="3"/>
  <c r="AH7132" i="3"/>
  <c r="AH7133" i="3"/>
  <c r="AH7134" i="3"/>
  <c r="AH7135" i="3"/>
  <c r="AH7136" i="3"/>
  <c r="AH7137" i="3"/>
  <c r="AH7138" i="3"/>
  <c r="AH7139" i="3"/>
  <c r="AH7140" i="3"/>
  <c r="AH7141" i="3"/>
  <c r="AH7142" i="3"/>
  <c r="AH7143" i="3"/>
  <c r="AH7144" i="3"/>
  <c r="AH7145" i="3"/>
  <c r="AH7146" i="3"/>
  <c r="AH7147" i="3"/>
  <c r="AH7148" i="3"/>
  <c r="AH7149" i="3"/>
  <c r="AH7150" i="3"/>
  <c r="AH7151" i="3"/>
  <c r="AH7152" i="3"/>
  <c r="AH7153" i="3"/>
  <c r="AH7154" i="3"/>
  <c r="AH7155" i="3"/>
  <c r="AH7156" i="3"/>
  <c r="AH7157" i="3"/>
  <c r="AH7158" i="3"/>
  <c r="AH7159" i="3"/>
  <c r="AH7160" i="3"/>
  <c r="AH7161" i="3"/>
  <c r="AH7162" i="3"/>
  <c r="AH7163" i="3"/>
  <c r="AH7164" i="3"/>
  <c r="AH7165" i="3"/>
  <c r="AH7166" i="3"/>
  <c r="AH7167" i="3"/>
  <c r="AH7168" i="3"/>
  <c r="AH7169" i="3"/>
  <c r="AH7170" i="3"/>
  <c r="AH7171" i="3"/>
  <c r="AH7172" i="3"/>
  <c r="AH7173" i="3"/>
  <c r="AH7174" i="3"/>
  <c r="AH7175" i="3"/>
  <c r="AH7176" i="3"/>
  <c r="AH7177" i="3"/>
  <c r="AH7178" i="3"/>
  <c r="AH7179" i="3"/>
  <c r="AH7180" i="3"/>
  <c r="AH7181" i="3"/>
  <c r="AH7182" i="3"/>
  <c r="AH7183" i="3"/>
  <c r="AH7184" i="3"/>
  <c r="AH7185" i="3"/>
  <c r="AH7186" i="3"/>
  <c r="AH7187" i="3"/>
  <c r="AH7188" i="3"/>
  <c r="AH7189" i="3"/>
  <c r="AH7190" i="3"/>
  <c r="AH7191" i="3"/>
  <c r="AH7192" i="3"/>
  <c r="AH7193" i="3"/>
  <c r="AH7194" i="3"/>
  <c r="AH7195" i="3"/>
  <c r="AH7196" i="3"/>
  <c r="AH7197" i="3"/>
  <c r="AH7198" i="3"/>
  <c r="AH7199" i="3"/>
  <c r="AH7200" i="3"/>
  <c r="AH7201" i="3"/>
  <c r="AH7202" i="3"/>
  <c r="AH7203" i="3"/>
  <c r="AH7204" i="3"/>
  <c r="AH7205" i="3"/>
  <c r="AH7206" i="3"/>
  <c r="AH7207" i="3"/>
  <c r="AH7208" i="3"/>
  <c r="AH7209" i="3"/>
  <c r="AH7210" i="3"/>
  <c r="AH7211" i="3"/>
  <c r="AH7212" i="3"/>
  <c r="AH7213" i="3"/>
  <c r="AH7214" i="3"/>
  <c r="AH7215" i="3"/>
  <c r="AH7216" i="3"/>
  <c r="AH7217" i="3"/>
  <c r="AH7218" i="3"/>
  <c r="AH7219" i="3"/>
  <c r="AH7220" i="3"/>
  <c r="AH7221" i="3"/>
  <c r="AH7222" i="3"/>
  <c r="AH7223" i="3"/>
  <c r="AH7224" i="3"/>
  <c r="AH7225" i="3"/>
  <c r="AH7226" i="3"/>
  <c r="AH7227" i="3"/>
  <c r="AH7228" i="3"/>
  <c r="AH7229" i="3"/>
  <c r="AH7230" i="3"/>
  <c r="AH7231" i="3"/>
  <c r="AH7232" i="3"/>
  <c r="AH7233" i="3"/>
  <c r="AH7234" i="3"/>
  <c r="AH7235" i="3"/>
  <c r="AH7236" i="3"/>
  <c r="AH7237" i="3"/>
  <c r="AH7238" i="3"/>
  <c r="AH7239" i="3"/>
  <c r="AH7240" i="3"/>
  <c r="AH7241" i="3"/>
  <c r="AH7242" i="3"/>
  <c r="AH7243" i="3"/>
  <c r="AH7244" i="3"/>
  <c r="AH7245" i="3"/>
  <c r="AH7246" i="3"/>
  <c r="AH7247" i="3"/>
  <c r="AH7248" i="3"/>
  <c r="AH7249" i="3"/>
  <c r="AH7250" i="3"/>
  <c r="AH7251" i="3"/>
  <c r="AH7252" i="3"/>
  <c r="AH7253" i="3"/>
  <c r="AH7254" i="3"/>
  <c r="AH7255" i="3"/>
  <c r="AH7256" i="3"/>
  <c r="AH7257" i="3"/>
  <c r="AH7258" i="3"/>
  <c r="AH7259" i="3"/>
  <c r="AH7260" i="3"/>
  <c r="AH7261" i="3"/>
  <c r="AH7262" i="3"/>
  <c r="AH7263" i="3"/>
  <c r="AH7264" i="3"/>
  <c r="AH7265" i="3"/>
  <c r="AH7266" i="3"/>
  <c r="AH7267" i="3"/>
  <c r="AH7268" i="3"/>
  <c r="AH7269" i="3"/>
  <c r="AH7270" i="3"/>
  <c r="AH7271" i="3"/>
  <c r="AH7272" i="3"/>
  <c r="AH7273" i="3"/>
  <c r="AH7274" i="3"/>
  <c r="AH7275" i="3"/>
  <c r="AH7276" i="3"/>
  <c r="AH7277" i="3"/>
  <c r="AH7278" i="3"/>
  <c r="AH7279" i="3"/>
  <c r="AH7280" i="3"/>
  <c r="AH7281" i="3"/>
  <c r="AH7282" i="3"/>
  <c r="AH7283" i="3"/>
  <c r="AH7284" i="3"/>
  <c r="AH7285" i="3"/>
  <c r="AH7286" i="3"/>
  <c r="AH7287" i="3"/>
  <c r="AH7288" i="3"/>
  <c r="AH7289" i="3"/>
  <c r="AH7290" i="3"/>
  <c r="AH7291" i="3"/>
  <c r="AH7292" i="3"/>
  <c r="AH7293" i="3"/>
  <c r="AH7294" i="3"/>
  <c r="AH7295" i="3"/>
  <c r="AH7296" i="3"/>
  <c r="AH7297" i="3"/>
  <c r="AH7298" i="3"/>
  <c r="AH7299" i="3"/>
  <c r="AH7300" i="3"/>
  <c r="AH7301" i="3"/>
  <c r="AH7302" i="3"/>
  <c r="AH7303" i="3"/>
  <c r="AH7304" i="3"/>
  <c r="AH7305" i="3"/>
  <c r="AH7306" i="3"/>
  <c r="AH7307" i="3"/>
  <c r="AH7308" i="3"/>
  <c r="AH7309" i="3"/>
  <c r="AH7310" i="3"/>
  <c r="AH7311" i="3"/>
  <c r="AH7312" i="3"/>
  <c r="AH7313" i="3"/>
  <c r="AH7314" i="3"/>
  <c r="AH7315" i="3"/>
  <c r="AH7316" i="3"/>
  <c r="AH7317" i="3"/>
  <c r="AH7318" i="3"/>
  <c r="AH7319" i="3"/>
  <c r="AH7320" i="3"/>
  <c r="AH7321" i="3"/>
  <c r="AH7322" i="3"/>
  <c r="AH7323" i="3"/>
  <c r="AH7324" i="3"/>
  <c r="AH7325" i="3"/>
  <c r="AH7326" i="3"/>
  <c r="AH7327" i="3"/>
  <c r="AH7328" i="3"/>
  <c r="AH7329" i="3"/>
  <c r="AH7330" i="3"/>
  <c r="AH7331" i="3"/>
  <c r="AH7332" i="3"/>
  <c r="AH7333" i="3"/>
  <c r="AH7334" i="3"/>
  <c r="AH7335" i="3"/>
  <c r="AH7336" i="3"/>
  <c r="AH7337" i="3"/>
  <c r="AH7338" i="3"/>
  <c r="AH7339" i="3"/>
  <c r="AH7340" i="3"/>
  <c r="AH7341" i="3"/>
  <c r="AH7342" i="3"/>
  <c r="AH7343" i="3"/>
  <c r="AH7344" i="3"/>
  <c r="AH7345" i="3"/>
  <c r="AH7346" i="3"/>
  <c r="AH7347" i="3"/>
  <c r="AH7348" i="3"/>
  <c r="AH7349" i="3"/>
  <c r="AH7350" i="3"/>
  <c r="AH7351" i="3"/>
  <c r="AH7352" i="3"/>
  <c r="AH7353" i="3"/>
  <c r="AH7354" i="3"/>
  <c r="AH7355" i="3"/>
  <c r="AH7356" i="3"/>
  <c r="AH7357" i="3"/>
  <c r="AH7358" i="3"/>
  <c r="AH7359" i="3"/>
  <c r="AH7360" i="3"/>
  <c r="AH7361" i="3"/>
  <c r="AH7362" i="3"/>
  <c r="AH7363" i="3"/>
  <c r="AH7364" i="3"/>
  <c r="AH7365" i="3"/>
  <c r="AH7366" i="3"/>
  <c r="AH7367" i="3"/>
  <c r="AH7368" i="3"/>
  <c r="AH7369" i="3"/>
  <c r="AH7370" i="3"/>
  <c r="AH7371" i="3"/>
  <c r="AH7372" i="3"/>
  <c r="AH7373" i="3"/>
  <c r="AH7374" i="3"/>
  <c r="AH7375" i="3"/>
  <c r="AH7376" i="3"/>
  <c r="AH7377" i="3"/>
  <c r="AH7378" i="3"/>
  <c r="AH7379" i="3"/>
  <c r="AH7380" i="3"/>
  <c r="AH7381" i="3"/>
  <c r="AH7382" i="3"/>
  <c r="AH7383" i="3"/>
  <c r="AH7384" i="3"/>
  <c r="AH7385" i="3"/>
  <c r="AH7386" i="3"/>
  <c r="AH7387" i="3"/>
  <c r="AH7388" i="3"/>
  <c r="AH7389" i="3"/>
  <c r="AH7390" i="3"/>
  <c r="AH7391" i="3"/>
  <c r="AH7392" i="3"/>
  <c r="AH7393" i="3"/>
  <c r="AH7394" i="3"/>
  <c r="AH7395" i="3"/>
  <c r="AH7396" i="3"/>
  <c r="AH7397" i="3"/>
  <c r="AH7398" i="3"/>
  <c r="AH7399" i="3"/>
  <c r="AH7400" i="3"/>
  <c r="AH7401" i="3"/>
  <c r="AH7402" i="3"/>
  <c r="AH7403" i="3"/>
  <c r="AH7404" i="3"/>
  <c r="AH7405" i="3"/>
  <c r="AH7406" i="3"/>
  <c r="AH7407" i="3"/>
  <c r="AH7408" i="3"/>
  <c r="AH7409" i="3"/>
  <c r="AH7410" i="3"/>
  <c r="AH7411" i="3"/>
  <c r="AH7412" i="3"/>
  <c r="AH7413" i="3"/>
  <c r="AH7414" i="3"/>
  <c r="AH7415" i="3"/>
  <c r="AH7416" i="3"/>
  <c r="AH7417" i="3"/>
  <c r="AH7418" i="3"/>
  <c r="AH7419" i="3"/>
  <c r="AH7420" i="3"/>
  <c r="AH7421" i="3"/>
  <c r="AH7422" i="3"/>
  <c r="AH7423" i="3"/>
  <c r="AH7424" i="3"/>
  <c r="AH7425" i="3"/>
  <c r="AH7426" i="3"/>
  <c r="AH7427" i="3"/>
  <c r="AH7428" i="3"/>
  <c r="AH7429" i="3"/>
  <c r="AH7430" i="3"/>
  <c r="AH7431" i="3"/>
  <c r="AH7432" i="3"/>
  <c r="AH7433" i="3"/>
  <c r="AH7434" i="3"/>
  <c r="AH7435" i="3"/>
  <c r="AH7436" i="3"/>
  <c r="AH7437" i="3"/>
  <c r="AH7438" i="3"/>
  <c r="AH7439" i="3"/>
  <c r="AH7440" i="3"/>
  <c r="AH7441" i="3"/>
  <c r="AH7442" i="3"/>
  <c r="AH7443" i="3"/>
  <c r="AH7444" i="3"/>
  <c r="AH7445" i="3"/>
  <c r="AH7446" i="3"/>
  <c r="AH7447" i="3"/>
  <c r="AH7448" i="3"/>
  <c r="AH7449" i="3"/>
  <c r="AH7450" i="3"/>
  <c r="AH7451" i="3"/>
  <c r="AH7452" i="3"/>
  <c r="AH7453" i="3"/>
  <c r="AH7454" i="3"/>
  <c r="AH7455" i="3"/>
  <c r="AH7456" i="3"/>
  <c r="AH7457" i="3"/>
  <c r="AH7458" i="3"/>
  <c r="AH7459" i="3"/>
  <c r="AH7460" i="3"/>
  <c r="AH7461" i="3"/>
  <c r="AH7462" i="3"/>
  <c r="AH7463" i="3"/>
  <c r="AH7464" i="3"/>
  <c r="AH7465" i="3"/>
  <c r="AH7466" i="3"/>
  <c r="AH7467" i="3"/>
  <c r="AH7468" i="3"/>
  <c r="AH7469" i="3"/>
  <c r="AH7470" i="3"/>
  <c r="AH7471" i="3"/>
  <c r="AH7472" i="3"/>
  <c r="AH7473" i="3"/>
  <c r="AH7474" i="3"/>
  <c r="AH7475" i="3"/>
  <c r="AH7476" i="3"/>
  <c r="AH7477" i="3"/>
  <c r="AH7478" i="3"/>
  <c r="AH7479" i="3"/>
  <c r="AH7480" i="3"/>
  <c r="AH7481" i="3"/>
  <c r="AH7482" i="3"/>
  <c r="AH7483" i="3"/>
  <c r="AH7484" i="3"/>
  <c r="AH7485" i="3"/>
  <c r="AH7486" i="3"/>
  <c r="AH7487" i="3"/>
  <c r="AH7488" i="3"/>
  <c r="AH7489" i="3"/>
  <c r="AH7490" i="3"/>
  <c r="AH7491" i="3"/>
  <c r="AH7492" i="3"/>
  <c r="AH7493" i="3"/>
  <c r="AH7494" i="3"/>
  <c r="AH7495" i="3"/>
  <c r="AH7496" i="3"/>
  <c r="AH7497" i="3"/>
  <c r="AH7498" i="3"/>
  <c r="AH7499" i="3"/>
  <c r="AH7500" i="3"/>
  <c r="AH7501" i="3"/>
  <c r="AH7502" i="3"/>
  <c r="AH7503" i="3"/>
  <c r="AH7504" i="3"/>
  <c r="AH7505" i="3"/>
  <c r="AH7506" i="3"/>
  <c r="AH7507" i="3"/>
  <c r="AH7508" i="3"/>
  <c r="AH7509" i="3"/>
  <c r="AH7510" i="3"/>
  <c r="AH7511" i="3"/>
  <c r="AH7512" i="3"/>
  <c r="AH7513" i="3"/>
  <c r="AH7514" i="3"/>
  <c r="AH7515" i="3"/>
  <c r="AH7516" i="3"/>
  <c r="AH7517" i="3"/>
  <c r="AH7518" i="3"/>
  <c r="AH7519" i="3"/>
  <c r="AH7520" i="3"/>
  <c r="AH7521" i="3"/>
  <c r="AH7522" i="3"/>
  <c r="AH7523" i="3"/>
  <c r="AH7524" i="3"/>
  <c r="AH7525" i="3"/>
  <c r="AH7526" i="3"/>
  <c r="AH7527" i="3"/>
  <c r="AH7528" i="3"/>
  <c r="AH7529" i="3"/>
  <c r="AH7530" i="3"/>
  <c r="AH7531" i="3"/>
  <c r="AH7532" i="3"/>
  <c r="AH7533" i="3"/>
  <c r="AH7534" i="3"/>
  <c r="AH7535" i="3"/>
  <c r="AH7536" i="3"/>
  <c r="AH7537" i="3"/>
  <c r="AH7538" i="3"/>
  <c r="AH7539" i="3"/>
  <c r="AH7540" i="3"/>
  <c r="AH7541" i="3"/>
  <c r="AH7542" i="3"/>
  <c r="AH7543" i="3"/>
  <c r="AH7544" i="3"/>
  <c r="AH7545" i="3"/>
  <c r="AH7546" i="3"/>
  <c r="AH7547" i="3"/>
  <c r="AH7548" i="3"/>
  <c r="AH7549" i="3"/>
  <c r="AH7550" i="3"/>
  <c r="AH7551" i="3"/>
  <c r="AH7552" i="3"/>
  <c r="AH7553" i="3"/>
  <c r="AH7554" i="3"/>
  <c r="AH7555" i="3"/>
  <c r="AH7556" i="3"/>
  <c r="AH7557" i="3"/>
  <c r="AH7558" i="3"/>
  <c r="AH7559" i="3"/>
  <c r="AH7560" i="3"/>
  <c r="AH7561" i="3"/>
  <c r="AH7562" i="3"/>
  <c r="AH7563" i="3"/>
  <c r="AH7564" i="3"/>
  <c r="AH7565" i="3"/>
  <c r="AH7566" i="3"/>
  <c r="AH7567" i="3"/>
  <c r="AH7568" i="3"/>
  <c r="AH7569" i="3"/>
  <c r="AH7570" i="3"/>
  <c r="AH7571" i="3"/>
  <c r="AH7572" i="3"/>
  <c r="AH7573" i="3"/>
  <c r="AH7574" i="3"/>
  <c r="AH7575" i="3"/>
  <c r="AH7576" i="3"/>
  <c r="AH7577" i="3"/>
  <c r="AH7578" i="3"/>
  <c r="AH7579" i="3"/>
  <c r="AH7580" i="3"/>
  <c r="AH7581" i="3"/>
  <c r="AH7582" i="3"/>
  <c r="AH7583" i="3"/>
  <c r="AH7584" i="3"/>
  <c r="AH7585" i="3"/>
  <c r="AH7586" i="3"/>
  <c r="AH7587" i="3"/>
  <c r="AH7588" i="3"/>
  <c r="AH7589" i="3"/>
  <c r="AH7590" i="3"/>
  <c r="AH7591" i="3"/>
  <c r="AH7592" i="3"/>
  <c r="AH7593" i="3"/>
  <c r="AH7594" i="3"/>
  <c r="AH7595" i="3"/>
  <c r="AH7596" i="3"/>
  <c r="AH7597" i="3"/>
  <c r="AH7598" i="3"/>
  <c r="AH7599" i="3"/>
  <c r="AH7600" i="3"/>
  <c r="AH7601" i="3"/>
  <c r="AH7602" i="3"/>
  <c r="AH7603" i="3"/>
  <c r="AH7604" i="3"/>
  <c r="AH7605" i="3"/>
  <c r="AH7606" i="3"/>
  <c r="AH7607" i="3"/>
  <c r="AH7608" i="3"/>
  <c r="AH7609" i="3"/>
  <c r="AH7610" i="3"/>
  <c r="AH7611" i="3"/>
  <c r="AH7612" i="3"/>
  <c r="AH7613" i="3"/>
  <c r="AH7614" i="3"/>
  <c r="AH7615" i="3"/>
  <c r="AH7616" i="3"/>
  <c r="AH7617" i="3"/>
  <c r="AH7618" i="3"/>
  <c r="AH7619" i="3"/>
  <c r="AH7620" i="3"/>
  <c r="AH7621" i="3"/>
  <c r="AH7622" i="3"/>
  <c r="AH7623" i="3"/>
  <c r="AH7624" i="3"/>
  <c r="AH7625" i="3"/>
  <c r="AH7626" i="3"/>
  <c r="AH7627" i="3"/>
  <c r="AH7628" i="3"/>
  <c r="AH7629" i="3"/>
  <c r="AH7630" i="3"/>
  <c r="AH7631" i="3"/>
  <c r="AH7632" i="3"/>
  <c r="AH7633" i="3"/>
  <c r="AH7634" i="3"/>
  <c r="AH7635" i="3"/>
  <c r="AH7636" i="3"/>
  <c r="AH7637" i="3"/>
  <c r="AH7638" i="3"/>
  <c r="AH7639" i="3"/>
  <c r="AH7640" i="3"/>
  <c r="AH7641" i="3"/>
  <c r="AH7642" i="3"/>
  <c r="AH7643" i="3"/>
  <c r="AH7644" i="3"/>
  <c r="AH7645" i="3"/>
  <c r="AH7646" i="3"/>
  <c r="AH7647" i="3"/>
  <c r="AH7648" i="3"/>
  <c r="AH7649" i="3"/>
  <c r="AH7650" i="3"/>
  <c r="AH7651" i="3"/>
  <c r="AH7652" i="3"/>
  <c r="AH7653" i="3"/>
  <c r="AH7654" i="3"/>
  <c r="AH7655" i="3"/>
  <c r="AH7656" i="3"/>
  <c r="AH7657" i="3"/>
  <c r="AH7658" i="3"/>
  <c r="AH7659" i="3"/>
  <c r="AH7660" i="3"/>
  <c r="AH7661" i="3"/>
  <c r="AH7662" i="3"/>
  <c r="AH7663" i="3"/>
  <c r="AH7664" i="3"/>
  <c r="AH7665" i="3"/>
  <c r="AH7666" i="3"/>
  <c r="AH7667" i="3"/>
  <c r="AH7668" i="3"/>
  <c r="AH7669" i="3"/>
  <c r="AH7670" i="3"/>
  <c r="AH7671" i="3"/>
  <c r="AH7672" i="3"/>
  <c r="AH7673" i="3"/>
  <c r="AH7674" i="3"/>
  <c r="AH7675" i="3"/>
  <c r="AH7676" i="3"/>
  <c r="AH7677" i="3"/>
  <c r="AH7678" i="3"/>
  <c r="AH7679" i="3"/>
  <c r="AH7680" i="3"/>
  <c r="AH7681" i="3"/>
  <c r="AH7682" i="3"/>
  <c r="AH7683" i="3"/>
  <c r="AH7684" i="3"/>
  <c r="AH7685" i="3"/>
  <c r="AH7686" i="3"/>
  <c r="AH7687" i="3"/>
  <c r="AH7688" i="3"/>
  <c r="AH7689" i="3"/>
  <c r="AH7690" i="3"/>
  <c r="AH7691" i="3"/>
  <c r="AH7692" i="3"/>
  <c r="AH7693" i="3"/>
  <c r="AH7694" i="3"/>
  <c r="AH7695" i="3"/>
  <c r="AH7696" i="3"/>
  <c r="AH7697" i="3"/>
  <c r="AH7698" i="3"/>
  <c r="AH7699" i="3"/>
  <c r="AH7700" i="3"/>
  <c r="AH7701" i="3"/>
  <c r="AH7702" i="3"/>
  <c r="AH7703" i="3"/>
  <c r="AH7704" i="3"/>
  <c r="AH7705" i="3"/>
  <c r="AH7706" i="3"/>
  <c r="AH7707" i="3"/>
  <c r="AH7708" i="3"/>
  <c r="AH7709" i="3"/>
  <c r="AH7710" i="3"/>
  <c r="AH7711" i="3"/>
  <c r="AH7712" i="3"/>
  <c r="AH7713" i="3"/>
  <c r="AH7714" i="3"/>
  <c r="AH7715" i="3"/>
  <c r="AH7716" i="3"/>
  <c r="AH7717" i="3"/>
  <c r="AH7718" i="3"/>
  <c r="AH7719" i="3"/>
  <c r="AH7720" i="3"/>
  <c r="AH7721" i="3"/>
  <c r="AH7722" i="3"/>
  <c r="AH7723" i="3"/>
  <c r="AH7724" i="3"/>
  <c r="AH7725" i="3"/>
  <c r="AH7726" i="3"/>
  <c r="AH7727" i="3"/>
  <c r="AH7728" i="3"/>
  <c r="AH7729" i="3"/>
  <c r="AH7730" i="3"/>
  <c r="AH7731" i="3"/>
  <c r="AH7732" i="3"/>
  <c r="AH7733" i="3"/>
  <c r="AH7734" i="3"/>
  <c r="AH7735" i="3"/>
  <c r="AH7736" i="3"/>
  <c r="AH7737" i="3"/>
  <c r="AH7738" i="3"/>
  <c r="AH7739" i="3"/>
  <c r="AH7740" i="3"/>
  <c r="AH7741" i="3"/>
  <c r="AH7742" i="3"/>
  <c r="AH7743" i="3"/>
  <c r="AH7744" i="3"/>
  <c r="AH7745" i="3"/>
  <c r="AH7746" i="3"/>
  <c r="AH7747" i="3"/>
  <c r="AH7748" i="3"/>
  <c r="AH7749" i="3"/>
  <c r="AH7750" i="3"/>
  <c r="AH7751" i="3"/>
  <c r="AH7752" i="3"/>
  <c r="AH7753" i="3"/>
  <c r="AH7754" i="3"/>
  <c r="AH7755" i="3"/>
  <c r="AH7756" i="3"/>
  <c r="AH7757" i="3"/>
  <c r="AH7758" i="3"/>
  <c r="AH7759" i="3"/>
  <c r="AH7760" i="3"/>
  <c r="AH7761" i="3"/>
  <c r="AH7762" i="3"/>
  <c r="AH7763" i="3"/>
  <c r="AH7764" i="3"/>
  <c r="AH7765" i="3"/>
  <c r="AH7766" i="3"/>
  <c r="AH7767" i="3"/>
  <c r="AH7768" i="3"/>
  <c r="AH7769" i="3"/>
  <c r="AH7770" i="3"/>
  <c r="AH7771" i="3"/>
  <c r="AH7772" i="3"/>
  <c r="AH7773" i="3"/>
  <c r="AH7774" i="3"/>
  <c r="AH7775" i="3"/>
  <c r="AH7776" i="3"/>
  <c r="AH7777" i="3"/>
  <c r="AH7778" i="3"/>
  <c r="AH7779" i="3"/>
  <c r="AH7780" i="3"/>
  <c r="AH7781" i="3"/>
  <c r="AH7782" i="3"/>
  <c r="AH7783" i="3"/>
  <c r="AH7784" i="3"/>
  <c r="AH7785" i="3"/>
  <c r="AH7786" i="3"/>
  <c r="AH7787" i="3"/>
  <c r="AH7788" i="3"/>
  <c r="AH7789" i="3"/>
  <c r="AH7790" i="3"/>
  <c r="AH7791" i="3"/>
  <c r="AH7792" i="3"/>
  <c r="AH7793" i="3"/>
  <c r="AH7794" i="3"/>
  <c r="AH7795" i="3"/>
  <c r="AH7796" i="3"/>
  <c r="AH7797" i="3"/>
  <c r="AH7798" i="3"/>
  <c r="AH7799" i="3"/>
  <c r="AH7800" i="3"/>
  <c r="AH7801" i="3"/>
  <c r="AH7802" i="3"/>
  <c r="AH7803" i="3"/>
  <c r="AH7804" i="3"/>
  <c r="AH7805" i="3"/>
  <c r="AH7806" i="3"/>
  <c r="AH7807" i="3"/>
  <c r="AH7808" i="3"/>
  <c r="AH7809" i="3"/>
  <c r="AH7810" i="3"/>
  <c r="AH7811" i="3"/>
  <c r="AH7812" i="3"/>
  <c r="AH7813" i="3"/>
  <c r="AH7814" i="3"/>
  <c r="AH7815" i="3"/>
  <c r="AH7816" i="3"/>
  <c r="AH7817" i="3"/>
  <c r="AH7818" i="3"/>
  <c r="AH7819" i="3"/>
  <c r="AH7820" i="3"/>
  <c r="AH7821" i="3"/>
  <c r="AH7822" i="3"/>
  <c r="AH7823" i="3"/>
  <c r="AH7824" i="3"/>
  <c r="AH7825" i="3"/>
  <c r="AH7826" i="3"/>
  <c r="AH7827" i="3"/>
  <c r="AH7828" i="3"/>
  <c r="AH7829" i="3"/>
  <c r="AH7830" i="3"/>
  <c r="AH7831" i="3"/>
  <c r="AH7832" i="3"/>
  <c r="AH7833" i="3"/>
  <c r="AH7834" i="3"/>
  <c r="AH7835" i="3"/>
  <c r="AH7836" i="3"/>
  <c r="AH7837" i="3"/>
  <c r="AH7838" i="3"/>
  <c r="AH7839" i="3"/>
  <c r="AH7840" i="3"/>
  <c r="AH7841" i="3"/>
  <c r="AH7842" i="3"/>
  <c r="AH7843" i="3"/>
  <c r="AH7844" i="3"/>
  <c r="AH7845" i="3"/>
  <c r="AH7846" i="3"/>
  <c r="AH7847" i="3"/>
  <c r="AH7848" i="3"/>
  <c r="AH7849" i="3"/>
  <c r="AH7850" i="3"/>
  <c r="AH7851" i="3"/>
  <c r="AH7852" i="3"/>
  <c r="AH7853" i="3"/>
  <c r="AH7854" i="3"/>
  <c r="AH7855" i="3"/>
  <c r="AH7856" i="3"/>
  <c r="AH7857" i="3"/>
  <c r="AH7858" i="3"/>
  <c r="AH7859" i="3"/>
  <c r="AH7860" i="3"/>
  <c r="AH7861" i="3"/>
  <c r="AH7862" i="3"/>
  <c r="AH7863" i="3"/>
  <c r="AH7864" i="3"/>
  <c r="AH7865" i="3"/>
  <c r="AH7866" i="3"/>
  <c r="AH7867" i="3"/>
  <c r="AH7868" i="3"/>
  <c r="AH7869" i="3"/>
  <c r="AH7870" i="3"/>
  <c r="AH7871" i="3"/>
  <c r="AH7872" i="3"/>
  <c r="AH7873" i="3"/>
  <c r="AH7874" i="3"/>
  <c r="AH7875" i="3"/>
  <c r="AH7876" i="3"/>
  <c r="AH7877" i="3"/>
  <c r="AH7878" i="3"/>
  <c r="AH7879" i="3"/>
  <c r="AH7880" i="3"/>
  <c r="AH7881" i="3"/>
  <c r="AH7882" i="3"/>
  <c r="AH7883" i="3"/>
  <c r="AH7884" i="3"/>
  <c r="AH7885" i="3"/>
  <c r="AH7886" i="3"/>
  <c r="AH7887" i="3"/>
  <c r="AH7888" i="3"/>
  <c r="AH7889" i="3"/>
  <c r="AH7890" i="3"/>
  <c r="AH7891" i="3"/>
  <c r="AH7892" i="3"/>
  <c r="AH7893" i="3"/>
  <c r="AH7894" i="3"/>
  <c r="AH7895" i="3"/>
  <c r="AH7896" i="3"/>
  <c r="AH7897" i="3"/>
  <c r="AH7898" i="3"/>
  <c r="AH7899" i="3"/>
  <c r="AH7900" i="3"/>
  <c r="AH7901" i="3"/>
  <c r="AH7902" i="3"/>
  <c r="AH7903" i="3"/>
  <c r="AH7904" i="3"/>
  <c r="AH7905" i="3"/>
  <c r="AH7906" i="3"/>
  <c r="AH7907" i="3"/>
  <c r="AH7908" i="3"/>
  <c r="AH7909" i="3"/>
  <c r="AH7910" i="3"/>
  <c r="AH7911" i="3"/>
  <c r="AH7912" i="3"/>
  <c r="AH7913" i="3"/>
  <c r="AH7914" i="3"/>
  <c r="AH7915" i="3"/>
  <c r="AH7916" i="3"/>
  <c r="AH7917" i="3"/>
  <c r="AH7918" i="3"/>
  <c r="AH7919" i="3"/>
  <c r="AH7920" i="3"/>
  <c r="AH7921" i="3"/>
  <c r="AH7922" i="3"/>
  <c r="AH7923" i="3"/>
  <c r="AH7924" i="3"/>
  <c r="AH7925" i="3"/>
  <c r="AH7926" i="3"/>
  <c r="AH7927" i="3"/>
  <c r="AH7928" i="3"/>
  <c r="AH7929" i="3"/>
  <c r="AH7930" i="3"/>
  <c r="AH7931" i="3"/>
  <c r="AH7932" i="3"/>
  <c r="AH7933" i="3"/>
  <c r="AH7934" i="3"/>
  <c r="AH7935" i="3"/>
  <c r="AH7936" i="3"/>
  <c r="AH7937" i="3"/>
  <c r="AH7938" i="3"/>
  <c r="AH7939" i="3"/>
  <c r="AH7940" i="3"/>
  <c r="AH7941" i="3"/>
  <c r="AH7942" i="3"/>
  <c r="AH7943" i="3"/>
  <c r="AH7944" i="3"/>
  <c r="AH7945" i="3"/>
  <c r="AH7946" i="3"/>
  <c r="AH7947" i="3"/>
  <c r="AH7948" i="3"/>
  <c r="AH7949" i="3"/>
  <c r="AH7950" i="3"/>
  <c r="AH7951" i="3"/>
  <c r="AH7952" i="3"/>
  <c r="AH7953" i="3"/>
  <c r="AH7954" i="3"/>
  <c r="AH7955" i="3"/>
  <c r="AH7956" i="3"/>
  <c r="AH7957" i="3"/>
  <c r="AH7958" i="3"/>
  <c r="AH7959" i="3"/>
  <c r="AH7960" i="3"/>
  <c r="AH7961" i="3"/>
  <c r="AH7962" i="3"/>
  <c r="AH7963" i="3"/>
  <c r="AH7964" i="3"/>
  <c r="AH7965" i="3"/>
  <c r="AH7966" i="3"/>
  <c r="AH7967" i="3"/>
  <c r="AH7968" i="3"/>
  <c r="AH7969" i="3"/>
  <c r="AH7970" i="3"/>
  <c r="AH7971" i="3"/>
  <c r="AH7972" i="3"/>
  <c r="AH7973" i="3"/>
  <c r="AH7974" i="3"/>
  <c r="AH7975" i="3"/>
  <c r="AH7976" i="3"/>
  <c r="AH7977" i="3"/>
  <c r="AH7978" i="3"/>
  <c r="AH7979" i="3"/>
  <c r="AH7980" i="3"/>
  <c r="AH7981" i="3"/>
  <c r="AH7982" i="3"/>
  <c r="AH7983" i="3"/>
  <c r="AH7984" i="3"/>
  <c r="AH7985" i="3"/>
  <c r="AH7986" i="3"/>
  <c r="AH7987" i="3"/>
  <c r="AH7988" i="3"/>
  <c r="AH7989" i="3"/>
  <c r="AH7990" i="3"/>
  <c r="AH7991" i="3"/>
  <c r="AH7992" i="3"/>
  <c r="AH7993" i="3"/>
  <c r="AH7994" i="3"/>
  <c r="AH7995" i="3"/>
  <c r="AH7996" i="3"/>
  <c r="AH7997" i="3"/>
  <c r="AH7998" i="3"/>
  <c r="AH7999" i="3"/>
  <c r="AH8000" i="3"/>
  <c r="AH8001" i="3"/>
  <c r="AH8002" i="3"/>
  <c r="AH8003" i="3"/>
  <c r="AH8004" i="3"/>
  <c r="AH8005" i="3"/>
  <c r="AH8006" i="3"/>
  <c r="AH8007" i="3"/>
  <c r="AH8008" i="3"/>
  <c r="AH8009" i="3"/>
  <c r="AH8010" i="3"/>
  <c r="AH8011" i="3"/>
  <c r="AH8012" i="3"/>
  <c r="AH8013" i="3"/>
  <c r="AH8014" i="3"/>
  <c r="AH8015" i="3"/>
  <c r="AH8016" i="3"/>
  <c r="AH8017" i="3"/>
  <c r="AH8018" i="3"/>
  <c r="AH8019" i="3"/>
  <c r="AH8020" i="3"/>
  <c r="AH8021" i="3"/>
  <c r="AH8022" i="3"/>
  <c r="AH8023" i="3"/>
  <c r="AH8024" i="3"/>
  <c r="AH8025" i="3"/>
  <c r="AH8026" i="3"/>
  <c r="AH8027" i="3"/>
  <c r="AH8028" i="3"/>
  <c r="AH8029" i="3"/>
  <c r="AH8030" i="3"/>
  <c r="AH8031" i="3"/>
  <c r="AH8032" i="3"/>
  <c r="AH8033" i="3"/>
  <c r="AH8034" i="3"/>
  <c r="AH8035" i="3"/>
  <c r="AH8036" i="3"/>
  <c r="AH8037" i="3"/>
  <c r="AH8038" i="3"/>
  <c r="AH8039" i="3"/>
  <c r="AH8040" i="3"/>
  <c r="AH8041" i="3"/>
  <c r="AH8042" i="3"/>
  <c r="AH8043" i="3"/>
  <c r="AH8044" i="3"/>
  <c r="AH8045" i="3"/>
  <c r="AH8046" i="3"/>
  <c r="AH8047" i="3"/>
  <c r="AH8048" i="3"/>
  <c r="AH8049" i="3"/>
  <c r="AH8050" i="3"/>
  <c r="AH8051" i="3"/>
  <c r="AH8052" i="3"/>
  <c r="AH8053" i="3"/>
  <c r="AH8054" i="3"/>
  <c r="AH8055" i="3"/>
  <c r="AH8056" i="3"/>
  <c r="AH8057" i="3"/>
  <c r="AH8058" i="3"/>
  <c r="AH8059" i="3"/>
  <c r="AH8060" i="3"/>
  <c r="AH8061" i="3"/>
  <c r="AH8062" i="3"/>
  <c r="AH8063" i="3"/>
  <c r="AH8064" i="3"/>
  <c r="AH8065" i="3"/>
  <c r="AH8066" i="3"/>
  <c r="AH8067" i="3"/>
  <c r="AH8068" i="3"/>
  <c r="AH8069" i="3"/>
  <c r="AH8070" i="3"/>
  <c r="AH8071" i="3"/>
  <c r="AH8072" i="3"/>
  <c r="AH8073" i="3"/>
  <c r="AH8074" i="3"/>
  <c r="AH8075" i="3"/>
  <c r="AH8076" i="3"/>
  <c r="AH8077" i="3"/>
  <c r="AH8078" i="3"/>
  <c r="AH8079" i="3"/>
  <c r="AH8080" i="3"/>
  <c r="AH8081" i="3"/>
  <c r="AH8082" i="3"/>
  <c r="AH8083" i="3"/>
  <c r="AH8084" i="3"/>
  <c r="AH8085" i="3"/>
  <c r="AH8086" i="3"/>
  <c r="AH8087" i="3"/>
  <c r="AH8088" i="3"/>
  <c r="AH8089" i="3"/>
  <c r="AH8090" i="3"/>
  <c r="AH8091" i="3"/>
  <c r="AH8092" i="3"/>
  <c r="AH8093" i="3"/>
  <c r="AH8094" i="3"/>
  <c r="AH8095" i="3"/>
  <c r="AH8096" i="3"/>
  <c r="AH8097" i="3"/>
  <c r="AH8098" i="3"/>
  <c r="AH8099" i="3"/>
  <c r="AH8100" i="3"/>
  <c r="AH8101" i="3"/>
  <c r="AH8102" i="3"/>
  <c r="AH8103" i="3"/>
  <c r="AH8104" i="3"/>
  <c r="AH8105" i="3"/>
  <c r="AH8106" i="3"/>
  <c r="AH8107" i="3"/>
  <c r="AH8108" i="3"/>
  <c r="AH8109" i="3"/>
  <c r="AH8110" i="3"/>
  <c r="AH8111" i="3"/>
  <c r="AH8112" i="3"/>
  <c r="AH8113" i="3"/>
  <c r="AH8114" i="3"/>
  <c r="AH8115" i="3"/>
  <c r="AH8116" i="3"/>
  <c r="AH8117" i="3"/>
  <c r="AH8118" i="3"/>
  <c r="AH8119" i="3"/>
  <c r="AH8120" i="3"/>
  <c r="AH8121" i="3"/>
  <c r="AH8122" i="3"/>
  <c r="AH8123" i="3"/>
  <c r="AH8124" i="3"/>
  <c r="AH8125" i="3"/>
  <c r="AH8126" i="3"/>
  <c r="AH8127" i="3"/>
  <c r="AH8128" i="3"/>
  <c r="AH8129" i="3"/>
  <c r="AH8130" i="3"/>
  <c r="AH8131" i="3"/>
  <c r="AH8132" i="3"/>
  <c r="AH8133" i="3"/>
  <c r="AH8134" i="3"/>
  <c r="AH8135" i="3"/>
  <c r="AH8136" i="3"/>
  <c r="AH8137" i="3"/>
  <c r="AH8138" i="3"/>
  <c r="AH8139" i="3"/>
  <c r="AH8140" i="3"/>
  <c r="AH8141" i="3"/>
  <c r="AH8142" i="3"/>
  <c r="AH8143" i="3"/>
  <c r="AH8144" i="3"/>
  <c r="AH8145" i="3"/>
  <c r="AH8146" i="3"/>
  <c r="AH8147" i="3"/>
  <c r="AH8148" i="3"/>
  <c r="AH8149" i="3"/>
  <c r="AH8150" i="3"/>
  <c r="AH8151" i="3"/>
  <c r="AH8152" i="3"/>
  <c r="AH8153" i="3"/>
  <c r="AH8154" i="3"/>
  <c r="AH8155" i="3"/>
  <c r="AH8156" i="3"/>
  <c r="AH8157" i="3"/>
  <c r="AH8158" i="3"/>
  <c r="AH8159" i="3"/>
  <c r="AH8160" i="3"/>
  <c r="AH8161" i="3"/>
  <c r="AH8162" i="3"/>
  <c r="AH8163" i="3"/>
  <c r="AH8164" i="3"/>
  <c r="AH8165" i="3"/>
  <c r="AH8166" i="3"/>
  <c r="AH8167" i="3"/>
  <c r="AH8168" i="3"/>
  <c r="AH8169" i="3"/>
  <c r="AH8170" i="3"/>
  <c r="AH8171" i="3"/>
  <c r="AH8172" i="3"/>
  <c r="AH8173" i="3"/>
  <c r="AH8174" i="3"/>
  <c r="AH8175" i="3"/>
  <c r="AH8176" i="3"/>
  <c r="AH8177" i="3"/>
  <c r="AH8178" i="3"/>
  <c r="AH8179" i="3"/>
  <c r="AH8180" i="3"/>
  <c r="AH8181" i="3"/>
  <c r="AH8182" i="3"/>
  <c r="AH8183" i="3"/>
  <c r="AH8184" i="3"/>
  <c r="AH8185" i="3"/>
  <c r="AH8186" i="3"/>
  <c r="AH8187" i="3"/>
  <c r="AH8188" i="3"/>
  <c r="AH8189" i="3"/>
  <c r="AH8190" i="3"/>
  <c r="AH8191" i="3"/>
  <c r="AH8192" i="3"/>
  <c r="AH8193" i="3"/>
  <c r="AH8194" i="3"/>
  <c r="AH8195" i="3"/>
  <c r="AH8196" i="3"/>
  <c r="AH8197" i="3"/>
  <c r="AH8198" i="3"/>
  <c r="AH8199" i="3"/>
  <c r="AH8200" i="3"/>
  <c r="AH8201" i="3"/>
  <c r="AH8202" i="3"/>
  <c r="AH8203" i="3"/>
  <c r="AH8204" i="3"/>
  <c r="AH8205" i="3"/>
  <c r="AH8206" i="3"/>
  <c r="AH8207" i="3"/>
  <c r="AH8208" i="3"/>
  <c r="AH8209" i="3"/>
  <c r="AH8210" i="3"/>
  <c r="AH8211" i="3"/>
  <c r="AH8212" i="3"/>
  <c r="AH8213" i="3"/>
  <c r="AH8214" i="3"/>
  <c r="AH8215" i="3"/>
  <c r="AH8216" i="3"/>
  <c r="AH8217" i="3"/>
  <c r="AH8218" i="3"/>
  <c r="AH8219" i="3"/>
  <c r="AH8220" i="3"/>
  <c r="AH8221" i="3"/>
  <c r="AH8222" i="3"/>
  <c r="AH8223" i="3"/>
  <c r="AH8224" i="3"/>
  <c r="AH8225" i="3"/>
  <c r="AH8226" i="3"/>
  <c r="AH8227" i="3"/>
  <c r="AH8228" i="3"/>
  <c r="AH8229" i="3"/>
  <c r="AH8230" i="3"/>
  <c r="AH8231" i="3"/>
  <c r="AH8232" i="3"/>
  <c r="AH8233" i="3"/>
  <c r="AH8234" i="3"/>
  <c r="AH8235" i="3"/>
  <c r="AH8236" i="3"/>
  <c r="AH8237" i="3"/>
  <c r="AH8238" i="3"/>
  <c r="AH8239" i="3"/>
  <c r="AH8240" i="3"/>
  <c r="AH8241" i="3"/>
  <c r="AH8242" i="3"/>
  <c r="AH8243" i="3"/>
  <c r="AH8244" i="3"/>
  <c r="AH8245" i="3"/>
  <c r="AH8246" i="3"/>
  <c r="AH8247" i="3"/>
  <c r="AH8248" i="3"/>
  <c r="AH8249" i="3"/>
  <c r="AH8250" i="3"/>
  <c r="AH8251" i="3"/>
  <c r="AH8252" i="3"/>
  <c r="AH8253" i="3"/>
  <c r="AH8254" i="3"/>
  <c r="AH8255" i="3"/>
  <c r="AH8256" i="3"/>
  <c r="AH8257" i="3"/>
  <c r="AH8258" i="3"/>
  <c r="AH8259" i="3"/>
  <c r="AH8260" i="3"/>
  <c r="AH8261" i="3"/>
  <c r="AH8262" i="3"/>
  <c r="AH8263" i="3"/>
  <c r="AH8264" i="3"/>
  <c r="AH8265" i="3"/>
  <c r="AH8266" i="3"/>
  <c r="AH8267" i="3"/>
  <c r="AH8268" i="3"/>
  <c r="AH8269" i="3"/>
  <c r="AH8270" i="3"/>
  <c r="AH8271" i="3"/>
  <c r="AH8272" i="3"/>
  <c r="AH8273" i="3"/>
  <c r="AH8274" i="3"/>
  <c r="AH8275" i="3"/>
  <c r="AH8276" i="3"/>
  <c r="AH8277" i="3"/>
  <c r="AH8278" i="3"/>
  <c r="AH8279" i="3"/>
  <c r="AH8280" i="3"/>
  <c r="AH8281" i="3"/>
  <c r="AH8282" i="3"/>
  <c r="AH8283" i="3"/>
  <c r="AH8284" i="3"/>
  <c r="AH8285" i="3"/>
  <c r="AH8286" i="3"/>
  <c r="AH8287" i="3"/>
  <c r="AH8288" i="3"/>
  <c r="AH8289" i="3"/>
  <c r="AH8290" i="3"/>
  <c r="AH8291" i="3"/>
  <c r="AH8292" i="3"/>
  <c r="AH8293" i="3"/>
  <c r="AH8294" i="3"/>
  <c r="AH8295" i="3"/>
  <c r="AH8296" i="3"/>
  <c r="AH8297" i="3"/>
  <c r="AH8298" i="3"/>
  <c r="AH8299" i="3"/>
  <c r="AH8300" i="3"/>
  <c r="AH8301" i="3"/>
  <c r="AH8302" i="3"/>
  <c r="AH8303" i="3"/>
  <c r="AH8304" i="3"/>
  <c r="AH8305" i="3"/>
  <c r="AH8306" i="3"/>
  <c r="AH8307" i="3"/>
  <c r="AH8308" i="3"/>
  <c r="AH8309" i="3"/>
  <c r="AH8310" i="3"/>
  <c r="AH8311" i="3"/>
  <c r="AH8312" i="3"/>
  <c r="AH8313" i="3"/>
  <c r="AH8314" i="3"/>
  <c r="AH8315" i="3"/>
  <c r="AH8316" i="3"/>
  <c r="AH8317" i="3"/>
  <c r="AH8318" i="3"/>
  <c r="AH8319" i="3"/>
  <c r="AH8320" i="3"/>
  <c r="AH8321" i="3"/>
  <c r="AH8322" i="3"/>
  <c r="AH8323" i="3"/>
  <c r="AH8324" i="3"/>
  <c r="AH8325" i="3"/>
  <c r="AH8326" i="3"/>
  <c r="AH8327" i="3"/>
  <c r="AH8328" i="3"/>
  <c r="AH8329" i="3"/>
  <c r="AH8330" i="3"/>
  <c r="AH8331" i="3"/>
  <c r="AH8332" i="3"/>
  <c r="AH8333" i="3"/>
  <c r="AH8334" i="3"/>
  <c r="AH8335" i="3"/>
  <c r="AH8336" i="3"/>
  <c r="AH8337" i="3"/>
  <c r="AH8338" i="3"/>
  <c r="AH8339" i="3"/>
  <c r="AH8340" i="3"/>
  <c r="AH8341" i="3"/>
  <c r="AH8342" i="3"/>
  <c r="AH8343" i="3"/>
  <c r="AH8344" i="3"/>
  <c r="AH8345" i="3"/>
  <c r="AH8346" i="3"/>
  <c r="AH8347" i="3"/>
  <c r="AH8348" i="3"/>
  <c r="AH8349" i="3"/>
  <c r="AH8350" i="3"/>
  <c r="AH8351" i="3"/>
  <c r="AH8352" i="3"/>
  <c r="AH8353" i="3"/>
  <c r="AH8354" i="3"/>
  <c r="AH8355" i="3"/>
  <c r="AH8356" i="3"/>
  <c r="AH8357" i="3"/>
  <c r="AH8358" i="3"/>
  <c r="AH8359" i="3"/>
  <c r="AH8360" i="3"/>
  <c r="AH8361" i="3"/>
  <c r="AH8362" i="3"/>
  <c r="AH8363" i="3"/>
  <c r="AH8364" i="3"/>
  <c r="AH8365" i="3"/>
  <c r="AH8366" i="3"/>
  <c r="AH8367" i="3"/>
  <c r="AH8368" i="3"/>
  <c r="AH8369" i="3"/>
  <c r="AH8370" i="3"/>
  <c r="AH8371" i="3"/>
  <c r="AH8372" i="3"/>
  <c r="AH8373" i="3"/>
  <c r="AH8374" i="3"/>
  <c r="AH8375" i="3"/>
  <c r="AH8376" i="3"/>
  <c r="AH8377" i="3"/>
  <c r="AH8378" i="3"/>
  <c r="AH8379" i="3"/>
  <c r="AH8380" i="3"/>
  <c r="AH8381" i="3"/>
  <c r="AH8382" i="3"/>
  <c r="AH8383" i="3"/>
  <c r="AH8384" i="3"/>
  <c r="AH8385" i="3"/>
  <c r="AH8386" i="3"/>
  <c r="AH8387" i="3"/>
  <c r="AH8388" i="3"/>
  <c r="AH8389" i="3"/>
  <c r="AH8390" i="3"/>
  <c r="AH8391" i="3"/>
  <c r="AH8392" i="3"/>
  <c r="AH8393" i="3"/>
  <c r="AH8394" i="3"/>
  <c r="AH8395" i="3"/>
  <c r="AH8396" i="3"/>
  <c r="AH8397" i="3"/>
  <c r="AH8398" i="3"/>
  <c r="AH8399" i="3"/>
  <c r="AH8400" i="3"/>
  <c r="AH8401" i="3"/>
  <c r="AH8402" i="3"/>
  <c r="AH8403" i="3"/>
  <c r="AH8404" i="3"/>
  <c r="AH8405" i="3"/>
  <c r="AH8406" i="3"/>
  <c r="AH8407" i="3"/>
  <c r="AH8408" i="3"/>
  <c r="AH8409" i="3"/>
  <c r="AH8410" i="3"/>
  <c r="AH8411" i="3"/>
  <c r="AH8412" i="3"/>
  <c r="AH8413" i="3"/>
  <c r="AH8414" i="3"/>
  <c r="AH8415" i="3"/>
  <c r="AH8416" i="3"/>
  <c r="AH8417" i="3"/>
  <c r="AH8418" i="3"/>
  <c r="AH8419" i="3"/>
  <c r="AH8420" i="3"/>
  <c r="AH8421" i="3"/>
  <c r="AH8422" i="3"/>
  <c r="AH8423" i="3"/>
  <c r="AH8424" i="3"/>
  <c r="AH8425" i="3"/>
  <c r="AH8426" i="3"/>
  <c r="AH8427" i="3"/>
  <c r="AH8428" i="3"/>
  <c r="AH8429" i="3"/>
  <c r="AH8430" i="3"/>
  <c r="AH8431" i="3"/>
  <c r="AH8432" i="3"/>
  <c r="AH8433" i="3"/>
  <c r="AH8434" i="3"/>
  <c r="AH8435" i="3"/>
  <c r="AH8436" i="3"/>
  <c r="AH8437" i="3"/>
  <c r="AH8438" i="3"/>
  <c r="AH8439" i="3"/>
  <c r="AH8440" i="3"/>
  <c r="AH8441" i="3"/>
  <c r="AH8442" i="3"/>
  <c r="AH8443" i="3"/>
  <c r="AH8444" i="3"/>
  <c r="AH8445" i="3"/>
  <c r="AH8446" i="3"/>
  <c r="AH8447" i="3"/>
  <c r="AH8448" i="3"/>
  <c r="AH8449" i="3"/>
  <c r="AH8450" i="3"/>
  <c r="AH8451" i="3"/>
  <c r="AH8452" i="3"/>
  <c r="AH8453" i="3"/>
  <c r="AH8454" i="3"/>
  <c r="AH8455" i="3"/>
  <c r="AH8456" i="3"/>
  <c r="AH8457" i="3"/>
  <c r="AH8458" i="3"/>
  <c r="AH8459" i="3"/>
  <c r="AH8460" i="3"/>
  <c r="AH8461" i="3"/>
  <c r="AH8462" i="3"/>
  <c r="AH8463" i="3"/>
  <c r="AH8464" i="3"/>
  <c r="AH8465" i="3"/>
  <c r="AH8466" i="3"/>
  <c r="AH8467" i="3"/>
  <c r="AH8468" i="3"/>
  <c r="AH8469" i="3"/>
  <c r="AH8470" i="3"/>
  <c r="AH8471" i="3"/>
  <c r="AH8472" i="3"/>
  <c r="AH8473" i="3"/>
  <c r="AH8474" i="3"/>
  <c r="AH8475" i="3"/>
  <c r="AH8476" i="3"/>
  <c r="AH8477" i="3"/>
  <c r="AH8478" i="3"/>
  <c r="AH8479" i="3"/>
  <c r="AH8480" i="3"/>
  <c r="AH8481" i="3"/>
  <c r="AH8482" i="3"/>
  <c r="AH8483" i="3"/>
  <c r="AH8484" i="3"/>
  <c r="AH8485" i="3"/>
  <c r="AH8486" i="3"/>
  <c r="AH8487" i="3"/>
  <c r="AH8488" i="3"/>
  <c r="AH8489" i="3"/>
  <c r="AH8490" i="3"/>
  <c r="AH8491" i="3"/>
  <c r="AH8492" i="3"/>
  <c r="AH8493" i="3"/>
  <c r="AH8494" i="3"/>
  <c r="AH8495" i="3"/>
  <c r="AH8496" i="3"/>
  <c r="AH8497" i="3"/>
  <c r="AH8498" i="3"/>
  <c r="AH8499" i="3"/>
  <c r="AH8500" i="3"/>
  <c r="AH8501" i="3"/>
  <c r="AH8502" i="3"/>
  <c r="AH8503" i="3"/>
  <c r="AH8504" i="3"/>
  <c r="AH8505" i="3"/>
  <c r="AH8506" i="3"/>
  <c r="AH8507" i="3"/>
  <c r="AH8508" i="3"/>
  <c r="AH8509" i="3"/>
  <c r="AH8510" i="3"/>
  <c r="AH8511" i="3"/>
  <c r="AH8512" i="3"/>
  <c r="AH8513" i="3"/>
  <c r="AH8514" i="3"/>
  <c r="AH8515" i="3"/>
  <c r="AH8516" i="3"/>
  <c r="AH8517" i="3"/>
  <c r="AH8518" i="3"/>
  <c r="AH8519" i="3"/>
  <c r="AH8520" i="3"/>
  <c r="AH8521" i="3"/>
  <c r="AH8522" i="3"/>
  <c r="AH8523" i="3"/>
  <c r="AH8524" i="3"/>
  <c r="AH8525" i="3"/>
  <c r="AH8526" i="3"/>
  <c r="AH8527" i="3"/>
  <c r="AH8528" i="3"/>
  <c r="AH8529" i="3"/>
  <c r="AH8530" i="3"/>
  <c r="AH8531" i="3"/>
  <c r="AH8532" i="3"/>
  <c r="AH8533" i="3"/>
  <c r="AH8534" i="3"/>
  <c r="AH8535" i="3"/>
  <c r="AH8536" i="3"/>
  <c r="AH8537" i="3"/>
  <c r="AH8538" i="3"/>
  <c r="AH8539" i="3"/>
  <c r="AH8540" i="3"/>
  <c r="AH8541" i="3"/>
  <c r="AH8542" i="3"/>
  <c r="AH8543" i="3"/>
  <c r="AH8544" i="3"/>
  <c r="AH8545" i="3"/>
  <c r="AH8546" i="3"/>
  <c r="AH8547" i="3"/>
  <c r="AH8548" i="3"/>
  <c r="AH8549" i="3"/>
  <c r="AH8550" i="3"/>
  <c r="AH8551" i="3"/>
  <c r="AH8552" i="3"/>
  <c r="AH8553" i="3"/>
  <c r="AH8554" i="3"/>
  <c r="AH8555" i="3"/>
  <c r="AH8556" i="3"/>
  <c r="AH8557" i="3"/>
  <c r="AH8558" i="3"/>
  <c r="AH8559" i="3"/>
  <c r="AH8560" i="3"/>
  <c r="AH8561" i="3"/>
  <c r="AH8562" i="3"/>
  <c r="AH8563" i="3"/>
  <c r="AH8564" i="3"/>
  <c r="AH8565" i="3"/>
  <c r="AH8566" i="3"/>
  <c r="AH8567" i="3"/>
  <c r="AH8568" i="3"/>
  <c r="AH8569" i="3"/>
  <c r="AH8570" i="3"/>
  <c r="AH8571" i="3"/>
  <c r="AH8572" i="3"/>
  <c r="AH8573" i="3"/>
  <c r="AH8574" i="3"/>
  <c r="AH8575" i="3"/>
  <c r="AH8576" i="3"/>
  <c r="AH8577" i="3"/>
  <c r="AH8578" i="3"/>
  <c r="AH8579" i="3"/>
  <c r="AH8580" i="3"/>
  <c r="AH8581" i="3"/>
  <c r="AH8582" i="3"/>
  <c r="AH8583" i="3"/>
  <c r="AH8584" i="3"/>
  <c r="AH8585" i="3"/>
  <c r="AH8586" i="3"/>
  <c r="AH8587" i="3"/>
  <c r="AH8588" i="3"/>
  <c r="AH8589" i="3"/>
  <c r="AH8590" i="3"/>
  <c r="AH8591" i="3"/>
  <c r="AH8592" i="3"/>
  <c r="AH8593" i="3"/>
  <c r="AH8594" i="3"/>
  <c r="AH8595" i="3"/>
  <c r="AH8596" i="3"/>
  <c r="AH8597" i="3"/>
  <c r="AH8598" i="3"/>
  <c r="AH8599" i="3"/>
  <c r="AH8600" i="3"/>
  <c r="AH8601" i="3"/>
  <c r="AH8602" i="3"/>
  <c r="AH8603" i="3"/>
  <c r="AH8604" i="3"/>
  <c r="AH8605" i="3"/>
  <c r="AH8606" i="3"/>
  <c r="AH8607" i="3"/>
  <c r="AH8608" i="3"/>
  <c r="AH8609" i="3"/>
  <c r="AH8610" i="3"/>
  <c r="AH8611" i="3"/>
  <c r="AH8612" i="3"/>
  <c r="AH8613" i="3"/>
  <c r="AH8614" i="3"/>
  <c r="AH8615" i="3"/>
  <c r="AH8616" i="3"/>
  <c r="AH8617" i="3"/>
  <c r="AH8618" i="3"/>
  <c r="AH8619" i="3"/>
  <c r="AH8620" i="3"/>
  <c r="AH8621" i="3"/>
  <c r="AH8622" i="3"/>
  <c r="AH8623" i="3"/>
  <c r="AH8624" i="3"/>
  <c r="AH8625" i="3"/>
  <c r="AH8626" i="3"/>
  <c r="AH8627" i="3"/>
  <c r="AH8628" i="3"/>
  <c r="AH8629" i="3"/>
  <c r="AH8630" i="3"/>
  <c r="AH8631" i="3"/>
  <c r="AH8632" i="3"/>
  <c r="AH8633" i="3"/>
  <c r="AH8634" i="3"/>
  <c r="AH8635" i="3"/>
  <c r="AH8636" i="3"/>
  <c r="AH8637" i="3"/>
  <c r="AH8638" i="3"/>
  <c r="AH8639" i="3"/>
  <c r="AH8640" i="3"/>
  <c r="AH8641" i="3"/>
  <c r="AH8642" i="3"/>
  <c r="AH8643" i="3"/>
  <c r="AH8644" i="3"/>
  <c r="AH8645" i="3"/>
  <c r="AH8646" i="3"/>
  <c r="AH8647" i="3"/>
  <c r="AH8648" i="3"/>
  <c r="AH8649" i="3"/>
  <c r="AH8650" i="3"/>
  <c r="AH8651" i="3"/>
  <c r="AH8652" i="3"/>
  <c r="AH8653" i="3"/>
  <c r="AH8654" i="3"/>
  <c r="AH8655" i="3"/>
  <c r="AH8656" i="3"/>
  <c r="AH8657" i="3"/>
  <c r="AH8658" i="3"/>
  <c r="AH8659" i="3"/>
  <c r="AH8660" i="3"/>
  <c r="AH8661" i="3"/>
  <c r="AH8662" i="3"/>
  <c r="AH8663" i="3"/>
  <c r="AH8664" i="3"/>
  <c r="AH8665" i="3"/>
  <c r="AH8666" i="3"/>
  <c r="AH8667" i="3"/>
  <c r="AH8668" i="3"/>
  <c r="AH8669" i="3"/>
  <c r="AH8670" i="3"/>
  <c r="AH8671" i="3"/>
  <c r="AH8672" i="3"/>
  <c r="AH8673" i="3"/>
  <c r="AH8674" i="3"/>
  <c r="AH8675" i="3"/>
  <c r="AH8676" i="3"/>
  <c r="AH8677" i="3"/>
  <c r="AH8678" i="3"/>
  <c r="AH8679" i="3"/>
  <c r="AH8680" i="3"/>
  <c r="AH8681" i="3"/>
  <c r="AH8682" i="3"/>
  <c r="AH8683" i="3"/>
  <c r="AH8684" i="3"/>
  <c r="AH8685" i="3"/>
  <c r="AH8686" i="3"/>
  <c r="AH8687" i="3"/>
  <c r="AH8688" i="3"/>
  <c r="AH8689" i="3"/>
  <c r="AH8690" i="3"/>
  <c r="AH8691" i="3"/>
  <c r="AH8692" i="3"/>
  <c r="AH8693" i="3"/>
  <c r="AH8694" i="3"/>
  <c r="AH8695" i="3"/>
  <c r="AH8696" i="3"/>
  <c r="AH8697" i="3"/>
  <c r="AH8698" i="3"/>
  <c r="AH8699" i="3"/>
  <c r="AH8700" i="3"/>
  <c r="AH8701" i="3"/>
  <c r="AH8702" i="3"/>
  <c r="AH8703" i="3"/>
  <c r="AH8704" i="3"/>
  <c r="AH8705" i="3"/>
  <c r="AH8706" i="3"/>
  <c r="AH8707" i="3"/>
  <c r="AH8708" i="3"/>
  <c r="AH8709" i="3"/>
  <c r="AH8710" i="3"/>
  <c r="AH8711" i="3"/>
  <c r="AH8712" i="3"/>
  <c r="AH8713" i="3"/>
  <c r="AH8714" i="3"/>
  <c r="AH8715" i="3"/>
  <c r="AH8716" i="3"/>
  <c r="AH8717" i="3"/>
  <c r="AH8718" i="3"/>
  <c r="AH8719" i="3"/>
  <c r="AH8720" i="3"/>
  <c r="AH8721" i="3"/>
  <c r="AH8722" i="3"/>
  <c r="AH8723" i="3"/>
  <c r="AH8724" i="3"/>
  <c r="AH8725" i="3"/>
  <c r="AH8726" i="3"/>
  <c r="AH8727" i="3"/>
  <c r="AH8728" i="3"/>
  <c r="AH8729" i="3"/>
  <c r="AH8730" i="3"/>
  <c r="AH8731" i="3"/>
  <c r="AH8732" i="3"/>
  <c r="AH8733" i="3"/>
  <c r="AH8734" i="3"/>
  <c r="AH8735" i="3"/>
  <c r="AH8736" i="3"/>
  <c r="AH8737" i="3"/>
  <c r="AH8738" i="3"/>
  <c r="AH8739" i="3"/>
  <c r="AH8740" i="3"/>
  <c r="AH8741" i="3"/>
  <c r="AH8742" i="3"/>
  <c r="AH8743" i="3"/>
  <c r="AH8744" i="3"/>
  <c r="AH8745" i="3"/>
  <c r="AH8746" i="3"/>
  <c r="AH8747" i="3"/>
  <c r="AH8748" i="3"/>
  <c r="AH8749" i="3"/>
  <c r="AH8750" i="3"/>
  <c r="AH8751" i="3"/>
  <c r="AH8752" i="3"/>
  <c r="AH8753" i="3"/>
  <c r="AH8754" i="3"/>
  <c r="AH8755" i="3"/>
  <c r="AH8756" i="3"/>
  <c r="AH8757" i="3"/>
  <c r="AH8758" i="3"/>
  <c r="AH8759" i="3"/>
  <c r="AH8760" i="3"/>
  <c r="AH8761" i="3"/>
  <c r="AH17" i="3"/>
  <c r="AH18" i="3"/>
  <c r="AH19" i="3"/>
  <c r="AH20" i="3"/>
  <c r="AH21" i="3"/>
  <c r="AH22" i="3"/>
  <c r="AH23" i="3"/>
  <c r="AH24" i="3"/>
  <c r="AH25" i="3"/>
  <c r="AH26" i="3"/>
  <c r="AH27" i="3"/>
  <c r="AH28" i="3"/>
  <c r="AH29" i="3"/>
  <c r="AH30" i="3"/>
  <c r="AH31" i="3"/>
  <c r="AH32" i="3"/>
  <c r="AH33" i="3"/>
  <c r="AH34" i="3"/>
  <c r="AH35" i="3"/>
  <c r="AH36" i="3"/>
  <c r="AH37" i="3"/>
  <c r="AH38" i="3"/>
  <c r="AH39" i="3"/>
  <c r="AH40" i="3"/>
  <c r="AH41" i="3"/>
  <c r="AH42" i="3"/>
  <c r="AH43" i="3"/>
  <c r="AH44" i="3"/>
  <c r="AH45" i="3"/>
  <c r="AH46" i="3"/>
  <c r="AH47" i="3"/>
  <c r="AH48" i="3"/>
  <c r="AH49" i="3"/>
  <c r="AH50" i="3"/>
  <c r="AH51" i="3"/>
  <c r="AH52" i="3"/>
  <c r="AH53" i="3"/>
  <c r="AH54" i="3"/>
  <c r="AH55" i="3"/>
  <c r="AH56" i="3"/>
  <c r="AH57" i="3"/>
  <c r="AH58" i="3"/>
  <c r="AH59" i="3"/>
  <c r="AH60" i="3"/>
  <c r="AH61" i="3"/>
  <c r="AH62" i="3"/>
  <c r="AH63" i="3"/>
  <c r="AH64" i="3"/>
  <c r="AH65" i="3"/>
  <c r="AH66" i="3"/>
  <c r="AH67" i="3"/>
  <c r="AH68" i="3"/>
  <c r="AH69" i="3"/>
  <c r="AH70" i="3"/>
  <c r="AH71" i="3"/>
  <c r="AH72" i="3"/>
  <c r="AH73" i="3"/>
  <c r="AH74" i="3"/>
  <c r="AH75" i="3"/>
  <c r="AH76" i="3"/>
  <c r="AH77" i="3"/>
  <c r="AH78" i="3"/>
  <c r="AH79" i="3"/>
  <c r="AH80" i="3"/>
  <c r="AH81" i="3"/>
  <c r="AH82" i="3"/>
  <c r="AH83" i="3"/>
  <c r="AH84" i="3"/>
  <c r="AH85" i="3"/>
  <c r="AH86" i="3"/>
  <c r="AH87" i="3"/>
  <c r="AH88" i="3"/>
  <c r="AH89" i="3"/>
  <c r="AH90" i="3"/>
  <c r="AH91" i="3"/>
  <c r="AH92" i="3"/>
  <c r="AH93" i="3"/>
  <c r="AH94" i="3"/>
  <c r="AH95" i="3"/>
  <c r="AH96" i="3"/>
  <c r="AH97" i="3"/>
  <c r="AH98" i="3"/>
  <c r="AH99" i="3"/>
  <c r="AH100" i="3"/>
  <c r="AH101" i="3"/>
  <c r="AH102" i="3"/>
  <c r="AH103" i="3"/>
  <c r="AH104" i="3"/>
  <c r="AH105" i="3"/>
  <c r="AH106" i="3"/>
  <c r="AH107" i="3"/>
  <c r="AH108" i="3"/>
  <c r="AH109" i="3"/>
  <c r="AH110" i="3"/>
  <c r="AH111" i="3"/>
  <c r="AH112" i="3"/>
  <c r="AH113" i="3"/>
  <c r="AH114" i="3"/>
  <c r="AH115" i="3"/>
  <c r="AH116" i="3"/>
  <c r="AH117" i="3"/>
  <c r="AH118" i="3"/>
  <c r="AH119" i="3"/>
  <c r="AH120" i="3"/>
  <c r="AH121" i="3"/>
  <c r="AH122" i="3"/>
  <c r="AH123" i="3"/>
  <c r="AH124" i="3"/>
  <c r="AH125" i="3"/>
  <c r="AH126" i="3"/>
  <c r="AH127" i="3"/>
  <c r="AH128" i="3"/>
  <c r="AH129" i="3"/>
  <c r="AH130" i="3"/>
  <c r="AH131" i="3"/>
  <c r="AH132" i="3"/>
  <c r="AH133" i="3"/>
  <c r="AH134" i="3"/>
  <c r="AH135" i="3"/>
  <c r="AH136" i="3"/>
  <c r="AH137" i="3"/>
  <c r="AH138" i="3"/>
  <c r="AH139" i="3"/>
  <c r="AH140" i="3"/>
  <c r="AH141" i="3"/>
  <c r="AH142" i="3"/>
  <c r="AH143" i="3"/>
  <c r="AH144" i="3"/>
  <c r="AH145" i="3"/>
  <c r="AH146" i="3"/>
  <c r="AH147" i="3"/>
  <c r="AH148" i="3"/>
  <c r="AH149" i="3"/>
  <c r="AH150" i="3"/>
  <c r="AH151" i="3"/>
  <c r="AH152" i="3"/>
  <c r="AH153" i="3"/>
  <c r="AH154" i="3"/>
  <c r="AH155" i="3"/>
  <c r="AH156" i="3"/>
  <c r="AH157" i="3"/>
  <c r="AH158" i="3"/>
  <c r="AH159" i="3"/>
  <c r="AH160" i="3"/>
  <c r="AH161" i="3"/>
  <c r="AH162" i="3"/>
  <c r="AH163" i="3"/>
  <c r="AH164" i="3"/>
  <c r="AH165" i="3"/>
  <c r="AH166" i="3"/>
  <c r="AH167" i="3"/>
  <c r="AH168" i="3"/>
  <c r="AH169" i="3"/>
  <c r="AH170" i="3"/>
  <c r="AH171" i="3"/>
  <c r="AH172" i="3"/>
  <c r="AH173" i="3"/>
  <c r="AH174" i="3"/>
  <c r="AH175" i="3"/>
  <c r="AH176" i="3"/>
  <c r="AH177" i="3"/>
  <c r="AH178" i="3"/>
  <c r="AH179" i="3"/>
  <c r="AH180" i="3"/>
  <c r="AH181" i="3"/>
  <c r="AH182" i="3"/>
  <c r="AH183" i="3"/>
  <c r="AH184" i="3"/>
  <c r="AH185" i="3"/>
  <c r="AH186" i="3"/>
  <c r="AH187" i="3"/>
  <c r="AH188" i="3"/>
  <c r="AH189" i="3"/>
  <c r="AH190" i="3"/>
  <c r="AH191" i="3"/>
  <c r="AH192" i="3"/>
  <c r="AH193" i="3"/>
  <c r="AH194" i="3"/>
  <c r="AH195" i="3"/>
  <c r="AH196" i="3"/>
  <c r="AH197" i="3"/>
  <c r="AH198" i="3"/>
  <c r="AH199" i="3"/>
  <c r="AH200" i="3"/>
  <c r="AH201" i="3"/>
  <c r="AH202" i="3"/>
  <c r="AH203" i="3"/>
  <c r="AH204" i="3"/>
  <c r="AH205" i="3"/>
  <c r="AH206" i="3"/>
  <c r="AH207" i="3"/>
  <c r="AH208" i="3"/>
  <c r="AH209" i="3"/>
  <c r="AH210" i="3"/>
  <c r="AH211" i="3"/>
  <c r="AH212" i="3"/>
  <c r="AH213" i="3"/>
  <c r="AH214" i="3"/>
  <c r="AH215" i="3"/>
  <c r="AH216" i="3"/>
  <c r="AH217" i="3"/>
  <c r="AH218" i="3"/>
  <c r="AH219" i="3"/>
  <c r="AH220" i="3"/>
  <c r="AH221" i="3"/>
  <c r="AH222" i="3"/>
  <c r="AH223" i="3"/>
  <c r="AH224" i="3"/>
  <c r="AH225" i="3"/>
  <c r="AH226" i="3"/>
  <c r="AH227" i="3"/>
  <c r="AH228" i="3"/>
  <c r="AH229" i="3"/>
  <c r="AH230" i="3"/>
  <c r="AH231" i="3"/>
  <c r="AH232" i="3"/>
  <c r="AH233" i="3"/>
  <c r="AH234" i="3"/>
  <c r="AH235" i="3"/>
  <c r="AH236" i="3"/>
  <c r="AH237" i="3"/>
  <c r="AH238" i="3"/>
  <c r="AH239" i="3"/>
  <c r="AH240" i="3"/>
  <c r="AH241" i="3"/>
  <c r="AH242" i="3"/>
  <c r="AH243" i="3"/>
  <c r="AH244" i="3"/>
  <c r="AH245" i="3"/>
  <c r="AH246" i="3"/>
  <c r="AH247" i="3"/>
  <c r="AH248" i="3"/>
  <c r="AH249" i="3"/>
  <c r="AH250" i="3"/>
  <c r="AH251" i="3"/>
  <c r="AH252" i="3"/>
  <c r="AH253" i="3"/>
  <c r="AH254" i="3"/>
  <c r="AH255" i="3"/>
  <c r="AH256" i="3"/>
  <c r="AH257" i="3"/>
  <c r="AH258" i="3"/>
  <c r="AH259" i="3"/>
  <c r="AH260" i="3"/>
  <c r="AH261" i="3"/>
  <c r="AH262" i="3"/>
  <c r="AH263" i="3"/>
  <c r="AH264" i="3"/>
  <c r="AH265" i="3"/>
  <c r="AH266" i="3"/>
  <c r="AH267" i="3"/>
  <c r="AH268" i="3"/>
  <c r="AH269" i="3"/>
  <c r="AH270" i="3"/>
  <c r="AH271" i="3"/>
  <c r="AH272" i="3"/>
  <c r="AH273" i="3"/>
  <c r="AH274" i="3"/>
  <c r="AH275" i="3"/>
  <c r="AH276" i="3"/>
  <c r="AH277" i="3"/>
  <c r="AH278" i="3"/>
  <c r="AH279" i="3"/>
  <c r="AH280" i="3"/>
  <c r="AH281" i="3"/>
  <c r="AH282" i="3"/>
  <c r="AH283" i="3"/>
  <c r="AH284" i="3"/>
  <c r="AH285" i="3"/>
  <c r="AH286" i="3"/>
  <c r="AH287" i="3"/>
  <c r="AH288" i="3"/>
  <c r="AH289" i="3"/>
  <c r="AH290" i="3"/>
  <c r="AH291" i="3"/>
  <c r="AH292" i="3"/>
  <c r="AH293" i="3"/>
  <c r="AH294" i="3"/>
  <c r="AH295" i="3"/>
  <c r="AH296" i="3"/>
  <c r="AH297" i="3"/>
  <c r="AH298" i="3"/>
  <c r="AH299" i="3"/>
  <c r="AH300" i="3"/>
  <c r="AH301" i="3"/>
  <c r="AH302" i="3"/>
  <c r="AH303" i="3"/>
  <c r="AH304" i="3"/>
  <c r="AH305" i="3"/>
  <c r="AH306" i="3"/>
  <c r="AH307" i="3"/>
  <c r="AH308" i="3"/>
  <c r="AH309" i="3"/>
  <c r="AH310" i="3"/>
  <c r="AH311" i="3"/>
  <c r="AH312" i="3"/>
  <c r="AH313" i="3"/>
  <c r="AH314" i="3"/>
  <c r="AH315" i="3"/>
  <c r="AH316" i="3"/>
  <c r="AH317" i="3"/>
  <c r="AH318" i="3"/>
  <c r="AH319" i="3"/>
  <c r="AH320" i="3"/>
  <c r="AH321" i="3"/>
  <c r="AH322" i="3"/>
  <c r="AH323" i="3"/>
  <c r="AH324" i="3"/>
  <c r="AH325" i="3"/>
  <c r="AH326" i="3"/>
  <c r="AH327" i="3"/>
  <c r="AH328" i="3"/>
  <c r="AH329" i="3"/>
  <c r="AH330" i="3"/>
  <c r="AH331" i="3"/>
  <c r="AH332" i="3"/>
  <c r="AH333" i="3"/>
  <c r="AH334" i="3"/>
  <c r="AH335" i="3"/>
  <c r="AH336" i="3"/>
  <c r="AH337" i="3"/>
  <c r="AH338" i="3"/>
  <c r="AH339" i="3"/>
  <c r="AH340" i="3"/>
  <c r="AH341" i="3"/>
  <c r="AH342" i="3"/>
  <c r="AH343" i="3"/>
  <c r="AH344" i="3"/>
  <c r="AH345" i="3"/>
  <c r="AH346" i="3"/>
  <c r="AH347" i="3"/>
  <c r="AH348" i="3"/>
  <c r="AH349" i="3"/>
  <c r="AH350" i="3"/>
  <c r="AH351" i="3"/>
  <c r="AH352" i="3"/>
  <c r="AH353" i="3"/>
  <c r="AH354" i="3"/>
  <c r="AH355" i="3"/>
  <c r="AH356" i="3"/>
  <c r="AH357" i="3"/>
  <c r="AH358" i="3"/>
  <c r="AH359" i="3"/>
  <c r="AH360" i="3"/>
  <c r="AH361" i="3"/>
  <c r="AH362" i="3"/>
  <c r="AH363" i="3"/>
  <c r="AH364" i="3"/>
  <c r="AH365" i="3"/>
  <c r="AH366" i="3"/>
  <c r="AH367" i="3"/>
  <c r="AH368" i="3"/>
  <c r="AH369" i="3"/>
  <c r="AH370" i="3"/>
  <c r="AH371" i="3"/>
  <c r="AH372" i="3"/>
  <c r="AH373" i="3"/>
  <c r="AH374" i="3"/>
  <c r="AH375" i="3"/>
  <c r="AH376" i="3"/>
  <c r="AH377" i="3"/>
  <c r="AH378" i="3"/>
  <c r="AH379" i="3"/>
  <c r="AH380" i="3"/>
  <c r="AH381" i="3"/>
  <c r="AH382" i="3"/>
  <c r="AH383" i="3"/>
  <c r="AH384" i="3"/>
  <c r="AH385" i="3"/>
  <c r="AH386" i="3"/>
  <c r="AH387" i="3"/>
  <c r="AH388" i="3"/>
  <c r="AH389" i="3"/>
  <c r="AH390" i="3"/>
  <c r="AH391" i="3"/>
  <c r="AH392" i="3"/>
  <c r="AH393" i="3"/>
  <c r="AH394" i="3"/>
  <c r="AH395" i="3"/>
  <c r="AH396" i="3"/>
  <c r="AH397" i="3"/>
  <c r="AH398" i="3"/>
  <c r="AH399" i="3"/>
  <c r="AH400" i="3"/>
  <c r="AH401" i="3"/>
  <c r="AH402" i="3"/>
  <c r="AH403" i="3"/>
  <c r="AH404" i="3"/>
  <c r="AH405" i="3"/>
  <c r="AH406" i="3"/>
  <c r="AH407" i="3"/>
  <c r="AH408" i="3"/>
  <c r="AH409" i="3"/>
  <c r="AH410" i="3"/>
  <c r="AH411" i="3"/>
  <c r="AH412" i="3"/>
  <c r="AH413" i="3"/>
  <c r="AH414" i="3"/>
  <c r="AH415" i="3"/>
  <c r="AH416" i="3"/>
  <c r="AH417" i="3"/>
  <c r="AH418" i="3"/>
  <c r="AH419" i="3"/>
  <c r="AH420" i="3"/>
  <c r="AH421" i="3"/>
  <c r="AH422" i="3"/>
  <c r="AH423" i="3"/>
  <c r="AH424" i="3"/>
  <c r="AH425" i="3"/>
  <c r="AH426" i="3"/>
  <c r="AH427" i="3"/>
  <c r="AH428" i="3"/>
  <c r="AH429" i="3"/>
  <c r="AH430" i="3"/>
  <c r="AH431" i="3"/>
  <c r="AH432" i="3"/>
  <c r="AH433" i="3"/>
  <c r="AH434" i="3"/>
  <c r="AH435" i="3"/>
  <c r="AH436" i="3"/>
  <c r="AH437" i="3"/>
  <c r="AH438" i="3"/>
  <c r="AH439" i="3"/>
  <c r="AH440" i="3"/>
  <c r="AH441" i="3"/>
  <c r="AH442" i="3"/>
  <c r="AH443" i="3"/>
  <c r="AH444" i="3"/>
  <c r="AH445" i="3"/>
  <c r="AH446" i="3"/>
  <c r="AH447" i="3"/>
  <c r="AH448" i="3"/>
  <c r="AH449" i="3"/>
  <c r="AH450" i="3"/>
  <c r="AH451" i="3"/>
  <c r="AH452" i="3"/>
  <c r="AH453" i="3"/>
  <c r="AH454" i="3"/>
  <c r="AH455" i="3"/>
  <c r="AH456" i="3"/>
  <c r="AH457" i="3"/>
  <c r="AH458" i="3"/>
  <c r="AH459" i="3"/>
  <c r="AH460" i="3"/>
  <c r="AH461" i="3"/>
  <c r="AH462" i="3"/>
  <c r="AH463" i="3"/>
  <c r="AH464" i="3"/>
  <c r="AH465" i="3"/>
  <c r="AH466" i="3"/>
  <c r="AH467" i="3"/>
  <c r="AH468" i="3"/>
  <c r="AH469" i="3"/>
  <c r="AH470" i="3"/>
  <c r="AH471" i="3"/>
  <c r="AH472" i="3"/>
  <c r="AH473" i="3"/>
  <c r="AH474" i="3"/>
  <c r="AH475" i="3"/>
  <c r="AH476" i="3"/>
  <c r="AH477" i="3"/>
  <c r="AH478" i="3"/>
  <c r="AH479" i="3"/>
  <c r="AH480" i="3"/>
  <c r="AH481" i="3"/>
  <c r="AH482" i="3"/>
  <c r="AH483" i="3"/>
  <c r="AH484" i="3"/>
  <c r="AH485" i="3"/>
  <c r="AH486" i="3"/>
  <c r="AH487" i="3"/>
  <c r="AH488" i="3"/>
  <c r="AH489" i="3"/>
  <c r="AH490" i="3"/>
  <c r="AH491" i="3"/>
  <c r="AH492" i="3"/>
  <c r="AH493" i="3"/>
  <c r="AH494" i="3"/>
  <c r="AH495" i="3"/>
  <c r="AH496" i="3"/>
  <c r="AH497" i="3"/>
  <c r="AH498" i="3"/>
  <c r="AH499" i="3"/>
  <c r="AH500" i="3"/>
  <c r="AH501" i="3"/>
  <c r="AH502" i="3"/>
  <c r="AH503" i="3"/>
  <c r="AH504" i="3"/>
  <c r="AH505" i="3"/>
  <c r="AH506" i="3"/>
  <c r="AH507" i="3"/>
  <c r="AH508" i="3"/>
  <c r="AH509" i="3"/>
  <c r="AH510" i="3"/>
  <c r="AH511" i="3"/>
  <c r="AH512" i="3"/>
  <c r="AH513" i="3"/>
  <c r="AH514" i="3"/>
  <c r="AH515" i="3"/>
  <c r="AH516" i="3"/>
  <c r="AH517" i="3"/>
  <c r="AH518" i="3"/>
  <c r="AH519" i="3"/>
  <c r="AH520" i="3"/>
  <c r="AH521" i="3"/>
  <c r="AH522" i="3"/>
  <c r="AH523" i="3"/>
  <c r="AH524" i="3"/>
  <c r="AH525" i="3"/>
  <c r="AH526" i="3"/>
  <c r="AH527" i="3"/>
  <c r="AH528" i="3"/>
  <c r="AH529" i="3"/>
  <c r="AH530" i="3"/>
  <c r="AH531" i="3"/>
  <c r="AH532" i="3"/>
  <c r="AH533" i="3"/>
  <c r="AH534" i="3"/>
  <c r="AH535" i="3"/>
  <c r="AH536" i="3"/>
  <c r="AH537" i="3"/>
  <c r="AH538" i="3"/>
  <c r="AH539" i="3"/>
  <c r="AH540" i="3"/>
  <c r="AH541" i="3"/>
  <c r="AH542" i="3"/>
  <c r="AH543" i="3"/>
  <c r="AH544" i="3"/>
  <c r="AH545" i="3"/>
  <c r="AH546" i="3"/>
  <c r="AH547" i="3"/>
  <c r="AH548" i="3"/>
  <c r="AH549" i="3"/>
  <c r="AH550" i="3"/>
  <c r="AH551" i="3"/>
  <c r="AH552" i="3"/>
  <c r="AH553" i="3"/>
  <c r="AH554" i="3"/>
  <c r="AH555" i="3"/>
  <c r="AH556" i="3"/>
  <c r="AH557" i="3"/>
  <c r="AH558" i="3"/>
  <c r="AH559" i="3"/>
  <c r="AH560" i="3"/>
  <c r="AH561" i="3"/>
  <c r="AH562" i="3"/>
  <c r="AH563" i="3"/>
  <c r="AH564" i="3"/>
  <c r="AH565" i="3"/>
  <c r="AH566" i="3"/>
  <c r="AH567" i="3"/>
  <c r="AH568" i="3"/>
  <c r="AH569" i="3"/>
  <c r="AH570" i="3"/>
  <c r="AH571" i="3"/>
  <c r="AH572" i="3"/>
  <c r="AH573" i="3"/>
  <c r="AH574" i="3"/>
  <c r="AH575" i="3"/>
  <c r="AH576" i="3"/>
  <c r="AH577" i="3"/>
  <c r="AH578" i="3"/>
  <c r="AH579" i="3"/>
  <c r="AH580" i="3"/>
  <c r="AH581" i="3"/>
  <c r="AH582" i="3"/>
  <c r="AH583" i="3"/>
  <c r="AH584" i="3"/>
  <c r="AH585" i="3"/>
  <c r="AH586" i="3"/>
  <c r="AH587" i="3"/>
  <c r="AH588" i="3"/>
  <c r="AH589" i="3"/>
  <c r="AH590" i="3"/>
  <c r="AH591" i="3"/>
  <c r="AH592" i="3"/>
  <c r="AH593" i="3"/>
  <c r="AH594" i="3"/>
  <c r="AH595" i="3"/>
  <c r="AH596" i="3"/>
  <c r="AH597" i="3"/>
  <c r="AH598" i="3"/>
  <c r="AH599" i="3"/>
  <c r="AH600" i="3"/>
  <c r="AH601" i="3"/>
  <c r="AH602" i="3"/>
  <c r="AH603" i="3"/>
  <c r="AH604" i="3"/>
  <c r="AH605" i="3"/>
  <c r="AH606" i="3"/>
  <c r="AH607" i="3"/>
  <c r="AH608" i="3"/>
  <c r="AH609" i="3"/>
  <c r="AH610" i="3"/>
  <c r="AH611" i="3"/>
  <c r="AH612" i="3"/>
  <c r="AH613" i="3"/>
  <c r="AH614" i="3"/>
  <c r="AH615" i="3"/>
  <c r="AH616" i="3"/>
  <c r="AH617" i="3"/>
  <c r="AH618" i="3"/>
  <c r="AH619" i="3"/>
  <c r="AH620" i="3"/>
  <c r="AH621" i="3"/>
  <c r="AH622" i="3"/>
  <c r="AH623" i="3"/>
  <c r="AH624" i="3"/>
  <c r="AH625" i="3"/>
  <c r="AH626" i="3"/>
  <c r="AH627" i="3"/>
  <c r="AH628" i="3"/>
  <c r="AH629" i="3"/>
  <c r="AH630" i="3"/>
  <c r="AH631" i="3"/>
  <c r="AH632" i="3"/>
  <c r="AH633" i="3"/>
  <c r="AH634" i="3"/>
  <c r="AH635" i="3"/>
  <c r="AH636" i="3"/>
  <c r="AH637" i="3"/>
  <c r="AH638" i="3"/>
  <c r="AH639" i="3"/>
  <c r="AH640" i="3"/>
  <c r="AH641" i="3"/>
  <c r="AH642" i="3"/>
  <c r="AH643" i="3"/>
  <c r="AH644" i="3"/>
  <c r="AH645" i="3"/>
  <c r="AH646" i="3"/>
  <c r="AH647" i="3"/>
  <c r="AH648" i="3"/>
  <c r="AH649" i="3"/>
  <c r="AH650" i="3"/>
  <c r="AH651" i="3"/>
  <c r="AH652" i="3"/>
  <c r="AH653" i="3"/>
  <c r="AH654" i="3"/>
  <c r="AH655" i="3"/>
  <c r="AH656" i="3"/>
  <c r="AH657" i="3"/>
  <c r="AH658" i="3"/>
  <c r="AH659" i="3"/>
  <c r="AH660" i="3"/>
  <c r="AH661" i="3"/>
  <c r="AH662" i="3"/>
  <c r="AH663" i="3"/>
  <c r="AH664" i="3"/>
  <c r="AH665" i="3"/>
  <c r="AH666" i="3"/>
  <c r="AH667" i="3"/>
  <c r="AH668" i="3"/>
  <c r="AH669" i="3"/>
  <c r="AH670" i="3"/>
  <c r="AH671" i="3"/>
  <c r="AH672" i="3"/>
  <c r="AH673" i="3"/>
  <c r="AH674" i="3"/>
  <c r="AH675" i="3"/>
  <c r="AH676" i="3"/>
  <c r="AH677" i="3"/>
  <c r="AH678" i="3"/>
  <c r="AH679" i="3"/>
  <c r="AH680" i="3"/>
  <c r="AH681" i="3"/>
  <c r="AH682" i="3"/>
  <c r="AH683" i="3"/>
  <c r="AH684" i="3"/>
  <c r="AH685" i="3"/>
  <c r="AH686" i="3"/>
  <c r="AH687" i="3"/>
  <c r="AH688" i="3"/>
  <c r="AH689" i="3"/>
  <c r="AH690" i="3"/>
  <c r="AH691" i="3"/>
  <c r="AH692" i="3"/>
  <c r="AH693" i="3"/>
  <c r="AH694" i="3"/>
  <c r="AH695" i="3"/>
  <c r="AH696" i="3"/>
  <c r="AH697" i="3"/>
  <c r="AH698" i="3"/>
  <c r="AH699" i="3"/>
  <c r="AH700" i="3"/>
  <c r="AH701" i="3"/>
  <c r="AH702" i="3"/>
  <c r="AH703" i="3"/>
  <c r="AH704" i="3"/>
  <c r="AH705" i="3"/>
  <c r="AH706" i="3"/>
  <c r="AH707" i="3"/>
  <c r="AH708" i="3"/>
  <c r="AH709" i="3"/>
  <c r="AH710" i="3"/>
  <c r="AH711" i="3"/>
  <c r="AH712" i="3"/>
  <c r="AH713" i="3"/>
  <c r="AH714" i="3"/>
  <c r="AH715" i="3"/>
  <c r="AH716" i="3"/>
  <c r="AH717" i="3"/>
  <c r="AH718" i="3"/>
  <c r="AH719" i="3"/>
  <c r="AH720" i="3"/>
  <c r="AH14" i="3"/>
  <c r="AH15" i="3"/>
  <c r="AH16" i="3"/>
  <c r="AH11" i="3"/>
  <c r="AH12" i="3"/>
  <c r="AH13" i="3"/>
  <c r="AH10" i="3"/>
  <c r="E23" i="5"/>
  <c r="J55" i="2" l="1"/>
  <c r="J65" i="2"/>
  <c r="D8" i="17"/>
  <c r="C10" i="2"/>
  <c r="J54" i="2" s="1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P15" i="5"/>
  <c r="Q8" i="16" s="1"/>
  <c r="R8" i="16" s="1"/>
  <c r="G52" i="2"/>
  <c r="G62" i="2"/>
  <c r="G73" i="2"/>
  <c r="R79" i="16"/>
  <c r="O2" i="16"/>
  <c r="H2" i="16"/>
  <c r="B2" i="16"/>
  <c r="P8" i="16"/>
  <c r="B14" i="5"/>
  <c r="B19" i="5"/>
  <c r="B18" i="5"/>
  <c r="B17" i="5"/>
  <c r="B28" i="5"/>
  <c r="B27" i="5"/>
  <c r="B26" i="5"/>
  <c r="B25" i="5"/>
  <c r="B24" i="5"/>
  <c r="B23" i="5"/>
  <c r="B22" i="5"/>
  <c r="E22" i="5"/>
  <c r="H3" i="5"/>
  <c r="H4" i="5"/>
  <c r="H5" i="5"/>
  <c r="H7" i="5"/>
  <c r="H8" i="5"/>
  <c r="H9" i="5"/>
  <c r="H11" i="5"/>
  <c r="H12" i="5"/>
  <c r="H13" i="5"/>
  <c r="H17" i="5" l="1"/>
  <c r="I3" i="19"/>
  <c r="E52" i="2"/>
  <c r="C13" i="2"/>
  <c r="E4" i="8" s="1"/>
  <c r="O49" i="16"/>
  <c r="S8" i="16"/>
  <c r="T8" i="16"/>
  <c r="R49" i="16" s="1"/>
  <c r="I5" i="16"/>
  <c r="J64" i="2" l="1"/>
  <c r="J76" i="2" s="1"/>
  <c r="H3" i="19"/>
  <c r="I4" i="19"/>
  <c r="J56" i="2"/>
  <c r="H4" i="19" s="1"/>
  <c r="E54" i="2"/>
  <c r="E55" i="2" s="1"/>
  <c r="D29" i="5"/>
  <c r="E18" i="5"/>
  <c r="F18" i="5" s="1"/>
  <c r="E19" i="5"/>
  <c r="F19" i="5" s="1"/>
  <c r="E20" i="5"/>
  <c r="F20" i="5" s="1"/>
  <c r="E21" i="5"/>
  <c r="F21" i="5" s="1"/>
  <c r="F22" i="5"/>
  <c r="F23" i="5"/>
  <c r="E24" i="5"/>
  <c r="F24" i="5" s="1"/>
  <c r="E25" i="5"/>
  <c r="F25" i="5" s="1"/>
  <c r="E26" i="5"/>
  <c r="F26" i="5" s="1"/>
  <c r="E27" i="5"/>
  <c r="F27" i="5" s="1"/>
  <c r="E28" i="5"/>
  <c r="F28" i="5" s="1"/>
  <c r="E17" i="5"/>
  <c r="C10" i="5"/>
  <c r="C6" i="5"/>
  <c r="B84" i="6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83" i="6"/>
  <c r="K4" i="3"/>
  <c r="B15" i="8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B33" i="8" s="1"/>
  <c r="B34" i="8" s="1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58" i="8" s="1"/>
  <c r="B59" i="8" s="1"/>
  <c r="B60" i="8" s="1"/>
  <c r="B61" i="8" s="1"/>
  <c r="B62" i="8" s="1"/>
  <c r="B63" i="8" s="1"/>
  <c r="B64" i="8" s="1"/>
  <c r="B65" i="8" s="1"/>
  <c r="B66" i="8" s="1"/>
  <c r="B67" i="8" s="1"/>
  <c r="B68" i="8" s="1"/>
  <c r="B69" i="8" s="1"/>
  <c r="B70" i="8" s="1"/>
  <c r="B71" i="8" s="1"/>
  <c r="B72" i="8" s="1"/>
  <c r="B73" i="8" s="1"/>
  <c r="B74" i="8" s="1"/>
  <c r="B75" i="8" s="1"/>
  <c r="B76" i="8" s="1"/>
  <c r="B77" i="8" s="1"/>
  <c r="B78" i="8" s="1"/>
  <c r="B79" i="8" s="1"/>
  <c r="C15" i="6"/>
  <c r="C16" i="6" s="1"/>
  <c r="B15" i="6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E6" i="5" l="1"/>
  <c r="F6" i="5" s="1"/>
  <c r="E10" i="5"/>
  <c r="F10" i="5" s="1"/>
  <c r="H10" i="5"/>
  <c r="E5" i="5"/>
  <c r="D5" i="5" s="1"/>
  <c r="H6" i="5"/>
  <c r="F17" i="5"/>
  <c r="F29" i="5"/>
  <c r="E2" i="5"/>
  <c r="F2" i="5" s="1"/>
  <c r="E29" i="5"/>
  <c r="E12" i="5"/>
  <c r="F12" i="5" s="1"/>
  <c r="E4" i="5"/>
  <c r="E11" i="5"/>
  <c r="E3" i="5"/>
  <c r="E9" i="5"/>
  <c r="E8" i="5"/>
  <c r="C14" i="5"/>
  <c r="E7" i="5"/>
  <c r="E13" i="5"/>
  <c r="C17" i="6"/>
  <c r="L37" i="2"/>
  <c r="L38" i="2" s="1"/>
  <c r="D6" i="5" l="1"/>
  <c r="F5" i="5"/>
  <c r="D10" i="5"/>
  <c r="J77" i="2"/>
  <c r="D12" i="5"/>
  <c r="D2" i="5"/>
  <c r="C15" i="2"/>
  <c r="F8" i="5"/>
  <c r="D8" i="5"/>
  <c r="F9" i="5"/>
  <c r="D9" i="5"/>
  <c r="D13" i="5"/>
  <c r="F13" i="5"/>
  <c r="D11" i="5"/>
  <c r="F11" i="5"/>
  <c r="E14" i="5"/>
  <c r="F7" i="5"/>
  <c r="D7" i="5"/>
  <c r="D3" i="5"/>
  <c r="F3" i="5"/>
  <c r="D4" i="5"/>
  <c r="F4" i="5"/>
  <c r="C18" i="6"/>
  <c r="F14" i="5" l="1"/>
  <c r="D14" i="5"/>
  <c r="C19" i="6"/>
  <c r="C11" i="2" l="1"/>
  <c r="C20" i="6"/>
  <c r="J57" i="2" l="1"/>
  <c r="E53" i="2"/>
  <c r="C21" i="6"/>
  <c r="D5" i="16" l="1"/>
  <c r="C6" i="16" s="1"/>
  <c r="D6" i="16" s="1"/>
  <c r="D3" i="12"/>
  <c r="C22" i="6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2" i="3"/>
  <c r="E3" i="12" l="1"/>
  <c r="C23" i="6"/>
  <c r="C8" i="4"/>
  <c r="C9" i="4" s="1"/>
  <c r="C26" i="4"/>
  <c r="C22" i="4"/>
  <c r="C20" i="4"/>
  <c r="C19" i="4"/>
  <c r="C18" i="4"/>
  <c r="C27" i="4"/>
  <c r="D28" i="2"/>
  <c r="C4" i="12" l="1"/>
  <c r="G28" i="2"/>
  <c r="E38" i="2"/>
  <c r="Q28" i="2"/>
  <c r="O28" i="2"/>
  <c r="M19" i="3"/>
  <c r="M26" i="3"/>
  <c r="C7" i="16"/>
  <c r="D7" i="16" s="1"/>
  <c r="C24" i="6"/>
  <c r="N19" i="3"/>
  <c r="N26" i="3"/>
  <c r="I2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51" i="3"/>
  <c r="B52" i="3"/>
  <c r="B53" i="3"/>
  <c r="B54" i="3"/>
  <c r="B55" i="3"/>
  <c r="B56" i="3"/>
  <c r="B57" i="3"/>
  <c r="D31" i="2"/>
  <c r="I15" i="3"/>
  <c r="M28" i="2" l="1"/>
  <c r="P15" i="3" s="1"/>
  <c r="P3" i="3"/>
  <c r="K28" i="2"/>
  <c r="O15" i="3" s="1"/>
  <c r="O3" i="3"/>
  <c r="P2" i="3"/>
  <c r="O2" i="3"/>
  <c r="M3" i="3"/>
  <c r="P42" i="3"/>
  <c r="O42" i="3"/>
  <c r="M62" i="3"/>
  <c r="I28" i="2"/>
  <c r="N15" i="3" s="1"/>
  <c r="C15" i="3" s="1"/>
  <c r="E39" i="2"/>
  <c r="I23" i="3"/>
  <c r="M69" i="3"/>
  <c r="M2" i="3"/>
  <c r="B2" i="3" s="1"/>
  <c r="M15" i="3"/>
  <c r="C8" i="16"/>
  <c r="D8" i="16" s="1"/>
  <c r="I3" i="3"/>
  <c r="C25" i="6"/>
  <c r="N62" i="3"/>
  <c r="N69" i="3"/>
  <c r="B26" i="3"/>
  <c r="I24" i="3"/>
  <c r="I19" i="3"/>
  <c r="I26" i="3"/>
  <c r="I14" i="3"/>
  <c r="I7" i="3"/>
  <c r="I33" i="3"/>
  <c r="I29" i="3"/>
  <c r="I12" i="3"/>
  <c r="I18" i="3"/>
  <c r="I11" i="3"/>
  <c r="I6" i="3"/>
  <c r="I22" i="3"/>
  <c r="I17" i="3"/>
  <c r="I27" i="3"/>
  <c r="I10" i="3"/>
  <c r="I5" i="3"/>
  <c r="I31" i="3"/>
  <c r="I21" i="3"/>
  <c r="I9" i="3"/>
  <c r="I16" i="3"/>
  <c r="I28" i="3"/>
  <c r="I20" i="3"/>
  <c r="I25" i="3"/>
  <c r="I8" i="3"/>
  <c r="I13" i="3"/>
  <c r="I30" i="3"/>
  <c r="I4" i="3"/>
  <c r="I32" i="3"/>
  <c r="C19" i="3"/>
  <c r="C26" i="3"/>
  <c r="I36" i="3"/>
  <c r="AH9" i="3"/>
  <c r="AH8" i="3"/>
  <c r="AH7" i="3"/>
  <c r="AH6" i="3"/>
  <c r="AH5" i="3"/>
  <c r="AH4" i="3"/>
  <c r="AH3" i="3"/>
  <c r="AH2" i="3"/>
  <c r="P4" i="3" l="1"/>
  <c r="O4" i="3"/>
  <c r="O9" i="3"/>
  <c r="P9" i="3"/>
  <c r="P6" i="3"/>
  <c r="O6" i="3"/>
  <c r="O16" i="3"/>
  <c r="P16" i="3"/>
  <c r="O14" i="3"/>
  <c r="P14" i="3"/>
  <c r="P13" i="3"/>
  <c r="O13" i="3"/>
  <c r="P18" i="3"/>
  <c r="O18" i="3"/>
  <c r="O24" i="3"/>
  <c r="P24" i="3"/>
  <c r="O22" i="3"/>
  <c r="P22" i="3"/>
  <c r="P11" i="3"/>
  <c r="O11" i="3"/>
  <c r="P5" i="3"/>
  <c r="O5" i="3"/>
  <c r="O25" i="3"/>
  <c r="P25" i="3"/>
  <c r="P23" i="3"/>
  <c r="O23" i="3"/>
  <c r="P21" i="3"/>
  <c r="O21" i="3"/>
  <c r="P8" i="3"/>
  <c r="O8" i="3"/>
  <c r="P12" i="3"/>
  <c r="O12" i="3"/>
  <c r="P10" i="3"/>
  <c r="O10" i="3"/>
  <c r="P20" i="3"/>
  <c r="O20" i="3"/>
  <c r="O17" i="3"/>
  <c r="P17" i="3"/>
  <c r="P7" i="3"/>
  <c r="O7" i="3"/>
  <c r="O30" i="2"/>
  <c r="O31" i="2"/>
  <c r="I31" i="2"/>
  <c r="I30" i="2"/>
  <c r="N27" i="3" s="1"/>
  <c r="C27" i="3" s="1"/>
  <c r="K30" i="2"/>
  <c r="O32" i="3" s="1"/>
  <c r="K31" i="2"/>
  <c r="M31" i="2"/>
  <c r="M30" i="2"/>
  <c r="P32" i="3" s="1"/>
  <c r="N42" i="3"/>
  <c r="Q30" i="2"/>
  <c r="Q31" i="2"/>
  <c r="M42" i="3"/>
  <c r="B42" i="3" s="1"/>
  <c r="G30" i="2"/>
  <c r="M32" i="3" s="1"/>
  <c r="G31" i="2"/>
  <c r="M23" i="3"/>
  <c r="M10" i="3"/>
  <c r="M12" i="3"/>
  <c r="M20" i="3"/>
  <c r="M25" i="3"/>
  <c r="M4" i="3"/>
  <c r="M16" i="3"/>
  <c r="B16" i="3" s="1"/>
  <c r="M22" i="3"/>
  <c r="M14" i="3"/>
  <c r="M9" i="3"/>
  <c r="M6" i="3"/>
  <c r="B6" i="3" s="1"/>
  <c r="M5" i="3"/>
  <c r="B5" i="3" s="1"/>
  <c r="M17" i="3"/>
  <c r="B17" i="3" s="1"/>
  <c r="M13" i="3"/>
  <c r="M7" i="3"/>
  <c r="M21" i="3"/>
  <c r="M11" i="3"/>
  <c r="M8" i="3"/>
  <c r="M18" i="3"/>
  <c r="M24" i="3"/>
  <c r="J59" i="3"/>
  <c r="C9" i="16"/>
  <c r="D9" i="16" s="1"/>
  <c r="I35" i="3"/>
  <c r="I40" i="3"/>
  <c r="I46" i="3"/>
  <c r="I41" i="3"/>
  <c r="I37" i="3"/>
  <c r="I39" i="3"/>
  <c r="I38" i="3"/>
  <c r="I34" i="3"/>
  <c r="B15" i="3"/>
  <c r="N23" i="3"/>
  <c r="N3" i="3"/>
  <c r="C3" i="3" s="1"/>
  <c r="N4" i="3"/>
  <c r="C4" i="3" s="1"/>
  <c r="C26" i="6"/>
  <c r="N2" i="3"/>
  <c r="C2" i="3" s="1"/>
  <c r="I45" i="3"/>
  <c r="N6" i="3"/>
  <c r="C6" i="3" s="1"/>
  <c r="N13" i="3"/>
  <c r="C13" i="3" s="1"/>
  <c r="N18" i="3"/>
  <c r="C18" i="3" s="1"/>
  <c r="N8" i="3"/>
  <c r="C8" i="3" s="1"/>
  <c r="N12" i="3"/>
  <c r="C12" i="3" s="1"/>
  <c r="N11" i="3"/>
  <c r="C11" i="3" s="1"/>
  <c r="N5" i="3"/>
  <c r="C5" i="3" s="1"/>
  <c r="N21" i="3"/>
  <c r="C21" i="3" s="1"/>
  <c r="N10" i="3"/>
  <c r="C10" i="3" s="1"/>
  <c r="N25" i="3"/>
  <c r="C25" i="3" s="1"/>
  <c r="N20" i="3"/>
  <c r="C20" i="3" s="1"/>
  <c r="N7" i="3"/>
  <c r="C7" i="3" s="1"/>
  <c r="N17" i="3"/>
  <c r="C17" i="3" s="1"/>
  <c r="N14" i="3"/>
  <c r="C14" i="3" s="1"/>
  <c r="N22" i="3"/>
  <c r="C22" i="3" s="1"/>
  <c r="N16" i="3"/>
  <c r="C16" i="3" s="1"/>
  <c r="N9" i="3"/>
  <c r="C9" i="3" s="1"/>
  <c r="N24" i="3"/>
  <c r="C24" i="3" s="1"/>
  <c r="I50" i="3"/>
  <c r="I43" i="3"/>
  <c r="I49" i="3"/>
  <c r="I44" i="3"/>
  <c r="I53" i="3"/>
  <c r="I58" i="3"/>
  <c r="I61" i="3"/>
  <c r="I56" i="3"/>
  <c r="I57" i="3"/>
  <c r="I54" i="3"/>
  <c r="I59" i="3"/>
  <c r="I52" i="3"/>
  <c r="I55" i="3"/>
  <c r="I51" i="3"/>
  <c r="I60" i="3"/>
  <c r="I47" i="3"/>
  <c r="I62" i="3"/>
  <c r="I65" i="3"/>
  <c r="I66" i="3"/>
  <c r="I68" i="3"/>
  <c r="I63" i="3"/>
  <c r="I64" i="3"/>
  <c r="I67" i="3"/>
  <c r="I42" i="3"/>
  <c r="I48" i="3"/>
  <c r="I71" i="3"/>
  <c r="I69" i="3"/>
  <c r="I73" i="3"/>
  <c r="I74" i="3"/>
  <c r="I70" i="3"/>
  <c r="I72" i="3"/>
  <c r="J3" i="3"/>
  <c r="J19" i="3"/>
  <c r="J55" i="3"/>
  <c r="J63" i="3"/>
  <c r="J71" i="3"/>
  <c r="J56" i="3"/>
  <c r="J72" i="3"/>
  <c r="J57" i="3"/>
  <c r="J65" i="3"/>
  <c r="J73" i="3"/>
  <c r="J60" i="3"/>
  <c r="J54" i="3"/>
  <c r="J58" i="3"/>
  <c r="J66" i="3"/>
  <c r="J74" i="3"/>
  <c r="J62" i="3"/>
  <c r="J51" i="3"/>
  <c r="J67" i="3"/>
  <c r="J68" i="3"/>
  <c r="J64" i="3"/>
  <c r="J52" i="3"/>
  <c r="J53" i="3"/>
  <c r="J61" i="3"/>
  <c r="J69" i="3"/>
  <c r="J70" i="3"/>
  <c r="J16" i="3"/>
  <c r="L16" i="3" s="1"/>
  <c r="J5" i="3"/>
  <c r="L5" i="3" s="1"/>
  <c r="J10" i="3"/>
  <c r="L10" i="3" s="1"/>
  <c r="J14" i="3"/>
  <c r="L14" i="3" s="1"/>
  <c r="J13" i="3"/>
  <c r="L13" i="3" s="1"/>
  <c r="J15" i="3"/>
  <c r="L15" i="3" s="1"/>
  <c r="J9" i="3"/>
  <c r="L9" i="3" s="1"/>
  <c r="J6" i="3"/>
  <c r="L6" i="3" s="1"/>
  <c r="J23" i="3"/>
  <c r="L23" i="3" s="1"/>
  <c r="J4" i="3"/>
  <c r="L4" i="3" s="1"/>
  <c r="J12" i="3"/>
  <c r="L12" i="3" s="1"/>
  <c r="J27" i="3"/>
  <c r="L27" i="3" s="1"/>
  <c r="J7" i="3"/>
  <c r="L7" i="3" s="1"/>
  <c r="J11" i="3"/>
  <c r="L11" i="3" s="1"/>
  <c r="J8" i="3"/>
  <c r="L8" i="3" s="1"/>
  <c r="J41" i="3"/>
  <c r="L41" i="3" s="1"/>
  <c r="J45" i="3"/>
  <c r="L45" i="3" s="1"/>
  <c r="J43" i="3"/>
  <c r="L43" i="3" s="1"/>
  <c r="J29" i="3"/>
  <c r="L29" i="3" s="1"/>
  <c r="J33" i="3"/>
  <c r="L33" i="3" s="1"/>
  <c r="J21" i="3"/>
  <c r="L21" i="3" s="1"/>
  <c r="J25" i="3"/>
  <c r="J50" i="3"/>
  <c r="L50" i="3" s="1"/>
  <c r="J38" i="3"/>
  <c r="L38" i="3" s="1"/>
  <c r="J34" i="3"/>
  <c r="L34" i="3" s="1"/>
  <c r="J30" i="3"/>
  <c r="L30" i="3" s="1"/>
  <c r="J26" i="3"/>
  <c r="J22" i="3"/>
  <c r="L22" i="3" s="1"/>
  <c r="J42" i="3"/>
  <c r="J48" i="3"/>
  <c r="L48" i="3" s="1"/>
  <c r="J47" i="3"/>
  <c r="L47" i="3" s="1"/>
  <c r="J46" i="3"/>
  <c r="L46" i="3" s="1"/>
  <c r="J49" i="3"/>
  <c r="L49" i="3" s="1"/>
  <c r="J36" i="3"/>
  <c r="L36" i="3" s="1"/>
  <c r="J28" i="3"/>
  <c r="L28" i="3" s="1"/>
  <c r="J24" i="3"/>
  <c r="L24" i="3" s="1"/>
  <c r="J40" i="3"/>
  <c r="L40" i="3" s="1"/>
  <c r="J32" i="3"/>
  <c r="L32" i="3" s="1"/>
  <c r="J20" i="3"/>
  <c r="L20" i="3" s="1"/>
  <c r="J37" i="3"/>
  <c r="L37" i="3" s="1"/>
  <c r="J18" i="3"/>
  <c r="L18" i="3" s="1"/>
  <c r="J31" i="3"/>
  <c r="L31" i="3" s="1"/>
  <c r="J44" i="3"/>
  <c r="L44" i="3" s="1"/>
  <c r="J35" i="3"/>
  <c r="L35" i="3" s="1"/>
  <c r="J39" i="3"/>
  <c r="L39" i="3" s="1"/>
  <c r="J17" i="3"/>
  <c r="L17" i="3" s="1"/>
  <c r="X47" i="3" l="1"/>
  <c r="X32" i="3"/>
  <c r="X31" i="3"/>
  <c r="X36" i="3"/>
  <c r="X30" i="3"/>
  <c r="X43" i="3"/>
  <c r="X4" i="3"/>
  <c r="X5" i="3"/>
  <c r="X45" i="3"/>
  <c r="X16" i="3"/>
  <c r="X37" i="3"/>
  <c r="X46" i="3"/>
  <c r="X38" i="3"/>
  <c r="X41" i="3"/>
  <c r="X6" i="3"/>
  <c r="X18" i="3"/>
  <c r="X34" i="3"/>
  <c r="X8" i="3"/>
  <c r="X48" i="3"/>
  <c r="X15" i="3"/>
  <c r="X49" i="3"/>
  <c r="X50" i="3"/>
  <c r="X40" i="3"/>
  <c r="X21" i="3"/>
  <c r="X7" i="3"/>
  <c r="X13" i="3"/>
  <c r="X23" i="3"/>
  <c r="X9" i="3"/>
  <c r="X11" i="3"/>
  <c r="X39" i="3"/>
  <c r="X35" i="3"/>
  <c r="X24" i="3"/>
  <c r="X22" i="3"/>
  <c r="X33" i="3"/>
  <c r="X27" i="3"/>
  <c r="X14" i="3"/>
  <c r="X20" i="3"/>
  <c r="X17" i="3"/>
  <c r="X44" i="3"/>
  <c r="X28" i="3"/>
  <c r="X29" i="3"/>
  <c r="X12" i="3"/>
  <c r="X10" i="3"/>
  <c r="O27" i="3"/>
  <c r="O29" i="3"/>
  <c r="O31" i="3"/>
  <c r="O36" i="3"/>
  <c r="O28" i="3"/>
  <c r="P52" i="3"/>
  <c r="O52" i="3"/>
  <c r="O48" i="3"/>
  <c r="P48" i="3"/>
  <c r="O57" i="3"/>
  <c r="P57" i="3"/>
  <c r="P50" i="3"/>
  <c r="O50" i="3"/>
  <c r="O40" i="3"/>
  <c r="P40" i="3"/>
  <c r="P27" i="3"/>
  <c r="P36" i="3"/>
  <c r="O30" i="3"/>
  <c r="P31" i="3"/>
  <c r="P68" i="3"/>
  <c r="O68" i="3"/>
  <c r="P71" i="3"/>
  <c r="O71" i="3"/>
  <c r="O46" i="3"/>
  <c r="P46" i="3"/>
  <c r="P30" i="3"/>
  <c r="P47" i="3"/>
  <c r="O47" i="3"/>
  <c r="P56" i="3"/>
  <c r="O56" i="3"/>
  <c r="P35" i="3"/>
  <c r="O35" i="3"/>
  <c r="O64" i="3"/>
  <c r="P64" i="3"/>
  <c r="P58" i="3"/>
  <c r="O58" i="3"/>
  <c r="O73" i="3"/>
  <c r="P73" i="3"/>
  <c r="P44" i="3"/>
  <c r="O44" i="3"/>
  <c r="O65" i="3"/>
  <c r="P65" i="3"/>
  <c r="O54" i="3"/>
  <c r="P54" i="3"/>
  <c r="P43" i="3"/>
  <c r="O43" i="3"/>
  <c r="O72" i="3"/>
  <c r="P72" i="3"/>
  <c r="P67" i="3"/>
  <c r="O67" i="3"/>
  <c r="P60" i="3"/>
  <c r="O60" i="3"/>
  <c r="P61" i="3"/>
  <c r="O61" i="3"/>
  <c r="P34" i="3"/>
  <c r="O34" i="3"/>
  <c r="P45" i="3"/>
  <c r="O45" i="3"/>
  <c r="P51" i="3"/>
  <c r="O51" i="3"/>
  <c r="P38" i="3"/>
  <c r="O38" i="3"/>
  <c r="P74" i="3"/>
  <c r="O74" i="3"/>
  <c r="P63" i="3"/>
  <c r="O63" i="3"/>
  <c r="P55" i="3"/>
  <c r="O55" i="3"/>
  <c r="P53" i="3"/>
  <c r="O53" i="3"/>
  <c r="P39" i="3"/>
  <c r="O39" i="3"/>
  <c r="P28" i="3"/>
  <c r="P29" i="3"/>
  <c r="P70" i="3"/>
  <c r="O70" i="3"/>
  <c r="P37" i="3"/>
  <c r="O37" i="3"/>
  <c r="P33" i="3"/>
  <c r="P66" i="3"/>
  <c r="O66" i="3"/>
  <c r="P59" i="3"/>
  <c r="O59" i="3"/>
  <c r="O49" i="3"/>
  <c r="P49" i="3"/>
  <c r="O41" i="3"/>
  <c r="P41" i="3"/>
  <c r="O33" i="3"/>
  <c r="C42" i="3"/>
  <c r="R5" i="3"/>
  <c r="R23" i="3"/>
  <c r="R16" i="3"/>
  <c r="R36" i="3"/>
  <c r="R49" i="3"/>
  <c r="R41" i="3"/>
  <c r="R8" i="3"/>
  <c r="R48" i="3"/>
  <c r="R30" i="3"/>
  <c r="R34" i="3"/>
  <c r="R6" i="3"/>
  <c r="R20" i="3"/>
  <c r="R9" i="3"/>
  <c r="R17" i="3"/>
  <c r="R13" i="3"/>
  <c r="R43" i="3"/>
  <c r="R18" i="3"/>
  <c r="R37" i="3"/>
  <c r="R38" i="3"/>
  <c r="R47" i="3"/>
  <c r="R32" i="3"/>
  <c r="R15" i="3"/>
  <c r="R21" i="3"/>
  <c r="R33" i="3"/>
  <c r="R31" i="3"/>
  <c r="R4" i="3"/>
  <c r="R45" i="3"/>
  <c r="R46" i="3"/>
  <c r="R50" i="3"/>
  <c r="R11" i="3"/>
  <c r="R39" i="3"/>
  <c r="R40" i="3"/>
  <c r="R7" i="3"/>
  <c r="R35" i="3"/>
  <c r="R24" i="3"/>
  <c r="R22" i="3"/>
  <c r="R27" i="3"/>
  <c r="R14" i="3"/>
  <c r="R44" i="3"/>
  <c r="R28" i="3"/>
  <c r="R29" i="3"/>
  <c r="R12" i="3"/>
  <c r="R10" i="3"/>
  <c r="N36" i="3"/>
  <c r="C36" i="3" s="1"/>
  <c r="N32" i="3"/>
  <c r="C32" i="3" s="1"/>
  <c r="N30" i="3"/>
  <c r="C30" i="3" s="1"/>
  <c r="N28" i="3"/>
  <c r="C28" i="3" s="1"/>
  <c r="N29" i="3"/>
  <c r="C29" i="3" s="1"/>
  <c r="N33" i="3"/>
  <c r="C33" i="3" s="1"/>
  <c r="N31" i="3"/>
  <c r="C31" i="3" s="1"/>
  <c r="M27" i="3"/>
  <c r="B27" i="3" s="1"/>
  <c r="M30" i="3"/>
  <c r="B30" i="3" s="1"/>
  <c r="M31" i="3"/>
  <c r="B31" i="3" s="1"/>
  <c r="M36" i="3"/>
  <c r="B36" i="3" s="1"/>
  <c r="M28" i="3"/>
  <c r="B28" i="3" s="1"/>
  <c r="M29" i="3"/>
  <c r="B29" i="3" s="1"/>
  <c r="M33" i="3"/>
  <c r="B33" i="3" s="1"/>
  <c r="M51" i="3"/>
  <c r="E23" i="3"/>
  <c r="L35" i="2"/>
  <c r="L25" i="3"/>
  <c r="E25" i="3"/>
  <c r="E24" i="3"/>
  <c r="M74" i="3"/>
  <c r="M41" i="3"/>
  <c r="M63" i="3"/>
  <c r="M73" i="3"/>
  <c r="M44" i="3"/>
  <c r="M59" i="3"/>
  <c r="M71" i="3"/>
  <c r="M65" i="3"/>
  <c r="M54" i="3"/>
  <c r="M43" i="3"/>
  <c r="M46" i="3"/>
  <c r="M53" i="3"/>
  <c r="M57" i="3"/>
  <c r="M50" i="3"/>
  <c r="B50" i="3" s="1"/>
  <c r="M40" i="3"/>
  <c r="M66" i="3"/>
  <c r="M47" i="3"/>
  <c r="M56" i="3"/>
  <c r="M35" i="3"/>
  <c r="M68" i="3"/>
  <c r="M37" i="3"/>
  <c r="M49" i="3"/>
  <c r="M48" i="3"/>
  <c r="M72" i="3"/>
  <c r="M67" i="3"/>
  <c r="M60" i="3"/>
  <c r="M61" i="3"/>
  <c r="M45" i="3"/>
  <c r="M34" i="3"/>
  <c r="B34" i="3" s="1"/>
  <c r="M55" i="3"/>
  <c r="M52" i="3"/>
  <c r="M70" i="3"/>
  <c r="M64" i="3"/>
  <c r="M58" i="3"/>
  <c r="M38" i="3"/>
  <c r="M39" i="3"/>
  <c r="B39" i="3" s="1"/>
  <c r="L3" i="3"/>
  <c r="E35" i="2"/>
  <c r="C10" i="16"/>
  <c r="D10" i="16" s="1"/>
  <c r="N38" i="3"/>
  <c r="C38" i="3" s="1"/>
  <c r="N41" i="3"/>
  <c r="C41" i="3" s="1"/>
  <c r="N37" i="3"/>
  <c r="C37" i="3" s="1"/>
  <c r="C23" i="3"/>
  <c r="N35" i="3"/>
  <c r="C35" i="3" s="1"/>
  <c r="N40" i="3"/>
  <c r="C40" i="3" s="1"/>
  <c r="N39" i="3"/>
  <c r="C39" i="3" s="1"/>
  <c r="N34" i="3"/>
  <c r="C34" i="3" s="1"/>
  <c r="B3" i="3"/>
  <c r="N46" i="3"/>
  <c r="C46" i="3" s="1"/>
  <c r="N51" i="3"/>
  <c r="B4" i="3"/>
  <c r="N45" i="3"/>
  <c r="C45" i="3" s="1"/>
  <c r="C27" i="6"/>
  <c r="N74" i="3"/>
  <c r="N53" i="3"/>
  <c r="N73" i="3"/>
  <c r="N47" i="3"/>
  <c r="C47" i="3" s="1"/>
  <c r="N44" i="3"/>
  <c r="C44" i="3" s="1"/>
  <c r="L19" i="3"/>
  <c r="N60" i="3"/>
  <c r="N49" i="3"/>
  <c r="C49" i="3" s="1"/>
  <c r="N71" i="3"/>
  <c r="N43" i="3"/>
  <c r="C43" i="3" s="1"/>
  <c r="N48" i="3"/>
  <c r="C48" i="3" s="1"/>
  <c r="N55" i="3"/>
  <c r="L26" i="3"/>
  <c r="N52" i="3"/>
  <c r="N50" i="3"/>
  <c r="C50" i="3" s="1"/>
  <c r="N67" i="3"/>
  <c r="N59" i="3"/>
  <c r="N64" i="3"/>
  <c r="N54" i="3"/>
  <c r="N63" i="3"/>
  <c r="N57" i="3"/>
  <c r="B9" i="3"/>
  <c r="N68" i="3"/>
  <c r="N56" i="3"/>
  <c r="B7" i="3"/>
  <c r="N72" i="3"/>
  <c r="N66" i="3"/>
  <c r="N61" i="3"/>
  <c r="N70" i="3"/>
  <c r="N65" i="3"/>
  <c r="N58" i="3"/>
  <c r="B12" i="3"/>
  <c r="B10" i="3"/>
  <c r="B11" i="3"/>
  <c r="B13" i="3"/>
  <c r="B8" i="3"/>
  <c r="B32" i="3"/>
  <c r="B23" i="3"/>
  <c r="B22" i="3"/>
  <c r="B25" i="3"/>
  <c r="B21" i="3"/>
  <c r="B20" i="3"/>
  <c r="B24" i="3"/>
  <c r="B14" i="3"/>
  <c r="B18" i="3"/>
  <c r="L2" i="3"/>
  <c r="L42" i="3"/>
  <c r="X25" i="3" l="1"/>
  <c r="X3" i="3"/>
  <c r="X42" i="3"/>
  <c r="X2" i="3"/>
  <c r="X19" i="3"/>
  <c r="X26" i="3"/>
  <c r="R2" i="3"/>
  <c r="R3" i="3"/>
  <c r="R19" i="3"/>
  <c r="R42" i="3"/>
  <c r="R25" i="3"/>
  <c r="R26" i="3"/>
  <c r="E28" i="3"/>
  <c r="C12" i="2"/>
  <c r="C11" i="16"/>
  <c r="D11" i="16" s="1"/>
  <c r="B38" i="3"/>
  <c r="B41" i="3"/>
  <c r="B35" i="3"/>
  <c r="B37" i="3"/>
  <c r="B40" i="3"/>
  <c r="C17" i="2"/>
  <c r="C28" i="6"/>
  <c r="B44" i="3"/>
  <c r="B47" i="3"/>
  <c r="B46" i="3"/>
  <c r="B48" i="3"/>
  <c r="B49" i="3"/>
  <c r="B43" i="3"/>
  <c r="B45" i="3"/>
  <c r="E5" i="8" l="1"/>
  <c r="J4" i="19"/>
  <c r="C12" i="16"/>
  <c r="D12" i="16" s="1"/>
  <c r="D83" i="6"/>
  <c r="D91" i="6"/>
  <c r="D99" i="6"/>
  <c r="D107" i="6"/>
  <c r="D115" i="6"/>
  <c r="D123" i="6"/>
  <c r="D131" i="6"/>
  <c r="D139" i="6"/>
  <c r="D147" i="6"/>
  <c r="D102" i="6"/>
  <c r="D142" i="6"/>
  <c r="D103" i="6"/>
  <c r="D96" i="6"/>
  <c r="D112" i="6"/>
  <c r="D136" i="6"/>
  <c r="D84" i="6"/>
  <c r="D92" i="6"/>
  <c r="D100" i="6"/>
  <c r="D108" i="6"/>
  <c r="D116" i="6"/>
  <c r="D124" i="6"/>
  <c r="D132" i="6"/>
  <c r="D140" i="6"/>
  <c r="D86" i="6"/>
  <c r="D111" i="6"/>
  <c r="D144" i="6"/>
  <c r="D85" i="6"/>
  <c r="D93" i="6"/>
  <c r="D101" i="6"/>
  <c r="D109" i="6"/>
  <c r="D117" i="6"/>
  <c r="D125" i="6"/>
  <c r="D133" i="6"/>
  <c r="D141" i="6"/>
  <c r="D94" i="6"/>
  <c r="D110" i="6"/>
  <c r="D118" i="6"/>
  <c r="D126" i="6"/>
  <c r="D134" i="6"/>
  <c r="D87" i="6"/>
  <c r="D95" i="6"/>
  <c r="D119" i="6"/>
  <c r="D127" i="6"/>
  <c r="D135" i="6"/>
  <c r="D143" i="6"/>
  <c r="D88" i="6"/>
  <c r="D104" i="6"/>
  <c r="D120" i="6"/>
  <c r="D128" i="6"/>
  <c r="D89" i="6"/>
  <c r="D97" i="6"/>
  <c r="D105" i="6"/>
  <c r="D113" i="6"/>
  <c r="D121" i="6"/>
  <c r="D129" i="6"/>
  <c r="D137" i="6"/>
  <c r="D145" i="6"/>
  <c r="D82" i="6"/>
  <c r="D90" i="6"/>
  <c r="D98" i="6"/>
  <c r="D106" i="6"/>
  <c r="D114" i="6"/>
  <c r="D122" i="6"/>
  <c r="D130" i="6"/>
  <c r="D138" i="6"/>
  <c r="D146" i="6"/>
  <c r="C29" i="6"/>
  <c r="B19" i="3"/>
  <c r="E37" i="2" s="1" a="1"/>
  <c r="E37" i="2" s="1"/>
  <c r="C13" i="16" l="1"/>
  <c r="D13" i="16" s="1"/>
  <c r="E5" i="6"/>
  <c r="C30" i="6"/>
  <c r="E4" i="6"/>
  <c r="C14" i="16" l="1"/>
  <c r="D14" i="16" s="1"/>
  <c r="E6" i="6"/>
  <c r="D14" i="6" s="1"/>
  <c r="D15" i="6" s="1"/>
  <c r="C19" i="2"/>
  <c r="C31" i="6"/>
  <c r="J3" i="19" l="1"/>
  <c r="E6" i="8"/>
  <c r="C74" i="8" s="1"/>
  <c r="C15" i="16"/>
  <c r="D15" i="16" s="1"/>
  <c r="D16" i="6"/>
  <c r="C32" i="6"/>
  <c r="C20" i="8" l="1"/>
  <c r="C55" i="8"/>
  <c r="C78" i="8"/>
  <c r="C70" i="8"/>
  <c r="C25" i="8"/>
  <c r="C51" i="8"/>
  <c r="C60" i="8"/>
  <c r="C65" i="8"/>
  <c r="C15" i="8"/>
  <c r="C41" i="8"/>
  <c r="C64" i="8"/>
  <c r="C67" i="8"/>
  <c r="C43" i="8"/>
  <c r="C73" i="8"/>
  <c r="C22" i="8"/>
  <c r="C72" i="8"/>
  <c r="C33" i="8"/>
  <c r="C66" i="8"/>
  <c r="C48" i="8"/>
  <c r="C63" i="8"/>
  <c r="C57" i="8"/>
  <c r="C53" i="8"/>
  <c r="C61" i="8"/>
  <c r="C46" i="8"/>
  <c r="C68" i="8"/>
  <c r="C37" i="8"/>
  <c r="C30" i="8"/>
  <c r="C49" i="8"/>
  <c r="C32" i="8"/>
  <c r="C26" i="8"/>
  <c r="C24" i="8"/>
  <c r="C45" i="8"/>
  <c r="C35" i="8"/>
  <c r="C47" i="8"/>
  <c r="C29" i="8"/>
  <c r="C39" i="8"/>
  <c r="C18" i="8"/>
  <c r="C19" i="8"/>
  <c r="C75" i="8"/>
  <c r="C40" i="8"/>
  <c r="C54" i="8"/>
  <c r="C77" i="8"/>
  <c r="C59" i="8"/>
  <c r="C17" i="8"/>
  <c r="C44" i="8"/>
  <c r="C34" i="8"/>
  <c r="C38" i="8"/>
  <c r="C50" i="8"/>
  <c r="C56" i="8"/>
  <c r="C21" i="8"/>
  <c r="C23" i="8"/>
  <c r="C69" i="8"/>
  <c r="C42" i="8"/>
  <c r="C28" i="8"/>
  <c r="C58" i="8"/>
  <c r="C31" i="8"/>
  <c r="C36" i="8"/>
  <c r="C76" i="8"/>
  <c r="C16" i="8"/>
  <c r="C52" i="8"/>
  <c r="C27" i="8"/>
  <c r="C79" i="8"/>
  <c r="C71" i="8"/>
  <c r="C62" i="8"/>
  <c r="C14" i="8"/>
  <c r="C16" i="16"/>
  <c r="D16" i="16" s="1"/>
  <c r="D17" i="6"/>
  <c r="D18" i="6" s="1"/>
  <c r="D19" i="6" s="1"/>
  <c r="D20" i="6" s="1"/>
  <c r="D21" i="6" s="1"/>
  <c r="D22" i="6" s="1"/>
  <c r="C33" i="6"/>
  <c r="C17" i="16" l="1"/>
  <c r="D17" i="16" s="1"/>
  <c r="D23" i="6"/>
  <c r="D24" i="6" s="1"/>
  <c r="C34" i="6"/>
  <c r="C18" i="16" l="1"/>
  <c r="D18" i="16" s="1"/>
  <c r="D25" i="6"/>
  <c r="D26" i="6" s="1"/>
  <c r="C35" i="6"/>
  <c r="C19" i="16" l="1"/>
  <c r="D19" i="16" s="1"/>
  <c r="D27" i="6"/>
  <c r="D28" i="6" s="1"/>
  <c r="D29" i="6" s="1"/>
  <c r="D30" i="6" s="1"/>
  <c r="D31" i="6" s="1"/>
  <c r="C36" i="6"/>
  <c r="C20" i="16" l="1"/>
  <c r="D20" i="16" s="1"/>
  <c r="D32" i="6"/>
  <c r="D33" i="6" s="1"/>
  <c r="D34" i="6" s="1"/>
  <c r="D35" i="6" s="1"/>
  <c r="C37" i="6"/>
  <c r="C21" i="16" l="1"/>
  <c r="D21" i="16" s="1"/>
  <c r="D36" i="6"/>
  <c r="D37" i="6" s="1"/>
  <c r="C38" i="6"/>
  <c r="C22" i="16" l="1"/>
  <c r="D22" i="16" s="1"/>
  <c r="D38" i="6"/>
  <c r="D39" i="6" s="1"/>
  <c r="C39" i="6"/>
  <c r="C23" i="16" l="1"/>
  <c r="D23" i="16" s="1"/>
  <c r="C40" i="6"/>
  <c r="D40" i="6"/>
  <c r="C24" i="16" l="1"/>
  <c r="D24" i="16" s="1"/>
  <c r="D41" i="6"/>
  <c r="C41" i="6"/>
  <c r="C25" i="16" l="1"/>
  <c r="D25" i="16" s="1"/>
  <c r="C42" i="6"/>
  <c r="D42" i="6"/>
  <c r="C26" i="16" l="1"/>
  <c r="D26" i="16" s="1"/>
  <c r="D43" i="6"/>
  <c r="C43" i="6"/>
  <c r="C27" i="16" l="1"/>
  <c r="D27" i="16" s="1"/>
  <c r="C44" i="6"/>
  <c r="D44" i="6"/>
  <c r="C28" i="16" l="1"/>
  <c r="D28" i="16" s="1"/>
  <c r="C45" i="6"/>
  <c r="D45" i="6"/>
  <c r="C29" i="16" l="1"/>
  <c r="D29" i="16" s="1"/>
  <c r="D46" i="6"/>
  <c r="C46" i="6"/>
  <c r="C30" i="16" l="1"/>
  <c r="D30" i="16" s="1"/>
  <c r="C47" i="6"/>
  <c r="D47" i="6"/>
  <c r="C31" i="16" l="1"/>
  <c r="D31" i="16" s="1"/>
  <c r="D48" i="6"/>
  <c r="C48" i="6"/>
  <c r="C32" i="16" l="1"/>
  <c r="D32" i="16" s="1"/>
  <c r="C49" i="6"/>
  <c r="D49" i="6"/>
  <c r="C33" i="16" l="1"/>
  <c r="D33" i="16" s="1"/>
  <c r="C50" i="6"/>
  <c r="D50" i="6"/>
  <c r="C34" i="16" l="1"/>
  <c r="D34" i="16" s="1"/>
  <c r="D51" i="6"/>
  <c r="C51" i="6"/>
  <c r="J58" i="2" l="1"/>
  <c r="D52" i="6"/>
  <c r="C52" i="6"/>
  <c r="C53" i="6" l="1"/>
  <c r="D53" i="6"/>
  <c r="D54" i="6" l="1"/>
  <c r="C54" i="6"/>
  <c r="C55" i="6" l="1"/>
  <c r="D55" i="6"/>
  <c r="D56" i="6" l="1"/>
  <c r="C56" i="6"/>
  <c r="C57" i="6" l="1"/>
  <c r="D57" i="6"/>
  <c r="D58" i="6" l="1"/>
  <c r="C58" i="6"/>
  <c r="C59" i="6" l="1"/>
  <c r="D59" i="6"/>
  <c r="D60" i="6" l="1"/>
  <c r="C60" i="6"/>
  <c r="C61" i="6" l="1"/>
  <c r="D61" i="6"/>
  <c r="D62" i="6" l="1"/>
  <c r="C62" i="6"/>
  <c r="C63" i="6" l="1"/>
  <c r="D63" i="6"/>
  <c r="D64" i="6" l="1"/>
  <c r="C64" i="6"/>
  <c r="C65" i="6" l="1"/>
  <c r="D65" i="6"/>
  <c r="D66" i="6" l="1"/>
  <c r="C66" i="6"/>
  <c r="C67" i="6" l="1"/>
  <c r="D67" i="6"/>
  <c r="D68" i="6" l="1"/>
  <c r="C68" i="6"/>
  <c r="C69" i="6" l="1"/>
  <c r="D69" i="6"/>
  <c r="D70" i="6" l="1"/>
  <c r="C70" i="6"/>
  <c r="C71" i="6" l="1"/>
  <c r="D71" i="6"/>
  <c r="D72" i="6" l="1"/>
  <c r="C72" i="6"/>
  <c r="C73" i="6" l="1"/>
  <c r="D73" i="6"/>
  <c r="C74" i="6" l="1"/>
  <c r="D74" i="6"/>
  <c r="D75" i="6" l="1"/>
  <c r="C75" i="6"/>
  <c r="C76" i="6" l="1"/>
  <c r="D76" i="6"/>
  <c r="D77" i="6" l="1"/>
  <c r="C77" i="6"/>
  <c r="C78" i="6" l="1"/>
  <c r="D78" i="6"/>
  <c r="D79" i="6" l="1"/>
  <c r="C79" i="6"/>
  <c r="Q49" i="16" l="1"/>
  <c r="E8" i="3" l="1"/>
  <c r="E20" i="3"/>
  <c r="K64" i="3"/>
  <c r="K67" i="3"/>
  <c r="F41" i="3"/>
  <c r="F45" i="3"/>
  <c r="F50" i="3"/>
  <c r="F10" i="3"/>
  <c r="F33" i="3"/>
  <c r="F29" i="3"/>
  <c r="F3" i="3"/>
  <c r="F14" i="3"/>
  <c r="F19" i="3"/>
  <c r="F17" i="3"/>
  <c r="F16" i="3"/>
  <c r="F25" i="3"/>
  <c r="F26" i="3"/>
  <c r="F15" i="3"/>
  <c r="F13" i="3"/>
  <c r="F12" i="3"/>
  <c r="F23" i="3"/>
  <c r="F9" i="3"/>
  <c r="E40" i="3"/>
  <c r="L67" i="3" l="1"/>
  <c r="L64" i="3"/>
  <c r="F18" i="3"/>
  <c r="F6" i="3"/>
  <c r="F8" i="3"/>
  <c r="G8" i="3" s="1"/>
  <c r="D8" i="3" s="1"/>
  <c r="F37" i="3"/>
  <c r="K63" i="3"/>
  <c r="E63" i="3" s="1"/>
  <c r="C67" i="3"/>
  <c r="C64" i="3"/>
  <c r="G23" i="3"/>
  <c r="D23" i="3" s="1"/>
  <c r="E7" i="3"/>
  <c r="F64" i="3"/>
  <c r="F59" i="3"/>
  <c r="K65" i="3"/>
  <c r="E65" i="3" s="1"/>
  <c r="F40" i="3"/>
  <c r="G40" i="3" s="1"/>
  <c r="D40" i="3" s="1"/>
  <c r="K69" i="3"/>
  <c r="F69" i="3" s="1"/>
  <c r="K71" i="3"/>
  <c r="E71" i="3" s="1"/>
  <c r="F31" i="3"/>
  <c r="F28" i="3"/>
  <c r="G28" i="3" s="1"/>
  <c r="D28" i="3" s="1"/>
  <c r="F5" i="3"/>
  <c r="F21" i="3"/>
  <c r="F44" i="3"/>
  <c r="F48" i="3"/>
  <c r="K70" i="3"/>
  <c r="E70" i="3" s="1"/>
  <c r="K61" i="3"/>
  <c r="E61" i="3" s="1"/>
  <c r="F2" i="3"/>
  <c r="E39" i="3"/>
  <c r="E33" i="3"/>
  <c r="G33" i="3" s="1"/>
  <c r="D33" i="3" s="1"/>
  <c r="E29" i="3"/>
  <c r="G29" i="3" s="1"/>
  <c r="D29" i="3" s="1"/>
  <c r="E2" i="3"/>
  <c r="E21" i="3"/>
  <c r="E44" i="3"/>
  <c r="E36" i="3"/>
  <c r="E6" i="3"/>
  <c r="E11" i="3"/>
  <c r="E27" i="3"/>
  <c r="E14" i="3"/>
  <c r="G14" i="3" s="1"/>
  <c r="D14" i="3" s="1"/>
  <c r="E48" i="3"/>
  <c r="E17" i="3"/>
  <c r="G17" i="3" s="1"/>
  <c r="D17" i="3" s="1"/>
  <c r="K58" i="3"/>
  <c r="K54" i="3"/>
  <c r="E54" i="3" s="1"/>
  <c r="K51" i="3"/>
  <c r="E41" i="3"/>
  <c r="G41" i="3" s="1"/>
  <c r="D41" i="3" s="1"/>
  <c r="E34" i="3"/>
  <c r="E30" i="3"/>
  <c r="G25" i="3"/>
  <c r="D25" i="3" s="1"/>
  <c r="E64" i="3"/>
  <c r="E50" i="3"/>
  <c r="G50" i="3" s="1"/>
  <c r="D50" i="3" s="1"/>
  <c r="K60" i="3"/>
  <c r="F60" i="3" s="1"/>
  <c r="E46" i="3"/>
  <c r="E38" i="3"/>
  <c r="E5" i="3"/>
  <c r="E9" i="3"/>
  <c r="G9" i="3" s="1"/>
  <c r="D9" i="3" s="1"/>
  <c r="E49" i="3"/>
  <c r="E10" i="3"/>
  <c r="G10" i="3" s="1"/>
  <c r="D10" i="3" s="1"/>
  <c r="K68" i="3"/>
  <c r="E68" i="3" s="1"/>
  <c r="E43" i="3"/>
  <c r="E35" i="3"/>
  <c r="E31" i="3"/>
  <c r="E12" i="3"/>
  <c r="G12" i="3" s="1"/>
  <c r="D12" i="3" s="1"/>
  <c r="E45" i="3"/>
  <c r="G45" i="3" s="1"/>
  <c r="D45" i="3" s="1"/>
  <c r="E37" i="3"/>
  <c r="E32" i="3"/>
  <c r="E67" i="3"/>
  <c r="E16" i="3"/>
  <c r="G16" i="3" s="1"/>
  <c r="D16" i="3" s="1"/>
  <c r="E18" i="3"/>
  <c r="K72" i="3"/>
  <c r="F72" i="3" s="1"/>
  <c r="K57" i="3"/>
  <c r="F57" i="3" s="1"/>
  <c r="F22" i="3"/>
  <c r="F7" i="3"/>
  <c r="F46" i="3"/>
  <c r="F47" i="3"/>
  <c r="F49" i="3"/>
  <c r="K55" i="3"/>
  <c r="K53" i="3"/>
  <c r="K52" i="3"/>
  <c r="F52" i="3" s="1"/>
  <c r="E47" i="3"/>
  <c r="E19" i="3"/>
  <c r="G19" i="3" s="1"/>
  <c r="D19" i="3" s="1"/>
  <c r="E42" i="3"/>
  <c r="F36" i="3"/>
  <c r="F35" i="3"/>
  <c r="K73" i="3"/>
  <c r="E22" i="3"/>
  <c r="F34" i="3"/>
  <c r="F27" i="3"/>
  <c r="E26" i="3"/>
  <c r="G26" i="3" s="1"/>
  <c r="D26" i="3" s="1"/>
  <c r="F32" i="3"/>
  <c r="F20" i="3"/>
  <c r="G20" i="3" s="1"/>
  <c r="D20" i="3" s="1"/>
  <c r="F39" i="3"/>
  <c r="K56" i="3"/>
  <c r="E56" i="3" s="1"/>
  <c r="K66" i="3"/>
  <c r="F66" i="3" s="1"/>
  <c r="E4" i="3"/>
  <c r="F11" i="3"/>
  <c r="F24" i="3"/>
  <c r="F4" i="3"/>
  <c r="F42" i="3"/>
  <c r="F30" i="3"/>
  <c r="F67" i="3"/>
  <c r="F38" i="3"/>
  <c r="F43" i="3"/>
  <c r="K62" i="3"/>
  <c r="K74" i="3"/>
  <c r="F74" i="3" s="1"/>
  <c r="E15" i="3"/>
  <c r="G15" i="3" s="1"/>
  <c r="D15" i="3" s="1"/>
  <c r="E13" i="3"/>
  <c r="G13" i="3" s="1"/>
  <c r="D13" i="3" s="1"/>
  <c r="E3" i="3"/>
  <c r="G3" i="3" s="1"/>
  <c r="D3" i="3" s="1"/>
  <c r="Q20" i="3" l="1"/>
  <c r="W20" i="3"/>
  <c r="Y20" i="3" s="1"/>
  <c r="Z20" i="3" s="1"/>
  <c r="Q50" i="3"/>
  <c r="W50" i="3"/>
  <c r="Y50" i="3" s="1"/>
  <c r="Z50" i="3" s="1"/>
  <c r="Q19" i="3"/>
  <c r="W19" i="3"/>
  <c r="Y19" i="3" s="1"/>
  <c r="Z19" i="3" s="1"/>
  <c r="Q13" i="3"/>
  <c r="W13" i="3"/>
  <c r="Y13" i="3" s="1"/>
  <c r="Z13" i="3" s="1"/>
  <c r="Q15" i="3"/>
  <c r="W15" i="3"/>
  <c r="Y15" i="3" s="1"/>
  <c r="Z15" i="3" s="1"/>
  <c r="Q10" i="3"/>
  <c r="W10" i="3"/>
  <c r="Y10" i="3" s="1"/>
  <c r="Z10" i="3" s="1"/>
  <c r="Q17" i="3"/>
  <c r="W17" i="3"/>
  <c r="Y17" i="3" s="1"/>
  <c r="Z17" i="3" s="1"/>
  <c r="Q40" i="3"/>
  <c r="W40" i="3"/>
  <c r="Y40" i="3" s="1"/>
  <c r="Z40" i="3" s="1"/>
  <c r="Q45" i="3"/>
  <c r="W45" i="3"/>
  <c r="Y45" i="3" s="1"/>
  <c r="Z45" i="3" s="1"/>
  <c r="Q29" i="3"/>
  <c r="W29" i="3"/>
  <c r="Y29" i="3" s="1"/>
  <c r="Z29" i="3" s="1"/>
  <c r="Q8" i="3"/>
  <c r="W8" i="3"/>
  <c r="Y8" i="3" s="1"/>
  <c r="Z8" i="3" s="1"/>
  <c r="Q12" i="3"/>
  <c r="W12" i="3"/>
  <c r="Y12" i="3" s="1"/>
  <c r="Z12" i="3" s="1"/>
  <c r="Q33" i="3"/>
  <c r="W33" i="3"/>
  <c r="Y33" i="3" s="1"/>
  <c r="Z33" i="3" s="1"/>
  <c r="Q25" i="3"/>
  <c r="W25" i="3"/>
  <c r="Y25" i="3" s="1"/>
  <c r="Z25" i="3" s="1"/>
  <c r="Q9" i="3"/>
  <c r="W9" i="3"/>
  <c r="Y9" i="3" s="1"/>
  <c r="Z9" i="3" s="1"/>
  <c r="Q14" i="3"/>
  <c r="W14" i="3"/>
  <c r="Y14" i="3" s="1"/>
  <c r="Z14" i="3" s="1"/>
  <c r="Q41" i="3"/>
  <c r="W41" i="3"/>
  <c r="Y41" i="3" s="1"/>
  <c r="Z41" i="3" s="1"/>
  <c r="Q28" i="3"/>
  <c r="W28" i="3"/>
  <c r="Y28" i="3" s="1"/>
  <c r="Z28" i="3" s="1"/>
  <c r="Q26" i="3"/>
  <c r="W26" i="3"/>
  <c r="Y26" i="3" s="1"/>
  <c r="Z26" i="3" s="1"/>
  <c r="Q23" i="3"/>
  <c r="W23" i="3"/>
  <c r="Y23" i="3" s="1"/>
  <c r="Z23" i="3" s="1"/>
  <c r="Q3" i="3"/>
  <c r="W3" i="3"/>
  <c r="Y3" i="3" s="1"/>
  <c r="Z3" i="3" s="1"/>
  <c r="Q16" i="3"/>
  <c r="W16" i="3"/>
  <c r="Y16" i="3" s="1"/>
  <c r="Z16" i="3" s="1"/>
  <c r="G64" i="3"/>
  <c r="D64" i="3" s="1"/>
  <c r="G22" i="3"/>
  <c r="D22" i="3" s="1"/>
  <c r="G18" i="3"/>
  <c r="D18" i="3" s="1"/>
  <c r="F70" i="3"/>
  <c r="G70" i="3" s="1"/>
  <c r="D70" i="3" s="1"/>
  <c r="E69" i="3"/>
  <c r="G69" i="3" s="1"/>
  <c r="D69" i="3" s="1"/>
  <c r="G48" i="3"/>
  <c r="D48" i="3" s="1"/>
  <c r="G24" i="3"/>
  <c r="D24" i="3" s="1"/>
  <c r="G35" i="3"/>
  <c r="D35" i="3" s="1"/>
  <c r="G38" i="3"/>
  <c r="D38" i="3" s="1"/>
  <c r="G11" i="3"/>
  <c r="D11" i="3" s="1"/>
  <c r="G47" i="3"/>
  <c r="D47" i="3" s="1"/>
  <c r="G39" i="3"/>
  <c r="D39" i="3" s="1"/>
  <c r="G32" i="3"/>
  <c r="D32" i="3" s="1"/>
  <c r="G6" i="3"/>
  <c r="D6" i="3" s="1"/>
  <c r="G7" i="3"/>
  <c r="D7" i="3" s="1"/>
  <c r="E72" i="3"/>
  <c r="G72" i="3" s="1"/>
  <c r="D72" i="3" s="1"/>
  <c r="G44" i="3"/>
  <c r="D44" i="3" s="1"/>
  <c r="G21" i="3"/>
  <c r="D21" i="3" s="1"/>
  <c r="G31" i="3"/>
  <c r="D31" i="3" s="1"/>
  <c r="G5" i="3"/>
  <c r="D5" i="3" s="1"/>
  <c r="L51" i="3"/>
  <c r="C51" i="3"/>
  <c r="E51" i="3"/>
  <c r="C62" i="3"/>
  <c r="L62" i="3"/>
  <c r="E62" i="3"/>
  <c r="E58" i="3"/>
  <c r="C58" i="3"/>
  <c r="L58" i="3"/>
  <c r="C59" i="3"/>
  <c r="L59" i="3"/>
  <c r="F56" i="3"/>
  <c r="G56" i="3" s="1"/>
  <c r="D56" i="3" s="1"/>
  <c r="L73" i="3"/>
  <c r="C73" i="3"/>
  <c r="C53" i="3"/>
  <c r="L53" i="3"/>
  <c r="F53" i="3"/>
  <c r="E57" i="3"/>
  <c r="G57" i="3" s="1"/>
  <c r="D57" i="3" s="1"/>
  <c r="G43" i="3"/>
  <c r="D43" i="3" s="1"/>
  <c r="G36" i="3"/>
  <c r="D36" i="3" s="1"/>
  <c r="C71" i="3"/>
  <c r="L71" i="3"/>
  <c r="F58" i="3"/>
  <c r="G27" i="3"/>
  <c r="D27" i="3" s="1"/>
  <c r="G67" i="3"/>
  <c r="D67" i="3" s="1"/>
  <c r="L55" i="3"/>
  <c r="C55" i="3"/>
  <c r="C68" i="3"/>
  <c r="L68" i="3"/>
  <c r="F68" i="3"/>
  <c r="G68" i="3" s="1"/>
  <c r="D68" i="3" s="1"/>
  <c r="E55" i="3"/>
  <c r="C69" i="3"/>
  <c r="L69" i="3"/>
  <c r="F73" i="3"/>
  <c r="C57" i="3"/>
  <c r="L57" i="3"/>
  <c r="G46" i="3"/>
  <c r="D46" i="3" s="1"/>
  <c r="G30" i="3"/>
  <c r="D30" i="3" s="1"/>
  <c r="E52" i="3"/>
  <c r="G52" i="3" s="1"/>
  <c r="D52" i="3" s="1"/>
  <c r="C56" i="3"/>
  <c r="L56" i="3"/>
  <c r="L74" i="3"/>
  <c r="C74" i="3"/>
  <c r="L54" i="3"/>
  <c r="C54" i="3"/>
  <c r="F54" i="3"/>
  <c r="G54" i="3" s="1"/>
  <c r="D54" i="3" s="1"/>
  <c r="C70" i="3"/>
  <c r="L70" i="3"/>
  <c r="C65" i="3"/>
  <c r="L65" i="3"/>
  <c r="F65" i="3"/>
  <c r="G65" i="3" s="1"/>
  <c r="D65" i="3" s="1"/>
  <c r="C52" i="3"/>
  <c r="L52" i="3"/>
  <c r="F51" i="3"/>
  <c r="G4" i="3"/>
  <c r="D4" i="3" s="1"/>
  <c r="G42" i="3"/>
  <c r="D42" i="3" s="1"/>
  <c r="C72" i="3"/>
  <c r="L72" i="3"/>
  <c r="G37" i="3"/>
  <c r="D37" i="3" s="1"/>
  <c r="G49" i="3"/>
  <c r="D49" i="3" s="1"/>
  <c r="C60" i="3"/>
  <c r="L60" i="3"/>
  <c r="G34" i="3"/>
  <c r="D34" i="3" s="1"/>
  <c r="E59" i="3"/>
  <c r="G59" i="3" s="1"/>
  <c r="D59" i="3" s="1"/>
  <c r="G2" i="3"/>
  <c r="E53" i="3"/>
  <c r="F55" i="3"/>
  <c r="F71" i="3"/>
  <c r="G71" i="3" s="1"/>
  <c r="D71" i="3" s="1"/>
  <c r="L66" i="3"/>
  <c r="C66" i="3"/>
  <c r="E60" i="3"/>
  <c r="G60" i="3" s="1"/>
  <c r="D60" i="3" s="1"/>
  <c r="E73" i="3"/>
  <c r="F61" i="3"/>
  <c r="G61" i="3" s="1"/>
  <c r="D61" i="3" s="1"/>
  <c r="C61" i="3"/>
  <c r="L61" i="3"/>
  <c r="E74" i="3"/>
  <c r="G74" i="3" s="1"/>
  <c r="D74" i="3" s="1"/>
  <c r="F62" i="3"/>
  <c r="E66" i="3"/>
  <c r="G66" i="3" s="1"/>
  <c r="D66" i="3" s="1"/>
  <c r="F63" i="3"/>
  <c r="G63" i="3" s="1"/>
  <c r="D63" i="3" s="1"/>
  <c r="C63" i="3"/>
  <c r="L63" i="3"/>
  <c r="W44" i="3" l="1"/>
  <c r="Y44" i="3" s="1"/>
  <c r="Z44" i="3" s="1"/>
  <c r="X51" i="3"/>
  <c r="S23" i="3"/>
  <c r="S14" i="3"/>
  <c r="S12" i="3"/>
  <c r="S40" i="3"/>
  <c r="S13" i="3"/>
  <c r="S26" i="3"/>
  <c r="S9" i="3"/>
  <c r="S8" i="3"/>
  <c r="S17" i="3"/>
  <c r="S19" i="3"/>
  <c r="S16" i="3"/>
  <c r="S28" i="3"/>
  <c r="S25" i="3"/>
  <c r="S29" i="3"/>
  <c r="S10" i="3"/>
  <c r="S50" i="3"/>
  <c r="S3" i="3"/>
  <c r="S41" i="3"/>
  <c r="S33" i="3"/>
  <c r="S45" i="3"/>
  <c r="S15" i="3"/>
  <c r="S20" i="3"/>
  <c r="Q42" i="3"/>
  <c r="W42" i="3"/>
  <c r="Y42" i="3" s="1"/>
  <c r="Z42" i="3" s="1"/>
  <c r="Q5" i="3"/>
  <c r="W5" i="3"/>
  <c r="Y5" i="3" s="1"/>
  <c r="Z5" i="3" s="1"/>
  <c r="Q63" i="3"/>
  <c r="W63" i="3"/>
  <c r="Y63" i="3" s="1"/>
  <c r="Z63" i="3" s="1"/>
  <c r="Q4" i="3"/>
  <c r="W4" i="3"/>
  <c r="Y4" i="3" s="1"/>
  <c r="Z4" i="3" s="1"/>
  <c r="Q47" i="3"/>
  <c r="W47" i="3"/>
  <c r="Y47" i="3" s="1"/>
  <c r="Z47" i="3" s="1"/>
  <c r="Q68" i="3"/>
  <c r="W68" i="3"/>
  <c r="Y68" i="3" s="1"/>
  <c r="Z68" i="3" s="1"/>
  <c r="Q11" i="3"/>
  <c r="W11" i="3"/>
  <c r="Y11" i="3" s="1"/>
  <c r="Z11" i="3" s="1"/>
  <c r="Q44" i="3"/>
  <c r="Q64" i="3"/>
  <c r="W64" i="3"/>
  <c r="Y64" i="3" s="1"/>
  <c r="Z64" i="3" s="1"/>
  <c r="Q71" i="3"/>
  <c r="W71" i="3"/>
  <c r="Y71" i="3" s="1"/>
  <c r="Z71" i="3" s="1"/>
  <c r="Q36" i="3"/>
  <c r="W36" i="3"/>
  <c r="Y36" i="3" s="1"/>
  <c r="Z36" i="3" s="1"/>
  <c r="Q56" i="3"/>
  <c r="W56" i="3"/>
  <c r="Y56" i="3" s="1"/>
  <c r="Z56" i="3" s="1"/>
  <c r="Q72" i="3"/>
  <c r="W72" i="3"/>
  <c r="Y72" i="3" s="1"/>
  <c r="Z72" i="3" s="1"/>
  <c r="Q35" i="3"/>
  <c r="W35" i="3"/>
  <c r="Y35" i="3" s="1"/>
  <c r="Z35" i="3" s="1"/>
  <c r="Q70" i="3"/>
  <c r="W70" i="3"/>
  <c r="Y70" i="3" s="1"/>
  <c r="Z70" i="3" s="1"/>
  <c r="Q60" i="3"/>
  <c r="W60" i="3"/>
  <c r="Y60" i="3" s="1"/>
  <c r="Z60" i="3" s="1"/>
  <c r="Q34" i="3"/>
  <c r="W34" i="3"/>
  <c r="Y34" i="3" s="1"/>
  <c r="Z34" i="3" s="1"/>
  <c r="Q31" i="3"/>
  <c r="W31" i="3"/>
  <c r="Y31" i="3" s="1"/>
  <c r="Z31" i="3" s="1"/>
  <c r="Q66" i="3"/>
  <c r="W66" i="3"/>
  <c r="Y66" i="3" s="1"/>
  <c r="Z66" i="3" s="1"/>
  <c r="Q30" i="3"/>
  <c r="W30" i="3"/>
  <c r="Y30" i="3" s="1"/>
  <c r="Z30" i="3" s="1"/>
  <c r="Q21" i="3"/>
  <c r="W21" i="3"/>
  <c r="Y21" i="3" s="1"/>
  <c r="Z21" i="3" s="1"/>
  <c r="Q22" i="3"/>
  <c r="W22" i="3"/>
  <c r="Y22" i="3" s="1"/>
  <c r="Z22" i="3" s="1"/>
  <c r="Q46" i="3"/>
  <c r="W46" i="3"/>
  <c r="Y46" i="3" s="1"/>
  <c r="Z46" i="3" s="1"/>
  <c r="Q38" i="3"/>
  <c r="W38" i="3"/>
  <c r="Y38" i="3" s="1"/>
  <c r="Z38" i="3" s="1"/>
  <c r="Q74" i="3"/>
  <c r="W74" i="3"/>
  <c r="Y74" i="3" s="1"/>
  <c r="Z74" i="3" s="1"/>
  <c r="Q49" i="3"/>
  <c r="W49" i="3"/>
  <c r="Y49" i="3" s="1"/>
  <c r="Z49" i="3" s="1"/>
  <c r="Q37" i="3"/>
  <c r="W37" i="3"/>
  <c r="Y37" i="3" s="1"/>
  <c r="Z37" i="3" s="1"/>
  <c r="Q65" i="3"/>
  <c r="W65" i="3"/>
  <c r="Y65" i="3" s="1"/>
  <c r="Z65" i="3" s="1"/>
  <c r="Q43" i="3"/>
  <c r="W43" i="3"/>
  <c r="Y43" i="3" s="1"/>
  <c r="Z43" i="3" s="1"/>
  <c r="Q7" i="3"/>
  <c r="W7" i="3"/>
  <c r="Y7" i="3" s="1"/>
  <c r="Z7" i="3" s="1"/>
  <c r="Q24" i="3"/>
  <c r="W24" i="3"/>
  <c r="Y24" i="3" s="1"/>
  <c r="Z24" i="3" s="1"/>
  <c r="Q59" i="3"/>
  <c r="W59" i="3"/>
  <c r="Y59" i="3" s="1"/>
  <c r="Z59" i="3" s="1"/>
  <c r="Q27" i="3"/>
  <c r="W27" i="3"/>
  <c r="Y27" i="3" s="1"/>
  <c r="Z27" i="3" s="1"/>
  <c r="Q39" i="3"/>
  <c r="W39" i="3"/>
  <c r="Y39" i="3" s="1"/>
  <c r="Z39" i="3" s="1"/>
  <c r="Q52" i="3"/>
  <c r="W52" i="3"/>
  <c r="Y52" i="3" s="1"/>
  <c r="Z52" i="3" s="1"/>
  <c r="Q18" i="3"/>
  <c r="W18" i="3"/>
  <c r="Y18" i="3" s="1"/>
  <c r="Z18" i="3" s="1"/>
  <c r="Q54" i="3"/>
  <c r="W54" i="3"/>
  <c r="Y54" i="3" s="1"/>
  <c r="Z54" i="3" s="1"/>
  <c r="Q57" i="3"/>
  <c r="W57" i="3"/>
  <c r="Y57" i="3" s="1"/>
  <c r="Z57" i="3" s="1"/>
  <c r="Q6" i="3"/>
  <c r="W6" i="3"/>
  <c r="Y6" i="3" s="1"/>
  <c r="Z6" i="3" s="1"/>
  <c r="Q48" i="3"/>
  <c r="W48" i="3"/>
  <c r="Y48" i="3" s="1"/>
  <c r="Z48" i="3" s="1"/>
  <c r="Q61" i="3"/>
  <c r="W61" i="3"/>
  <c r="Y61" i="3" s="1"/>
  <c r="Z61" i="3" s="1"/>
  <c r="Q67" i="3"/>
  <c r="W67" i="3"/>
  <c r="Y67" i="3" s="1"/>
  <c r="Z67" i="3" s="1"/>
  <c r="R51" i="3"/>
  <c r="Q32" i="3"/>
  <c r="W32" i="3"/>
  <c r="Y32" i="3" s="1"/>
  <c r="Z32" i="3" s="1"/>
  <c r="Q69" i="3"/>
  <c r="W69" i="3"/>
  <c r="Y69" i="3" s="1"/>
  <c r="Z69" i="3" s="1"/>
  <c r="G53" i="3"/>
  <c r="D53" i="3" s="1"/>
  <c r="C16" i="2"/>
  <c r="G73" i="3"/>
  <c r="D73" i="3" s="1"/>
  <c r="G55" i="3"/>
  <c r="D55" i="3" s="1"/>
  <c r="E48" i="2"/>
  <c r="E49" i="2" s="1"/>
  <c r="G51" i="3"/>
  <c r="D51" i="3" s="1"/>
  <c r="D2" i="3"/>
  <c r="G58" i="3"/>
  <c r="D58" i="3" s="1"/>
  <c r="E46" i="2"/>
  <c r="E47" i="2" s="1"/>
  <c r="G62" i="3"/>
  <c r="D62" i="3" s="1"/>
  <c r="E62" i="2" l="1"/>
  <c r="E63" i="2" s="1"/>
  <c r="E8" i="8" s="1"/>
  <c r="U28" i="3"/>
  <c r="V28" i="3"/>
  <c r="U41" i="3"/>
  <c r="V41" i="3"/>
  <c r="U19" i="3"/>
  <c r="V19" i="3"/>
  <c r="U14" i="3"/>
  <c r="V14" i="3"/>
  <c r="U16" i="3"/>
  <c r="V16" i="3"/>
  <c r="U3" i="3"/>
  <c r="V3" i="3"/>
  <c r="U17" i="3"/>
  <c r="V17" i="3"/>
  <c r="U23" i="3"/>
  <c r="V23" i="3"/>
  <c r="U40" i="3"/>
  <c r="V40" i="3"/>
  <c r="U12" i="3"/>
  <c r="V12" i="3"/>
  <c r="U50" i="3"/>
  <c r="V50" i="3"/>
  <c r="U8" i="3"/>
  <c r="V8" i="3"/>
  <c r="U10" i="3"/>
  <c r="V10" i="3"/>
  <c r="U9" i="3"/>
  <c r="V9" i="3"/>
  <c r="U45" i="3"/>
  <c r="V45" i="3"/>
  <c r="U33" i="3"/>
  <c r="V33" i="3"/>
  <c r="U20" i="3"/>
  <c r="V20" i="3"/>
  <c r="U29" i="3"/>
  <c r="V29" i="3"/>
  <c r="U26" i="3"/>
  <c r="V26" i="3"/>
  <c r="U15" i="3"/>
  <c r="V15" i="3"/>
  <c r="U25" i="3"/>
  <c r="V25" i="3"/>
  <c r="U13" i="3"/>
  <c r="V13" i="3"/>
  <c r="T45" i="3"/>
  <c r="AA45" i="3" s="1"/>
  <c r="T33" i="3"/>
  <c r="AA33" i="3" s="1"/>
  <c r="T16" i="3"/>
  <c r="AA16" i="3" s="1"/>
  <c r="T12" i="3"/>
  <c r="AA12" i="3" s="1"/>
  <c r="T28" i="3"/>
  <c r="AA28" i="3" s="1"/>
  <c r="T41" i="3"/>
  <c r="AA41" i="3" s="1"/>
  <c r="T19" i="3"/>
  <c r="AA19" i="3" s="1"/>
  <c r="T14" i="3"/>
  <c r="AA14" i="3" s="1"/>
  <c r="T3" i="3"/>
  <c r="AA3" i="3" s="1"/>
  <c r="T17" i="3"/>
  <c r="AA17" i="3" s="1"/>
  <c r="T23" i="3"/>
  <c r="AA23" i="3" s="1"/>
  <c r="T50" i="3"/>
  <c r="AA50" i="3" s="1"/>
  <c r="T8" i="3"/>
  <c r="AA8" i="3" s="1"/>
  <c r="T40" i="3"/>
  <c r="AA40" i="3" s="1"/>
  <c r="T10" i="3"/>
  <c r="AA10" i="3" s="1"/>
  <c r="T9" i="3"/>
  <c r="AA9" i="3" s="1"/>
  <c r="T20" i="3"/>
  <c r="AA20" i="3" s="1"/>
  <c r="T29" i="3"/>
  <c r="AA29" i="3" s="1"/>
  <c r="T26" i="3"/>
  <c r="AA26" i="3" s="1"/>
  <c r="T15" i="3"/>
  <c r="AA15" i="3" s="1"/>
  <c r="T25" i="3"/>
  <c r="AA25" i="3" s="1"/>
  <c r="T13" i="3"/>
  <c r="AA13" i="3" s="1"/>
  <c r="S6" i="3"/>
  <c r="S52" i="3"/>
  <c r="S24" i="3"/>
  <c r="S37" i="3"/>
  <c r="S46" i="3"/>
  <c r="S66" i="3"/>
  <c r="S70" i="3"/>
  <c r="S36" i="3"/>
  <c r="S68" i="3"/>
  <c r="S5" i="3"/>
  <c r="S57" i="3"/>
  <c r="S7" i="3"/>
  <c r="S49" i="3"/>
  <c r="S22" i="3"/>
  <c r="S31" i="3"/>
  <c r="S35" i="3"/>
  <c r="S71" i="3"/>
  <c r="S47" i="3"/>
  <c r="S42" i="3"/>
  <c r="S69" i="3"/>
  <c r="S61" i="3"/>
  <c r="S54" i="3"/>
  <c r="S27" i="3"/>
  <c r="S43" i="3"/>
  <c r="S74" i="3"/>
  <c r="S21" i="3"/>
  <c r="S34" i="3"/>
  <c r="S72" i="3"/>
  <c r="S64" i="3"/>
  <c r="S67" i="3"/>
  <c r="S44" i="3"/>
  <c r="S4" i="3"/>
  <c r="S39" i="3"/>
  <c r="S32" i="3"/>
  <c r="S48" i="3"/>
  <c r="S18" i="3"/>
  <c r="S59" i="3"/>
  <c r="S65" i="3"/>
  <c r="S38" i="3"/>
  <c r="S30" i="3"/>
  <c r="S60" i="3"/>
  <c r="S56" i="3"/>
  <c r="S11" i="3"/>
  <c r="S63" i="3"/>
  <c r="Q55" i="3"/>
  <c r="W55" i="3"/>
  <c r="Y55" i="3" s="1"/>
  <c r="Z55" i="3" s="1"/>
  <c r="Q2" i="3"/>
  <c r="W2" i="3"/>
  <c r="Y2" i="3" s="1"/>
  <c r="Z2" i="3" s="1"/>
  <c r="Q51" i="3"/>
  <c r="W51" i="3"/>
  <c r="Y51" i="3" s="1"/>
  <c r="Z51" i="3" s="1"/>
  <c r="Q62" i="3"/>
  <c r="W62" i="3"/>
  <c r="Y62" i="3" s="1"/>
  <c r="Z62" i="3" s="1"/>
  <c r="Q58" i="3"/>
  <c r="W58" i="3"/>
  <c r="Y58" i="3" s="1"/>
  <c r="Z58" i="3" s="1"/>
  <c r="Q53" i="3"/>
  <c r="W53" i="3"/>
  <c r="Y53" i="3" s="1"/>
  <c r="Z53" i="3" s="1"/>
  <c r="Q73" i="3"/>
  <c r="W73" i="3"/>
  <c r="Y73" i="3" s="1"/>
  <c r="Z73" i="3" s="1"/>
  <c r="E41" i="2"/>
  <c r="E72" i="2"/>
  <c r="E73" i="2" s="1"/>
  <c r="E44" i="2"/>
  <c r="L40" i="2"/>
  <c r="L39" i="2"/>
  <c r="L36" i="2"/>
  <c r="E36" i="2"/>
  <c r="E40" i="2"/>
  <c r="U67" i="3" l="1"/>
  <c r="V67" i="3"/>
  <c r="U61" i="3"/>
  <c r="V61" i="3"/>
  <c r="U49" i="3"/>
  <c r="V49" i="3"/>
  <c r="U46" i="3"/>
  <c r="V46" i="3"/>
  <c r="U69" i="3"/>
  <c r="V69" i="3"/>
  <c r="U37" i="3"/>
  <c r="V37" i="3"/>
  <c r="U24" i="3"/>
  <c r="V24" i="3"/>
  <c r="U66" i="3"/>
  <c r="V66" i="3"/>
  <c r="U63" i="3"/>
  <c r="V63" i="3"/>
  <c r="U48" i="3"/>
  <c r="V48" i="3"/>
  <c r="U57" i="3"/>
  <c r="V57" i="3"/>
  <c r="U56" i="3"/>
  <c r="V56" i="3"/>
  <c r="U21" i="3"/>
  <c r="V21" i="3"/>
  <c r="U47" i="3"/>
  <c r="V47" i="3"/>
  <c r="U5" i="3"/>
  <c r="V5" i="3"/>
  <c r="U52" i="3"/>
  <c r="V52" i="3"/>
  <c r="U22" i="3"/>
  <c r="V22" i="3"/>
  <c r="U18" i="3"/>
  <c r="V18" i="3"/>
  <c r="U11" i="3"/>
  <c r="V11" i="3"/>
  <c r="U32" i="3"/>
  <c r="V32" i="3"/>
  <c r="U60" i="3"/>
  <c r="V60" i="3"/>
  <c r="U39" i="3"/>
  <c r="V39" i="3"/>
  <c r="U74" i="3"/>
  <c r="V74" i="3"/>
  <c r="U71" i="3"/>
  <c r="V71" i="3"/>
  <c r="U68" i="3"/>
  <c r="V68" i="3"/>
  <c r="U6" i="3"/>
  <c r="V6" i="3"/>
  <c r="U54" i="3"/>
  <c r="V54" i="3"/>
  <c r="U59" i="3"/>
  <c r="V59" i="3"/>
  <c r="U72" i="3"/>
  <c r="V72" i="3"/>
  <c r="U34" i="3"/>
  <c r="V34" i="3"/>
  <c r="U30" i="3"/>
  <c r="V30" i="3"/>
  <c r="U4" i="3"/>
  <c r="V4" i="3"/>
  <c r="U43" i="3"/>
  <c r="V43" i="3"/>
  <c r="U35" i="3"/>
  <c r="V35" i="3"/>
  <c r="U36" i="3"/>
  <c r="V36" i="3"/>
  <c r="U65" i="3"/>
  <c r="V65" i="3"/>
  <c r="U64" i="3"/>
  <c r="V64" i="3"/>
  <c r="U7" i="3"/>
  <c r="V7" i="3"/>
  <c r="U42" i="3"/>
  <c r="V42" i="3"/>
  <c r="U38" i="3"/>
  <c r="V38" i="3"/>
  <c r="U44" i="3"/>
  <c r="V44" i="3"/>
  <c r="U27" i="3"/>
  <c r="V27" i="3"/>
  <c r="U31" i="3"/>
  <c r="V31" i="3"/>
  <c r="U70" i="3"/>
  <c r="V70" i="3"/>
  <c r="T64" i="3"/>
  <c r="AA64" i="3" s="1"/>
  <c r="T18" i="3"/>
  <c r="AA18" i="3" s="1"/>
  <c r="T37" i="3"/>
  <c r="AA37" i="3" s="1"/>
  <c r="T11" i="3"/>
  <c r="AA11" i="3" s="1"/>
  <c r="T48" i="3"/>
  <c r="AA48" i="3" s="1"/>
  <c r="T34" i="3"/>
  <c r="AA34" i="3" s="1"/>
  <c r="T42" i="3"/>
  <c r="AA42" i="3" s="1"/>
  <c r="T57" i="3"/>
  <c r="AA57" i="3" s="1"/>
  <c r="T24" i="3"/>
  <c r="AA24" i="3" s="1"/>
  <c r="T22" i="3"/>
  <c r="AA22" i="3" s="1"/>
  <c r="T49" i="3"/>
  <c r="AA49" i="3" s="1"/>
  <c r="T7" i="3"/>
  <c r="AA7" i="3" s="1"/>
  <c r="T56" i="3"/>
  <c r="AA56" i="3" s="1"/>
  <c r="T47" i="3"/>
  <c r="AA47" i="3" s="1"/>
  <c r="T5" i="3"/>
  <c r="AA5" i="3" s="1"/>
  <c r="T52" i="3"/>
  <c r="AA52" i="3" s="1"/>
  <c r="T54" i="3"/>
  <c r="AA54" i="3" s="1"/>
  <c r="T46" i="3"/>
  <c r="AA46" i="3" s="1"/>
  <c r="T63" i="3"/>
  <c r="AA63" i="3" s="1"/>
  <c r="T69" i="3"/>
  <c r="AA69" i="3" s="1"/>
  <c r="T60" i="3"/>
  <c r="AA60" i="3" s="1"/>
  <c r="T39" i="3"/>
  <c r="AA39" i="3" s="1"/>
  <c r="T74" i="3"/>
  <c r="AA74" i="3" s="1"/>
  <c r="T71" i="3"/>
  <c r="AA71" i="3" s="1"/>
  <c r="T68" i="3"/>
  <c r="AA68" i="3" s="1"/>
  <c r="T6" i="3"/>
  <c r="AA6" i="3" s="1"/>
  <c r="T65" i="3"/>
  <c r="AA65" i="3" s="1"/>
  <c r="T66" i="3"/>
  <c r="AA66" i="3" s="1"/>
  <c r="T59" i="3"/>
  <c r="AA59" i="3" s="1"/>
  <c r="T72" i="3"/>
  <c r="AA72" i="3" s="1"/>
  <c r="T32" i="3"/>
  <c r="AA32" i="3" s="1"/>
  <c r="T30" i="3"/>
  <c r="AA30" i="3" s="1"/>
  <c r="T35" i="3"/>
  <c r="AA35" i="3" s="1"/>
  <c r="T67" i="3"/>
  <c r="AA67" i="3" s="1"/>
  <c r="T61" i="3"/>
  <c r="AA61" i="3" s="1"/>
  <c r="T21" i="3"/>
  <c r="AA21" i="3" s="1"/>
  <c r="T4" i="3"/>
  <c r="AA4" i="3" s="1"/>
  <c r="T43" i="3"/>
  <c r="AA43" i="3" s="1"/>
  <c r="T36" i="3"/>
  <c r="AA36" i="3" s="1"/>
  <c r="T38" i="3"/>
  <c r="AA38" i="3" s="1"/>
  <c r="T44" i="3"/>
  <c r="AA44" i="3" s="1"/>
  <c r="T27" i="3"/>
  <c r="AA27" i="3" s="1"/>
  <c r="T31" i="3"/>
  <c r="AA31" i="3" s="1"/>
  <c r="T70" i="3"/>
  <c r="AA70" i="3" s="1"/>
  <c r="S62" i="3"/>
  <c r="S73" i="3"/>
  <c r="S51" i="3"/>
  <c r="S53" i="3"/>
  <c r="S2" i="3"/>
  <c r="S58" i="3"/>
  <c r="S55" i="3"/>
  <c r="E43" i="2"/>
  <c r="E65" i="2" s="1"/>
  <c r="J66" i="2" s="1"/>
  <c r="J78" i="2" s="1"/>
  <c r="L42" i="2"/>
  <c r="L41" i="2"/>
  <c r="E42" i="2"/>
  <c r="E8" i="6"/>
  <c r="E64" i="2"/>
  <c r="E75" i="2"/>
  <c r="V2" i="3" l="1"/>
  <c r="U2" i="3"/>
  <c r="U62" i="3"/>
  <c r="V62" i="3"/>
  <c r="U51" i="3"/>
  <c r="V51" i="3"/>
  <c r="U73" i="3"/>
  <c r="V73" i="3"/>
  <c r="U55" i="3"/>
  <c r="V55" i="3"/>
  <c r="U58" i="3"/>
  <c r="V58" i="3"/>
  <c r="U53" i="3"/>
  <c r="V53" i="3"/>
  <c r="T58" i="3"/>
  <c r="AA58" i="3" s="1"/>
  <c r="T53" i="3"/>
  <c r="AA53" i="3" s="1"/>
  <c r="T51" i="3"/>
  <c r="AA51" i="3" s="1"/>
  <c r="T73" i="3"/>
  <c r="AA73" i="3" s="1"/>
  <c r="T55" i="3"/>
  <c r="AA55" i="3" s="1"/>
  <c r="T62" i="3"/>
  <c r="AA62" i="3" s="1"/>
  <c r="J70" i="2"/>
  <c r="J69" i="2"/>
  <c r="H7" i="19" s="1"/>
  <c r="H5" i="19"/>
  <c r="J82" i="2"/>
  <c r="E67" i="2"/>
  <c r="I5" i="19" s="1"/>
  <c r="J67" i="2"/>
  <c r="T2" i="3"/>
  <c r="E45" i="2"/>
  <c r="E76" i="2"/>
  <c r="E77" i="2"/>
  <c r="E9" i="8"/>
  <c r="D24" i="8" s="1"/>
  <c r="E9" i="6"/>
  <c r="E79" i="6" s="1"/>
  <c r="F79" i="6" s="1"/>
  <c r="E66" i="2"/>
  <c r="E68" i="2" s="1"/>
  <c r="AA2" i="3" l="1"/>
  <c r="G9" i="19" a="1"/>
  <c r="G9" i="19" s="1"/>
  <c r="J8" i="19"/>
  <c r="J7" i="19"/>
  <c r="I7" i="19"/>
  <c r="I8" i="19" s="1"/>
  <c r="J84" i="2"/>
  <c r="J85" i="2" s="1"/>
  <c r="H8" i="19"/>
  <c r="J80" i="2"/>
  <c r="J81" i="2" s="1"/>
  <c r="H6" i="19"/>
  <c r="J71" i="2"/>
  <c r="S3" i="12"/>
  <c r="E69" i="2"/>
  <c r="E78" i="2"/>
  <c r="E80" i="2" s="1"/>
  <c r="E82" i="2" s="1"/>
  <c r="I3" i="12"/>
  <c r="J68" i="2"/>
  <c r="C82" i="6"/>
  <c r="D35" i="8"/>
  <c r="D78" i="8"/>
  <c r="D42" i="8"/>
  <c r="D53" i="8"/>
  <c r="D45" i="8"/>
  <c r="D29" i="8"/>
  <c r="D68" i="8"/>
  <c r="D62" i="8"/>
  <c r="D73" i="8"/>
  <c r="D77" i="8"/>
  <c r="D74" i="8"/>
  <c r="D51" i="8"/>
  <c r="D27" i="8"/>
  <c r="D61" i="8"/>
  <c r="D34" i="8"/>
  <c r="D41" i="8"/>
  <c r="D20" i="8"/>
  <c r="E20" i="8" s="1"/>
  <c r="D44" i="8"/>
  <c r="D31" i="8"/>
  <c r="D39" i="8"/>
  <c r="D76" i="8"/>
  <c r="C83" i="6"/>
  <c r="D64" i="8"/>
  <c r="D15" i="8"/>
  <c r="E15" i="8" s="1"/>
  <c r="D49" i="8"/>
  <c r="E14" i="6"/>
  <c r="F14" i="6" s="1"/>
  <c r="D65" i="8"/>
  <c r="D18" i="8"/>
  <c r="E18" i="8" s="1"/>
  <c r="D17" i="8"/>
  <c r="E17" i="8" s="1"/>
  <c r="D52" i="8"/>
  <c r="D54" i="8"/>
  <c r="D23" i="8"/>
  <c r="D37" i="8"/>
  <c r="D47" i="8"/>
  <c r="D70" i="8"/>
  <c r="D22" i="8"/>
  <c r="D75" i="8"/>
  <c r="D79" i="8"/>
  <c r="D26" i="8"/>
  <c r="D72" i="8"/>
  <c r="D50" i="8"/>
  <c r="D71" i="8"/>
  <c r="D40" i="8"/>
  <c r="D38" i="8"/>
  <c r="D25" i="8"/>
  <c r="E25" i="8" s="1"/>
  <c r="D46" i="8"/>
  <c r="D28" i="8"/>
  <c r="E28" i="8" s="1"/>
  <c r="D57" i="8"/>
  <c r="D14" i="8"/>
  <c r="E14" i="8" s="1"/>
  <c r="D16" i="8"/>
  <c r="E16" i="8" s="1"/>
  <c r="D63" i="8"/>
  <c r="D43" i="8"/>
  <c r="D21" i="8"/>
  <c r="E21" i="8" s="1"/>
  <c r="D60" i="8"/>
  <c r="D59" i="8"/>
  <c r="D48" i="8"/>
  <c r="D32" i="8"/>
  <c r="E32" i="8" s="1"/>
  <c r="D66" i="8"/>
  <c r="D67" i="8"/>
  <c r="D33" i="8"/>
  <c r="D58" i="8"/>
  <c r="D36" i="8"/>
  <c r="D55" i="8"/>
  <c r="D30" i="8"/>
  <c r="E30" i="8" s="1"/>
  <c r="D19" i="8"/>
  <c r="E19" i="8" s="1"/>
  <c r="E24" i="8" s="1"/>
  <c r="D56" i="8"/>
  <c r="D69" i="8"/>
  <c r="E70" i="2"/>
  <c r="J5" i="19"/>
  <c r="E38" i="6"/>
  <c r="F38" i="6" s="1"/>
  <c r="E53" i="6"/>
  <c r="F53" i="6" s="1"/>
  <c r="E46" i="6"/>
  <c r="F46" i="6" s="1"/>
  <c r="E49" i="6"/>
  <c r="F49" i="6" s="1"/>
  <c r="E17" i="6"/>
  <c r="F17" i="6" s="1"/>
  <c r="E60" i="6"/>
  <c r="F60" i="6" s="1"/>
  <c r="E61" i="6"/>
  <c r="F61" i="6" s="1"/>
  <c r="E67" i="6"/>
  <c r="F67" i="6" s="1"/>
  <c r="E64" i="6"/>
  <c r="F64" i="6" s="1"/>
  <c r="E72" i="6"/>
  <c r="F72" i="6" s="1"/>
  <c r="E30" i="6"/>
  <c r="F30" i="6" s="1"/>
  <c r="E41" i="6"/>
  <c r="F41" i="6" s="1"/>
  <c r="E27" i="6"/>
  <c r="F27" i="6" s="1"/>
  <c r="E69" i="6"/>
  <c r="F69" i="6" s="1"/>
  <c r="E66" i="6"/>
  <c r="F66" i="6" s="1"/>
  <c r="E37" i="6"/>
  <c r="F37" i="6" s="1"/>
  <c r="E24" i="6"/>
  <c r="F24" i="6" s="1"/>
  <c r="E58" i="6"/>
  <c r="F58" i="6" s="1"/>
  <c r="E20" i="6"/>
  <c r="F20" i="6" s="1"/>
  <c r="E39" i="6"/>
  <c r="F39" i="6" s="1"/>
  <c r="E28" i="6"/>
  <c r="F28" i="6" s="1"/>
  <c r="E62" i="6"/>
  <c r="F62" i="6" s="1"/>
  <c r="E31" i="6"/>
  <c r="F31" i="6" s="1"/>
  <c r="E57" i="6"/>
  <c r="F57" i="6" s="1"/>
  <c r="E26" i="6"/>
  <c r="F26" i="6" s="1"/>
  <c r="E21" i="6"/>
  <c r="F21" i="6" s="1"/>
  <c r="E52" i="6"/>
  <c r="F52" i="6" s="1"/>
  <c r="E51" i="6"/>
  <c r="F51" i="6" s="1"/>
  <c r="E16" i="6"/>
  <c r="F16" i="6" s="1"/>
  <c r="E50" i="6"/>
  <c r="F50" i="6" s="1"/>
  <c r="E54" i="6"/>
  <c r="F54" i="6" s="1"/>
  <c r="E44" i="6"/>
  <c r="F44" i="6" s="1"/>
  <c r="E19" i="6"/>
  <c r="F19" i="6" s="1"/>
  <c r="E74" i="6"/>
  <c r="F74" i="6" s="1"/>
  <c r="E77" i="6"/>
  <c r="F77" i="6" s="1"/>
  <c r="E65" i="6"/>
  <c r="F65" i="6" s="1"/>
  <c r="E68" i="6"/>
  <c r="F68" i="6" s="1"/>
  <c r="E36" i="6"/>
  <c r="F36" i="6" s="1"/>
  <c r="E32" i="6"/>
  <c r="F32" i="6" s="1"/>
  <c r="E48" i="6"/>
  <c r="F48" i="6" s="1"/>
  <c r="E47" i="6"/>
  <c r="F47" i="6" s="1"/>
  <c r="E75" i="6"/>
  <c r="F75" i="6" s="1"/>
  <c r="E70" i="6"/>
  <c r="F70" i="6" s="1"/>
  <c r="E15" i="6"/>
  <c r="F15" i="6" s="1"/>
  <c r="E40" i="6"/>
  <c r="F40" i="6" s="1"/>
  <c r="E55" i="6"/>
  <c r="F55" i="6" s="1"/>
  <c r="E71" i="6"/>
  <c r="F71" i="6" s="1"/>
  <c r="E45" i="6"/>
  <c r="F45" i="6" s="1"/>
  <c r="E43" i="6"/>
  <c r="F43" i="6" s="1"/>
  <c r="E33" i="6"/>
  <c r="F33" i="6" s="1"/>
  <c r="E35" i="6"/>
  <c r="F35" i="6" s="1"/>
  <c r="E76" i="6"/>
  <c r="F76" i="6" s="1"/>
  <c r="E29" i="6"/>
  <c r="F29" i="6" s="1"/>
  <c r="E42" i="6"/>
  <c r="F42" i="6" s="1"/>
  <c r="E59" i="6"/>
  <c r="F59" i="6" s="1"/>
  <c r="E73" i="6"/>
  <c r="F73" i="6" s="1"/>
  <c r="E22" i="6"/>
  <c r="F22" i="6" s="1"/>
  <c r="E34" i="6"/>
  <c r="F34" i="6" s="1"/>
  <c r="E23" i="6"/>
  <c r="F23" i="6" s="1"/>
  <c r="E18" i="6"/>
  <c r="F18" i="6" s="1"/>
  <c r="E63" i="6"/>
  <c r="F63" i="6" s="1"/>
  <c r="C144" i="6"/>
  <c r="C136" i="6"/>
  <c r="C128" i="6"/>
  <c r="C89" i="6"/>
  <c r="C113" i="6"/>
  <c r="C99" i="6"/>
  <c r="C88" i="6"/>
  <c r="C114" i="6"/>
  <c r="C143" i="6"/>
  <c r="C135" i="6"/>
  <c r="C127" i="6"/>
  <c r="C102" i="6"/>
  <c r="C101" i="6"/>
  <c r="C108" i="6"/>
  <c r="C118" i="6"/>
  <c r="C84" i="6"/>
  <c r="C142" i="6"/>
  <c r="C134" i="6"/>
  <c r="C126" i="6"/>
  <c r="C90" i="6"/>
  <c r="C100" i="6"/>
  <c r="C120" i="6"/>
  <c r="C92" i="6"/>
  <c r="C141" i="6"/>
  <c r="C133" i="6"/>
  <c r="C125" i="6"/>
  <c r="C116" i="6"/>
  <c r="C95" i="6"/>
  <c r="C106" i="6"/>
  <c r="C109" i="6"/>
  <c r="C140" i="6"/>
  <c r="C132" i="6"/>
  <c r="C124" i="6"/>
  <c r="C86" i="6"/>
  <c r="C104" i="6"/>
  <c r="C93" i="6"/>
  <c r="C94" i="6"/>
  <c r="C97" i="6"/>
  <c r="C147" i="6"/>
  <c r="C138" i="6"/>
  <c r="C130" i="6"/>
  <c r="C122" i="6"/>
  <c r="C91" i="6"/>
  <c r="C85" i="6"/>
  <c r="C119" i="6"/>
  <c r="C105" i="6"/>
  <c r="C137" i="6"/>
  <c r="C98" i="6"/>
  <c r="C107" i="6"/>
  <c r="C131" i="6"/>
  <c r="C87" i="6"/>
  <c r="C129" i="6"/>
  <c r="C115" i="6"/>
  <c r="C123" i="6"/>
  <c r="C103" i="6"/>
  <c r="C117" i="6"/>
  <c r="C121" i="6"/>
  <c r="C111" i="6"/>
  <c r="C146" i="6"/>
  <c r="C145" i="6"/>
  <c r="C110" i="6"/>
  <c r="C112" i="6"/>
  <c r="C139" i="6"/>
  <c r="C96" i="6"/>
  <c r="J5" i="16"/>
  <c r="E79" i="2"/>
  <c r="I6" i="19" s="1"/>
  <c r="E25" i="6"/>
  <c r="F25" i="6" s="1"/>
  <c r="E78" i="6"/>
  <c r="F78" i="6" s="1"/>
  <c r="E56" i="6"/>
  <c r="F56" i="6" s="1"/>
  <c r="J3" i="12" l="1"/>
  <c r="H4" i="12" s="1"/>
  <c r="X3" i="12"/>
  <c r="I4" i="12"/>
  <c r="I5" i="12" s="1"/>
  <c r="I6" i="12" s="1"/>
  <c r="I7" i="12" s="1"/>
  <c r="I8" i="12" s="1"/>
  <c r="I9" i="12" s="1"/>
  <c r="I10" i="12" s="1"/>
  <c r="I11" i="12" s="1"/>
  <c r="I12" i="12" s="1"/>
  <c r="I13" i="12" s="1"/>
  <c r="I14" i="12" s="1"/>
  <c r="I15" i="12" s="1"/>
  <c r="I16" i="12" s="1"/>
  <c r="I17" i="12" s="1"/>
  <c r="I18" i="12" s="1"/>
  <c r="S4" i="12"/>
  <c r="S5" i="12" s="1"/>
  <c r="S6" i="12" s="1"/>
  <c r="S7" i="12" s="1"/>
  <c r="S8" i="12" s="1"/>
  <c r="S9" i="12" s="1"/>
  <c r="S10" i="12" s="1"/>
  <c r="S11" i="12" s="1"/>
  <c r="S12" i="12" s="1"/>
  <c r="S13" i="12" s="1"/>
  <c r="S14" i="12" s="1"/>
  <c r="S15" i="12" s="1"/>
  <c r="S16" i="12" s="1"/>
  <c r="S17" i="12" s="1"/>
  <c r="S18" i="12" s="1"/>
  <c r="T3" i="12"/>
  <c r="R4" i="12" s="1"/>
  <c r="E37" i="8"/>
  <c r="N3" i="12"/>
  <c r="U8" i="16"/>
  <c r="E35" i="8"/>
  <c r="E22" i="8"/>
  <c r="E27" i="8" s="1"/>
  <c r="E26" i="8"/>
  <c r="E31" i="8" s="1"/>
  <c r="E42" i="8"/>
  <c r="E47" i="8" s="1"/>
  <c r="E40" i="8"/>
  <c r="E45" i="8" s="1"/>
  <c r="E50" i="8" s="1"/>
  <c r="E29" i="8"/>
  <c r="E34" i="8" s="1"/>
  <c r="E39" i="8" s="1"/>
  <c r="E44" i="8" s="1"/>
  <c r="E49" i="8" s="1"/>
  <c r="E23" i="8"/>
  <c r="E54" i="8"/>
  <c r="E59" i="8" s="1"/>
  <c r="E64" i="8" s="1"/>
  <c r="E52" i="8"/>
  <c r="E57" i="8" s="1"/>
  <c r="E62" i="8" s="1"/>
  <c r="E67" i="8" s="1"/>
  <c r="E72" i="8" s="1"/>
  <c r="E77" i="8" s="1"/>
  <c r="E55" i="8"/>
  <c r="E60" i="8" s="1"/>
  <c r="E65" i="8" s="1"/>
  <c r="E70" i="8" s="1"/>
  <c r="E75" i="8" s="1"/>
  <c r="E33" i="8"/>
  <c r="E38" i="8" s="1"/>
  <c r="E43" i="8" s="1"/>
  <c r="E48" i="8" s="1"/>
  <c r="E53" i="8" s="1"/>
  <c r="E58" i="8" s="1"/>
  <c r="E63" i="8" s="1"/>
  <c r="E68" i="8" s="1"/>
  <c r="E73" i="8" s="1"/>
  <c r="E78" i="8" s="1"/>
  <c r="E69" i="8"/>
  <c r="E74" i="8" s="1"/>
  <c r="E79" i="8" s="1"/>
  <c r="E36" i="8"/>
  <c r="E41" i="8" s="1"/>
  <c r="E46" i="8" s="1"/>
  <c r="E51" i="8" s="1"/>
  <c r="E56" i="8" s="1"/>
  <c r="E61" i="8" s="1"/>
  <c r="E66" i="8" s="1"/>
  <c r="E71" i="8" s="1"/>
  <c r="E76" i="8" s="1"/>
  <c r="L37" i="6" a="1"/>
  <c r="L37" i="6" s="1"/>
  <c r="J6" i="19"/>
  <c r="E81" i="2"/>
  <c r="J6" i="16"/>
  <c r="J7" i="16" s="1"/>
  <c r="J8" i="16" s="1"/>
  <c r="J9" i="16" s="1"/>
  <c r="J10" i="16" s="1"/>
  <c r="J11" i="16" s="1"/>
  <c r="J12" i="16" s="1"/>
  <c r="J13" i="16" s="1"/>
  <c r="J14" i="16" s="1"/>
  <c r="J15" i="16" s="1"/>
  <c r="J16" i="16" s="1"/>
  <c r="J17" i="16" s="1"/>
  <c r="J18" i="16" s="1"/>
  <c r="J19" i="16" s="1"/>
  <c r="J20" i="16" s="1"/>
  <c r="J21" i="16" s="1"/>
  <c r="J22" i="16" s="1"/>
  <c r="J23" i="16" s="1"/>
  <c r="J24" i="16" s="1"/>
  <c r="J25" i="16" s="1"/>
  <c r="J26" i="16" s="1"/>
  <c r="J27" i="16" s="1"/>
  <c r="J28" i="16" s="1"/>
  <c r="J29" i="16" s="1"/>
  <c r="J30" i="16" s="1"/>
  <c r="J31" i="16" s="1"/>
  <c r="J32" i="16" s="1"/>
  <c r="J33" i="16" s="1"/>
  <c r="J34" i="16" s="1"/>
  <c r="I6" i="16"/>
  <c r="D4" i="12"/>
  <c r="G5" i="19" l="1"/>
  <c r="G7" i="19"/>
  <c r="Y3" i="12"/>
  <c r="W4" i="12" s="1"/>
  <c r="X4" i="12"/>
  <c r="X5" i="12" s="1"/>
  <c r="X6" i="12" s="1"/>
  <c r="X7" i="12" s="1"/>
  <c r="X8" i="12" s="1"/>
  <c r="X9" i="12" s="1"/>
  <c r="X10" i="12" s="1"/>
  <c r="X11" i="12" s="1"/>
  <c r="X12" i="12" s="1"/>
  <c r="X13" i="12" s="1"/>
  <c r="X14" i="12" s="1"/>
  <c r="X15" i="12" s="1"/>
  <c r="X16" i="12" s="1"/>
  <c r="X17" i="12" s="1"/>
  <c r="X18" i="12" s="1"/>
  <c r="J4" i="12"/>
  <c r="H5" i="12" s="1"/>
  <c r="T4" i="12"/>
  <c r="R5" i="12" s="1"/>
  <c r="P49" i="16"/>
  <c r="S49" i="16" s="1"/>
  <c r="P9" i="16"/>
  <c r="Q9" i="16"/>
  <c r="U9" i="16"/>
  <c r="N4" i="12"/>
  <c r="N5" i="12" s="1"/>
  <c r="N6" i="12" s="1"/>
  <c r="N7" i="12" s="1"/>
  <c r="N8" i="12" s="1"/>
  <c r="N9" i="12" s="1"/>
  <c r="N10" i="12" s="1"/>
  <c r="N11" i="12" s="1"/>
  <c r="N12" i="12" s="1"/>
  <c r="N13" i="12" s="1"/>
  <c r="N14" i="12" s="1"/>
  <c r="N15" i="12" s="1"/>
  <c r="N16" i="12" s="1"/>
  <c r="N17" i="12" s="1"/>
  <c r="N18" i="12" s="1"/>
  <c r="O3" i="12"/>
  <c r="M37" i="8" a="1"/>
  <c r="M37" i="8" s="1"/>
  <c r="D5" i="12"/>
  <c r="D6" i="12" s="1"/>
  <c r="D7" i="12" s="1"/>
  <c r="D8" i="12" s="1"/>
  <c r="D9" i="12" s="1"/>
  <c r="D10" i="12" s="1"/>
  <c r="D11" i="12" s="1"/>
  <c r="D12" i="12" s="1"/>
  <c r="D13" i="12" s="1"/>
  <c r="D14" i="12" s="1"/>
  <c r="D15" i="12" s="1"/>
  <c r="D16" i="12" s="1"/>
  <c r="D17" i="12" s="1"/>
  <c r="E4" i="12"/>
  <c r="I7" i="16"/>
  <c r="I8" i="16" s="1"/>
  <c r="I9" i="16" s="1"/>
  <c r="I10" i="16" s="1"/>
  <c r="I11" i="16" s="1"/>
  <c r="I12" i="16" s="1"/>
  <c r="I13" i="16" s="1"/>
  <c r="I14" i="16" s="1"/>
  <c r="I15" i="16" s="1"/>
  <c r="I16" i="16" s="1"/>
  <c r="I17" i="16" s="1"/>
  <c r="I18" i="16" s="1"/>
  <c r="I19" i="16" s="1"/>
  <c r="I20" i="16" s="1"/>
  <c r="I21" i="16" s="1"/>
  <c r="I22" i="16" s="1"/>
  <c r="I23" i="16" s="1"/>
  <c r="I24" i="16" s="1"/>
  <c r="I25" i="16" s="1"/>
  <c r="I26" i="16" s="1"/>
  <c r="I27" i="16" s="1"/>
  <c r="I28" i="16" s="1"/>
  <c r="I29" i="16" s="1"/>
  <c r="I30" i="16" s="1"/>
  <c r="I31" i="16" s="1"/>
  <c r="I32" i="16" s="1"/>
  <c r="I33" i="16" s="1"/>
  <c r="I34" i="16" s="1"/>
  <c r="G6" i="19" l="1"/>
  <c r="G8" i="19"/>
  <c r="T5" i="12"/>
  <c r="R6" i="12" s="1"/>
  <c r="J5" i="12"/>
  <c r="Y4" i="12"/>
  <c r="W5" i="12" s="1"/>
  <c r="Y5" i="12" s="1"/>
  <c r="W6" i="12" s="1"/>
  <c r="Y6" i="12" s="1"/>
  <c r="W7" i="12" s="1"/>
  <c r="Y7" i="12" s="1"/>
  <c r="W8" i="12" s="1"/>
  <c r="Y8" i="12" s="1"/>
  <c r="W9" i="12" s="1"/>
  <c r="Y9" i="12" s="1"/>
  <c r="W10" i="12" s="1"/>
  <c r="Y10" i="12" s="1"/>
  <c r="W11" i="12" s="1"/>
  <c r="Y11" i="12" s="1"/>
  <c r="W12" i="12" s="1"/>
  <c r="Y12" i="12" s="1"/>
  <c r="W13" i="12" s="1"/>
  <c r="Y13" i="12" s="1"/>
  <c r="W14" i="12" s="1"/>
  <c r="Y14" i="12" s="1"/>
  <c r="W15" i="12" s="1"/>
  <c r="Y15" i="12" s="1"/>
  <c r="W16" i="12" s="1"/>
  <c r="Y16" i="12" s="1"/>
  <c r="W17" i="12" s="1"/>
  <c r="Y17" i="12" s="1"/>
  <c r="W18" i="12" s="1"/>
  <c r="F8" i="19" s="1"/>
  <c r="M4" i="12"/>
  <c r="O4" i="12" s="1"/>
  <c r="M5" i="12" s="1"/>
  <c r="O5" i="12" s="1"/>
  <c r="M6" i="12" s="1"/>
  <c r="O6" i="12" s="1"/>
  <c r="M7" i="12" s="1"/>
  <c r="O7" i="12" s="1"/>
  <c r="M8" i="12" s="1"/>
  <c r="O8" i="12" s="1"/>
  <c r="U10" i="16"/>
  <c r="P50" i="16"/>
  <c r="T9" i="16"/>
  <c r="R50" i="16" s="1"/>
  <c r="R9" i="16"/>
  <c r="P10" i="16"/>
  <c r="C5" i="12"/>
  <c r="D18" i="12"/>
  <c r="D19" i="12" s="1"/>
  <c r="D20" i="12" s="1"/>
  <c r="D21" i="12" s="1"/>
  <c r="D22" i="12" s="1"/>
  <c r="D23" i="12" s="1"/>
  <c r="G4" i="19" s="1"/>
  <c r="Y18" i="12" l="1"/>
  <c r="T6" i="12"/>
  <c r="R7" i="12" s="1"/>
  <c r="H6" i="12"/>
  <c r="J6" i="12" s="1"/>
  <c r="H7" i="12" s="1"/>
  <c r="J7" i="12" s="1"/>
  <c r="H8" i="12" s="1"/>
  <c r="P11" i="16"/>
  <c r="O50" i="16"/>
  <c r="S9" i="16"/>
  <c r="U11" i="16"/>
  <c r="P51" i="16"/>
  <c r="M9" i="12"/>
  <c r="O9" i="12" s="1"/>
  <c r="E5" i="12"/>
  <c r="T7" i="12" l="1"/>
  <c r="R8" i="12" s="1"/>
  <c r="P12" i="16"/>
  <c r="P52" i="16"/>
  <c r="U12" i="16"/>
  <c r="Q50" i="16"/>
  <c r="S50" i="16" s="1"/>
  <c r="Q10" i="16"/>
  <c r="M10" i="12"/>
  <c r="O10" i="12" s="1"/>
  <c r="J8" i="12"/>
  <c r="H9" i="12" s="1"/>
  <c r="C6" i="12"/>
  <c r="T8" i="12" l="1"/>
  <c r="R9" i="12" s="1"/>
  <c r="P13" i="16"/>
  <c r="R10" i="16"/>
  <c r="T10" i="16"/>
  <c r="R51" i="16" s="1"/>
  <c r="P53" i="16"/>
  <c r="U13" i="16"/>
  <c r="M11" i="12"/>
  <c r="O11" i="12" s="1"/>
  <c r="J9" i="12"/>
  <c r="H10" i="12" s="1"/>
  <c r="E6" i="12"/>
  <c r="T9" i="12" l="1"/>
  <c r="R10" i="12" s="1"/>
  <c r="S10" i="16"/>
  <c r="O51" i="16"/>
  <c r="P54" i="16"/>
  <c r="U14" i="16"/>
  <c r="P14" i="16"/>
  <c r="M12" i="12"/>
  <c r="O12" i="12" s="1"/>
  <c r="J10" i="12"/>
  <c r="H11" i="12" s="1"/>
  <c r="C7" i="12"/>
  <c r="T10" i="12" l="1"/>
  <c r="R11" i="12" s="1"/>
  <c r="P15" i="16"/>
  <c r="P55" i="16"/>
  <c r="U15" i="16"/>
  <c r="Q51" i="16"/>
  <c r="S51" i="16" s="1"/>
  <c r="Q11" i="16"/>
  <c r="M13" i="12"/>
  <c r="O13" i="12" s="1"/>
  <c r="J11" i="12"/>
  <c r="H12" i="12" s="1"/>
  <c r="E7" i="12"/>
  <c r="T11" i="12" l="1"/>
  <c r="R12" i="12" s="1"/>
  <c r="T11" i="16"/>
  <c r="R52" i="16" s="1"/>
  <c r="R11" i="16"/>
  <c r="U16" i="16"/>
  <c r="P56" i="16"/>
  <c r="P16" i="16"/>
  <c r="M14" i="12"/>
  <c r="O14" i="12" s="1"/>
  <c r="J12" i="12"/>
  <c r="H13" i="12" s="1"/>
  <c r="C8" i="12"/>
  <c r="E8" i="12" s="1"/>
  <c r="C9" i="12" s="1"/>
  <c r="E9" i="12" s="1"/>
  <c r="C10" i="12" s="1"/>
  <c r="E10" i="12" s="1"/>
  <c r="C11" i="12" s="1"/>
  <c r="E11" i="12" s="1"/>
  <c r="C12" i="12" s="1"/>
  <c r="E12" i="12" s="1"/>
  <c r="C13" i="12" s="1"/>
  <c r="T12" i="12" l="1"/>
  <c r="R13" i="12" s="1"/>
  <c r="P17" i="16"/>
  <c r="U17" i="16"/>
  <c r="P57" i="16"/>
  <c r="S11" i="16"/>
  <c r="O52" i="16"/>
  <c r="M15" i="12"/>
  <c r="O15" i="12" s="1"/>
  <c r="J13" i="12"/>
  <c r="H14" i="12" s="1"/>
  <c r="E13" i="12"/>
  <c r="C14" i="12" s="1"/>
  <c r="T13" i="12" l="1"/>
  <c r="R14" i="12" s="1"/>
  <c r="P18" i="16"/>
  <c r="Q52" i="16"/>
  <c r="S52" i="16" s="1"/>
  <c r="Q12" i="16"/>
  <c r="P58" i="16"/>
  <c r="U18" i="16"/>
  <c r="M16" i="12"/>
  <c r="O16" i="12" s="1"/>
  <c r="J14" i="12"/>
  <c r="H15" i="12" s="1"/>
  <c r="E14" i="12"/>
  <c r="C15" i="12" s="1"/>
  <c r="T14" i="12" l="1"/>
  <c r="R15" i="12" s="1"/>
  <c r="P19" i="16"/>
  <c r="U19" i="16"/>
  <c r="P59" i="16"/>
  <c r="R12" i="16"/>
  <c r="T12" i="16"/>
  <c r="R53" i="16" s="1"/>
  <c r="M17" i="12"/>
  <c r="O17" i="12" s="1"/>
  <c r="J15" i="12"/>
  <c r="H16" i="12" s="1"/>
  <c r="E15" i="12"/>
  <c r="C16" i="12" s="1"/>
  <c r="T15" i="12" l="1"/>
  <c r="R16" i="12" s="1"/>
  <c r="S12" i="16"/>
  <c r="O53" i="16"/>
  <c r="P60" i="16"/>
  <c r="U20" i="16"/>
  <c r="P20" i="16"/>
  <c r="M18" i="12"/>
  <c r="F6" i="19" s="1"/>
  <c r="J16" i="12"/>
  <c r="H17" i="12" s="1"/>
  <c r="E16" i="12"/>
  <c r="C17" i="12" s="1"/>
  <c r="O18" i="12" l="1"/>
  <c r="T16" i="12"/>
  <c r="R17" i="12" s="1"/>
  <c r="P21" i="16"/>
  <c r="P61" i="16"/>
  <c r="U21" i="16"/>
  <c r="Q53" i="16"/>
  <c r="S53" i="16" s="1"/>
  <c r="Q13" i="16"/>
  <c r="J17" i="12"/>
  <c r="H18" i="12" s="1"/>
  <c r="F5" i="19" s="1"/>
  <c r="E17" i="12"/>
  <c r="C18" i="12" s="1"/>
  <c r="E18" i="12" s="1"/>
  <c r="T17" i="12" l="1"/>
  <c r="R18" i="12" s="1"/>
  <c r="F7" i="19" s="1"/>
  <c r="R13" i="16"/>
  <c r="T13" i="16"/>
  <c r="R54" i="16" s="1"/>
  <c r="U22" i="16"/>
  <c r="P62" i="16"/>
  <c r="P22" i="16"/>
  <c r="J18" i="12"/>
  <c r="C19" i="12"/>
  <c r="T18" i="12" l="1"/>
  <c r="P23" i="16"/>
  <c r="U23" i="16"/>
  <c r="P63" i="16"/>
  <c r="S13" i="16"/>
  <c r="O54" i="16"/>
  <c r="E19" i="12"/>
  <c r="C20" i="12" s="1"/>
  <c r="U24" i="16" l="1"/>
  <c r="P64" i="16"/>
  <c r="P24" i="16"/>
  <c r="Q54" i="16"/>
  <c r="S54" i="16" s="1"/>
  <c r="Q14" i="16"/>
  <c r="E20" i="12"/>
  <c r="C21" i="12" s="1"/>
  <c r="P25" i="16" l="1"/>
  <c r="T14" i="16"/>
  <c r="R55" i="16" s="1"/>
  <c r="R14" i="16"/>
  <c r="U25" i="16"/>
  <c r="P65" i="16"/>
  <c r="E21" i="12"/>
  <c r="C22" i="12" s="1"/>
  <c r="P66" i="16" l="1"/>
  <c r="U26" i="16"/>
  <c r="U27" i="16" s="1"/>
  <c r="U28" i="16" s="1"/>
  <c r="U29" i="16" s="1"/>
  <c r="U30" i="16" s="1"/>
  <c r="U31" i="16" s="1"/>
  <c r="U32" i="16" s="1"/>
  <c r="U33" i="16" s="1"/>
  <c r="U34" i="16" s="1"/>
  <c r="U35" i="16" s="1"/>
  <c r="U36" i="16" s="1"/>
  <c r="U37" i="16" s="1"/>
  <c r="S14" i="16"/>
  <c r="O55" i="16"/>
  <c r="P26" i="16"/>
  <c r="E22" i="12"/>
  <c r="C23" i="12" s="1"/>
  <c r="F4" i="19" s="1"/>
  <c r="P27" i="16" l="1"/>
  <c r="P28" i="16" s="1"/>
  <c r="P29" i="16" s="1"/>
  <c r="P30" i="16" s="1"/>
  <c r="P31" i="16" s="1"/>
  <c r="P32" i="16" s="1"/>
  <c r="P33" i="16" s="1"/>
  <c r="P34" i="16" s="1"/>
  <c r="P35" i="16" s="1"/>
  <c r="P36" i="16" s="1"/>
  <c r="P37" i="16" s="1"/>
  <c r="Q55" i="16"/>
  <c r="S55" i="16" s="1"/>
  <c r="Q15" i="16"/>
  <c r="E23" i="12"/>
  <c r="R15" i="16" l="1"/>
  <c r="T15" i="16"/>
  <c r="R56" i="16" s="1"/>
  <c r="S15" i="16" l="1"/>
  <c r="O56" i="16"/>
  <c r="Q56" i="16" l="1"/>
  <c r="S56" i="16" s="1"/>
  <c r="Q16" i="16"/>
  <c r="T16" i="16" l="1"/>
  <c r="R57" i="16" s="1"/>
  <c r="R16" i="16"/>
  <c r="O57" i="16" l="1"/>
  <c r="S16" i="16"/>
  <c r="Q57" i="16" l="1"/>
  <c r="S57" i="16" s="1"/>
  <c r="Q17" i="16"/>
  <c r="T17" i="16" l="1"/>
  <c r="R58" i="16" s="1"/>
  <c r="R17" i="16"/>
  <c r="S17" i="16" l="1"/>
  <c r="O58" i="16"/>
  <c r="Q58" i="16" l="1"/>
  <c r="S58" i="16" s="1"/>
  <c r="Q18" i="16"/>
  <c r="T18" i="16" l="1"/>
  <c r="R59" i="16" s="1"/>
  <c r="R18" i="16"/>
  <c r="S18" i="16" l="1"/>
  <c r="O59" i="16"/>
  <c r="Q59" i="16" l="1"/>
  <c r="S59" i="16" s="1"/>
  <c r="Q19" i="16"/>
  <c r="T19" i="16" l="1"/>
  <c r="R60" i="16" s="1"/>
  <c r="R19" i="16"/>
  <c r="S19" i="16" l="1"/>
  <c r="O60" i="16"/>
  <c r="Q20" i="16" l="1"/>
  <c r="Q60" i="16"/>
  <c r="S60" i="16" s="1"/>
  <c r="R20" i="16" l="1"/>
  <c r="T20" i="16"/>
  <c r="R61" i="16" s="1"/>
  <c r="S20" i="16" l="1"/>
  <c r="O61" i="16"/>
  <c r="Q61" i="16" l="1"/>
  <c r="S61" i="16" s="1"/>
  <c r="Q21" i="16"/>
  <c r="R21" i="16" l="1"/>
  <c r="T21" i="16"/>
  <c r="R62" i="16" s="1"/>
  <c r="O62" i="16" l="1"/>
  <c r="S21" i="16"/>
  <c r="Q62" i="16" l="1"/>
  <c r="S62" i="16" s="1"/>
  <c r="Q22" i="16"/>
  <c r="T22" i="16" l="1"/>
  <c r="R63" i="16" s="1"/>
  <c r="R22" i="16"/>
  <c r="S22" i="16" l="1"/>
  <c r="O63" i="16"/>
  <c r="Q63" i="16" l="1"/>
  <c r="S63" i="16" s="1"/>
  <c r="Q23" i="16"/>
  <c r="R23" i="16" l="1"/>
  <c r="T23" i="16"/>
  <c r="R64" i="16" s="1"/>
  <c r="O64" i="16" l="1"/>
  <c r="S23" i="16"/>
  <c r="Q24" i="16" l="1"/>
  <c r="Q64" i="16"/>
  <c r="S64" i="16" s="1"/>
  <c r="T24" i="16" l="1"/>
  <c r="R65" i="16" s="1"/>
  <c r="R24" i="16"/>
  <c r="O65" i="16" l="1"/>
  <c r="S24" i="16"/>
  <c r="Q65" i="16" l="1"/>
  <c r="S65" i="16" s="1"/>
  <c r="Q25" i="16"/>
  <c r="T25" i="16" l="1"/>
  <c r="R66" i="16" s="1"/>
  <c r="R25" i="16"/>
  <c r="O66" i="16" l="1"/>
  <c r="S25" i="16"/>
  <c r="Q66" i="16" l="1"/>
  <c r="S66" i="16" s="1"/>
  <c r="Q26" i="16"/>
  <c r="T26" i="16" l="1"/>
  <c r="R67" i="16" s="1"/>
  <c r="R26" i="16"/>
  <c r="S26" i="16" l="1"/>
  <c r="O67" i="16"/>
  <c r="Q27" i="16" l="1"/>
  <c r="Q67" i="16"/>
  <c r="S67" i="16" s="1"/>
  <c r="T27" i="16" l="1"/>
  <c r="R68" i="16" s="1"/>
  <c r="R27" i="16"/>
  <c r="O68" i="16" l="1"/>
  <c r="S27" i="16"/>
  <c r="Q68" i="16" l="1"/>
  <c r="S68" i="16" s="1"/>
  <c r="Q28" i="16"/>
  <c r="T28" i="16" l="1"/>
  <c r="R69" i="16" s="1"/>
  <c r="R28" i="16"/>
  <c r="S28" i="16" l="1"/>
  <c r="Q29" i="16" s="1"/>
  <c r="O69" i="16"/>
  <c r="R29" i="16" l="1"/>
  <c r="T29" i="16"/>
  <c r="R70" i="16" s="1"/>
  <c r="O70" i="16" l="1"/>
  <c r="S29" i="16"/>
  <c r="Q30" i="16" s="1"/>
  <c r="T30" i="16" l="1"/>
  <c r="R71" i="16" s="1"/>
  <c r="R30" i="16"/>
  <c r="S30" i="16" l="1"/>
  <c r="Q31" i="16" s="1"/>
  <c r="O71" i="16"/>
  <c r="R31" i="16" l="1"/>
  <c r="T31" i="16"/>
  <c r="R72" i="16" s="1"/>
  <c r="S31" i="16" l="1"/>
  <c r="Q32" i="16" s="1"/>
  <c r="O72" i="16"/>
  <c r="T32" i="16" l="1"/>
  <c r="R73" i="16" s="1"/>
  <c r="R32" i="16"/>
  <c r="S32" i="16" l="1"/>
  <c r="Q33" i="16" s="1"/>
  <c r="O73" i="16"/>
  <c r="T33" i="16" l="1"/>
  <c r="R74" i="16" s="1"/>
  <c r="R33" i="16"/>
  <c r="O74" i="16" l="1"/>
  <c r="S33" i="16"/>
  <c r="Q34" i="16" s="1"/>
  <c r="T34" i="16" l="1"/>
  <c r="R75" i="16" s="1"/>
  <c r="R34" i="16"/>
  <c r="O75" i="16" l="1"/>
  <c r="S34" i="16"/>
  <c r="Q35" i="16" s="1"/>
  <c r="R35" i="16" l="1"/>
  <c r="T35" i="16"/>
  <c r="R76" i="16" s="1"/>
  <c r="S35" i="16" l="1"/>
  <c r="Q36" i="16" s="1"/>
  <c r="O76" i="16"/>
  <c r="T36" i="16" l="1"/>
  <c r="R77" i="16" s="1"/>
  <c r="R36" i="16"/>
  <c r="S36" i="16" l="1"/>
  <c r="Q37" i="16" s="1"/>
  <c r="O77" i="16"/>
  <c r="T37" i="16" l="1"/>
  <c r="R78" i="16" s="1"/>
  <c r="R37" i="16"/>
  <c r="O78" i="16" l="1"/>
  <c r="S37" i="1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tc={98667387-EDEE-4C72-80D9-CABEE2386405}</author>
  </authors>
  <commentList>
    <comment ref="B16" authorId="0" shapeId="0" xr:uid="{98667387-EDEE-4C72-80D9-CABEE2386405}">
      <text>
        <t>[Threaded comment]
Your version of Excel allows you to read this threaded comment; however, any edits to it will get removed if the file is opened in a newer version of Excel. Learn more: https://go.microsoft.com/fwlink/?linkid=870924
Comment:
    adjusted to remove GoA Gas Rebate - artificially impacts electricity costs for temporary time period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<sst xmlns="http://schemas.openxmlformats.org/spreadsheetml/2006/main" count="546" uniqueCount="388">
  <si>
    <t>1 btu =</t>
  </si>
  <si>
    <t>GJ</t>
  </si>
  <si>
    <t>Heating parameters</t>
  </si>
  <si>
    <t>Design Temp (C)</t>
  </si>
  <si>
    <t>(99% heating hours &gt; temperature)</t>
  </si>
  <si>
    <t xml:space="preserve">Heating needed to keep home, at design temperature, at an internal temperature of 70F (21C) </t>
  </si>
  <si>
    <t>Base case - Nat Gas furnace</t>
  </si>
  <si>
    <t>BTUs</t>
  </si>
  <si>
    <t>kg CO2e</t>
  </si>
  <si>
    <t>Heat Pump case</t>
  </si>
  <si>
    <t>Temp (°C)</t>
  </si>
  <si>
    <t>Heating stage</t>
  </si>
  <si>
    <t>Min Btu/hr</t>
  </si>
  <si>
    <t>min/°C</t>
  </si>
  <si>
    <t>Max Btu/hr</t>
  </si>
  <si>
    <t>max/°C</t>
  </si>
  <si>
    <t>Min kW</t>
  </si>
  <si>
    <t>Max kW</t>
  </si>
  <si>
    <t>Min COP</t>
  </si>
  <si>
    <t>Max COP</t>
  </si>
  <si>
    <t>Design Temp</t>
  </si>
  <si>
    <t>Annual Heating Hours</t>
  </si>
  <si>
    <t>Number of hours below High Temp Off Setpoint</t>
  </si>
  <si>
    <t>Minimum Capacity Threshold</t>
  </si>
  <si>
    <t>Temperature where heating load is less than minimum capacity</t>
  </si>
  <si>
    <t>Maximum Capacity at Design Temp</t>
  </si>
  <si>
    <t>btu/hr</t>
  </si>
  <si>
    <t>Percent Design load served</t>
  </si>
  <si>
    <t>Annual Heating Load</t>
  </si>
  <si>
    <t>Annual Heating Load Served w HP</t>
  </si>
  <si>
    <t>% Annual Heating Load Served w HP</t>
  </si>
  <si>
    <t>Annual BTUs covered by supplemental heat</t>
  </si>
  <si>
    <t>Hours supplemental heat</t>
  </si>
  <si>
    <t>pecent supplemental heat</t>
  </si>
  <si>
    <t>hours load modulating</t>
  </si>
  <si>
    <t>percent annual load modulating</t>
  </si>
  <si>
    <t>hours low-load cycling</t>
  </si>
  <si>
    <t>percent annual load with low-load cycling</t>
  </si>
  <si>
    <t>Annual kWh</t>
  </si>
  <si>
    <t>Annual Heat Pump Energy Use (GJ)</t>
  </si>
  <si>
    <t>Annual Heat Pump GHGs (kg CO2e)</t>
  </si>
  <si>
    <t>Annual Supplemental Heat Energy Use (GJ)</t>
  </si>
  <si>
    <t>Annual Supplemental Heat GHGs (kg CO2e)</t>
  </si>
  <si>
    <t>Maximum Capacity Threshold</t>
  </si>
  <si>
    <t>kWh</t>
  </si>
  <si>
    <t>Modulating Hours</t>
  </si>
  <si>
    <t>Low-Load Hours</t>
  </si>
  <si>
    <t>Modulating + Low Load Hours</t>
  </si>
  <si>
    <t>Temperature</t>
  </si>
  <si>
    <t>Hours</t>
  </si>
  <si>
    <t>min kW</t>
  </si>
  <si>
    <t>max kW</t>
  </si>
  <si>
    <t>Year</t>
  </si>
  <si>
    <t>Month</t>
  </si>
  <si>
    <t>Day</t>
  </si>
  <si>
    <t>Time (LST)</t>
  </si>
  <si>
    <t>Emission Factors</t>
  </si>
  <si>
    <t>Electricity Emission Factor (Alberta)</t>
  </si>
  <si>
    <t>g CO2e/kWh</t>
  </si>
  <si>
    <t>1 kWh =</t>
  </si>
  <si>
    <t>g CO2e/GJ</t>
  </si>
  <si>
    <t>kg CO2/GJ</t>
  </si>
  <si>
    <t>En81-4-2020-3-eng.pdf (publications.gc.ca)</t>
  </si>
  <si>
    <t>Table A13–10 E</t>
  </si>
  <si>
    <t>Natural Gas Emission Factor</t>
  </si>
  <si>
    <t>GWP</t>
  </si>
  <si>
    <t>g CO2/m3</t>
  </si>
  <si>
    <t>g CH4/m3</t>
  </si>
  <si>
    <t>g N20/m3</t>
  </si>
  <si>
    <t>g CO2e/m3</t>
  </si>
  <si>
    <t xml:space="preserve">1 m3 NG = </t>
  </si>
  <si>
    <t>kg CO2e/GJ</t>
  </si>
  <si>
    <t>En81-4-2020-2-eng.pdf (publications.gc.ca)</t>
  </si>
  <si>
    <t>Table A6.1-1</t>
  </si>
  <si>
    <t>Table A6.1–3</t>
  </si>
  <si>
    <t>Natural Gas: A Primer (nrcan.gc.ca)</t>
  </si>
  <si>
    <t>m3 to GJ Conversion</t>
  </si>
  <si>
    <t>(99% cooling hours &gt; temperature)</t>
  </si>
  <si>
    <t>Heating/cooling Design Load (btu/h)</t>
  </si>
  <si>
    <t>Cooling needed to keep home, at design temperature, at an internal temperature of 80F (26C)</t>
  </si>
  <si>
    <t>Base case - Electric Air Conditioner</t>
  </si>
  <si>
    <t>Base Case - Total emissions</t>
  </si>
  <si>
    <t xml:space="preserve"> Load Line (btu/hr)</t>
  </si>
  <si>
    <t>Heating/Cooling Max Capacity</t>
  </si>
  <si>
    <t>Heating/Cooling Min Capacity</t>
  </si>
  <si>
    <t>Annual Cooling Hours</t>
  </si>
  <si>
    <t>Heating Average BTU/hr</t>
  </si>
  <si>
    <t>Cooling Average BTU/hr</t>
  </si>
  <si>
    <t>Annual Cooling Load</t>
  </si>
  <si>
    <t>Annual Cooling Load Served w HP</t>
  </si>
  <si>
    <t>% Annual Cooling Load Served w HP</t>
  </si>
  <si>
    <t>Annual BTUs covered by supplemental cooling</t>
  </si>
  <si>
    <t>Hours supplemental cooling</t>
  </si>
  <si>
    <t>pecent supplemental cooling</t>
  </si>
  <si>
    <t>Total GHGs (kg CO2e)</t>
  </si>
  <si>
    <t>Energy Use Saved (GJ)</t>
  </si>
  <si>
    <t>GHGs Saved (kg CO2e)</t>
  </si>
  <si>
    <t>Solar PV Installation</t>
  </si>
  <si>
    <t>Old Heating Costs</t>
  </si>
  <si>
    <t>Cost Savings</t>
  </si>
  <si>
    <t>Payback Period</t>
  </si>
  <si>
    <t>Blended Gas rate ($/GJ)</t>
  </si>
  <si>
    <t>Blended electricity rate ($/kWh)</t>
  </si>
  <si>
    <t xml:space="preserve">Old heating costs </t>
  </si>
  <si>
    <t>Old cooling costs</t>
  </si>
  <si>
    <t>New energy demand by HP (GJ)</t>
  </si>
  <si>
    <t>New heating demand by auxillary (GJ)</t>
  </si>
  <si>
    <t>1 GJ =</t>
  </si>
  <si>
    <t>Old total</t>
  </si>
  <si>
    <t>Blended rate natural gas ($/GJ)</t>
  </si>
  <si>
    <t>Blended rate electricity ($/kWh)</t>
  </si>
  <si>
    <t>New cost</t>
  </si>
  <si>
    <t>Delta</t>
  </si>
  <si>
    <t xml:space="preserve">Electricity cost cross over </t>
  </si>
  <si>
    <t>$/kWh</t>
  </si>
  <si>
    <t>*At this price the heat pump option is more expensive than old heating and cooling system</t>
  </si>
  <si>
    <t>Electricity Price Sensitivity Analysis</t>
  </si>
  <si>
    <t>Electricity Emissions Factor Sensitivity Analysis</t>
  </si>
  <si>
    <t>Electricity emissions factor (kgCO2/kWh)</t>
  </si>
  <si>
    <t>Old heating emissions (kgCO2)</t>
  </si>
  <si>
    <t>Old cooling emissions (kgCO2)</t>
  </si>
  <si>
    <t>Old total emissions (kgCO2)</t>
  </si>
  <si>
    <t>Old total (kg/CO2)</t>
  </si>
  <si>
    <t xml:space="preserve">Electricity emissions factor cross over </t>
  </si>
  <si>
    <t>kgCO2/kWh</t>
  </si>
  <si>
    <t>*Below this emission factor the heat pump option has fewer emissions than old heating and cooling system</t>
  </si>
  <si>
    <t>New total (kg/CO2)</t>
  </si>
  <si>
    <t>Delta (kg/CO2)</t>
  </si>
  <si>
    <t>Heating/cooling stage</t>
  </si>
  <si>
    <t>min Btu/hr</t>
  </si>
  <si>
    <t>max Btu/hr</t>
  </si>
  <si>
    <t xml:space="preserve">Jan 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</si>
  <si>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</si>
  <si>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</si>
  <si>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</si>
  <si>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</si>
  <si>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</si>
  <si>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</si>
  <si>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</si>
  <si>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</si>
  <si>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</si>
  <si>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</si>
  <si>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</si>
  <si>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Heating Natural Gas Consumption (GJ)</t>
  </si>
  <si>
    <t>Heating Natural Gas Consumption (BTU)</t>
  </si>
  <si>
    <t>Energy</t>
  </si>
  <si>
    <t>Total</t>
  </si>
  <si>
    <t>DHW Natural Gas Consumption (GJ)</t>
  </si>
  <si>
    <t>Electricity Consumption (kWh)</t>
  </si>
  <si>
    <t>Natural Gas Consumption (GJ)</t>
  </si>
  <si>
    <t>Air Conditioner Runtime Hours</t>
  </si>
  <si>
    <t>Amps</t>
  </si>
  <si>
    <t>Volts</t>
  </si>
  <si>
    <t>Electricity Consumption (GJ)</t>
  </si>
  <si>
    <t>Air Conditioner Rating</t>
  </si>
  <si>
    <t>GJs of electricity used for annual cooling</t>
  </si>
  <si>
    <t>BTUs of electricity used for annual cooling</t>
  </si>
  <si>
    <t>Calculated by Goal Seek</t>
  </si>
  <si>
    <t>degrees Celcius</t>
  </si>
  <si>
    <t>Furnace Efficiency Rating</t>
  </si>
  <si>
    <t>Total Heating/Cooling Energy Use (GJ)</t>
  </si>
  <si>
    <t>Residential Solar Calculator Output</t>
  </si>
  <si>
    <t>kWh/year</t>
  </si>
  <si>
    <t>Annual Solar PV Energy Generation (GJ)</t>
  </si>
  <si>
    <t>Net GHGs (kg CO2e)</t>
  </si>
  <si>
    <t>Net Energy Use/Generation (GJ)</t>
  </si>
  <si>
    <t>Energy Saved (GJ)</t>
  </si>
  <si>
    <t>Solar PV Install Estimate</t>
  </si>
  <si>
    <t>Capital Investment</t>
  </si>
  <si>
    <t>Annual Savings</t>
  </si>
  <si>
    <t>Amount Remaining</t>
  </si>
  <si>
    <t>BTUs of natural gas annual heating demand</t>
  </si>
  <si>
    <t>Annual GJ</t>
  </si>
  <si>
    <t>Annual HF Furnace GHGs (kg CO2e)</t>
  </si>
  <si>
    <t>Furnace Installation</t>
  </si>
  <si>
    <t>Total Natural Gas Bill ($)</t>
  </si>
  <si>
    <t>Blended Rate ($/GJ)</t>
  </si>
  <si>
    <t>Total Electricity Bill</t>
  </si>
  <si>
    <t>Blended Rate ($/kWh)</t>
  </si>
  <si>
    <t>Old Cooling Costs</t>
  </si>
  <si>
    <t>New Heating and Cooling Costs</t>
  </si>
  <si>
    <t>What outdoor temperature do you turn the heating system off?</t>
  </si>
  <si>
    <t>What outdoor temperature do you turn the air conditioning on?</t>
  </si>
  <si>
    <t>High Efficiency Furnace Upgade</t>
  </si>
  <si>
    <t>High Efficiency Furnace Upgrade Estimate</t>
  </si>
  <si>
    <t>What are the estimated project costs?</t>
  </si>
  <si>
    <t>Which incentive/financing programs will you be applying to your projects?</t>
  </si>
  <si>
    <t>Canada Greener Homes Grant?</t>
  </si>
  <si>
    <t>City of Calgary Clean Energy Improvement Program</t>
  </si>
  <si>
    <t>Project Cost</t>
  </si>
  <si>
    <t>Greener Homes Grant Incentive Applied</t>
  </si>
  <si>
    <t xml:space="preserve">CEIP Incentive Applied to Solar PV </t>
  </si>
  <si>
    <t>CEIP Finance Rate Applied to Solar PV</t>
  </si>
  <si>
    <t>Greener Homes Incentive Applied to Heat Pump</t>
  </si>
  <si>
    <t>Financing Costs</t>
  </si>
  <si>
    <t>*considers annual 2% blended electricity rate inflation (conservative)</t>
  </si>
  <si>
    <t>*considers annual 2% blended electricity/natural gas rate inflation (conservative)</t>
  </si>
  <si>
    <t>*considers annual 2% blended natural gas rate inflation (conservative)</t>
  </si>
  <si>
    <t>*end of life heat pump</t>
  </si>
  <si>
    <t>CEIP Repayment Amount</t>
  </si>
  <si>
    <t>*end of life solar PV for ceip financing term</t>
  </si>
  <si>
    <t>Lump Sum Payment</t>
  </si>
  <si>
    <t>** assumes reinvestment of cost savings across both projects equally</t>
  </si>
  <si>
    <t>Annual Cost Savings*</t>
  </si>
  <si>
    <t>Solar PV Project Payback**</t>
  </si>
  <si>
    <t>CEIP Interest Rate</t>
  </si>
  <si>
    <t>Annual Lump Sum Payments</t>
  </si>
  <si>
    <t>Interest Payments</t>
  </si>
  <si>
    <t>Added Property Tax</t>
  </si>
  <si>
    <t>CEIP Lump Sum Payments</t>
  </si>
  <si>
    <t>No point in running this calculation</t>
  </si>
  <si>
    <t>Cash Flow</t>
  </si>
  <si>
    <t>Heat Pump + Furnace Install Estimate</t>
  </si>
  <si>
    <t>Heat Pump + HEF + Solar PV</t>
  </si>
  <si>
    <t>Heat Pump + HEF</t>
  </si>
  <si>
    <t>Heat Pump + HEF Payback**</t>
  </si>
  <si>
    <t>New HEF Payback</t>
  </si>
  <si>
    <t>if &lt; D3 OR &gt; D4=0 else current equation for column L in Calc table</t>
  </si>
  <si>
    <t>Annual Heating/Cooling Load (btu/year)</t>
  </si>
  <si>
    <t>GJ of natural gas used for annual heating</t>
  </si>
  <si>
    <t>Dwelling Type</t>
  </si>
  <si>
    <t>Single_Family_Home</t>
  </si>
  <si>
    <t>Townhome_Rowhome</t>
  </si>
  <si>
    <t>Different sources</t>
  </si>
  <si>
    <t>*total nat gas so includes DHW, based on reference homes of 2,246 sq.ft for sf and 1713 sq.ft for townhome</t>
  </si>
  <si>
    <t xml:space="preserve">Single Family </t>
  </si>
  <si>
    <t xml:space="preserve">Townhome </t>
  </si>
  <si>
    <t>Code year</t>
  </si>
  <si>
    <t>&lt;1949</t>
  </si>
  <si>
    <t>1950-1959</t>
  </si>
  <si>
    <t>1960-1981</t>
  </si>
  <si>
    <t>1982-1990</t>
  </si>
  <si>
    <t>1991-1997</t>
  </si>
  <si>
    <t>1998-2006</t>
  </si>
  <si>
    <t>2007-2014</t>
  </si>
  <si>
    <t>2015-present</t>
  </si>
  <si>
    <t>Natural gas consumption (gj/m2)</t>
  </si>
  <si>
    <t>GJ/ft2</t>
  </si>
  <si>
    <t>Annual Nat Gas</t>
  </si>
  <si>
    <t>Unit count</t>
  </si>
  <si>
    <t>*data not seperated between single and town as no difference in performance found in data</t>
  </si>
  <si>
    <t>Weighted average (gj/m2)</t>
  </si>
  <si>
    <t>Weighted average (gj/ft2)</t>
  </si>
  <si>
    <t>% of NG use heating demand</t>
  </si>
  <si>
    <t>*this value taken from energuide data assumes DHW only other NG draw, also broadly in line with this resource: https://natural-resources.canada.ca/energy-efficiency/products/appliances-for-residential-use/13630</t>
  </si>
  <si>
    <t>Updated tables (based on values above)</t>
  </si>
  <si>
    <t>Size SQFT</t>
  </si>
  <si>
    <t>Cooling Demand (GJ)</t>
  </si>
  <si>
    <t>Heating Demand (GJ)</t>
  </si>
  <si>
    <t>1.) LCE Model</t>
  </si>
  <si>
    <t>2.) Energuide evaluations</t>
  </si>
  <si>
    <t>1.) LCE Data</t>
  </si>
  <si>
    <t>2.) Energuide Data</t>
  </si>
  <si>
    <t>Cooling load % of heating load</t>
  </si>
  <si>
    <t xml:space="preserve">Taken from Calc Table tab -  column L </t>
  </si>
  <si>
    <t>Heating Demand (GJ/year)</t>
  </si>
  <si>
    <t>Cooling Demand (GJ/m2)</t>
  </si>
  <si>
    <t>Dwelling_Size (ft2)</t>
  </si>
  <si>
    <r>
      <t xml:space="preserve">*the information below is for </t>
    </r>
    <r>
      <rPr>
        <b/>
        <sz val="10"/>
        <color rgb="FF000000"/>
        <rFont val="Arial"/>
        <family val="2"/>
        <scheme val="minor"/>
      </rPr>
      <t>reference only</t>
    </r>
    <r>
      <rPr>
        <sz val="10"/>
        <color rgb="FF000000"/>
        <rFont val="Arial"/>
        <family val="2"/>
        <scheme val="minor"/>
      </rPr>
      <t xml:space="preserve">. It shows why we selected EnerGuide data for the above calculations over LCE data. </t>
    </r>
  </si>
  <si>
    <t>FOR COOLING TO HEAT RATIO</t>
  </si>
  <si>
    <t>EGHSPACEENERGY</t>
  </si>
  <si>
    <t>ERSSPACECOOLENERGY</t>
  </si>
  <si>
    <t>Source: 3500 Energuide for homes records for Calgary that have air conditioners provided by NRCAN</t>
  </si>
  <si>
    <t>Solar Generation Potential (kWh)</t>
  </si>
  <si>
    <t>Heat Pump + HEF Install Estimate</t>
  </si>
  <si>
    <t>High Efficiency Furnace (HEF) Upgrade Estimate</t>
  </si>
  <si>
    <t>Annual Energy Saved (GJ)</t>
  </si>
  <si>
    <t>Annual GHGs Saved (kg CO2e)</t>
  </si>
  <si>
    <t>*confirm these values with Lewis for 2024</t>
  </si>
  <si>
    <t>*solar PV cost savings are calculated at a 65% return on blended electricity rate, some fees non-recoverable</t>
  </si>
  <si>
    <t>Energy Use (GJ) per m2 by Age of Property (from Energuide data)</t>
  </si>
  <si>
    <t>User Inputs</t>
  </si>
  <si>
    <t>Advanced User Inputs</t>
  </si>
  <si>
    <t>Input #2a - Size of Home (drop down)</t>
  </si>
  <si>
    <t>Input #2b - Size of Home (manual)</t>
  </si>
  <si>
    <t>Input #1 - Year house was built (dropdown)</t>
  </si>
  <si>
    <t>Size</t>
  </si>
  <si>
    <t>m2</t>
  </si>
  <si>
    <t>ft2</t>
  </si>
  <si>
    <t>equals</t>
  </si>
  <si>
    <t>Space Heating Demand (GJ/year)</t>
  </si>
  <si>
    <t>Cooling Demand (GJ/year)</t>
  </si>
  <si>
    <t>Input #3 - Existing Furnace Efficiency</t>
  </si>
  <si>
    <t>Furnace Efficiency Selection</t>
  </si>
  <si>
    <t>I don't know</t>
  </si>
  <si>
    <t>Furnace Efficiency</t>
  </si>
  <si>
    <t>*waiting on Lewis to finalize this calculation. Need to calc ft2 x average solar potential (i.e kWh/ft2)</t>
  </si>
  <si>
    <t>**what is the roof area to total floor area of a home, generally?</t>
  </si>
  <si>
    <t>Product Type</t>
  </si>
  <si>
    <t>Central Air Conditioning Heat Pump</t>
  </si>
  <si>
    <t>ENERGY STAR V6.1 Cold Climate</t>
  </si>
  <si>
    <t>Ducting Configuration</t>
  </si>
  <si>
    <t xml:space="preserve">Singlezone, Centrally Ducted </t>
  </si>
  <si>
    <t>AHRI Cert #</t>
  </si>
  <si>
    <t>Indoor Model</t>
  </si>
  <si>
    <t>CHX35-42C-**-*+TDR</t>
  </si>
  <si>
    <t>Furnace Model</t>
  </si>
  <si>
    <t>EL297UH110XV48C</t>
  </si>
  <si>
    <t>CHX35-60D-**-*+TDR</t>
  </si>
  <si>
    <t>EL297UH135XV60D</t>
  </si>
  <si>
    <t>Unit 1</t>
  </si>
  <si>
    <t>Unit 2</t>
  </si>
  <si>
    <t>Unit</t>
  </si>
  <si>
    <t>Unit 3</t>
  </si>
  <si>
    <t>BVRMC7960</t>
  </si>
  <si>
    <t>AC060BXUPCH</t>
  </si>
  <si>
    <t>Reference Values</t>
  </si>
  <si>
    <t>Output</t>
  </si>
  <si>
    <t>Input #4 Heat Pump Selector</t>
  </si>
  <si>
    <t>Heat Pump Selection</t>
  </si>
  <si>
    <t>Scenario 1 - High Efficiency Furnace Replacement</t>
  </si>
  <si>
    <t>Upfront Investment</t>
  </si>
  <si>
    <t>Simple Payback (years)</t>
  </si>
  <si>
    <t>Heat Pump and Backup High Efficiency Furnace</t>
  </si>
  <si>
    <t>High Efficiency Furnace</t>
  </si>
  <si>
    <t>Upgrade Package</t>
  </si>
  <si>
    <t>Heat Pump, Backup HE Furnace, and Solar PV</t>
  </si>
  <si>
    <t>Scenario 2 - Heat Pump and High Efficiency Furnace Backup</t>
  </si>
  <si>
    <t>Scenario 3 - Heat Pump, High Efficiency Furnace Backup, Solar PV</t>
  </si>
  <si>
    <t>*assumes 2% annual increase in blended energy rate</t>
  </si>
  <si>
    <t>Space Heating/Cooling Energy Use (GJ/year)</t>
  </si>
  <si>
    <t>Existing Heating/Cooling System</t>
  </si>
  <si>
    <t>GHG Emissions (tonnes CO2e/year)</t>
  </si>
  <si>
    <t>Code Minimum Furnace Efficiency</t>
  </si>
  <si>
    <t>Age of Home</t>
  </si>
  <si>
    <t xml:space="preserve">*furnace efficiency sourced from Table 9.36.3.10 of Alberta Building Code 2014. No versions prior stipulate efficiency minimums. </t>
  </si>
  <si>
    <t xml:space="preserve">*furnace efficiency sourced from Table 9.36.3.10 of Alberta Building Code 2019. </t>
  </si>
  <si>
    <t>Cost of Electricity</t>
  </si>
  <si>
    <t>Cost of Natural Gas</t>
  </si>
  <si>
    <t xml:space="preserve">Natural Gas Emissions </t>
  </si>
  <si>
    <t>Electricity Emissions</t>
  </si>
  <si>
    <t>Unit 4</t>
  </si>
  <si>
    <t>DAIKIN FIT</t>
  </si>
  <si>
    <t>Fuel Selector (Cost)</t>
  </si>
  <si>
    <t>Fuel Selector (Emissions)</t>
  </si>
  <si>
    <t>Electricity or Natural Gas?</t>
  </si>
  <si>
    <t>Electricity or Natural Gas?2</t>
  </si>
  <si>
    <t>Fuel switching Cost Savings</t>
  </si>
  <si>
    <t>Fuel switching Payback Period</t>
  </si>
  <si>
    <t>Heat Pump + HEF Installation</t>
  </si>
  <si>
    <t>Row #</t>
  </si>
  <si>
    <t>Fuel Switch Heat and Cool Costs</t>
  </si>
  <si>
    <t>New Solar PV Cost Savings</t>
  </si>
  <si>
    <t>Scenario 4 - Heat Pump and High Efficiency Furnace Backup (w/ Fuel Switching)</t>
  </si>
  <si>
    <t>Annual Energy Costs</t>
  </si>
  <si>
    <t xml:space="preserve">Costs, Energy, and Emissions Results </t>
  </si>
  <si>
    <t>Cost Optimized Energy Use (GJ)</t>
  </si>
  <si>
    <t>Cost Optimized GHG Emissions</t>
  </si>
  <si>
    <t>Financials</t>
  </si>
  <si>
    <t>Scenario 5 - Heat Pump, High Efficiency Furnace Backup, Solar PV</t>
  </si>
  <si>
    <t>Elec/NG Ratio</t>
  </si>
  <si>
    <t>Unit 5</t>
  </si>
  <si>
    <t>Unit ID</t>
  </si>
  <si>
    <t>Heat Pump and Backup HE Furnace (Optimized Fuel Switching for Cost Savings)</t>
  </si>
  <si>
    <t>Heat Pump, Backup HE Furnace, and Solar PV (Optimized Fuel Switching for Cost Savings)</t>
  </si>
  <si>
    <t>High</t>
  </si>
  <si>
    <t>Medium</t>
  </si>
  <si>
    <t>Low</t>
  </si>
  <si>
    <t>Natural Gas</t>
  </si>
  <si>
    <t>Electricity</t>
  </si>
  <si>
    <t>Current</t>
  </si>
  <si>
    <t xml:space="preserve">User Inputs </t>
  </si>
  <si>
    <t>Home heating and cooling energy use is calculated using historical EnerGuide data filtered into specific building code/energy code years</t>
  </si>
  <si>
    <t>Cooling energy use is approximately 3.6% of the heating energy use based on EnerGuide data</t>
  </si>
  <si>
    <t>Only looking at heating and cooling energy use and nothing else</t>
  </si>
  <si>
    <t>HP Calcs</t>
  </si>
  <si>
    <t>Load line for home is a linear equation, but in reality, heat loss is likely an expontenial equation where we lose more heat faster at lower temperatures</t>
  </si>
  <si>
    <t>Goldilocks zone is between OAT of 17 to 24 degrees, no mechanical heating or cooling required.</t>
  </si>
  <si>
    <t xml:space="preserve">Assumes heating/cooling system run all year round </t>
  </si>
  <si>
    <t>Solar PV cost savings are calculated at a 65% return on blended electricity rate, some fees non-recoverable</t>
  </si>
  <si>
    <t>HP Table</t>
  </si>
  <si>
    <t>Uses 2022 hourly temperature data from YYC Airport</t>
  </si>
  <si>
    <t>Assumes the house already has an air conditioner</t>
  </si>
  <si>
    <t>Financial Calcs</t>
  </si>
  <si>
    <t>Assumes project costs for upgrades</t>
  </si>
  <si>
    <t>Assumes blended rate of electricity and natural gas</t>
  </si>
  <si>
    <t>Weight</t>
  </si>
  <si>
    <t>The heat pump is turned off when the hourly heating demand of the home exceeds to maximum hourly capacity (btu/hr) of the heat pump</t>
  </si>
  <si>
    <r>
      <t xml:space="preserve">Homes remain in their </t>
    </r>
    <r>
      <rPr>
        <b/>
        <sz val="10"/>
        <color rgb="FF000000"/>
        <rFont val="Arial"/>
        <family val="2"/>
        <scheme val="minor"/>
      </rPr>
      <t>code-built</t>
    </r>
    <r>
      <rPr>
        <sz val="10"/>
        <color rgb="FF000000"/>
        <rFont val="Arial"/>
        <family val="2"/>
        <scheme val="minor"/>
      </rPr>
      <t xml:space="preserve"> state without any envelope upgrades since construction (windows, insulation, etc)</t>
    </r>
  </si>
  <si>
    <t>Heat pump energy use (kWh) is linearly proportionate to its heat output based on the manufacturers provided data</t>
  </si>
  <si>
    <t>Assumes a 2% annual increase in the blended rate of natural gas and electricity</t>
  </si>
  <si>
    <t>Financial Impact over Equipment Lifespan</t>
  </si>
  <si>
    <t>Assumes a 20 year lifespan for HE furnace and 15 year lifespan for heat pump</t>
  </si>
  <si>
    <t>Assume no solar club is used</t>
  </si>
  <si>
    <t>Solar Generation Potenial Estimate</t>
  </si>
  <si>
    <t>Assumes Solar PV generation potential based on square footage of the home</t>
  </si>
  <si>
    <t>kWh/ft2</t>
  </si>
  <si>
    <r>
      <t>Outside temperature where running your furnace costs less than heat pump (</t>
    </r>
    <r>
      <rPr>
        <b/>
        <sz val="12"/>
        <color rgb="FF000000"/>
        <rFont val="Calibri"/>
        <family val="2"/>
      </rPr>
      <t>°</t>
    </r>
    <r>
      <rPr>
        <b/>
        <sz val="12"/>
        <color rgb="FF000000"/>
        <rFont val="Arial"/>
        <family val="2"/>
        <scheme val="minor"/>
      </rPr>
      <t>C)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</si>
</sst>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hh:mm"/>
    <numFmt numFmtId="166" formatCode="#,##0.0"/>
    <numFmt numFmtId="167" formatCode="_(* #,##0_);_(* \(#,##0\);_(* &quot;-&quot;??_);_(@_)"/>
    <numFmt numFmtId="168" formatCode="_(&quot;$&quot;* #,##0.0000_);_(&quot;$&quot;* \(#,##0.0000\);_(&quot;$&quot;* &quot;-&quot;??_);_(@_)"/>
    <numFmt numFmtId="169" formatCode="_(* #,##0.0_);_(* \(#,##0.0\);_(* &quot;-&quot;??_);_(@_)"/>
    <numFmt numFmtId="170" formatCode="_(&quot;$&quot;* #,##0_);_(&quot;$&quot;* \(#,##0\);_(&quot;$&quot;* &quot;-&quot;??_);_(@_)"/>
    <numFmt numFmtId="171" formatCode="0.0%"/>
    <numFmt numFmtId="172" formatCode="0.0000"/>
    <numFmt numFmtId="173" formatCode="0.000"/>
    <numFmt numFmtId="174" formatCode="&quot;$&quot;#,##0.00"/>
  </numFmts>
  <fonts count="41" x14ac:knownFonts="1">
    <font>
      <sz val="10"/>
      <color rgb="FF000000"/>
      <name val="Arial"/>
      <scheme val="minor"/>
    </font>
    <font>
      <sz val="11"/>
      <color theme="1"/>
      <name val="Arial"/>
      <family val="2"/>
      <scheme val="minor"/>
    </font>
    <font>
      <sz val="11"/>
      <color theme="1"/>
      <name val="Arial"/>
      <family val="2"/>
      <scheme val="minor"/>
    </font>
    <font>
      <sz val="10"/>
      <color theme="1"/>
      <name val="Arial"/>
      <family val="2"/>
      <scheme val="minor"/>
    </font>
    <font>
      <b/>
      <sz val="10"/>
      <color theme="1"/>
      <name val="Arial"/>
      <family val="2"/>
      <scheme val="minor"/>
    </font>
    <font>
      <b/>
      <sz val="10"/>
      <color rgb="FFFF0000"/>
      <name val="Arial"/>
      <family val="2"/>
      <scheme val="minor"/>
    </font>
    <font>
      <sz val="11"/>
      <color rgb="FF000000"/>
      <name val="Calibri"/>
      <family val="2"/>
    </font>
    <font>
      <sz val="10"/>
      <color theme="4"/>
      <name val="Arial"/>
      <family val="2"/>
      <scheme val="minor"/>
    </font>
    <font>
      <sz val="10"/>
      <color rgb="FF000000"/>
      <name val="Arial"/>
      <family val="2"/>
      <scheme val="minor"/>
    </font>
    <font>
      <sz val="10"/>
      <color rgb="FFFF0000"/>
      <name val="Arial"/>
      <family val="2"/>
      <scheme val="minor"/>
    </font>
    <font>
      <u/>
      <sz val="10"/>
      <color theme="10"/>
      <name val="Arial"/>
      <family val="2"/>
      <scheme val="minor"/>
    </font>
    <font>
      <b/>
      <sz val="11"/>
      <color theme="1"/>
      <name val="Arial"/>
      <family val="2"/>
      <scheme val="minor"/>
    </font>
    <font>
      <sz val="16"/>
      <color theme="1"/>
      <name val="Arial"/>
      <family val="2"/>
      <scheme val="minor"/>
    </font>
    <font>
      <b/>
      <i/>
      <sz val="10"/>
      <color theme="1"/>
      <name val="Arial"/>
      <family val="2"/>
      <scheme val="minor"/>
    </font>
    <font>
      <b/>
      <sz val="10"/>
      <name val="Arial"/>
      <family val="2"/>
      <scheme val="minor"/>
    </font>
    <font>
      <sz val="10"/>
      <name val="Arial"/>
      <family val="2"/>
      <scheme val="minor"/>
    </font>
    <font>
      <sz val="10"/>
      <color rgb="FF000000"/>
      <name val="Arial"/>
      <family val="2"/>
      <scheme val="minor"/>
    </font>
    <font>
      <b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i/>
      <sz val="10"/>
      <color theme="1"/>
      <name val="Arial"/>
      <family val="2"/>
      <scheme val="minor"/>
    </font>
    <font>
      <sz val="10"/>
      <color rgb="FF000000"/>
      <name val="Calibri"/>
      <family val="2"/>
    </font>
    <font>
      <i/>
      <sz val="10"/>
      <name val="Arial"/>
      <family val="2"/>
      <scheme val="minor"/>
    </font>
    <font>
      <b/>
      <i/>
      <sz val="10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sz val="14"/>
      <color rgb="FF000000"/>
      <name val="Arial"/>
      <family val="2"/>
      <scheme val="minor"/>
    </font>
    <font>
      <sz val="9"/>
      <color rgb="FFFF0000"/>
      <name val="Arial"/>
      <family val="2"/>
      <scheme val="minor"/>
    </font>
    <font>
      <u/>
      <sz val="16"/>
      <color rgb="FF000000"/>
      <name val="Arial"/>
      <family val="2"/>
      <scheme val="minor"/>
    </font>
    <font>
      <sz val="8"/>
      <name val="Arial"/>
      <family val="2"/>
      <scheme val="minor"/>
    </font>
    <font>
      <b/>
      <sz val="10"/>
      <color rgb="FF0070C0"/>
      <name val="Arial"/>
      <family val="2"/>
      <scheme val="minor"/>
    </font>
    <font>
      <sz val="10"/>
      <color rgb="FF000000"/>
      <name val="Arial"/>
      <family val="2"/>
    </font>
    <font>
      <sz val="10"/>
      <color rgb="FFC00000"/>
      <name val="Arial"/>
      <family val="2"/>
      <scheme val="minor"/>
    </font>
    <font>
      <b/>
      <u/>
      <sz val="11"/>
      <color rgb="FF000000"/>
      <name val="Arial"/>
      <family val="2"/>
      <scheme val="minor"/>
    </font>
    <font>
      <sz val="11"/>
      <color rgb="FF000000"/>
      <name val="Arial"/>
      <family val="2"/>
      <scheme val="minor"/>
    </font>
    <font>
      <sz val="12"/>
      <color rgb="FF000000"/>
      <name val="Arial"/>
      <family val="2"/>
      <scheme val="minor"/>
    </font>
    <font>
      <sz val="10"/>
      <color theme="7"/>
      <name val="Arial"/>
      <family val="2"/>
      <scheme val="minor"/>
    </font>
    <font>
      <sz val="12"/>
      <color rgb="FFC00000"/>
      <name val="Arial"/>
      <family val="2"/>
      <scheme val="minor"/>
    </font>
    <font>
      <sz val="8"/>
      <color rgb="FF212529"/>
      <name val="Segoe UI"/>
      <family val="2"/>
    </font>
    <font>
      <b/>
      <sz val="12"/>
      <color rgb="FF000000"/>
      <name val="Arial"/>
      <family val="2"/>
      <scheme val="minor"/>
    </font>
    <font>
      <sz val="8"/>
      <name val="Arial"/>
      <family val="2"/>
      <scheme val="minor"/>
    </font>
    <font>
      <b/>
      <sz val="14"/>
      <color rgb="FF000000"/>
      <name val="Arial"/>
      <family val="2"/>
      <scheme val="minor"/>
    </font>
    <font>
      <b/>
      <sz val="12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rgb="FFFFF2CC"/>
        <bgColor rgb="FFFFF2CC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theme="2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 tint="-0.34998626667073579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rgb="FFDEE2E6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7">
    <xf numFmtId="0" fontId="0" fillId="0" borderId="0"/>
    <xf numFmtId="0" fontId="10" fillId="0" borderId="0" applyNumberFormat="0" applyFill="0" applyBorder="0" applyAlignment="0" applyProtection="0"/>
    <xf numFmtId="43" fontId="16" fillId="0" borderId="0" applyFont="0" applyFill="0" applyBorder="0" applyAlignment="0" applyProtection="0"/>
    <xf numFmtId="44" fontId="18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" fillId="0" borderId="0"/>
    <xf numFmtId="0" fontId="1" fillId="0" borderId="0"/>
  </cellStyleXfs>
  <cellXfs count="462">
    <xf numFmtId="0" fontId="0" fillId="0" borderId="0" xfId="0"/>
    <xf numFmtId="0" fontId="3" fillId="0" borderId="0" xfId="0" applyFont="1"/>
    <xf numFmtId="0" fontId="4" fillId="0" borderId="0" xfId="0" applyFont="1"/>
    <xf numFmtId="3" fontId="3" fillId="0" borderId="0" xfId="0" applyNumberFormat="1" applyFont="1"/>
    <xf numFmtId="1" fontId="3" fillId="0" borderId="0" xfId="0" applyNumberFormat="1" applyFont="1"/>
    <xf numFmtId="1" fontId="4" fillId="0" borderId="0" xfId="0" applyNumberFormat="1" applyFont="1"/>
    <xf numFmtId="0" fontId="6" fillId="0" borderId="0" xfId="0" applyFont="1"/>
    <xf numFmtId="0" fontId="6" fillId="0" borderId="0" xfId="0" applyFont="1" applyAlignment="1">
      <alignment horizontal="right"/>
    </xf>
    <xf numFmtId="165" fontId="6" fillId="0" borderId="0" xfId="0" applyNumberFormat="1" applyFont="1" applyAlignment="1">
      <alignment horizontal="right"/>
    </xf>
    <xf numFmtId="166" fontId="6" fillId="0" borderId="0" xfId="0" applyNumberFormat="1" applyFont="1" applyAlignment="1">
      <alignment horizontal="right"/>
    </xf>
    <xf numFmtId="4" fontId="3" fillId="0" borderId="0" xfId="0" applyNumberFormat="1" applyFont="1"/>
    <xf numFmtId="0" fontId="12" fillId="0" borderId="0" xfId="0" applyFont="1"/>
    <xf numFmtId="0" fontId="11" fillId="4" borderId="1" xfId="0" applyFont="1" applyFill="1" applyBorder="1"/>
    <xf numFmtId="0" fontId="0" fillId="4" borderId="2" xfId="0" applyFill="1" applyBorder="1"/>
    <xf numFmtId="0" fontId="0" fillId="4" borderId="3" xfId="0" applyFill="1" applyBorder="1"/>
    <xf numFmtId="0" fontId="0" fillId="4" borderId="4" xfId="0" applyFill="1" applyBorder="1"/>
    <xf numFmtId="0" fontId="0" fillId="4" borderId="0" xfId="0" applyFill="1"/>
    <xf numFmtId="0" fontId="0" fillId="4" borderId="5" xfId="0" applyFill="1" applyBorder="1"/>
    <xf numFmtId="0" fontId="0" fillId="4" borderId="4" xfId="0" applyFill="1" applyBorder="1" applyAlignment="1">
      <alignment horizontal="right"/>
    </xf>
    <xf numFmtId="0" fontId="0" fillId="4" borderId="0" xfId="0" applyFill="1" applyAlignment="1">
      <alignment horizontal="left"/>
    </xf>
    <xf numFmtId="1" fontId="0" fillId="4" borderId="4" xfId="0" applyNumberFormat="1" applyFill="1" applyBorder="1"/>
    <xf numFmtId="164" fontId="11" fillId="4" borderId="4" xfId="0" applyNumberFormat="1" applyFont="1" applyFill="1" applyBorder="1"/>
    <xf numFmtId="0" fontId="11" fillId="4" borderId="0" xfId="0" applyFont="1" applyFill="1"/>
    <xf numFmtId="0" fontId="11" fillId="4" borderId="5" xfId="0" applyFont="1" applyFill="1" applyBorder="1"/>
    <xf numFmtId="0" fontId="0" fillId="4" borderId="6" xfId="0" applyFill="1" applyBorder="1"/>
    <xf numFmtId="0" fontId="0" fillId="4" borderId="7" xfId="0" applyFill="1" applyBorder="1"/>
    <xf numFmtId="0" fontId="0" fillId="4" borderId="8" xfId="0" applyFill="1" applyBorder="1"/>
    <xf numFmtId="0" fontId="10" fillId="0" borderId="0" xfId="1"/>
    <xf numFmtId="164" fontId="0" fillId="4" borderId="4" xfId="0" applyNumberFormat="1" applyFill="1" applyBorder="1"/>
    <xf numFmtId="164" fontId="11" fillId="4" borderId="6" xfId="0" applyNumberFormat="1" applyFont="1" applyFill="1" applyBorder="1"/>
    <xf numFmtId="0" fontId="11" fillId="4" borderId="7" xfId="0" applyFont="1" applyFill="1" applyBorder="1"/>
    <xf numFmtId="0" fontId="4" fillId="0" borderId="1" xfId="0" applyFont="1" applyBorder="1"/>
    <xf numFmtId="0" fontId="0" fillId="0" borderId="4" xfId="0" applyBorder="1"/>
    <xf numFmtId="0" fontId="0" fillId="0" borderId="6" xfId="0" applyBorder="1"/>
    <xf numFmtId="0" fontId="14" fillId="0" borderId="1" xfId="0" applyFont="1" applyBorder="1"/>
    <xf numFmtId="0" fontId="15" fillId="0" borderId="4" xfId="0" applyFont="1" applyBorder="1"/>
    <xf numFmtId="3" fontId="15" fillId="0" borderId="5" xfId="0" applyNumberFormat="1" applyFont="1" applyBorder="1"/>
    <xf numFmtId="164" fontId="15" fillId="0" borderId="5" xfId="0" applyNumberFormat="1" applyFont="1" applyBorder="1"/>
    <xf numFmtId="0" fontId="3" fillId="0" borderId="2" xfId="0" applyFont="1" applyBorder="1"/>
    <xf numFmtId="0" fontId="0" fillId="0" borderId="2" xfId="0" applyBorder="1"/>
    <xf numFmtId="0" fontId="8" fillId="0" borderId="0" xfId="0" applyFont="1"/>
    <xf numFmtId="0" fontId="0" fillId="0" borderId="5" xfId="0" applyBorder="1"/>
    <xf numFmtId="0" fontId="0" fillId="0" borderId="7" xfId="0" applyBorder="1"/>
    <xf numFmtId="1" fontId="0" fillId="0" borderId="8" xfId="0" applyNumberFormat="1" applyBorder="1"/>
    <xf numFmtId="0" fontId="0" fillId="0" borderId="8" xfId="0" applyBorder="1"/>
    <xf numFmtId="0" fontId="0" fillId="0" borderId="3" xfId="0" applyBorder="1"/>
    <xf numFmtId="0" fontId="9" fillId="0" borderId="5" xfId="0" applyFont="1" applyBorder="1"/>
    <xf numFmtId="1" fontId="0" fillId="0" borderId="0" xfId="0" applyNumberFormat="1"/>
    <xf numFmtId="1" fontId="3" fillId="0" borderId="9" xfId="0" applyNumberFormat="1" applyFont="1" applyBorder="1"/>
    <xf numFmtId="1" fontId="7" fillId="0" borderId="9" xfId="0" applyNumberFormat="1" applyFont="1" applyBorder="1"/>
    <xf numFmtId="0" fontId="17" fillId="0" borderId="2" xfId="0" applyFont="1" applyBorder="1"/>
    <xf numFmtId="164" fontId="17" fillId="0" borderId="3" xfId="0" applyNumberFormat="1" applyFont="1" applyBorder="1"/>
    <xf numFmtId="0" fontId="17" fillId="0" borderId="9" xfId="0" applyFont="1" applyBorder="1" applyAlignment="1">
      <alignment horizontal="center"/>
    </xf>
    <xf numFmtId="0" fontId="4" fillId="0" borderId="9" xfId="0" applyFont="1" applyBorder="1" applyAlignment="1">
      <alignment horizontal="center"/>
    </xf>
    <xf numFmtId="0" fontId="3" fillId="2" borderId="9" xfId="0" applyFont="1" applyFill="1" applyBorder="1"/>
    <xf numFmtId="2" fontId="7" fillId="0" borderId="9" xfId="0" applyNumberFormat="1" applyFont="1" applyBorder="1"/>
    <xf numFmtId="0" fontId="7" fillId="0" borderId="9" xfId="0" applyFont="1" applyBorder="1"/>
    <xf numFmtId="2" fontId="3" fillId="2" borderId="9" xfId="0" applyNumberFormat="1" applyFont="1" applyFill="1" applyBorder="1"/>
    <xf numFmtId="0" fontId="9" fillId="0" borderId="0" xfId="0" applyFont="1"/>
    <xf numFmtId="0" fontId="20" fillId="0" borderId="0" xfId="0" applyFont="1"/>
    <xf numFmtId="1" fontId="9" fillId="0" borderId="0" xfId="0" applyNumberFormat="1" applyFont="1"/>
    <xf numFmtId="0" fontId="19" fillId="0" borderId="0" xfId="0" applyFont="1"/>
    <xf numFmtId="0" fontId="21" fillId="0" borderId="0" xfId="0" applyFont="1"/>
    <xf numFmtId="1" fontId="15" fillId="3" borderId="0" xfId="0" applyNumberFormat="1" applyFont="1" applyFill="1"/>
    <xf numFmtId="1" fontId="14" fillId="3" borderId="0" xfId="0" applyNumberFormat="1" applyFont="1" applyFill="1"/>
    <xf numFmtId="167" fontId="0" fillId="0" borderId="0" xfId="2" applyNumberFormat="1" applyFont="1" applyBorder="1"/>
    <xf numFmtId="0" fontId="4" fillId="0" borderId="4" xfId="0" applyFont="1" applyBorder="1"/>
    <xf numFmtId="0" fontId="19" fillId="0" borderId="9" xfId="0" applyFont="1" applyBorder="1" applyAlignment="1">
      <alignment horizontal="center" wrapText="1"/>
    </xf>
    <xf numFmtId="0" fontId="4" fillId="0" borderId="2" xfId="0" applyFont="1" applyBorder="1"/>
    <xf numFmtId="1" fontId="4" fillId="0" borderId="2" xfId="0" applyNumberFormat="1" applyFont="1" applyBorder="1"/>
    <xf numFmtId="0" fontId="0" fillId="0" borderId="9" xfId="0" applyBorder="1"/>
    <xf numFmtId="0" fontId="3" fillId="0" borderId="9" xfId="0" applyFont="1" applyBorder="1" applyAlignment="1">
      <alignment vertical="center"/>
    </xf>
    <xf numFmtId="167" fontId="3" fillId="0" borderId="9" xfId="2" applyNumberFormat="1" applyFont="1" applyBorder="1" applyAlignment="1">
      <alignment vertical="center"/>
    </xf>
    <xf numFmtId="9" fontId="3" fillId="0" borderId="9" xfId="0" applyNumberFormat="1" applyFont="1" applyBorder="1" applyAlignment="1">
      <alignment vertical="center"/>
    </xf>
    <xf numFmtId="3" fontId="3" fillId="0" borderId="9" xfId="0" applyNumberFormat="1" applyFont="1" applyBorder="1" applyAlignment="1">
      <alignment vertical="center"/>
    </xf>
    <xf numFmtId="1" fontId="3" fillId="0" borderId="9" xfId="0" applyNumberFormat="1" applyFont="1" applyBorder="1" applyAlignment="1">
      <alignment vertical="center"/>
    </xf>
    <xf numFmtId="1" fontId="3" fillId="2" borderId="9" xfId="0" applyNumberFormat="1" applyFont="1" applyFill="1" applyBorder="1"/>
    <xf numFmtId="167" fontId="8" fillId="0" borderId="0" xfId="2" applyNumberFormat="1" applyFont="1" applyBorder="1"/>
    <xf numFmtId="44" fontId="0" fillId="0" borderId="0" xfId="3" applyFont="1"/>
    <xf numFmtId="43" fontId="0" fillId="0" borderId="0" xfId="0" applyNumberFormat="1"/>
    <xf numFmtId="0" fontId="5" fillId="0" borderId="0" xfId="0" applyFont="1"/>
    <xf numFmtId="0" fontId="0" fillId="5" borderId="0" xfId="0" applyFill="1"/>
    <xf numFmtId="0" fontId="4" fillId="0" borderId="0" xfId="0" applyFont="1" applyAlignment="1">
      <alignment horizontal="center" vertical="top" wrapText="1"/>
    </xf>
    <xf numFmtId="0" fontId="0" fillId="0" borderId="15" xfId="0" applyBorder="1"/>
    <xf numFmtId="0" fontId="22" fillId="0" borderId="0" xfId="0" applyFont="1"/>
    <xf numFmtId="0" fontId="13" fillId="0" borderId="0" xfId="0" applyFont="1"/>
    <xf numFmtId="2" fontId="0" fillId="0" borderId="0" xfId="0" applyNumberFormat="1"/>
    <xf numFmtId="0" fontId="15" fillId="0" borderId="0" xfId="0" applyFont="1"/>
    <xf numFmtId="3" fontId="0" fillId="0" borderId="0" xfId="0" applyNumberFormat="1"/>
    <xf numFmtId="1" fontId="15" fillId="2" borderId="9" xfId="0" applyNumberFormat="1" applyFont="1" applyFill="1" applyBorder="1"/>
    <xf numFmtId="0" fontId="8" fillId="0" borderId="0" xfId="0" applyFont="1" applyAlignment="1">
      <alignment wrapText="1"/>
    </xf>
    <xf numFmtId="0" fontId="8" fillId="6" borderId="0" xfId="0" applyFont="1" applyFill="1"/>
    <xf numFmtId="0" fontId="0" fillId="0" borderId="18" xfId="0" applyBorder="1"/>
    <xf numFmtId="2" fontId="2" fillId="0" borderId="0" xfId="5" applyNumberFormat="1" applyAlignment="1">
      <alignment horizontal="center"/>
    </xf>
    <xf numFmtId="0" fontId="17" fillId="0" borderId="0" xfId="0" applyFont="1"/>
    <xf numFmtId="44" fontId="0" fillId="0" borderId="0" xfId="0" applyNumberFormat="1"/>
    <xf numFmtId="44" fontId="0" fillId="0" borderId="5" xfId="3" applyFont="1" applyBorder="1"/>
    <xf numFmtId="44" fontId="0" fillId="0" borderId="5" xfId="0" applyNumberFormat="1" applyBorder="1"/>
    <xf numFmtId="0" fontId="24" fillId="0" borderId="17" xfId="0" applyFont="1" applyBorder="1"/>
    <xf numFmtId="0" fontId="24" fillId="0" borderId="19" xfId="0" applyFont="1" applyBorder="1"/>
    <xf numFmtId="0" fontId="25" fillId="0" borderId="0" xfId="0" applyFont="1"/>
    <xf numFmtId="0" fontId="26" fillId="0" borderId="0" xfId="0" applyFont="1"/>
    <xf numFmtId="43" fontId="0" fillId="0" borderId="9" xfId="2" applyFont="1" applyBorder="1"/>
    <xf numFmtId="0" fontId="0" fillId="0" borderId="23" xfId="0" applyBorder="1"/>
    <xf numFmtId="43" fontId="0" fillId="0" borderId="10" xfId="2" applyFont="1" applyBorder="1"/>
    <xf numFmtId="0" fontId="0" fillId="0" borderId="24" xfId="0" applyBorder="1"/>
    <xf numFmtId="43" fontId="0" fillId="0" borderId="25" xfId="2" applyFont="1" applyBorder="1"/>
    <xf numFmtId="43" fontId="0" fillId="0" borderId="26" xfId="2" applyFont="1" applyBorder="1"/>
    <xf numFmtId="0" fontId="0" fillId="0" borderId="27" xfId="0" applyBorder="1"/>
    <xf numFmtId="43" fontId="0" fillId="0" borderId="28" xfId="2" applyFont="1" applyBorder="1"/>
    <xf numFmtId="43" fontId="0" fillId="0" borderId="29" xfId="2" applyFont="1" applyBorder="1"/>
    <xf numFmtId="0" fontId="8" fillId="0" borderId="13" xfId="0" applyFont="1" applyBorder="1" applyAlignment="1">
      <alignment horizontal="center" vertical="center" wrapText="1"/>
    </xf>
    <xf numFmtId="0" fontId="8" fillId="0" borderId="30" xfId="0" applyFont="1" applyBorder="1" applyAlignment="1">
      <alignment horizontal="center" vertical="center" wrapText="1"/>
    </xf>
    <xf numFmtId="0" fontId="8" fillId="0" borderId="31" xfId="0" applyFont="1" applyBorder="1" applyAlignment="1">
      <alignment horizontal="center" vertical="center" wrapText="1"/>
    </xf>
    <xf numFmtId="44" fontId="0" fillId="0" borderId="9" xfId="0" applyNumberFormat="1" applyBorder="1"/>
    <xf numFmtId="44" fontId="0" fillId="0" borderId="10" xfId="0" applyNumberFormat="1" applyBorder="1"/>
    <xf numFmtId="0" fontId="0" fillId="0" borderId="25" xfId="0" applyBorder="1"/>
    <xf numFmtId="44" fontId="0" fillId="0" borderId="25" xfId="0" applyNumberFormat="1" applyBorder="1"/>
    <xf numFmtId="44" fontId="0" fillId="0" borderId="26" xfId="0" applyNumberFormat="1" applyBorder="1"/>
    <xf numFmtId="0" fontId="0" fillId="0" borderId="28" xfId="0" applyBorder="1"/>
    <xf numFmtId="44" fontId="0" fillId="0" borderId="28" xfId="0" applyNumberFormat="1" applyBorder="1"/>
    <xf numFmtId="44" fontId="0" fillId="0" borderId="29" xfId="0" applyNumberFormat="1" applyBorder="1"/>
    <xf numFmtId="0" fontId="0" fillId="0" borderId="13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1" xfId="0" applyBorder="1" applyAlignment="1">
      <alignment horizontal="center" vertical="center" wrapText="1"/>
    </xf>
    <xf numFmtId="44" fontId="0" fillId="0" borderId="22" xfId="0" applyNumberFormat="1" applyBorder="1"/>
    <xf numFmtId="0" fontId="0" fillId="0" borderId="20" xfId="0" applyBorder="1"/>
    <xf numFmtId="0" fontId="0" fillId="0" borderId="21" xfId="0" applyBorder="1"/>
    <xf numFmtId="43" fontId="0" fillId="0" borderId="22" xfId="2" applyFont="1" applyBorder="1"/>
    <xf numFmtId="0" fontId="8" fillId="0" borderId="0" xfId="0" applyFont="1" applyAlignment="1">
      <alignment horizontal="center" vertical="center" wrapText="1"/>
    </xf>
    <xf numFmtId="168" fontId="0" fillId="0" borderId="0" xfId="0" applyNumberFormat="1"/>
    <xf numFmtId="44" fontId="0" fillId="0" borderId="40" xfId="0" applyNumberFormat="1" applyBorder="1"/>
    <xf numFmtId="44" fontId="0" fillId="0" borderId="41" xfId="0" applyNumberFormat="1" applyBorder="1"/>
    <xf numFmtId="0" fontId="0" fillId="0" borderId="0" xfId="0" applyAlignment="1">
      <alignment wrapText="1"/>
    </xf>
    <xf numFmtId="2" fontId="2" fillId="0" borderId="42" xfId="5" applyNumberFormat="1" applyBorder="1" applyAlignment="1">
      <alignment horizontal="center"/>
    </xf>
    <xf numFmtId="0" fontId="17" fillId="7" borderId="0" xfId="0" applyFont="1" applyFill="1" applyAlignment="1">
      <alignment horizontal="center" vertical="center" wrapText="1"/>
    </xf>
    <xf numFmtId="0" fontId="0" fillId="7" borderId="0" xfId="0" applyFill="1" applyAlignment="1">
      <alignment horizontal="right"/>
    </xf>
    <xf numFmtId="0" fontId="0" fillId="7" borderId="42" xfId="0" applyFill="1" applyBorder="1" applyAlignment="1">
      <alignment horizontal="right"/>
    </xf>
    <xf numFmtId="0" fontId="17" fillId="7" borderId="0" xfId="0" applyFont="1" applyFill="1" applyAlignment="1">
      <alignment horizontal="right"/>
    </xf>
    <xf numFmtId="2" fontId="0" fillId="7" borderId="0" xfId="0" applyNumberFormat="1" applyFill="1" applyAlignment="1">
      <alignment horizontal="right"/>
    </xf>
    <xf numFmtId="164" fontId="0" fillId="7" borderId="0" xfId="0" applyNumberFormat="1" applyFill="1"/>
    <xf numFmtId="167" fontId="0" fillId="7" borderId="0" xfId="2" applyNumberFormat="1" applyFont="1" applyFill="1"/>
    <xf numFmtId="2" fontId="0" fillId="7" borderId="42" xfId="0" applyNumberFormat="1" applyFill="1" applyBorder="1" applyAlignment="1">
      <alignment horizontal="right"/>
    </xf>
    <xf numFmtId="164" fontId="0" fillId="7" borderId="42" xfId="0" applyNumberFormat="1" applyFill="1" applyBorder="1"/>
    <xf numFmtId="167" fontId="0" fillId="7" borderId="42" xfId="2" applyNumberFormat="1" applyFont="1" applyFill="1" applyBorder="1"/>
    <xf numFmtId="2" fontId="17" fillId="7" borderId="0" xfId="0" applyNumberFormat="1" applyFont="1" applyFill="1" applyAlignment="1">
      <alignment horizontal="right"/>
    </xf>
    <xf numFmtId="164" fontId="17" fillId="7" borderId="0" xfId="0" applyNumberFormat="1" applyFont="1" applyFill="1"/>
    <xf numFmtId="167" fontId="17" fillId="7" borderId="0" xfId="2" applyNumberFormat="1" applyFont="1" applyFill="1"/>
    <xf numFmtId="2" fontId="17" fillId="7" borderId="0" xfId="0" applyNumberFormat="1" applyFont="1" applyFill="1" applyAlignment="1">
      <alignment horizontal="center"/>
    </xf>
    <xf numFmtId="166" fontId="0" fillId="0" borderId="0" xfId="0" applyNumberFormat="1"/>
    <xf numFmtId="0" fontId="0" fillId="0" borderId="0" xfId="0" applyAlignment="1">
      <alignment horizontal="center"/>
    </xf>
    <xf numFmtId="43" fontId="28" fillId="0" borderId="0" xfId="2" applyFont="1" applyBorder="1"/>
    <xf numFmtId="0" fontId="28" fillId="0" borderId="0" xfId="0" applyFont="1"/>
    <xf numFmtId="167" fontId="0" fillId="5" borderId="0" xfId="2" applyNumberFormat="1" applyFont="1" applyFill="1" applyBorder="1"/>
    <xf numFmtId="167" fontId="5" fillId="0" borderId="2" xfId="2" applyNumberFormat="1" applyFont="1" applyFill="1" applyBorder="1"/>
    <xf numFmtId="0" fontId="5" fillId="0" borderId="2" xfId="0" applyFont="1" applyBorder="1"/>
    <xf numFmtId="0" fontId="5" fillId="0" borderId="3" xfId="0" applyFont="1" applyBorder="1"/>
    <xf numFmtId="167" fontId="5" fillId="0" borderId="0" xfId="0" applyNumberFormat="1" applyFont="1"/>
    <xf numFmtId="0" fontId="0" fillId="0" borderId="16" xfId="0" applyBorder="1"/>
    <xf numFmtId="167" fontId="3" fillId="5" borderId="7" xfId="2" applyNumberFormat="1" applyFont="1" applyFill="1" applyBorder="1"/>
    <xf numFmtId="0" fontId="0" fillId="5" borderId="7" xfId="0" applyFill="1" applyBorder="1"/>
    <xf numFmtId="0" fontId="4" fillId="8" borderId="9" xfId="0" applyFont="1" applyFill="1" applyBorder="1"/>
    <xf numFmtId="1" fontId="4" fillId="8" borderId="9" xfId="0" applyNumberFormat="1" applyFont="1" applyFill="1" applyBorder="1"/>
    <xf numFmtId="0" fontId="0" fillId="0" borderId="43" xfId="0" applyBorder="1"/>
    <xf numFmtId="0" fontId="0" fillId="7" borderId="0" xfId="0" applyFill="1"/>
    <xf numFmtId="0" fontId="8" fillId="7" borderId="0" xfId="0" applyFont="1" applyFill="1"/>
    <xf numFmtId="9" fontId="0" fillId="0" borderId="43" xfId="4" applyFont="1" applyBorder="1"/>
    <xf numFmtId="167" fontId="3" fillId="0" borderId="3" xfId="2" applyNumberFormat="1" applyFont="1" applyBorder="1"/>
    <xf numFmtId="164" fontId="0" fillId="0" borderId="0" xfId="0" applyNumberFormat="1"/>
    <xf numFmtId="169" fontId="0" fillId="0" borderId="0" xfId="0" applyNumberFormat="1"/>
    <xf numFmtId="0" fontId="14" fillId="0" borderId="0" xfId="0" applyFont="1"/>
    <xf numFmtId="0" fontId="0" fillId="0" borderId="1" xfId="0" applyBorder="1"/>
    <xf numFmtId="164" fontId="0" fillId="0" borderId="3" xfId="0" applyNumberFormat="1" applyBorder="1"/>
    <xf numFmtId="0" fontId="17" fillId="0" borderId="6" xfId="0" applyFont="1" applyBorder="1"/>
    <xf numFmtId="164" fontId="17" fillId="0" borderId="5" xfId="0" applyNumberFormat="1" applyFont="1" applyBorder="1"/>
    <xf numFmtId="166" fontId="15" fillId="0" borderId="5" xfId="0" applyNumberFormat="1" applyFont="1" applyBorder="1"/>
    <xf numFmtId="167" fontId="0" fillId="0" borderId="5" xfId="2" applyNumberFormat="1" applyFont="1" applyBorder="1"/>
    <xf numFmtId="167" fontId="0" fillId="0" borderId="43" xfId="2" applyNumberFormat="1" applyFont="1" applyBorder="1"/>
    <xf numFmtId="170" fontId="0" fillId="0" borderId="43" xfId="3" applyNumberFormat="1" applyFont="1" applyBorder="1"/>
    <xf numFmtId="0" fontId="0" fillId="0" borderId="0" xfId="0" applyAlignment="1">
      <alignment horizontal="center" vertical="center"/>
    </xf>
    <xf numFmtId="44" fontId="8" fillId="0" borderId="0" xfId="0" applyNumberFormat="1" applyFont="1"/>
    <xf numFmtId="0" fontId="14" fillId="0" borderId="4" xfId="0" applyFont="1" applyBorder="1" applyAlignment="1">
      <alignment horizontal="left" vertical="top" wrapText="1"/>
    </xf>
    <xf numFmtId="0" fontId="17" fillId="0" borderId="7" xfId="0" applyFont="1" applyBorder="1"/>
    <xf numFmtId="9" fontId="8" fillId="0" borderId="0" xfId="0" applyNumberFormat="1" applyFont="1"/>
    <xf numFmtId="44" fontId="0" fillId="9" borderId="0" xfId="3" applyFont="1" applyFill="1" applyAlignment="1">
      <alignment horizontal="right"/>
    </xf>
    <xf numFmtId="44" fontId="0" fillId="7" borderId="0" xfId="3" applyFont="1" applyFill="1"/>
    <xf numFmtId="44" fontId="17" fillId="7" borderId="0" xfId="3" applyFont="1" applyFill="1"/>
    <xf numFmtId="44" fontId="0" fillId="7" borderId="42" xfId="3" applyFont="1" applyFill="1" applyBorder="1"/>
    <xf numFmtId="43" fontId="0" fillId="0" borderId="0" xfId="2" applyFont="1" applyBorder="1"/>
    <xf numFmtId="9" fontId="0" fillId="0" borderId="43" xfId="0" applyNumberFormat="1" applyBorder="1" applyAlignment="1">
      <alignment horizontal="center"/>
    </xf>
    <xf numFmtId="0" fontId="15" fillId="0" borderId="6" xfId="0" applyFont="1" applyBorder="1"/>
    <xf numFmtId="44" fontId="17" fillId="7" borderId="0" xfId="3" applyFont="1" applyFill="1" applyAlignment="1">
      <alignment horizontal="center"/>
    </xf>
    <xf numFmtId="44" fontId="30" fillId="9" borderId="0" xfId="3" applyFont="1" applyFill="1" applyAlignment="1">
      <alignment horizontal="right"/>
    </xf>
    <xf numFmtId="44" fontId="30" fillId="9" borderId="42" xfId="3" applyFont="1" applyFill="1" applyBorder="1" applyAlignment="1">
      <alignment horizontal="right"/>
    </xf>
    <xf numFmtId="44" fontId="0" fillId="9" borderId="42" xfId="3" applyFont="1" applyFill="1" applyBorder="1" applyAlignment="1">
      <alignment horizontal="right"/>
    </xf>
    <xf numFmtId="0" fontId="17" fillId="7" borderId="0" xfId="0" applyFont="1" applyFill="1"/>
    <xf numFmtId="0" fontId="8" fillId="0" borderId="0" xfId="0" applyFont="1" applyAlignment="1">
      <alignment horizontal="center"/>
    </xf>
    <xf numFmtId="170" fontId="0" fillId="0" borderId="0" xfId="0" applyNumberFormat="1"/>
    <xf numFmtId="0" fontId="8" fillId="0" borderId="0" xfId="0" applyFont="1" applyAlignment="1">
      <alignment horizontal="left" vertical="center"/>
    </xf>
    <xf numFmtId="170" fontId="9" fillId="0" borderId="0" xfId="0" applyNumberFormat="1" applyFont="1"/>
    <xf numFmtId="10" fontId="0" fillId="0" borderId="0" xfId="0" applyNumberFormat="1"/>
    <xf numFmtId="0" fontId="0" fillId="6" borderId="0" xfId="0" applyFill="1"/>
    <xf numFmtId="170" fontId="0" fillId="6" borderId="0" xfId="0" applyNumberFormat="1" applyFill="1"/>
    <xf numFmtId="170" fontId="0" fillId="10" borderId="0" xfId="0" applyNumberFormat="1" applyFill="1"/>
    <xf numFmtId="44" fontId="0" fillId="10" borderId="0" xfId="0" applyNumberFormat="1" applyFill="1"/>
    <xf numFmtId="0" fontId="17" fillId="6" borderId="0" xfId="0" applyFont="1" applyFill="1" applyAlignment="1">
      <alignment horizontal="center"/>
    </xf>
    <xf numFmtId="0" fontId="17" fillId="6" borderId="0" xfId="0" applyFont="1" applyFill="1"/>
    <xf numFmtId="0" fontId="17" fillId="10" borderId="0" xfId="0" applyFont="1" applyFill="1"/>
    <xf numFmtId="0" fontId="17" fillId="11" borderId="0" xfId="0" applyFont="1" applyFill="1"/>
    <xf numFmtId="44" fontId="0" fillId="11" borderId="0" xfId="0" applyNumberFormat="1" applyFill="1"/>
    <xf numFmtId="170" fontId="9" fillId="6" borderId="0" xfId="0" applyNumberFormat="1" applyFont="1" applyFill="1"/>
    <xf numFmtId="170" fontId="0" fillId="0" borderId="44" xfId="3" applyNumberFormat="1" applyFont="1" applyBorder="1"/>
    <xf numFmtId="0" fontId="0" fillId="7" borderId="0" xfId="0" applyFill="1" applyAlignment="1">
      <alignment horizontal="left" vertical="center" wrapText="1"/>
    </xf>
    <xf numFmtId="170" fontId="0" fillId="0" borderId="9" xfId="3" applyNumberFormat="1" applyFont="1" applyBorder="1" applyAlignment="1">
      <alignment horizontal="left" vertical="center"/>
    </xf>
    <xf numFmtId="10" fontId="0" fillId="0" borderId="9" xfId="4" applyNumberFormat="1" applyFont="1" applyBorder="1" applyAlignment="1">
      <alignment horizontal="center" vertical="center"/>
    </xf>
    <xf numFmtId="9" fontId="4" fillId="7" borderId="9" xfId="0" applyNumberFormat="1" applyFont="1" applyFill="1" applyBorder="1" applyAlignment="1">
      <alignment vertical="center"/>
    </xf>
    <xf numFmtId="171" fontId="3" fillId="0" borderId="9" xfId="0" applyNumberFormat="1" applyFont="1" applyBorder="1" applyAlignment="1">
      <alignment vertical="center"/>
    </xf>
    <xf numFmtId="0" fontId="0" fillId="3" borderId="0" xfId="0" applyFill="1"/>
    <xf numFmtId="1" fontId="3" fillId="3" borderId="9" xfId="0" applyNumberFormat="1" applyFont="1" applyFill="1" applyBorder="1"/>
    <xf numFmtId="1" fontId="7" fillId="3" borderId="9" xfId="0" applyNumberFormat="1" applyFont="1" applyFill="1" applyBorder="1"/>
    <xf numFmtId="2" fontId="7" fillId="3" borderId="9" xfId="0" applyNumberFormat="1" applyFont="1" applyFill="1" applyBorder="1"/>
    <xf numFmtId="1" fontId="7" fillId="12" borderId="9" xfId="0" applyNumberFormat="1" applyFont="1" applyFill="1" applyBorder="1"/>
    <xf numFmtId="1" fontId="5" fillId="3" borderId="0" xfId="0" applyNumberFormat="1" applyFont="1" applyFill="1"/>
    <xf numFmtId="164" fontId="3" fillId="12" borderId="0" xfId="0" applyNumberFormat="1" applyFont="1" applyFill="1" applyAlignment="1">
      <alignment horizontal="right"/>
    </xf>
    <xf numFmtId="164" fontId="0" fillId="12" borderId="0" xfId="0" applyNumberFormat="1" applyFill="1"/>
    <xf numFmtId="9" fontId="3" fillId="12" borderId="9" xfId="0" applyNumberFormat="1" applyFont="1" applyFill="1" applyBorder="1" applyAlignment="1">
      <alignment vertical="center"/>
    </xf>
    <xf numFmtId="2" fontId="24" fillId="0" borderId="18" xfId="0" applyNumberFormat="1" applyFont="1" applyBorder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right"/>
    </xf>
    <xf numFmtId="0" fontId="17" fillId="0" borderId="0" xfId="0" applyFont="1" applyAlignment="1">
      <alignment horizontal="center" vertical="center" wrapText="1"/>
    </xf>
    <xf numFmtId="172" fontId="0" fillId="0" borderId="0" xfId="0" applyNumberFormat="1"/>
    <xf numFmtId="10" fontId="0" fillId="0" borderId="0" xfId="4" applyNumberFormat="1" applyFont="1"/>
    <xf numFmtId="171" fontId="8" fillId="0" borderId="0" xfId="4" applyNumberFormat="1" applyFont="1"/>
    <xf numFmtId="0" fontId="32" fillId="11" borderId="0" xfId="0" applyFont="1" applyFill="1"/>
    <xf numFmtId="0" fontId="32" fillId="13" borderId="0" xfId="0" applyFont="1" applyFill="1"/>
    <xf numFmtId="0" fontId="0" fillId="13" borderId="0" xfId="0" applyFill="1"/>
    <xf numFmtId="0" fontId="0" fillId="11" borderId="0" xfId="0" applyFill="1"/>
    <xf numFmtId="0" fontId="8" fillId="0" borderId="0" xfId="0" applyFont="1" applyAlignment="1">
      <alignment vertical="center"/>
    </xf>
    <xf numFmtId="0" fontId="0" fillId="3" borderId="1" xfId="0" applyFill="1" applyBorder="1"/>
    <xf numFmtId="0" fontId="0" fillId="3" borderId="7" xfId="0" applyFill="1" applyBorder="1"/>
    <xf numFmtId="0" fontId="31" fillId="6" borderId="0" xfId="0" applyFont="1" applyFill="1"/>
    <xf numFmtId="0" fontId="17" fillId="12" borderId="1" xfId="0" applyFont="1" applyFill="1" applyBorder="1" applyAlignment="1">
      <alignment horizontal="center" vertical="center" wrapText="1"/>
    </xf>
    <xf numFmtId="0" fontId="17" fillId="12" borderId="2" xfId="0" applyFont="1" applyFill="1" applyBorder="1" applyAlignment="1">
      <alignment horizontal="center" vertical="center" wrapText="1"/>
    </xf>
    <xf numFmtId="0" fontId="8" fillId="12" borderId="4" xfId="0" applyFont="1" applyFill="1" applyBorder="1" applyAlignment="1">
      <alignment vertical="center"/>
    </xf>
    <xf numFmtId="2" fontId="0" fillId="12" borderId="0" xfId="0" applyNumberFormat="1" applyFill="1"/>
    <xf numFmtId="0" fontId="8" fillId="12" borderId="4" xfId="0" applyFont="1" applyFill="1" applyBorder="1" applyAlignment="1">
      <alignment horizontal="right" vertical="center"/>
    </xf>
    <xf numFmtId="4" fontId="0" fillId="0" borderId="0" xfId="0" applyNumberFormat="1"/>
    <xf numFmtId="0" fontId="8" fillId="5" borderId="4" xfId="0" applyFont="1" applyFill="1" applyBorder="1"/>
    <xf numFmtId="0" fontId="8" fillId="0" borderId="1" xfId="0" applyFont="1" applyBorder="1"/>
    <xf numFmtId="0" fontId="0" fillId="3" borderId="2" xfId="0" applyFill="1" applyBorder="1"/>
    <xf numFmtId="44" fontId="0" fillId="3" borderId="3" xfId="0" applyNumberFormat="1" applyFill="1" applyBorder="1"/>
    <xf numFmtId="0" fontId="0" fillId="3" borderId="6" xfId="0" applyFill="1" applyBorder="1"/>
    <xf numFmtId="44" fontId="0" fillId="3" borderId="8" xfId="3" applyFont="1" applyFill="1" applyBorder="1"/>
    <xf numFmtId="173" fontId="17" fillId="6" borderId="0" xfId="0" applyNumberFormat="1" applyFont="1" applyFill="1"/>
    <xf numFmtId="0" fontId="0" fillId="3" borderId="4" xfId="0" applyFill="1" applyBorder="1"/>
    <xf numFmtId="0" fontId="8" fillId="3" borderId="4" xfId="0" applyFont="1" applyFill="1" applyBorder="1"/>
    <xf numFmtId="0" fontId="8" fillId="3" borderId="6" xfId="0" applyFont="1" applyFill="1" applyBorder="1"/>
    <xf numFmtId="0" fontId="17" fillId="12" borderId="3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/>
    </xf>
    <xf numFmtId="0" fontId="8" fillId="12" borderId="6" xfId="0" applyFont="1" applyFill="1" applyBorder="1" applyAlignment="1">
      <alignment vertical="center"/>
    </xf>
    <xf numFmtId="9" fontId="8" fillId="12" borderId="45" xfId="0" applyNumberFormat="1" applyFont="1" applyFill="1" applyBorder="1" applyAlignment="1">
      <alignment vertical="center"/>
    </xf>
    <xf numFmtId="9" fontId="8" fillId="12" borderId="46" xfId="0" applyNumberFormat="1" applyFont="1" applyFill="1" applyBorder="1" applyAlignment="1">
      <alignment vertical="center"/>
    </xf>
    <xf numFmtId="0" fontId="8" fillId="12" borderId="45" xfId="0" applyFont="1" applyFill="1" applyBorder="1" applyAlignment="1">
      <alignment horizontal="right" vertical="center"/>
    </xf>
    <xf numFmtId="2" fontId="15" fillId="12" borderId="5" xfId="0" applyNumberFormat="1" applyFont="1" applyFill="1" applyBorder="1"/>
    <xf numFmtId="0" fontId="34" fillId="3" borderId="0" xfId="0" applyFont="1" applyFill="1" applyAlignment="1">
      <alignment horizontal="right"/>
    </xf>
    <xf numFmtId="0" fontId="0" fillId="5" borderId="4" xfId="0" applyFill="1" applyBorder="1"/>
    <xf numFmtId="0" fontId="30" fillId="0" borderId="0" xfId="0" applyFont="1"/>
    <xf numFmtId="0" fontId="17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8" fillId="0" borderId="1" xfId="0" applyFont="1" applyBorder="1" applyAlignment="1">
      <alignment vertical="center"/>
    </xf>
    <xf numFmtId="0" fontId="17" fillId="12" borderId="44" xfId="0" applyFont="1" applyFill="1" applyBorder="1" applyAlignment="1">
      <alignment vertical="center"/>
    </xf>
    <xf numFmtId="0" fontId="36" fillId="14" borderId="47" xfId="0" applyFont="1" applyFill="1" applyBorder="1" applyAlignment="1">
      <alignment vertical="top" wrapText="1"/>
    </xf>
    <xf numFmtId="3" fontId="36" fillId="14" borderId="47" xfId="0" applyNumberFormat="1" applyFont="1" applyFill="1" applyBorder="1" applyAlignment="1">
      <alignment vertical="top" wrapText="1"/>
    </xf>
    <xf numFmtId="0" fontId="8" fillId="0" borderId="4" xfId="0" applyFont="1" applyBorder="1" applyAlignment="1">
      <alignment horizontal="right" vertical="center"/>
    </xf>
    <xf numFmtId="0" fontId="8" fillId="0" borderId="1" xfId="0" applyFont="1" applyBorder="1" applyAlignment="1">
      <alignment horizontal="right" vertical="center"/>
    </xf>
    <xf numFmtId="0" fontId="8" fillId="0" borderId="6" xfId="0" applyFont="1" applyBorder="1" applyAlignment="1">
      <alignment horizontal="right" vertical="center"/>
    </xf>
    <xf numFmtId="0" fontId="13" fillId="0" borderId="0" xfId="0" applyFont="1" applyAlignment="1">
      <alignment horizontal="right"/>
    </xf>
    <xf numFmtId="1" fontId="8" fillId="0" borderId="0" xfId="0" applyNumberFormat="1" applyFont="1"/>
    <xf numFmtId="43" fontId="0" fillId="0" borderId="5" xfId="2" applyFont="1" applyFill="1" applyBorder="1"/>
    <xf numFmtId="0" fontId="17" fillId="3" borderId="19" xfId="0" applyFont="1" applyFill="1" applyBorder="1" applyAlignment="1">
      <alignment horizontal="center" vertical="center" wrapText="1"/>
    </xf>
    <xf numFmtId="164" fontId="33" fillId="3" borderId="40" xfId="0" applyNumberFormat="1" applyFont="1" applyFill="1" applyBorder="1" applyAlignment="1">
      <alignment horizontal="center"/>
    </xf>
    <xf numFmtId="9" fontId="33" fillId="3" borderId="41" xfId="4" applyFont="1" applyFill="1" applyBorder="1" applyAlignment="1">
      <alignment horizontal="center"/>
    </xf>
    <xf numFmtId="1" fontId="35" fillId="3" borderId="16" xfId="0" applyNumberFormat="1" applyFont="1" applyFill="1" applyBorder="1" applyAlignment="1">
      <alignment horizontal="center"/>
    </xf>
    <xf numFmtId="0" fontId="17" fillId="3" borderId="30" xfId="0" applyFont="1" applyFill="1" applyBorder="1" applyAlignment="1">
      <alignment horizontal="center" vertical="center" wrapText="1"/>
    </xf>
    <xf numFmtId="0" fontId="17" fillId="3" borderId="31" xfId="0" applyFont="1" applyFill="1" applyBorder="1" applyAlignment="1">
      <alignment horizontal="center" vertical="center" wrapText="1"/>
    </xf>
    <xf numFmtId="0" fontId="22" fillId="3" borderId="43" xfId="0" applyFont="1" applyFill="1" applyBorder="1"/>
    <xf numFmtId="0" fontId="17" fillId="3" borderId="43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7" fillId="0" borderId="17" xfId="0" applyFont="1" applyBorder="1"/>
    <xf numFmtId="0" fontId="0" fillId="0" borderId="19" xfId="0" applyBorder="1"/>
    <xf numFmtId="174" fontId="0" fillId="0" borderId="0" xfId="0" applyNumberFormat="1"/>
    <xf numFmtId="174" fontId="0" fillId="0" borderId="5" xfId="0" applyNumberFormat="1" applyBorder="1"/>
    <xf numFmtId="174" fontId="8" fillId="0" borderId="0" xfId="0" applyNumberFormat="1" applyFont="1"/>
    <xf numFmtId="174" fontId="0" fillId="0" borderId="7" xfId="0" applyNumberFormat="1" applyBorder="1"/>
    <xf numFmtId="174" fontId="8" fillId="0" borderId="7" xfId="0" applyNumberFormat="1" applyFont="1" applyBorder="1"/>
    <xf numFmtId="174" fontId="0" fillId="0" borderId="8" xfId="0" applyNumberFormat="1" applyBorder="1"/>
    <xf numFmtId="0" fontId="8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8" fillId="0" borderId="6" xfId="0" applyFont="1" applyBorder="1" applyAlignment="1">
      <alignment horizontal="center" vertical="center"/>
    </xf>
    <xf numFmtId="0" fontId="17" fillId="0" borderId="1" xfId="0" applyFont="1" applyBorder="1"/>
    <xf numFmtId="0" fontId="17" fillId="0" borderId="3" xfId="0" applyFont="1" applyBorder="1"/>
    <xf numFmtId="0" fontId="17" fillId="5" borderId="4" xfId="0" applyFont="1" applyFill="1" applyBorder="1"/>
    <xf numFmtId="0" fontId="0" fillId="5" borderId="5" xfId="0" applyFill="1" applyBorder="1"/>
    <xf numFmtId="0" fontId="8" fillId="5" borderId="44" xfId="0" applyFont="1" applyFill="1" applyBorder="1" applyAlignment="1">
      <alignment horizontal="center" vertical="center" wrapText="1"/>
    </xf>
    <xf numFmtId="164" fontId="0" fillId="5" borderId="21" xfId="0" applyNumberFormat="1" applyFill="1" applyBorder="1" applyAlignment="1">
      <alignment horizontal="center" vertical="center" wrapText="1"/>
    </xf>
    <xf numFmtId="0" fontId="4" fillId="0" borderId="13" xfId="0" applyFont="1" applyBorder="1" applyAlignment="1">
      <alignment vertical="top" wrapText="1"/>
    </xf>
    <xf numFmtId="167" fontId="0" fillId="5" borderId="48" xfId="2" applyNumberFormat="1" applyFont="1" applyFill="1" applyBorder="1" applyAlignment="1">
      <alignment vertical="center"/>
    </xf>
    <xf numFmtId="0" fontId="0" fillId="5" borderId="18" xfId="0" applyFill="1" applyBorder="1" applyAlignment="1">
      <alignment vertical="center"/>
    </xf>
    <xf numFmtId="1" fontId="0" fillId="0" borderId="22" xfId="0" applyNumberFormat="1" applyBorder="1"/>
    <xf numFmtId="1" fontId="0" fillId="0" borderId="26" xfId="0" applyNumberFormat="1" applyBorder="1"/>
    <xf numFmtId="0" fontId="13" fillId="0" borderId="9" xfId="0" applyFont="1" applyBorder="1" applyAlignment="1">
      <alignment horizontal="left"/>
    </xf>
    <xf numFmtId="43" fontId="0" fillId="0" borderId="9" xfId="0" applyNumberFormat="1" applyBorder="1"/>
    <xf numFmtId="167" fontId="0" fillId="0" borderId="9" xfId="2" applyNumberFormat="1" applyFont="1" applyBorder="1"/>
    <xf numFmtId="9" fontId="0" fillId="0" borderId="9" xfId="4" applyFont="1" applyBorder="1"/>
    <xf numFmtId="167" fontId="0" fillId="0" borderId="9" xfId="0" applyNumberFormat="1" applyBorder="1"/>
    <xf numFmtId="44" fontId="0" fillId="0" borderId="28" xfId="3" applyFont="1" applyBorder="1"/>
    <xf numFmtId="0" fontId="17" fillId="3" borderId="43" xfId="0" applyFont="1" applyFill="1" applyBorder="1" applyAlignment="1">
      <alignment horizontal="center" vertical="center" wrapText="1"/>
    </xf>
    <xf numFmtId="0" fontId="17" fillId="3" borderId="49" xfId="0" applyFont="1" applyFill="1" applyBorder="1" applyAlignment="1">
      <alignment horizontal="center" vertical="center" wrapText="1"/>
    </xf>
    <xf numFmtId="1" fontId="33" fillId="3" borderId="50" xfId="0" applyNumberFormat="1" applyFont="1" applyFill="1" applyBorder="1" applyAlignment="1">
      <alignment horizontal="center"/>
    </xf>
    <xf numFmtId="2" fontId="0" fillId="12" borderId="0" xfId="0" applyNumberFormat="1" applyFill="1" applyAlignment="1">
      <alignment horizontal="center"/>
    </xf>
    <xf numFmtId="9" fontId="8" fillId="12" borderId="5" xfId="0" applyNumberFormat="1" applyFont="1" applyFill="1" applyBorder="1" applyAlignment="1">
      <alignment vertical="center"/>
    </xf>
    <xf numFmtId="2" fontId="0" fillId="12" borderId="7" xfId="0" applyNumberFormat="1" applyFill="1" applyBorder="1" applyAlignment="1">
      <alignment horizontal="center"/>
    </xf>
    <xf numFmtId="0" fontId="8" fillId="12" borderId="44" xfId="0" applyFont="1" applyFill="1" applyBorder="1" applyAlignment="1">
      <alignment vertical="center"/>
    </xf>
    <xf numFmtId="0" fontId="17" fillId="12" borderId="17" xfId="0" applyFont="1" applyFill="1" applyBorder="1" applyAlignment="1">
      <alignment vertical="center" wrapText="1"/>
    </xf>
    <xf numFmtId="0" fontId="17" fillId="12" borderId="18" xfId="0" applyFont="1" applyFill="1" applyBorder="1" applyAlignment="1">
      <alignment vertical="center" wrapText="1"/>
    </xf>
    <xf numFmtId="9" fontId="9" fillId="12" borderId="8" xfId="0" applyNumberFormat="1" applyFont="1" applyFill="1" applyBorder="1" applyAlignment="1">
      <alignment vertical="center"/>
    </xf>
    <xf numFmtId="0" fontId="17" fillId="12" borderId="19" xfId="0" applyFont="1" applyFill="1" applyBorder="1" applyAlignment="1">
      <alignment horizontal="center" vertical="center" wrapText="1"/>
    </xf>
    <xf numFmtId="0" fontId="9" fillId="0" borderId="0" xfId="0" applyFont="1" applyAlignment="1">
      <alignment vertical="top"/>
    </xf>
    <xf numFmtId="44" fontId="7" fillId="0" borderId="9" xfId="3" applyFont="1" applyBorder="1"/>
    <xf numFmtId="44" fontId="7" fillId="3" borderId="9" xfId="3" applyFont="1" applyFill="1" applyBorder="1"/>
    <xf numFmtId="164" fontId="0" fillId="0" borderId="0" xfId="3" applyNumberFormat="1" applyFont="1"/>
    <xf numFmtId="44" fontId="7" fillId="0" borderId="11" xfId="3" applyFont="1" applyBorder="1"/>
    <xf numFmtId="44" fontId="7" fillId="3" borderId="11" xfId="3" applyFont="1" applyFill="1" applyBorder="1"/>
    <xf numFmtId="164" fontId="4" fillId="8" borderId="0" xfId="3" applyNumberFormat="1" applyFont="1" applyFill="1" applyBorder="1" applyAlignment="1"/>
    <xf numFmtId="2" fontId="7" fillId="0" borderId="0" xfId="0" applyNumberFormat="1" applyFont="1"/>
    <xf numFmtId="2" fontId="7" fillId="3" borderId="0" xfId="0" applyNumberFormat="1" applyFont="1" applyFill="1"/>
    <xf numFmtId="164" fontId="4" fillId="8" borderId="52" xfId="3" applyNumberFormat="1" applyFont="1" applyFill="1" applyBorder="1" applyAlignment="1"/>
    <xf numFmtId="170" fontId="0" fillId="15" borderId="20" xfId="3" applyNumberFormat="1" applyFont="1" applyFill="1" applyBorder="1" applyAlignment="1">
      <alignment vertical="center"/>
    </xf>
    <xf numFmtId="1" fontId="8" fillId="15" borderId="21" xfId="0" applyNumberFormat="1" applyFont="1" applyFill="1" applyBorder="1" applyAlignment="1">
      <alignment horizontal="center" vertical="center"/>
    </xf>
    <xf numFmtId="1" fontId="0" fillId="5" borderId="20" xfId="3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43" xfId="0" applyFill="1" applyBorder="1" applyAlignment="1">
      <alignment horizontal="center"/>
    </xf>
    <xf numFmtId="0" fontId="15" fillId="16" borderId="43" xfId="0" applyFont="1" applyFill="1" applyBorder="1" applyAlignment="1">
      <alignment horizontal="center"/>
    </xf>
    <xf numFmtId="9" fontId="15" fillId="16" borderId="43" xfId="4" applyFont="1" applyFill="1" applyBorder="1" applyAlignment="1">
      <alignment horizontal="center"/>
    </xf>
    <xf numFmtId="170" fontId="0" fillId="16" borderId="43" xfId="3" applyNumberFormat="1" applyFont="1" applyFill="1" applyBorder="1"/>
    <xf numFmtId="44" fontId="4" fillId="17" borderId="9" xfId="3" applyFont="1" applyFill="1" applyBorder="1" applyAlignment="1"/>
    <xf numFmtId="44" fontId="4" fillId="17" borderId="11" xfId="3" applyFont="1" applyFill="1" applyBorder="1" applyAlignment="1"/>
    <xf numFmtId="44" fontId="4" fillId="17" borderId="0" xfId="3" applyFont="1" applyFill="1" applyBorder="1" applyAlignment="1"/>
    <xf numFmtId="44" fontId="4" fillId="17" borderId="14" xfId="3" applyFont="1" applyFill="1" applyBorder="1" applyAlignment="1"/>
    <xf numFmtId="164" fontId="4" fillId="17" borderId="51" xfId="3" applyNumberFormat="1" applyFont="1" applyFill="1" applyBorder="1" applyAlignment="1"/>
    <xf numFmtId="0" fontId="0" fillId="0" borderId="0" xfId="0" applyBorder="1"/>
    <xf numFmtId="0" fontId="8" fillId="0" borderId="0" xfId="0" applyFont="1" applyBorder="1"/>
    <xf numFmtId="0" fontId="0" fillId="0" borderId="0" xfId="0" applyFill="1" applyBorder="1"/>
    <xf numFmtId="0" fontId="17" fillId="0" borderId="0" xfId="0" applyFont="1" applyBorder="1"/>
    <xf numFmtId="43" fontId="0" fillId="0" borderId="5" xfId="2" applyFont="1" applyBorder="1"/>
    <xf numFmtId="0" fontId="0" fillId="0" borderId="7" xfId="0" applyFill="1" applyBorder="1"/>
    <xf numFmtId="9" fontId="0" fillId="0" borderId="0" xfId="4" applyFont="1"/>
    <xf numFmtId="0" fontId="0" fillId="0" borderId="0" xfId="0" applyFont="1" applyFill="1" applyBorder="1"/>
    <xf numFmtId="0" fontId="8" fillId="0" borderId="0" xfId="0" applyFont="1" applyFill="1" applyBorder="1"/>
    <xf numFmtId="0" fontId="17" fillId="0" borderId="4" xfId="0" applyFont="1" applyBorder="1"/>
    <xf numFmtId="167" fontId="17" fillId="0" borderId="5" xfId="2" applyNumberFormat="1" applyFont="1" applyBorder="1"/>
    <xf numFmtId="44" fontId="0" fillId="0" borderId="4" xfId="0" applyNumberFormat="1" applyBorder="1"/>
    <xf numFmtId="44" fontId="0" fillId="0" borderId="6" xfId="0" applyNumberFormat="1" applyBorder="1"/>
    <xf numFmtId="0" fontId="17" fillId="0" borderId="7" xfId="0" applyFont="1" applyFill="1" applyBorder="1"/>
    <xf numFmtId="1" fontId="17" fillId="0" borderId="8" xfId="0" applyNumberFormat="1" applyFont="1" applyBorder="1"/>
    <xf numFmtId="170" fontId="8" fillId="15" borderId="22" xfId="3" applyNumberFormat="1" applyFont="1" applyFill="1" applyBorder="1" applyAlignment="1">
      <alignment horizontal="center" vertical="center" wrapText="1"/>
    </xf>
    <xf numFmtId="167" fontId="0" fillId="0" borderId="8" xfId="2" applyNumberFormat="1" applyFont="1" applyBorder="1"/>
    <xf numFmtId="170" fontId="0" fillId="5" borderId="20" xfId="3" applyNumberFormat="1" applyFont="1" applyFill="1" applyBorder="1" applyAlignment="1">
      <alignment horizontal="center" vertical="center"/>
    </xf>
    <xf numFmtId="164" fontId="7" fillId="0" borderId="11" xfId="3" applyNumberFormat="1" applyFont="1" applyBorder="1"/>
    <xf numFmtId="164" fontId="7" fillId="3" borderId="11" xfId="3" applyNumberFormat="1" applyFont="1" applyFill="1" applyBorder="1"/>
    <xf numFmtId="0" fontId="8" fillId="0" borderId="43" xfId="0" applyFont="1" applyBorder="1" applyAlignment="1">
      <alignment horizontal="center" vertical="center"/>
    </xf>
    <xf numFmtId="0" fontId="17" fillId="0" borderId="20" xfId="0" applyFont="1" applyBorder="1" applyAlignment="1">
      <alignment horizontal="center" vertical="center" wrapText="1"/>
    </xf>
    <xf numFmtId="0" fontId="17" fillId="0" borderId="23" xfId="0" applyFont="1" applyBorder="1" applyAlignment="1">
      <alignment horizontal="center" vertical="center" wrapText="1"/>
    </xf>
    <xf numFmtId="0" fontId="17" fillId="0" borderId="24" xfId="0" applyFont="1" applyBorder="1" applyAlignment="1">
      <alignment horizontal="center" vertical="center" wrapText="1"/>
    </xf>
    <xf numFmtId="0" fontId="8" fillId="15" borderId="44" xfId="0" applyFont="1" applyFill="1" applyBorder="1" applyAlignment="1">
      <alignment horizontal="center" vertical="center" wrapText="1"/>
    </xf>
    <xf numFmtId="2" fontId="7" fillId="0" borderId="28" xfId="0" applyNumberFormat="1" applyFont="1" applyBorder="1"/>
    <xf numFmtId="2" fontId="7" fillId="0" borderId="53" xfId="0" applyNumberFormat="1" applyFont="1" applyBorder="1"/>
    <xf numFmtId="0" fontId="8" fillId="5" borderId="6" xfId="0" applyFont="1" applyFill="1" applyBorder="1"/>
    <xf numFmtId="174" fontId="0" fillId="0" borderId="0" xfId="0" applyNumberFormat="1" applyBorder="1"/>
    <xf numFmtId="0" fontId="0" fillId="0" borderId="0" xfId="0" applyAlignment="1">
      <alignment horizontal="center" vertical="center"/>
    </xf>
    <xf numFmtId="0" fontId="6" fillId="7" borderId="0" xfId="0" applyFont="1" applyFill="1" applyAlignment="1">
      <alignment horizontal="right"/>
    </xf>
    <xf numFmtId="165" fontId="6" fillId="7" borderId="0" xfId="0" applyNumberFormat="1" applyFont="1" applyFill="1" applyAlignment="1">
      <alignment horizontal="right"/>
    </xf>
    <xf numFmtId="166" fontId="6" fillId="7" borderId="0" xfId="0" applyNumberFormat="1" applyFont="1" applyFill="1" applyAlignment="1">
      <alignment horizontal="right"/>
    </xf>
    <xf numFmtId="4" fontId="3" fillId="7" borderId="0" xfId="0" applyNumberFormat="1" applyFont="1" applyFill="1"/>
    <xf numFmtId="9" fontId="0" fillId="7" borderId="0" xfId="4" applyFont="1" applyFill="1"/>
    <xf numFmtId="174" fontId="0" fillId="18" borderId="0" xfId="0" applyNumberFormat="1" applyFill="1" applyBorder="1"/>
    <xf numFmtId="174" fontId="0" fillId="18" borderId="5" xfId="0" applyNumberFormat="1" applyFill="1" applyBorder="1"/>
    <xf numFmtId="174" fontId="0" fillId="18" borderId="7" xfId="0" applyNumberFormat="1" applyFill="1" applyBorder="1"/>
    <xf numFmtId="174" fontId="0" fillId="18" borderId="8" xfId="0" applyNumberFormat="1" applyFill="1" applyBorder="1"/>
    <xf numFmtId="174" fontId="0" fillId="18" borderId="0" xfId="0" applyNumberFormat="1" applyFill="1"/>
    <xf numFmtId="0" fontId="17" fillId="3" borderId="0" xfId="0" applyFont="1" applyFill="1" applyBorder="1" applyAlignment="1">
      <alignment horizontal="center" vertical="center" wrapText="1"/>
    </xf>
    <xf numFmtId="164" fontId="5" fillId="0" borderId="0" xfId="0" applyNumberFormat="1" applyFont="1"/>
    <xf numFmtId="0" fontId="17" fillId="0" borderId="43" xfId="0" applyFont="1" applyBorder="1" applyAlignment="1">
      <alignment horizontal="center" vertical="center" wrapText="1"/>
    </xf>
    <xf numFmtId="0" fontId="17" fillId="0" borderId="15" xfId="0" applyFont="1" applyBorder="1" applyAlignment="1">
      <alignment horizontal="center" vertical="center" wrapText="1"/>
    </xf>
    <xf numFmtId="170" fontId="0" fillId="15" borderId="14" xfId="3" applyNumberFormat="1" applyFont="1" applyFill="1" applyBorder="1" applyAlignment="1">
      <alignment vertical="center"/>
    </xf>
    <xf numFmtId="1" fontId="8" fillId="15" borderId="55" xfId="0" applyNumberFormat="1" applyFont="1" applyFill="1" applyBorder="1" applyAlignment="1">
      <alignment horizontal="center" vertical="center"/>
    </xf>
    <xf numFmtId="170" fontId="8" fillId="15" borderId="51" xfId="3" applyNumberFormat="1" applyFont="1" applyFill="1" applyBorder="1" applyAlignment="1">
      <alignment horizontal="center" vertical="center" wrapText="1"/>
    </xf>
    <xf numFmtId="170" fontId="0" fillId="5" borderId="14" xfId="3" applyNumberFormat="1" applyFont="1" applyFill="1" applyBorder="1" applyAlignment="1">
      <alignment horizontal="center" vertical="center"/>
    </xf>
    <xf numFmtId="1" fontId="0" fillId="5" borderId="14" xfId="3" applyNumberFormat="1" applyFont="1" applyFill="1" applyBorder="1" applyAlignment="1">
      <alignment horizontal="center" vertical="center"/>
    </xf>
    <xf numFmtId="164" fontId="0" fillId="5" borderId="55" xfId="0" applyNumberFormat="1" applyFill="1" applyBorder="1" applyAlignment="1">
      <alignment horizontal="center" vertical="center" wrapText="1"/>
    </xf>
    <xf numFmtId="0" fontId="9" fillId="0" borderId="54" xfId="0" applyFont="1" applyBorder="1" applyAlignment="1">
      <alignment vertical="center"/>
    </xf>
    <xf numFmtId="0" fontId="9" fillId="0" borderId="0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7" fillId="5" borderId="1" xfId="0" applyFont="1" applyFill="1" applyBorder="1" applyAlignment="1">
      <alignment horizontal="center" vertical="center"/>
    </xf>
    <xf numFmtId="0" fontId="37" fillId="5" borderId="2" xfId="0" applyFont="1" applyFill="1" applyBorder="1" applyAlignment="1">
      <alignment horizontal="center" vertical="center"/>
    </xf>
    <xf numFmtId="0" fontId="37" fillId="5" borderId="3" xfId="0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 wrapText="1"/>
    </xf>
    <xf numFmtId="0" fontId="37" fillId="3" borderId="18" xfId="0" applyFont="1" applyFill="1" applyBorder="1" applyAlignment="1">
      <alignment horizontal="center" vertical="center" wrapText="1"/>
    </xf>
    <xf numFmtId="0" fontId="37" fillId="12" borderId="7" xfId="0" applyFont="1" applyFill="1" applyBorder="1" applyAlignment="1">
      <alignment horizontal="center" vertical="center"/>
    </xf>
    <xf numFmtId="0" fontId="37" fillId="12" borderId="8" xfId="0" applyFont="1" applyFill="1" applyBorder="1" applyAlignment="1">
      <alignment horizontal="center" vertical="center"/>
    </xf>
    <xf numFmtId="0" fontId="37" fillId="3" borderId="18" xfId="0" applyFont="1" applyFill="1" applyBorder="1" applyAlignment="1">
      <alignment horizontal="center" vertical="center"/>
    </xf>
    <xf numFmtId="0" fontId="37" fillId="3" borderId="19" xfId="0" applyFont="1" applyFill="1" applyBorder="1" applyAlignment="1">
      <alignment horizontal="center" vertical="center"/>
    </xf>
    <xf numFmtId="0" fontId="14" fillId="0" borderId="1" xfId="0" applyFont="1" applyBorder="1" applyAlignment="1">
      <alignment horizontal="center" vertical="center" wrapText="1"/>
    </xf>
    <xf numFmtId="0" fontId="14" fillId="0" borderId="4" xfId="0" applyFont="1" applyBorder="1" applyAlignment="1">
      <alignment horizontal="center" vertical="center" wrapText="1"/>
    </xf>
    <xf numFmtId="0" fontId="13" fillId="12" borderId="11" xfId="0" applyFont="1" applyFill="1" applyBorder="1" applyAlignment="1">
      <alignment horizontal="left"/>
    </xf>
    <xf numFmtId="0" fontId="13" fillId="12" borderId="12" xfId="0" applyFont="1" applyFill="1" applyBorder="1" applyAlignment="1">
      <alignment horizontal="left"/>
    </xf>
    <xf numFmtId="0" fontId="13" fillId="0" borderId="11" xfId="0" applyFont="1" applyBorder="1" applyAlignment="1">
      <alignment horizontal="left"/>
    </xf>
    <xf numFmtId="0" fontId="13" fillId="0" borderId="12" xfId="0" applyFont="1" applyBorder="1" applyAlignment="1">
      <alignment horizontal="left"/>
    </xf>
    <xf numFmtId="0" fontId="4" fillId="0" borderId="14" xfId="0" applyFont="1" applyBorder="1" applyAlignment="1">
      <alignment horizontal="center" wrapText="1"/>
    </xf>
    <xf numFmtId="0" fontId="4" fillId="0" borderId="15" xfId="0" applyFont="1" applyBorder="1" applyAlignment="1">
      <alignment horizontal="center" wrapText="1"/>
    </xf>
    <xf numFmtId="0" fontId="13" fillId="0" borderId="9" xfId="0" applyFont="1" applyBorder="1" applyAlignment="1">
      <alignment horizontal="left"/>
    </xf>
    <xf numFmtId="0" fontId="4" fillId="0" borderId="15" xfId="0" applyFont="1" applyBorder="1" applyAlignment="1">
      <alignment horizontal="center" vertical="top" wrapText="1"/>
    </xf>
    <xf numFmtId="0" fontId="13" fillId="7" borderId="11" xfId="0" applyFont="1" applyFill="1" applyBorder="1" applyAlignment="1">
      <alignment horizontal="left"/>
    </xf>
    <xf numFmtId="0" fontId="13" fillId="7" borderId="12" xfId="0" applyFont="1" applyFill="1" applyBorder="1" applyAlignment="1">
      <alignment horizontal="left"/>
    </xf>
    <xf numFmtId="0" fontId="39" fillId="5" borderId="17" xfId="0" applyFont="1" applyFill="1" applyBorder="1" applyAlignment="1">
      <alignment horizontal="center" vertical="center"/>
    </xf>
    <xf numFmtId="0" fontId="39" fillId="5" borderId="18" xfId="0" applyFont="1" applyFill="1" applyBorder="1" applyAlignment="1">
      <alignment horizontal="center" vertical="center"/>
    </xf>
    <xf numFmtId="0" fontId="39" fillId="15" borderId="17" xfId="0" applyFont="1" applyFill="1" applyBorder="1" applyAlignment="1">
      <alignment horizontal="center" vertical="center" wrapText="1"/>
    </xf>
    <xf numFmtId="0" fontId="39" fillId="15" borderId="18" xfId="0" applyFont="1" applyFill="1" applyBorder="1" applyAlignment="1">
      <alignment horizontal="center" vertical="center" wrapText="1"/>
    </xf>
    <xf numFmtId="0" fontId="39" fillId="15" borderId="19" xfId="0" applyFont="1" applyFill="1" applyBorder="1" applyAlignment="1">
      <alignment horizontal="center" vertical="center" wrapText="1"/>
    </xf>
    <xf numFmtId="0" fontId="37" fillId="18" borderId="1" xfId="0" applyFont="1" applyFill="1" applyBorder="1" applyAlignment="1">
      <alignment horizontal="center" vertical="center" wrapText="1"/>
    </xf>
    <xf numFmtId="0" fontId="37" fillId="18" borderId="2" xfId="0" applyFont="1" applyFill="1" applyBorder="1" applyAlignment="1">
      <alignment horizontal="center" vertical="center" wrapText="1"/>
    </xf>
    <xf numFmtId="0" fontId="37" fillId="18" borderId="3" xfId="0" applyFont="1" applyFill="1" applyBorder="1" applyAlignment="1">
      <alignment horizontal="center" vertical="center" wrapText="1"/>
    </xf>
    <xf numFmtId="0" fontId="37" fillId="18" borderId="6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 wrapText="1"/>
    </xf>
    <xf numFmtId="0" fontId="37" fillId="18" borderId="8" xfId="0" applyFont="1" applyFill="1" applyBorder="1" applyAlignment="1">
      <alignment horizontal="center" vertical="center" wrapText="1"/>
    </xf>
    <xf numFmtId="0" fontId="39" fillId="18" borderId="2" xfId="0" applyFont="1" applyFill="1" applyBorder="1" applyAlignment="1">
      <alignment horizontal="center" vertical="center"/>
    </xf>
    <xf numFmtId="0" fontId="39" fillId="18" borderId="3" xfId="0" applyFont="1" applyFill="1" applyBorder="1" applyAlignment="1">
      <alignment horizontal="center" vertical="center"/>
    </xf>
    <xf numFmtId="0" fontId="39" fillId="18" borderId="7" xfId="0" applyFont="1" applyFill="1" applyBorder="1" applyAlignment="1">
      <alignment horizontal="center" vertical="center"/>
    </xf>
    <xf numFmtId="0" fontId="39" fillId="18" borderId="8" xfId="0" applyFont="1" applyFill="1" applyBorder="1" applyAlignment="1">
      <alignment horizontal="center" vertical="center"/>
    </xf>
    <xf numFmtId="0" fontId="0" fillId="0" borderId="33" xfId="0" applyBorder="1" applyAlignment="1">
      <alignment horizontal="left"/>
    </xf>
    <xf numFmtId="0" fontId="0" fillId="0" borderId="34" xfId="0" applyBorder="1" applyAlignment="1">
      <alignment horizontal="left"/>
    </xf>
    <xf numFmtId="0" fontId="0" fillId="0" borderId="35" xfId="0" applyBorder="1" applyAlignment="1">
      <alignment horizontal="left"/>
    </xf>
    <xf numFmtId="0" fontId="0" fillId="0" borderId="36" xfId="0" applyBorder="1" applyAlignment="1">
      <alignment horizontal="left"/>
    </xf>
    <xf numFmtId="0" fontId="0" fillId="0" borderId="32" xfId="0" applyBorder="1" applyAlignment="1">
      <alignment horizontal="left"/>
    </xf>
    <xf numFmtId="0" fontId="0" fillId="0" borderId="12" xfId="0" applyBorder="1" applyAlignment="1">
      <alignment horizontal="left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0" fillId="0" borderId="39" xfId="0" applyBorder="1" applyAlignment="1">
      <alignment horizontal="left"/>
    </xf>
    <xf numFmtId="0" fontId="8" fillId="0" borderId="33" xfId="0" applyFont="1" applyBorder="1" applyAlignment="1">
      <alignment horizontal="left"/>
    </xf>
    <xf numFmtId="0" fontId="8" fillId="0" borderId="34" xfId="0" applyFont="1" applyBorder="1" applyAlignment="1">
      <alignment horizontal="left"/>
    </xf>
    <xf numFmtId="0" fontId="8" fillId="0" borderId="35" xfId="0" applyFont="1" applyBorder="1" applyAlignment="1">
      <alignment horizontal="left"/>
    </xf>
    <xf numFmtId="0" fontId="8" fillId="0" borderId="36" xfId="0" applyFont="1" applyBorder="1" applyAlignment="1">
      <alignment horizontal="left"/>
    </xf>
    <xf numFmtId="0" fontId="8" fillId="0" borderId="32" xfId="0" applyFont="1" applyBorder="1" applyAlignment="1">
      <alignment horizontal="left"/>
    </xf>
    <xf numFmtId="0" fontId="8" fillId="0" borderId="12" xfId="0" applyFont="1" applyBorder="1" applyAlignment="1">
      <alignment horizontal="left"/>
    </xf>
    <xf numFmtId="0" fontId="8" fillId="0" borderId="37" xfId="0" applyFont="1" applyBorder="1" applyAlignment="1">
      <alignment horizontal="left"/>
    </xf>
    <xf numFmtId="0" fontId="8" fillId="0" borderId="38" xfId="0" applyFont="1" applyBorder="1" applyAlignment="1">
      <alignment horizontal="left"/>
    </xf>
    <xf numFmtId="0" fontId="8" fillId="0" borderId="39" xfId="0" applyFont="1" applyBorder="1" applyAlignment="1">
      <alignment horizontal="left"/>
    </xf>
  </cellXfs>
  <cellStyles count="7">
    <cellStyle name="Comma" xfId="2" builtinId="3"/>
    <cellStyle name="Currency" xfId="3" builtinId="4"/>
    <cellStyle name="Hyperlink" xfId="1" builtinId="8"/>
    <cellStyle name="Normal" xfId="0" builtinId="0"/>
    <cellStyle name="Normal 2" xfId="5" xr:uid="{198F7B08-51B3-41DC-86CF-114F3918BB2A}"/>
    <cellStyle name="Normal 3" xfId="6" xr:uid="{3D3653FE-259E-455A-BF7A-12860E6CD494}"/>
    <cellStyle name="Percent" xfId="4" builtinId="5"/>
  </cellStyles>
  <dxfs count="3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34" formatCode="_(&quot;$&quot;* #,##0.00_);_(&quot;$&quot;* \(#,##0.00\);_(&quot;$&quot;* &quot;-&quot;??_);_(@_)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64" formatCode="0.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34" formatCode="_(&quot;$&quot;* #,##0.00_);_(&quot;$&quot;* \(#,##0.00\);_(&quot;$&quot;* &quot;-&quot;??_);_(@_)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numFmt numFmtId="1" formatCode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right style="thin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4"/>
        <name val="Arial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  <fill>
        <patternFill patternType="solid">
          <fgColor indexed="64"/>
          <bgColor theme="7" tint="0.59999389629810485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FF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17/10/relationships/person" Target="persons/perso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4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355781301039486"/>
          <c:y val="0.10363435405311787"/>
          <c:w val="0.65994090848042797"/>
          <c:h val="0.72089251557150713"/>
        </c:manualLayout>
      </c:layout>
      <c:areaChart>
        <c:grouping val="standard"/>
        <c:varyColors val="1"/>
        <c:ser>
          <c:idx val="1"/>
          <c:order val="1"/>
          <c:tx>
            <c:strRef>
              <c:f>'HP Table'!$L$1</c:f>
              <c:strCache>
                <c:ptCount val="1"/>
                <c:pt idx="0">
                  <c:v>Annual Heating/Cooling Load (btu/year)</c:v>
                </c:pt>
              </c:strCache>
              <c:extLst xmlns:c15="http://schemas.microsoft.com/office/drawing/2012/chart"/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'HP Table'!$H$2:$H$49</c:f>
              <c:numCache>
                <c:formatCode>0</c:formatCode>
                <c:ptCount val="48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</c:numCache>
              <c:extLst xmlns:c15="http://schemas.microsoft.com/office/drawing/2012/chart"/>
            </c:numRef>
          </c:cat>
          <c:val>
            <c:numRef>
              <c:f>'HP Table'!$L$2:$L$74</c:f>
              <c:numCache>
                <c:formatCode>0</c:formatCode>
                <c:ptCount val="73"/>
                <c:pt idx="0">
                  <c:v>32894.453354897269</c:v>
                </c:pt>
                <c:pt idx="1">
                  <c:v>136948.33641630699</c:v>
                </c:pt>
                <c:pt idx="2">
                  <c:v>141983.20172573003</c:v>
                </c:pt>
                <c:pt idx="3">
                  <c:v>231603.80423346034</c:v>
                </c:pt>
                <c:pt idx="4">
                  <c:v>226568.9389240373</c:v>
                </c:pt>
                <c:pt idx="5">
                  <c:v>236303.01185558853</c:v>
                </c:pt>
                <c:pt idx="6">
                  <c:v>295882.25135042792</c:v>
                </c:pt>
                <c:pt idx="7">
                  <c:v>246708.40016172949</c:v>
                </c:pt>
                <c:pt idx="8">
                  <c:v>474787.79867859365</c:v>
                </c:pt>
                <c:pt idx="9">
                  <c:v>349083.99478666484</c:v>
                </c:pt>
                <c:pt idx="10">
                  <c:v>301084.94550349843</c:v>
                </c:pt>
                <c:pt idx="11">
                  <c:v>446424.72410217713</c:v>
                </c:pt>
                <c:pt idx="12">
                  <c:v>285644.6918879344</c:v>
                </c:pt>
                <c:pt idx="13">
                  <c:v>314175.59530799836</c:v>
                </c:pt>
                <c:pt idx="14">
                  <c:v>428802.69551919651</c:v>
                </c:pt>
                <c:pt idx="15">
                  <c:v>382314.10582885693</c:v>
                </c:pt>
                <c:pt idx="16">
                  <c:v>398761.33250630565</c:v>
                </c:pt>
                <c:pt idx="17">
                  <c:v>279267.19582933187</c:v>
                </c:pt>
                <c:pt idx="18">
                  <c:v>275742.79011273576</c:v>
                </c:pt>
                <c:pt idx="19">
                  <c:v>372580.03289730573</c:v>
                </c:pt>
                <c:pt idx="20">
                  <c:v>296889.22441231256</c:v>
                </c:pt>
                <c:pt idx="21">
                  <c:v>437026.30885792075</c:v>
                </c:pt>
                <c:pt idx="22">
                  <c:v>425949.6051771901</c:v>
                </c:pt>
                <c:pt idx="23">
                  <c:v>493081.14263616409</c:v>
                </c:pt>
                <c:pt idx="24">
                  <c:v>520269.41530704859</c:v>
                </c:pt>
                <c:pt idx="25">
                  <c:v>551821.2379127664</c:v>
                </c:pt>
                <c:pt idx="26">
                  <c:v>521108.55952528573</c:v>
                </c:pt>
                <c:pt idx="27">
                  <c:v>454144.85090995912</c:v>
                </c:pt>
                <c:pt idx="28">
                  <c:v>479319.1774570744</c:v>
                </c:pt>
                <c:pt idx="29">
                  <c:v>584044.37589307374</c:v>
                </c:pt>
                <c:pt idx="30">
                  <c:v>720657.05462208588</c:v>
                </c:pt>
                <c:pt idx="31">
                  <c:v>655539.4632868811</c:v>
                </c:pt>
                <c:pt idx="32">
                  <c:v>793159.11507777788</c:v>
                </c:pt>
                <c:pt idx="33">
                  <c:v>808263.71100604697</c:v>
                </c:pt>
                <c:pt idx="34">
                  <c:v>631875.59633259277</c:v>
                </c:pt>
                <c:pt idx="35">
                  <c:v>606197.78325453529</c:v>
                </c:pt>
                <c:pt idx="36">
                  <c:v>541080.19191933039</c:v>
                </c:pt>
                <c:pt idx="37">
                  <c:v>547793.34566522785</c:v>
                </c:pt>
                <c:pt idx="38">
                  <c:v>424606.97442801052</c:v>
                </c:pt>
                <c:pt idx="39">
                  <c:v>478312.20439518965</c:v>
                </c:pt>
                <c:pt idx="40">
                  <c:v>418397.30721305538</c:v>
                </c:pt>
                <c:pt idx="41">
                  <c:v>370566.08677353646</c:v>
                </c:pt>
                <c:pt idx="42">
                  <c:v>334818.54307663272</c:v>
                </c:pt>
                <c:pt idx="43">
                  <c:v>291015.21488465223</c:v>
                </c:pt>
                <c:pt idx="44">
                  <c:v>241673.53485230633</c:v>
                </c:pt>
                <c:pt idx="45">
                  <c:v>191324.88175807585</c:v>
                </c:pt>
                <c:pt idx="46">
                  <c:v>134934.39029253757</c:v>
                </c:pt>
                <c:pt idx="47">
                  <c:v>99690.333126576224</c:v>
                </c:pt>
                <c:pt idx="48">
                  <c:v>45145.958941159879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45507.725644975741</c:v>
                </c:pt>
                <c:pt idx="58">
                  <c:v>87374.83323835356</c:v>
                </c:pt>
                <c:pt idx="59">
                  <c:v>112859.15959954007</c:v>
                </c:pt>
                <c:pt idx="60">
                  <c:v>89801.911939419006</c:v>
                </c:pt>
                <c:pt idx="61">
                  <c:v>124387.78342960073</c:v>
                </c:pt>
                <c:pt idx="62">
                  <c:v>120140.39570273626</c:v>
                </c:pt>
                <c:pt idx="63">
                  <c:v>67958.203629830648</c:v>
                </c:pt>
                <c:pt idx="64">
                  <c:v>19416.629608523035</c:v>
                </c:pt>
                <c:pt idx="65">
                  <c:v>5460.927077397102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</c:numCache>
              <c:extLst xmlns:c15="http://schemas.microsoft.com/office/drawing/2012/chart"/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0-BC53-4CA7-BC10-7C45FDAE5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561710"/>
        <c:axId val="1014874641"/>
      </c:areaChart>
      <c:lineChart>
        <c:grouping val="standard"/>
        <c:varyColors val="1"/>
        <c:ser>
          <c:idx val="0"/>
          <c:order val="0"/>
          <c:tx>
            <c:strRef>
              <c:f>'HP Table'!$K$1</c:f>
              <c:strCache>
                <c:ptCount val="1"/>
                <c:pt idx="0">
                  <c:v> Load Line (btu/hr)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</c:numRef>
          </c:cat>
          <c:val>
            <c:numRef>
              <c:f>'HP Table'!$K$2:$K$74</c:f>
              <c:numCache>
                <c:formatCode>0</c:formatCode>
                <c:ptCount val="73"/>
                <c:pt idx="0">
                  <c:v>8223.6133387243171</c:v>
                </c:pt>
                <c:pt idx="1">
                  <c:v>8055.7844950768813</c:v>
                </c:pt>
                <c:pt idx="2">
                  <c:v>7887.9556514294463</c:v>
                </c:pt>
                <c:pt idx="3">
                  <c:v>7720.1268077820114</c:v>
                </c:pt>
                <c:pt idx="4">
                  <c:v>7552.2979641345764</c:v>
                </c:pt>
                <c:pt idx="5">
                  <c:v>7384.4691204871415</c:v>
                </c:pt>
                <c:pt idx="6">
                  <c:v>7216.6402768397056</c:v>
                </c:pt>
                <c:pt idx="7">
                  <c:v>7048.8114331922707</c:v>
                </c:pt>
                <c:pt idx="8">
                  <c:v>6880.9825895448357</c:v>
                </c:pt>
                <c:pt idx="9">
                  <c:v>6713.1537458974008</c:v>
                </c:pt>
                <c:pt idx="10">
                  <c:v>6545.3249022499658</c:v>
                </c:pt>
                <c:pt idx="11">
                  <c:v>6377.4960586025309</c:v>
                </c:pt>
                <c:pt idx="12">
                  <c:v>6209.6672149550959</c:v>
                </c:pt>
                <c:pt idx="13">
                  <c:v>6041.838371307661</c:v>
                </c:pt>
                <c:pt idx="14">
                  <c:v>5874.009527660226</c:v>
                </c:pt>
                <c:pt idx="15">
                  <c:v>5706.1806840127902</c:v>
                </c:pt>
                <c:pt idx="16">
                  <c:v>5538.3518403653561</c:v>
                </c:pt>
                <c:pt idx="17">
                  <c:v>5370.5229967179203</c:v>
                </c:pt>
                <c:pt idx="18">
                  <c:v>5202.6941530704862</c:v>
                </c:pt>
                <c:pt idx="19">
                  <c:v>5034.8653094230503</c:v>
                </c:pt>
                <c:pt idx="20">
                  <c:v>4867.0364657756154</c:v>
                </c:pt>
                <c:pt idx="21">
                  <c:v>4699.2076221281804</c:v>
                </c:pt>
                <c:pt idx="22">
                  <c:v>4531.3787784807455</c:v>
                </c:pt>
                <c:pt idx="23">
                  <c:v>4363.5499348333105</c:v>
                </c:pt>
                <c:pt idx="24">
                  <c:v>4195.7210911858756</c:v>
                </c:pt>
                <c:pt idx="25">
                  <c:v>4027.8922475384406</c:v>
                </c:pt>
                <c:pt idx="26">
                  <c:v>3860.0634038910052</c:v>
                </c:pt>
                <c:pt idx="27">
                  <c:v>3692.2345602435703</c:v>
                </c:pt>
                <c:pt idx="28">
                  <c:v>3524.4057165961353</c:v>
                </c:pt>
                <c:pt idx="29">
                  <c:v>3356.5768729486999</c:v>
                </c:pt>
                <c:pt idx="30">
                  <c:v>3188.748029301265</c:v>
                </c:pt>
                <c:pt idx="31">
                  <c:v>3020.91918565383</c:v>
                </c:pt>
                <c:pt idx="32">
                  <c:v>2853.0903420063951</c:v>
                </c:pt>
                <c:pt idx="33">
                  <c:v>2685.2614983589601</c:v>
                </c:pt>
                <c:pt idx="34">
                  <c:v>2517.4326547115252</c:v>
                </c:pt>
                <c:pt idx="35">
                  <c:v>2349.6038110640902</c:v>
                </c:pt>
                <c:pt idx="36">
                  <c:v>2181.7749674166548</c:v>
                </c:pt>
                <c:pt idx="37">
                  <c:v>2013.9461237692199</c:v>
                </c:pt>
                <c:pt idx="38">
                  <c:v>1846.1172801217849</c:v>
                </c:pt>
                <c:pt idx="39">
                  <c:v>1678.2884364743497</c:v>
                </c:pt>
                <c:pt idx="40">
                  <c:v>1510.4595928269148</c:v>
                </c:pt>
                <c:pt idx="41">
                  <c:v>1342.6307491794798</c:v>
                </c:pt>
                <c:pt idx="42">
                  <c:v>1174.8019055320447</c:v>
                </c:pt>
                <c:pt idx="43">
                  <c:v>1006.9730618846097</c:v>
                </c:pt>
                <c:pt idx="44">
                  <c:v>839.14421823717475</c:v>
                </c:pt>
                <c:pt idx="45">
                  <c:v>671.3153745897398</c:v>
                </c:pt>
                <c:pt idx="46">
                  <c:v>503.4865309423044</c:v>
                </c:pt>
                <c:pt idx="47">
                  <c:v>335.65768729486945</c:v>
                </c:pt>
                <c:pt idx="48">
                  <c:v>167.8288436474345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606.76967526634326</c:v>
                </c:pt>
                <c:pt idx="58">
                  <c:v>1213.5393505326883</c:v>
                </c:pt>
                <c:pt idx="59">
                  <c:v>1820.3090257990334</c:v>
                </c:pt>
                <c:pt idx="60">
                  <c:v>2427.0787010653785</c:v>
                </c:pt>
                <c:pt idx="61">
                  <c:v>3033.8483763317254</c:v>
                </c:pt>
                <c:pt idx="62">
                  <c:v>3640.6180515980686</c:v>
                </c:pt>
                <c:pt idx="63">
                  <c:v>4247.3877268644155</c:v>
                </c:pt>
                <c:pt idx="64">
                  <c:v>4854.1574021307588</c:v>
                </c:pt>
                <c:pt idx="65">
                  <c:v>5460.927077397102</c:v>
                </c:pt>
                <c:pt idx="66">
                  <c:v>6067.6967526634489</c:v>
                </c:pt>
                <c:pt idx="67">
                  <c:v>6674.4664279297922</c:v>
                </c:pt>
                <c:pt idx="68">
                  <c:v>7281.2361031961391</c:v>
                </c:pt>
                <c:pt idx="69">
                  <c:v>7888.0057784624823</c:v>
                </c:pt>
                <c:pt idx="70">
                  <c:v>8494.7754537288292</c:v>
                </c:pt>
                <c:pt idx="71">
                  <c:v>9101.5451289951725</c:v>
                </c:pt>
                <c:pt idx="72">
                  <c:v>9708.3148042615194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C53-4CA7-BC10-7C45FDAE57FA}"/>
            </c:ext>
          </c:extLst>
        </c:ser>
        <c:ser>
          <c:idx val="2"/>
          <c:order val="2"/>
          <c:tx>
            <c:strRef>
              <c:f>'HP Table'!$M$1</c:f>
              <c:strCache>
                <c:ptCount val="1"/>
                <c:pt idx="0">
                  <c:v>Heating/Cooling Min Capacity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  <c:extLst xmlns:c15="http://schemas.microsoft.com/office/drawing/2012/chart"/>
            </c:numRef>
          </c:cat>
          <c:val>
            <c:numRef>
              <c:f>'HP Table'!$M$2:$M$74</c:f>
              <c:numCache>
                <c:formatCode>0</c:formatCode>
                <c:ptCount val="73"/>
                <c:pt idx="0">
                  <c:v>0</c:v>
                </c:pt>
                <c:pt idx="1">
                  <c:v>14300</c:v>
                </c:pt>
                <c:pt idx="2">
                  <c:v>14668.75</c:v>
                </c:pt>
                <c:pt idx="3">
                  <c:v>15037.5</c:v>
                </c:pt>
                <c:pt idx="4">
                  <c:v>15406.25</c:v>
                </c:pt>
                <c:pt idx="5">
                  <c:v>15775</c:v>
                </c:pt>
                <c:pt idx="6">
                  <c:v>16143.75</c:v>
                </c:pt>
                <c:pt idx="7">
                  <c:v>16512.5</c:v>
                </c:pt>
                <c:pt idx="8">
                  <c:v>16881.25</c:v>
                </c:pt>
                <c:pt idx="9">
                  <c:v>17250</c:v>
                </c:pt>
                <c:pt idx="10">
                  <c:v>17618.75</c:v>
                </c:pt>
                <c:pt idx="11">
                  <c:v>17987.5</c:v>
                </c:pt>
                <c:pt idx="12">
                  <c:v>18356.25</c:v>
                </c:pt>
                <c:pt idx="13">
                  <c:v>18725</c:v>
                </c:pt>
                <c:pt idx="14">
                  <c:v>19093.75</c:v>
                </c:pt>
                <c:pt idx="15">
                  <c:v>19462.5</c:v>
                </c:pt>
                <c:pt idx="16">
                  <c:v>19831.25</c:v>
                </c:pt>
                <c:pt idx="17">
                  <c:v>20200</c:v>
                </c:pt>
                <c:pt idx="18">
                  <c:v>20714.285714285714</c:v>
                </c:pt>
                <c:pt idx="19">
                  <c:v>21228.571428571428</c:v>
                </c:pt>
                <c:pt idx="20">
                  <c:v>21742.857142857145</c:v>
                </c:pt>
                <c:pt idx="21">
                  <c:v>22257.142857142859</c:v>
                </c:pt>
                <c:pt idx="22">
                  <c:v>22771.428571428572</c:v>
                </c:pt>
                <c:pt idx="23">
                  <c:v>23285.714285714286</c:v>
                </c:pt>
                <c:pt idx="24">
                  <c:v>23800</c:v>
                </c:pt>
                <c:pt idx="25">
                  <c:v>22656.25</c:v>
                </c:pt>
                <c:pt idx="26">
                  <c:v>21512.5</c:v>
                </c:pt>
                <c:pt idx="27">
                  <c:v>20368.75</c:v>
                </c:pt>
                <c:pt idx="28">
                  <c:v>19225</c:v>
                </c:pt>
                <c:pt idx="29">
                  <c:v>18081.25</c:v>
                </c:pt>
                <c:pt idx="30">
                  <c:v>16937.5</c:v>
                </c:pt>
                <c:pt idx="31">
                  <c:v>15793.75</c:v>
                </c:pt>
                <c:pt idx="32">
                  <c:v>14650</c:v>
                </c:pt>
                <c:pt idx="33">
                  <c:v>13506.25</c:v>
                </c:pt>
                <c:pt idx="34">
                  <c:v>12362.5</c:v>
                </c:pt>
                <c:pt idx="35">
                  <c:v>11218.75</c:v>
                </c:pt>
                <c:pt idx="36">
                  <c:v>10075</c:v>
                </c:pt>
                <c:pt idx="37">
                  <c:v>8931.25</c:v>
                </c:pt>
                <c:pt idx="38">
                  <c:v>7787.5</c:v>
                </c:pt>
                <c:pt idx="39">
                  <c:v>6643.75</c:v>
                </c:pt>
                <c:pt idx="40">
                  <c:v>5500</c:v>
                </c:pt>
                <c:pt idx="41">
                  <c:v>5590</c:v>
                </c:pt>
                <c:pt idx="42">
                  <c:v>5680</c:v>
                </c:pt>
                <c:pt idx="43">
                  <c:v>5770</c:v>
                </c:pt>
                <c:pt idx="44">
                  <c:v>5860</c:v>
                </c:pt>
                <c:pt idx="45">
                  <c:v>5950</c:v>
                </c:pt>
                <c:pt idx="46">
                  <c:v>6040</c:v>
                </c:pt>
                <c:pt idx="47">
                  <c:v>6130</c:v>
                </c:pt>
                <c:pt idx="48">
                  <c:v>6220</c:v>
                </c:pt>
                <c:pt idx="49">
                  <c:v>6310</c:v>
                </c:pt>
                <c:pt idx="50">
                  <c:v>6400</c:v>
                </c:pt>
                <c:pt idx="51">
                  <c:v>6490</c:v>
                </c:pt>
                <c:pt idx="52">
                  <c:v>6580</c:v>
                </c:pt>
                <c:pt idx="53">
                  <c:v>6670</c:v>
                </c:pt>
                <c:pt idx="54">
                  <c:v>6760</c:v>
                </c:pt>
                <c:pt idx="55">
                  <c:v>6850</c:v>
                </c:pt>
                <c:pt idx="56">
                  <c:v>6940</c:v>
                </c:pt>
                <c:pt idx="57">
                  <c:v>7030</c:v>
                </c:pt>
                <c:pt idx="58">
                  <c:v>7120</c:v>
                </c:pt>
                <c:pt idx="59">
                  <c:v>7210</c:v>
                </c:pt>
                <c:pt idx="60">
                  <c:v>7300</c:v>
                </c:pt>
                <c:pt idx="61">
                  <c:v>7242.8571428571431</c:v>
                </c:pt>
                <c:pt idx="62">
                  <c:v>7185.7142857142853</c:v>
                </c:pt>
                <c:pt idx="63">
                  <c:v>7128.5714285714284</c:v>
                </c:pt>
                <c:pt idx="64">
                  <c:v>7071.4285714285716</c:v>
                </c:pt>
                <c:pt idx="65">
                  <c:v>7014.2857142857147</c:v>
                </c:pt>
                <c:pt idx="66">
                  <c:v>6957.1428571428569</c:v>
                </c:pt>
                <c:pt idx="67">
                  <c:v>6900</c:v>
                </c:pt>
                <c:pt idx="68">
                  <c:v>7097.1428571428569</c:v>
                </c:pt>
                <c:pt idx="69">
                  <c:v>7294.2857142857147</c:v>
                </c:pt>
                <c:pt idx="70">
                  <c:v>7491.4285714285716</c:v>
                </c:pt>
                <c:pt idx="71">
                  <c:v>7688.5714285714284</c:v>
                </c:pt>
                <c:pt idx="72">
                  <c:v>7885.7142857142853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2-BC53-4CA7-BC10-7C45FDAE57FA}"/>
            </c:ext>
          </c:extLst>
        </c:ser>
        <c:ser>
          <c:idx val="3"/>
          <c:order val="3"/>
          <c:tx>
            <c:strRef>
              <c:f>'HP Table'!$N$1</c:f>
              <c:strCache>
                <c:ptCount val="1"/>
                <c:pt idx="0">
                  <c:v>Heating/Cooling Max Capacity</c:v>
                </c:pt>
              </c:strCache>
              <c:extLst xmlns:c15="http://schemas.microsoft.com/office/drawing/2012/chart"/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'HP Table'!$H$2:$H$74</c:f>
              <c:numCache>
                <c:formatCode>0</c:formatCode>
                <c:ptCount val="73"/>
                <c:pt idx="0">
                  <c:v>-32</c:v>
                </c:pt>
                <c:pt idx="1">
                  <c:v>-31</c:v>
                </c:pt>
                <c:pt idx="2">
                  <c:v>-30</c:v>
                </c:pt>
                <c:pt idx="3">
                  <c:v>-29</c:v>
                </c:pt>
                <c:pt idx="4">
                  <c:v>-28</c:v>
                </c:pt>
                <c:pt idx="5">
                  <c:v>-27</c:v>
                </c:pt>
                <c:pt idx="6">
                  <c:v>-26</c:v>
                </c:pt>
                <c:pt idx="7">
                  <c:v>-25</c:v>
                </c:pt>
                <c:pt idx="8">
                  <c:v>-24</c:v>
                </c:pt>
                <c:pt idx="9">
                  <c:v>-23</c:v>
                </c:pt>
                <c:pt idx="10">
                  <c:v>-22</c:v>
                </c:pt>
                <c:pt idx="11">
                  <c:v>-21</c:v>
                </c:pt>
                <c:pt idx="12">
                  <c:v>-20</c:v>
                </c:pt>
                <c:pt idx="13">
                  <c:v>-19</c:v>
                </c:pt>
                <c:pt idx="14">
                  <c:v>-18</c:v>
                </c:pt>
                <c:pt idx="15">
                  <c:v>-17</c:v>
                </c:pt>
                <c:pt idx="16">
                  <c:v>-16</c:v>
                </c:pt>
                <c:pt idx="17">
                  <c:v>-15</c:v>
                </c:pt>
                <c:pt idx="18">
                  <c:v>-14</c:v>
                </c:pt>
                <c:pt idx="19">
                  <c:v>-13</c:v>
                </c:pt>
                <c:pt idx="20">
                  <c:v>-12</c:v>
                </c:pt>
                <c:pt idx="21">
                  <c:v>-11</c:v>
                </c:pt>
                <c:pt idx="22">
                  <c:v>-10</c:v>
                </c:pt>
                <c:pt idx="23">
                  <c:v>-9</c:v>
                </c:pt>
                <c:pt idx="24">
                  <c:v>-8</c:v>
                </c:pt>
                <c:pt idx="25">
                  <c:v>-7</c:v>
                </c:pt>
                <c:pt idx="26">
                  <c:v>-6</c:v>
                </c:pt>
                <c:pt idx="27">
                  <c:v>-5</c:v>
                </c:pt>
                <c:pt idx="28">
                  <c:v>-4</c:v>
                </c:pt>
                <c:pt idx="29">
                  <c:v>-3</c:v>
                </c:pt>
                <c:pt idx="30">
                  <c:v>-2</c:v>
                </c:pt>
                <c:pt idx="31">
                  <c:v>-1</c:v>
                </c:pt>
                <c:pt idx="32">
                  <c:v>0</c:v>
                </c:pt>
                <c:pt idx="33">
                  <c:v>1</c:v>
                </c:pt>
                <c:pt idx="34">
                  <c:v>2</c:v>
                </c:pt>
                <c:pt idx="35">
                  <c:v>3</c:v>
                </c:pt>
                <c:pt idx="36">
                  <c:v>4</c:v>
                </c:pt>
                <c:pt idx="37">
                  <c:v>5</c:v>
                </c:pt>
                <c:pt idx="38">
                  <c:v>6</c:v>
                </c:pt>
                <c:pt idx="39">
                  <c:v>7</c:v>
                </c:pt>
                <c:pt idx="40">
                  <c:v>8</c:v>
                </c:pt>
                <c:pt idx="41">
                  <c:v>9</c:v>
                </c:pt>
                <c:pt idx="42">
                  <c:v>10</c:v>
                </c:pt>
                <c:pt idx="43">
                  <c:v>11</c:v>
                </c:pt>
                <c:pt idx="44">
                  <c:v>12</c:v>
                </c:pt>
                <c:pt idx="45">
                  <c:v>13</c:v>
                </c:pt>
                <c:pt idx="46">
                  <c:v>14</c:v>
                </c:pt>
                <c:pt idx="47">
                  <c:v>15</c:v>
                </c:pt>
                <c:pt idx="48">
                  <c:v>16</c:v>
                </c:pt>
                <c:pt idx="49">
                  <c:v>17</c:v>
                </c:pt>
                <c:pt idx="50">
                  <c:v>18</c:v>
                </c:pt>
                <c:pt idx="51">
                  <c:v>19</c:v>
                </c:pt>
                <c:pt idx="52">
                  <c:v>20</c:v>
                </c:pt>
                <c:pt idx="53">
                  <c:v>21</c:v>
                </c:pt>
                <c:pt idx="54">
                  <c:v>22</c:v>
                </c:pt>
                <c:pt idx="55">
                  <c:v>23</c:v>
                </c:pt>
                <c:pt idx="56">
                  <c:v>24</c:v>
                </c:pt>
                <c:pt idx="57">
                  <c:v>25</c:v>
                </c:pt>
                <c:pt idx="58">
                  <c:v>26</c:v>
                </c:pt>
                <c:pt idx="59">
                  <c:v>27</c:v>
                </c:pt>
                <c:pt idx="60">
                  <c:v>28</c:v>
                </c:pt>
                <c:pt idx="61">
                  <c:v>29</c:v>
                </c:pt>
                <c:pt idx="62">
                  <c:v>30</c:v>
                </c:pt>
                <c:pt idx="63">
                  <c:v>31</c:v>
                </c:pt>
                <c:pt idx="64">
                  <c:v>32</c:v>
                </c:pt>
                <c:pt idx="65">
                  <c:v>33</c:v>
                </c:pt>
                <c:pt idx="66">
                  <c:v>34</c:v>
                </c:pt>
                <c:pt idx="67">
                  <c:v>35</c:v>
                </c:pt>
                <c:pt idx="68">
                  <c:v>36</c:v>
                </c:pt>
                <c:pt idx="69">
                  <c:v>37</c:v>
                </c:pt>
                <c:pt idx="70">
                  <c:v>38</c:v>
                </c:pt>
                <c:pt idx="71">
                  <c:v>39</c:v>
                </c:pt>
                <c:pt idx="72">
                  <c:v>40</c:v>
                </c:pt>
              </c:numCache>
              <c:extLst xmlns:c15="http://schemas.microsoft.com/office/drawing/2012/chart"/>
            </c:numRef>
          </c:cat>
          <c:val>
            <c:numRef>
              <c:f>'HP Table'!$N$2:$N$74</c:f>
              <c:numCache>
                <c:formatCode>0</c:formatCode>
                <c:ptCount val="73"/>
                <c:pt idx="0">
                  <c:v>0</c:v>
                </c:pt>
                <c:pt idx="1">
                  <c:v>14300</c:v>
                </c:pt>
                <c:pt idx="2">
                  <c:v>14668.75</c:v>
                </c:pt>
                <c:pt idx="3">
                  <c:v>15037.5</c:v>
                </c:pt>
                <c:pt idx="4">
                  <c:v>15406.25</c:v>
                </c:pt>
                <c:pt idx="5">
                  <c:v>15775</c:v>
                </c:pt>
                <c:pt idx="6">
                  <c:v>16143.75</c:v>
                </c:pt>
                <c:pt idx="7">
                  <c:v>16512.5</c:v>
                </c:pt>
                <c:pt idx="8">
                  <c:v>16881.25</c:v>
                </c:pt>
                <c:pt idx="9">
                  <c:v>17250</c:v>
                </c:pt>
                <c:pt idx="10">
                  <c:v>17618.75</c:v>
                </c:pt>
                <c:pt idx="11">
                  <c:v>17987.5</c:v>
                </c:pt>
                <c:pt idx="12">
                  <c:v>18356.25</c:v>
                </c:pt>
                <c:pt idx="13">
                  <c:v>18725</c:v>
                </c:pt>
                <c:pt idx="14">
                  <c:v>19093.75</c:v>
                </c:pt>
                <c:pt idx="15">
                  <c:v>19462.5</c:v>
                </c:pt>
                <c:pt idx="16">
                  <c:v>19831.25</c:v>
                </c:pt>
                <c:pt idx="17">
                  <c:v>20200</c:v>
                </c:pt>
                <c:pt idx="18">
                  <c:v>20714.285714285714</c:v>
                </c:pt>
                <c:pt idx="19">
                  <c:v>21228.571428571428</c:v>
                </c:pt>
                <c:pt idx="20">
                  <c:v>21742.857142857145</c:v>
                </c:pt>
                <c:pt idx="21">
                  <c:v>22257.142857142859</c:v>
                </c:pt>
                <c:pt idx="22">
                  <c:v>22771.428571428572</c:v>
                </c:pt>
                <c:pt idx="23">
                  <c:v>23285.714285714286</c:v>
                </c:pt>
                <c:pt idx="24">
                  <c:v>23800</c:v>
                </c:pt>
                <c:pt idx="25">
                  <c:v>23650</c:v>
                </c:pt>
                <c:pt idx="26">
                  <c:v>23500</c:v>
                </c:pt>
                <c:pt idx="27">
                  <c:v>23350</c:v>
                </c:pt>
                <c:pt idx="28">
                  <c:v>23200</c:v>
                </c:pt>
                <c:pt idx="29">
                  <c:v>23050</c:v>
                </c:pt>
                <c:pt idx="30">
                  <c:v>22900</c:v>
                </c:pt>
                <c:pt idx="31">
                  <c:v>22750</c:v>
                </c:pt>
                <c:pt idx="32">
                  <c:v>22600</c:v>
                </c:pt>
                <c:pt idx="33">
                  <c:v>22450</c:v>
                </c:pt>
                <c:pt idx="34">
                  <c:v>22300</c:v>
                </c:pt>
                <c:pt idx="35">
                  <c:v>22150</c:v>
                </c:pt>
                <c:pt idx="36">
                  <c:v>22000</c:v>
                </c:pt>
                <c:pt idx="37">
                  <c:v>21850</c:v>
                </c:pt>
                <c:pt idx="38">
                  <c:v>21700</c:v>
                </c:pt>
                <c:pt idx="39">
                  <c:v>21550</c:v>
                </c:pt>
                <c:pt idx="40">
                  <c:v>21400</c:v>
                </c:pt>
                <c:pt idx="41">
                  <c:v>21530</c:v>
                </c:pt>
                <c:pt idx="42">
                  <c:v>21660</c:v>
                </c:pt>
                <c:pt idx="43">
                  <c:v>21790</c:v>
                </c:pt>
                <c:pt idx="44">
                  <c:v>21920</c:v>
                </c:pt>
                <c:pt idx="45">
                  <c:v>22050</c:v>
                </c:pt>
                <c:pt idx="46">
                  <c:v>22180</c:v>
                </c:pt>
                <c:pt idx="47">
                  <c:v>22310</c:v>
                </c:pt>
                <c:pt idx="48">
                  <c:v>22440</c:v>
                </c:pt>
                <c:pt idx="49">
                  <c:v>22570</c:v>
                </c:pt>
                <c:pt idx="50">
                  <c:v>22700</c:v>
                </c:pt>
                <c:pt idx="51">
                  <c:v>22830</c:v>
                </c:pt>
                <c:pt idx="52">
                  <c:v>22960</c:v>
                </c:pt>
                <c:pt idx="53">
                  <c:v>23090</c:v>
                </c:pt>
                <c:pt idx="54">
                  <c:v>23220</c:v>
                </c:pt>
                <c:pt idx="55">
                  <c:v>23350</c:v>
                </c:pt>
                <c:pt idx="56">
                  <c:v>23480</c:v>
                </c:pt>
                <c:pt idx="57">
                  <c:v>23610</c:v>
                </c:pt>
                <c:pt idx="58">
                  <c:v>23740</c:v>
                </c:pt>
                <c:pt idx="59">
                  <c:v>23870</c:v>
                </c:pt>
                <c:pt idx="60">
                  <c:v>24000</c:v>
                </c:pt>
                <c:pt idx="61">
                  <c:v>23828.571428571428</c:v>
                </c:pt>
                <c:pt idx="62">
                  <c:v>23657.142857142859</c:v>
                </c:pt>
                <c:pt idx="63">
                  <c:v>23485.714285714286</c:v>
                </c:pt>
                <c:pt idx="64">
                  <c:v>23314.285714285714</c:v>
                </c:pt>
                <c:pt idx="65">
                  <c:v>23142.857142857141</c:v>
                </c:pt>
                <c:pt idx="66">
                  <c:v>22971.428571428572</c:v>
                </c:pt>
                <c:pt idx="67">
                  <c:v>22800</c:v>
                </c:pt>
                <c:pt idx="68">
                  <c:v>23451.428571428572</c:v>
                </c:pt>
                <c:pt idx="69">
                  <c:v>24102.857142857141</c:v>
                </c:pt>
                <c:pt idx="70">
                  <c:v>24754.285714285714</c:v>
                </c:pt>
                <c:pt idx="71">
                  <c:v>25405.714285714286</c:v>
                </c:pt>
                <c:pt idx="72">
                  <c:v>26057.142857142859</c:v>
                </c:pt>
              </c:numCache>
              <c:extLst xmlns:c15="http://schemas.microsoft.com/office/drawing/2012/chart"/>
            </c:numRef>
          </c: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BC53-4CA7-BC10-7C45FDAE57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32700567"/>
        <c:axId val="1949171832"/>
        <c:extLst>
          <c:ext xmlns:c15="http://schemas.microsoft.com/office/drawing/2012/chart" uri="{02D57815-91ED-43cb-92C2-25804820EDAC}">
            <c15:filteredLineSeries>
              <c15:ser>
                <c:idx val="4"/>
                <c:order val="4"/>
                <c:tx>
                  <c:strRef>
                    <c:extLst>
                      <c:ext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5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'HP Table'!$H$2:$H$74</c15:sqref>
                        </c15:formulaRef>
                      </c:ext>
                    </c:extLst>
                    <c:numCache>
                      <c:formatCode>0</c:formatCode>
                      <c:ptCount val="73"/>
                      <c:pt idx="0">
                        <c:v>-32</c:v>
                      </c:pt>
                      <c:pt idx="1">
                        <c:v>-31</c:v>
                      </c:pt>
                      <c:pt idx="2">
                        <c:v>-30</c:v>
                      </c:pt>
                      <c:pt idx="3">
                        <c:v>-29</c:v>
                      </c:pt>
                      <c:pt idx="4">
                        <c:v>-28</c:v>
                      </c:pt>
                      <c:pt idx="5">
                        <c:v>-27</c:v>
                      </c:pt>
                      <c:pt idx="6">
                        <c:v>-26</c:v>
                      </c:pt>
                      <c:pt idx="7">
                        <c:v>-25</c:v>
                      </c:pt>
                      <c:pt idx="8">
                        <c:v>-24</c:v>
                      </c:pt>
                      <c:pt idx="9">
                        <c:v>-23</c:v>
                      </c:pt>
                      <c:pt idx="10">
                        <c:v>-22</c:v>
                      </c:pt>
                      <c:pt idx="11">
                        <c:v>-21</c:v>
                      </c:pt>
                      <c:pt idx="12">
                        <c:v>-20</c:v>
                      </c:pt>
                      <c:pt idx="13">
                        <c:v>-19</c:v>
                      </c:pt>
                      <c:pt idx="14">
                        <c:v>-18</c:v>
                      </c:pt>
                      <c:pt idx="15">
                        <c:v>-17</c:v>
                      </c:pt>
                      <c:pt idx="16">
                        <c:v>-16</c:v>
                      </c:pt>
                      <c:pt idx="17">
                        <c:v>-15</c:v>
                      </c:pt>
                      <c:pt idx="18">
                        <c:v>-14</c:v>
                      </c:pt>
                      <c:pt idx="19">
                        <c:v>-13</c:v>
                      </c:pt>
                      <c:pt idx="20">
                        <c:v>-12</c:v>
                      </c:pt>
                      <c:pt idx="21">
                        <c:v>-11</c:v>
                      </c:pt>
                      <c:pt idx="22">
                        <c:v>-10</c:v>
                      </c:pt>
                      <c:pt idx="23">
                        <c:v>-9</c:v>
                      </c:pt>
                      <c:pt idx="24">
                        <c:v>-8</c:v>
                      </c:pt>
                      <c:pt idx="25">
                        <c:v>-7</c:v>
                      </c:pt>
                      <c:pt idx="26">
                        <c:v>-6</c:v>
                      </c:pt>
                      <c:pt idx="27">
                        <c:v>-5</c:v>
                      </c:pt>
                      <c:pt idx="28">
                        <c:v>-4</c:v>
                      </c:pt>
                      <c:pt idx="29">
                        <c:v>-3</c:v>
                      </c:pt>
                      <c:pt idx="30">
                        <c:v>-2</c:v>
                      </c:pt>
                      <c:pt idx="31">
                        <c:v>-1</c:v>
                      </c:pt>
                      <c:pt idx="32">
                        <c:v>0</c:v>
                      </c:pt>
                      <c:pt idx="33">
                        <c:v>1</c:v>
                      </c:pt>
                      <c:pt idx="34">
                        <c:v>2</c:v>
                      </c:pt>
                      <c:pt idx="35">
                        <c:v>3</c:v>
                      </c:pt>
                      <c:pt idx="36">
                        <c:v>4</c:v>
                      </c:pt>
                      <c:pt idx="37">
                        <c:v>5</c:v>
                      </c:pt>
                      <c:pt idx="38">
                        <c:v>6</c:v>
                      </c:pt>
                      <c:pt idx="39">
                        <c:v>7</c:v>
                      </c:pt>
                      <c:pt idx="40">
                        <c:v>8</c:v>
                      </c:pt>
                      <c:pt idx="41">
                        <c:v>9</c:v>
                      </c:pt>
                      <c:pt idx="42">
                        <c:v>10</c:v>
                      </c:pt>
                      <c:pt idx="43">
                        <c:v>11</c:v>
                      </c:pt>
                      <c:pt idx="44">
                        <c:v>12</c:v>
                      </c:pt>
                      <c:pt idx="45">
                        <c:v>13</c:v>
                      </c:pt>
                      <c:pt idx="46">
                        <c:v>14</c:v>
                      </c:pt>
                      <c:pt idx="47">
                        <c:v>15</c:v>
                      </c:pt>
                      <c:pt idx="48">
                        <c:v>16</c:v>
                      </c:pt>
                      <c:pt idx="49">
                        <c:v>17</c:v>
                      </c:pt>
                      <c:pt idx="50">
                        <c:v>18</c:v>
                      </c:pt>
                      <c:pt idx="51">
                        <c:v>19</c:v>
                      </c:pt>
                      <c:pt idx="52">
                        <c:v>20</c:v>
                      </c:pt>
                      <c:pt idx="53">
                        <c:v>21</c:v>
                      </c:pt>
                      <c:pt idx="54">
                        <c:v>22</c:v>
                      </c:pt>
                      <c:pt idx="55">
                        <c:v>23</c:v>
                      </c:pt>
                      <c:pt idx="56">
                        <c:v>24</c:v>
                      </c:pt>
                      <c:pt idx="57">
                        <c:v>25</c:v>
                      </c:pt>
                      <c:pt idx="58">
                        <c:v>26</c:v>
                      </c:pt>
                      <c:pt idx="59">
                        <c:v>27</c:v>
                      </c:pt>
                      <c:pt idx="60">
                        <c:v>28</c:v>
                      </c:pt>
                      <c:pt idx="61">
                        <c:v>29</c:v>
                      </c:pt>
                      <c:pt idx="62">
                        <c:v>30</c:v>
                      </c:pt>
                      <c:pt idx="63">
                        <c:v>31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34</c:v>
                      </c:pt>
                      <c:pt idx="67">
                        <c:v>35</c:v>
                      </c:pt>
                      <c:pt idx="68">
                        <c:v>36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39</c:v>
                      </c:pt>
                      <c:pt idx="72">
                        <c:v>40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4-BC53-4CA7-BC10-7C45FDAE57FA}"/>
                  </c:ext>
                </c:extLst>
              </c15:ser>
            </c15:filteredLineSeries>
            <c15:filteredLineSeries>
              <c15:ser>
                <c:idx val="5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:tx>
                <c:spPr>
                  <a:ln w="28575" cap="rnd">
                    <a:solidFill>
                      <a:schemeClr val="accent6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'HP Table'!$H$2:$H$74</c15:sqref>
                        </c15:formulaRef>
                      </c:ext>
                    </c:extLst>
                    <c:numCache>
                      <c:formatCode>0</c:formatCode>
                      <c:ptCount val="73"/>
                      <c:pt idx="0">
                        <c:v>-32</c:v>
                      </c:pt>
                      <c:pt idx="1">
                        <c:v>-31</c:v>
                      </c:pt>
                      <c:pt idx="2">
                        <c:v>-30</c:v>
                      </c:pt>
                      <c:pt idx="3">
                        <c:v>-29</c:v>
                      </c:pt>
                      <c:pt idx="4">
                        <c:v>-28</c:v>
                      </c:pt>
                      <c:pt idx="5">
                        <c:v>-27</c:v>
                      </c:pt>
                      <c:pt idx="6">
                        <c:v>-26</c:v>
                      </c:pt>
                      <c:pt idx="7">
                        <c:v>-25</c:v>
                      </c:pt>
                      <c:pt idx="8">
                        <c:v>-24</c:v>
                      </c:pt>
                      <c:pt idx="9">
                        <c:v>-23</c:v>
                      </c:pt>
                      <c:pt idx="10">
                        <c:v>-22</c:v>
                      </c:pt>
                      <c:pt idx="11">
                        <c:v>-21</c:v>
                      </c:pt>
                      <c:pt idx="12">
                        <c:v>-20</c:v>
                      </c:pt>
                      <c:pt idx="13">
                        <c:v>-19</c:v>
                      </c:pt>
                      <c:pt idx="14">
                        <c:v>-18</c:v>
                      </c:pt>
                      <c:pt idx="15">
                        <c:v>-17</c:v>
                      </c:pt>
                      <c:pt idx="16">
                        <c:v>-16</c:v>
                      </c:pt>
                      <c:pt idx="17">
                        <c:v>-15</c:v>
                      </c:pt>
                      <c:pt idx="18">
                        <c:v>-14</c:v>
                      </c:pt>
                      <c:pt idx="19">
                        <c:v>-13</c:v>
                      </c:pt>
                      <c:pt idx="20">
                        <c:v>-12</c:v>
                      </c:pt>
                      <c:pt idx="21">
                        <c:v>-11</c:v>
                      </c:pt>
                      <c:pt idx="22">
                        <c:v>-10</c:v>
                      </c:pt>
                      <c:pt idx="23">
                        <c:v>-9</c:v>
                      </c:pt>
                      <c:pt idx="24">
                        <c:v>-8</c:v>
                      </c:pt>
                      <c:pt idx="25">
                        <c:v>-7</c:v>
                      </c:pt>
                      <c:pt idx="26">
                        <c:v>-6</c:v>
                      </c:pt>
                      <c:pt idx="27">
                        <c:v>-5</c:v>
                      </c:pt>
                      <c:pt idx="28">
                        <c:v>-4</c:v>
                      </c:pt>
                      <c:pt idx="29">
                        <c:v>-3</c:v>
                      </c:pt>
                      <c:pt idx="30">
                        <c:v>-2</c:v>
                      </c:pt>
                      <c:pt idx="31">
                        <c:v>-1</c:v>
                      </c:pt>
                      <c:pt idx="32">
                        <c:v>0</c:v>
                      </c:pt>
                      <c:pt idx="33">
                        <c:v>1</c:v>
                      </c:pt>
                      <c:pt idx="34">
                        <c:v>2</c:v>
                      </c:pt>
                      <c:pt idx="35">
                        <c:v>3</c:v>
                      </c:pt>
                      <c:pt idx="36">
                        <c:v>4</c:v>
                      </c:pt>
                      <c:pt idx="37">
                        <c:v>5</c:v>
                      </c:pt>
                      <c:pt idx="38">
                        <c:v>6</c:v>
                      </c:pt>
                      <c:pt idx="39">
                        <c:v>7</c:v>
                      </c:pt>
                      <c:pt idx="40">
                        <c:v>8</c:v>
                      </c:pt>
                      <c:pt idx="41">
                        <c:v>9</c:v>
                      </c:pt>
                      <c:pt idx="42">
                        <c:v>10</c:v>
                      </c:pt>
                      <c:pt idx="43">
                        <c:v>11</c:v>
                      </c:pt>
                      <c:pt idx="44">
                        <c:v>12</c:v>
                      </c:pt>
                      <c:pt idx="45">
                        <c:v>13</c:v>
                      </c:pt>
                      <c:pt idx="46">
                        <c:v>14</c:v>
                      </c:pt>
                      <c:pt idx="47">
                        <c:v>15</c:v>
                      </c:pt>
                      <c:pt idx="48">
                        <c:v>16</c:v>
                      </c:pt>
                      <c:pt idx="49">
                        <c:v>17</c:v>
                      </c:pt>
                      <c:pt idx="50">
                        <c:v>18</c:v>
                      </c:pt>
                      <c:pt idx="51">
                        <c:v>19</c:v>
                      </c:pt>
                      <c:pt idx="52">
                        <c:v>20</c:v>
                      </c:pt>
                      <c:pt idx="53">
                        <c:v>21</c:v>
                      </c:pt>
                      <c:pt idx="54">
                        <c:v>22</c:v>
                      </c:pt>
                      <c:pt idx="55">
                        <c:v>23</c:v>
                      </c:pt>
                      <c:pt idx="56">
                        <c:v>24</c:v>
                      </c:pt>
                      <c:pt idx="57">
                        <c:v>25</c:v>
                      </c:pt>
                      <c:pt idx="58">
                        <c:v>26</c:v>
                      </c:pt>
                      <c:pt idx="59">
                        <c:v>27</c:v>
                      </c:pt>
                      <c:pt idx="60">
                        <c:v>28</c:v>
                      </c:pt>
                      <c:pt idx="61">
                        <c:v>29</c:v>
                      </c:pt>
                      <c:pt idx="62">
                        <c:v>30</c:v>
                      </c:pt>
                      <c:pt idx="63">
                        <c:v>31</c:v>
                      </c:pt>
                      <c:pt idx="64">
                        <c:v>32</c:v>
                      </c:pt>
                      <c:pt idx="65">
                        <c:v>33</c:v>
                      </c:pt>
                      <c:pt idx="66">
                        <c:v>34</c:v>
                      </c:pt>
                      <c:pt idx="67">
                        <c:v>35</c:v>
                      </c:pt>
                      <c:pt idx="68">
                        <c:v>36</c:v>
                      </c:pt>
                      <c:pt idx="69">
                        <c:v>37</c:v>
                      </c:pt>
                      <c:pt idx="70">
                        <c:v>38</c:v>
                      </c:pt>
                      <c:pt idx="71">
                        <c:v>39</c:v>
                      </c:pt>
                      <c:pt idx="72">
                        <c:v>40</c:v>
                      </c:pt>
                    </c:numCache>
                  </c:numRef>
                </c:cat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'Calc Table'!#REF!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5-BC53-4CA7-BC10-7C45FDAE57FA}"/>
                  </c:ext>
                </c:extLst>
              </c15:ser>
            </c15:filteredLineSeries>
          </c:ext>
        </c:extLst>
      </c:lineChart>
      <c:catAx>
        <c:axId val="1732700567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(C)</a:t>
                </a:r>
              </a:p>
            </c:rich>
          </c:tx>
          <c:layout>
            <c:manualLayout>
              <c:xMode val="edge"/>
              <c:yMode val="edge"/>
              <c:x val="0.43868065851914761"/>
              <c:y val="0.88602514422441803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9171832"/>
        <c:crosses val="autoZero"/>
        <c:auto val="1"/>
        <c:lblAlgn val="ctr"/>
        <c:lblOffset val="100"/>
        <c:noMultiLvlLbl val="1"/>
      </c:catAx>
      <c:valAx>
        <c:axId val="1949171832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Heating Load (Btu/hr)</a:t>
                </a:r>
              </a:p>
            </c:rich>
          </c:tx>
          <c:layout>
            <c:manualLayout>
              <c:xMode val="edge"/>
              <c:yMode val="edge"/>
              <c:x val="2.7875167340828282E-2"/>
              <c:y val="0.3087012910381744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32700567"/>
        <c:crosses val="autoZero"/>
        <c:crossBetween val="between"/>
      </c:valAx>
      <c:catAx>
        <c:axId val="402561710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014874641"/>
        <c:crosses val="autoZero"/>
        <c:auto val="1"/>
        <c:lblAlgn val="ctr"/>
        <c:lblOffset val="100"/>
        <c:noMultiLvlLbl val="1"/>
      </c:catAx>
      <c:valAx>
        <c:axId val="1014874641"/>
        <c:scaling>
          <c:orientation val="minMax"/>
        </c:scaling>
        <c:delete val="0"/>
        <c:axPos val="r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5400000" spcFirstLastPara="1" vertOverflow="ellipsis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Annual Heating Load (Btus)</a:t>
                </a:r>
              </a:p>
            </c:rich>
          </c:tx>
          <c:layout>
            <c:manualLayout>
              <c:xMode val="edge"/>
              <c:yMode val="edge"/>
              <c:x val="0.94320668815662667"/>
              <c:y val="0.26010170221588719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2561710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3143731323329361E-2"/>
          <c:y val="0.95088451017222986"/>
          <c:w val="0.79294016035929693"/>
          <c:h val="4.838950494874475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1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'Cost sensitivity'!$F$13</c:f>
              <c:strCache>
                <c:ptCount val="1"/>
                <c:pt idx="0">
                  <c:v>Delta</c:v>
                </c:pt>
              </c:strCache>
            </c:strRef>
          </c:tx>
          <c:spPr>
            <a:solidFill>
              <a:srgbClr val="000000"/>
            </a:solidFill>
            <a:ln>
              <a:noFill/>
            </a:ln>
            <a:effectLst/>
          </c:spPr>
          <c:invertIfNegative val="1"/>
          <c:cat>
            <c:numRef>
              <c:f>'Cost sensitivity'!$C$14:$C$79</c:f>
              <c:numCache>
                <c:formatCode>General</c:formatCode>
                <c:ptCount val="66"/>
                <c:pt idx="0">
                  <c:v>0.05</c:v>
                </c:pt>
                <c:pt idx="1">
                  <c:v>6.0000000000000005E-2</c:v>
                </c:pt>
                <c:pt idx="2">
                  <c:v>7.0000000000000007E-2</c:v>
                </c:pt>
                <c:pt idx="3">
                  <c:v>0.08</c:v>
                </c:pt>
                <c:pt idx="4">
                  <c:v>0.09</c:v>
                </c:pt>
                <c:pt idx="5">
                  <c:v>9.9999999999999992E-2</c:v>
                </c:pt>
                <c:pt idx="6">
                  <c:v>0.10999999999999999</c:v>
                </c:pt>
                <c:pt idx="7">
                  <c:v>0.11999999999999998</c:v>
                </c:pt>
                <c:pt idx="8">
                  <c:v>0.12999999999999998</c:v>
                </c:pt>
                <c:pt idx="9">
                  <c:v>0.13999999999999999</c:v>
                </c:pt>
                <c:pt idx="10">
                  <c:v>0.15</c:v>
                </c:pt>
                <c:pt idx="11">
                  <c:v>0.16</c:v>
                </c:pt>
                <c:pt idx="12">
                  <c:v>0.17</c:v>
                </c:pt>
                <c:pt idx="13">
                  <c:v>0.18000000000000002</c:v>
                </c:pt>
                <c:pt idx="14">
                  <c:v>0.19000000000000003</c:v>
                </c:pt>
                <c:pt idx="15">
                  <c:v>0.20000000000000004</c:v>
                </c:pt>
                <c:pt idx="16">
                  <c:v>0.21000000000000005</c:v>
                </c:pt>
                <c:pt idx="17">
                  <c:v>0.22000000000000006</c:v>
                </c:pt>
                <c:pt idx="18">
                  <c:v>0.23000000000000007</c:v>
                </c:pt>
                <c:pt idx="19">
                  <c:v>0.24000000000000007</c:v>
                </c:pt>
                <c:pt idx="20">
                  <c:v>0.25000000000000006</c:v>
                </c:pt>
                <c:pt idx="21">
                  <c:v>0.26000000000000006</c:v>
                </c:pt>
                <c:pt idx="22">
                  <c:v>0.27000000000000007</c:v>
                </c:pt>
                <c:pt idx="23">
                  <c:v>0.28000000000000008</c:v>
                </c:pt>
                <c:pt idx="24">
                  <c:v>0.29000000000000009</c:v>
                </c:pt>
                <c:pt idx="25">
                  <c:v>0.3000000000000001</c:v>
                </c:pt>
                <c:pt idx="26">
                  <c:v>0.31000000000000011</c:v>
                </c:pt>
                <c:pt idx="27">
                  <c:v>0.32000000000000012</c:v>
                </c:pt>
                <c:pt idx="28">
                  <c:v>0.33000000000000013</c:v>
                </c:pt>
                <c:pt idx="29">
                  <c:v>0.34000000000000014</c:v>
                </c:pt>
                <c:pt idx="30">
                  <c:v>0.35000000000000014</c:v>
                </c:pt>
                <c:pt idx="31">
                  <c:v>0.36000000000000015</c:v>
                </c:pt>
                <c:pt idx="32">
                  <c:v>0.37000000000000016</c:v>
                </c:pt>
                <c:pt idx="33">
                  <c:v>0.38000000000000017</c:v>
                </c:pt>
                <c:pt idx="34">
                  <c:v>0.39000000000000018</c:v>
                </c:pt>
                <c:pt idx="35">
                  <c:v>0.40000000000000019</c:v>
                </c:pt>
                <c:pt idx="36">
                  <c:v>0.4100000000000002</c:v>
                </c:pt>
                <c:pt idx="37">
                  <c:v>0.42000000000000021</c:v>
                </c:pt>
                <c:pt idx="38">
                  <c:v>0.43000000000000022</c:v>
                </c:pt>
                <c:pt idx="39">
                  <c:v>0.44000000000000022</c:v>
                </c:pt>
                <c:pt idx="40">
                  <c:v>0.45000000000000023</c:v>
                </c:pt>
                <c:pt idx="41">
                  <c:v>0.46000000000000024</c:v>
                </c:pt>
                <c:pt idx="42">
                  <c:v>0.47000000000000025</c:v>
                </c:pt>
                <c:pt idx="43">
                  <c:v>0.48000000000000026</c:v>
                </c:pt>
                <c:pt idx="44">
                  <c:v>0.49000000000000027</c:v>
                </c:pt>
                <c:pt idx="45">
                  <c:v>0.50000000000000022</c:v>
                </c:pt>
                <c:pt idx="46">
                  <c:v>0.51000000000000023</c:v>
                </c:pt>
                <c:pt idx="47">
                  <c:v>0.52000000000000024</c:v>
                </c:pt>
                <c:pt idx="48">
                  <c:v>0.53000000000000025</c:v>
                </c:pt>
                <c:pt idx="49">
                  <c:v>0.54000000000000026</c:v>
                </c:pt>
                <c:pt idx="50">
                  <c:v>0.55000000000000027</c:v>
                </c:pt>
                <c:pt idx="51">
                  <c:v>0.56000000000000028</c:v>
                </c:pt>
                <c:pt idx="52">
                  <c:v>0.57000000000000028</c:v>
                </c:pt>
                <c:pt idx="53">
                  <c:v>0.58000000000000029</c:v>
                </c:pt>
                <c:pt idx="54">
                  <c:v>0.5900000000000003</c:v>
                </c:pt>
                <c:pt idx="55">
                  <c:v>0.60000000000000031</c:v>
                </c:pt>
                <c:pt idx="56">
                  <c:v>0.61000000000000032</c:v>
                </c:pt>
                <c:pt idx="57">
                  <c:v>0.62000000000000033</c:v>
                </c:pt>
                <c:pt idx="58">
                  <c:v>0.63000000000000034</c:v>
                </c:pt>
                <c:pt idx="59">
                  <c:v>0.64000000000000035</c:v>
                </c:pt>
                <c:pt idx="60">
                  <c:v>0.65000000000000036</c:v>
                </c:pt>
                <c:pt idx="61">
                  <c:v>0.66000000000000036</c:v>
                </c:pt>
                <c:pt idx="62">
                  <c:v>0.67000000000000037</c:v>
                </c:pt>
                <c:pt idx="63">
                  <c:v>0.68000000000000038</c:v>
                </c:pt>
                <c:pt idx="64">
                  <c:v>0.69000000000000039</c:v>
                </c:pt>
                <c:pt idx="65">
                  <c:v>0.7000000000000004</c:v>
                </c:pt>
              </c:numCache>
            </c:numRef>
          </c:cat>
          <c:val>
            <c:numRef>
              <c:f>'Cost sensitivity'!$F$14:$F$79</c:f>
              <c:numCache>
                <c:formatCode>_("$"* #,##0.00_);_("$"* \(#,##0.00\);_("$"* "-"??_);_(@_)</c:formatCode>
                <c:ptCount val="66"/>
                <c:pt idx="0">
                  <c:v>-837.70802819443554</c:v>
                </c:pt>
                <c:pt idx="1">
                  <c:v>-813.68082609851433</c:v>
                </c:pt>
                <c:pt idx="2">
                  <c:v>-789.65362400259301</c:v>
                </c:pt>
                <c:pt idx="3">
                  <c:v>-765.62642190667179</c:v>
                </c:pt>
                <c:pt idx="4">
                  <c:v>-741.59921981075058</c:v>
                </c:pt>
                <c:pt idx="5">
                  <c:v>-717.57201771482937</c:v>
                </c:pt>
                <c:pt idx="6">
                  <c:v>-693.54481561890816</c:v>
                </c:pt>
                <c:pt idx="7">
                  <c:v>-669.51761352298695</c:v>
                </c:pt>
                <c:pt idx="8">
                  <c:v>-645.49041142706562</c:v>
                </c:pt>
                <c:pt idx="9">
                  <c:v>-621.4632093311443</c:v>
                </c:pt>
                <c:pt idx="10">
                  <c:v>-597.43600723522309</c:v>
                </c:pt>
                <c:pt idx="11">
                  <c:v>-573.40880513930188</c:v>
                </c:pt>
                <c:pt idx="12">
                  <c:v>-549.38160304338044</c:v>
                </c:pt>
                <c:pt idx="13">
                  <c:v>-525.35440094745923</c:v>
                </c:pt>
                <c:pt idx="14">
                  <c:v>-501.32719885153801</c:v>
                </c:pt>
                <c:pt idx="15">
                  <c:v>-477.29999675561675</c:v>
                </c:pt>
                <c:pt idx="16">
                  <c:v>-453.27279465969548</c:v>
                </c:pt>
                <c:pt idx="17">
                  <c:v>-429.24559256377427</c:v>
                </c:pt>
                <c:pt idx="18">
                  <c:v>-405.21839046785294</c:v>
                </c:pt>
                <c:pt idx="19">
                  <c:v>-381.19118837193173</c:v>
                </c:pt>
                <c:pt idx="20">
                  <c:v>-357.16398627601041</c:v>
                </c:pt>
                <c:pt idx="21">
                  <c:v>-333.13678418008908</c:v>
                </c:pt>
                <c:pt idx="22">
                  <c:v>-309.10958208416787</c:v>
                </c:pt>
                <c:pt idx="23">
                  <c:v>-285.08237998824666</c:v>
                </c:pt>
                <c:pt idx="24">
                  <c:v>-261.05517789232533</c:v>
                </c:pt>
                <c:pt idx="25">
                  <c:v>-237.02797579640412</c:v>
                </c:pt>
                <c:pt idx="26">
                  <c:v>-213.0007737004828</c:v>
                </c:pt>
                <c:pt idx="27">
                  <c:v>-188.97357160456158</c:v>
                </c:pt>
                <c:pt idx="28">
                  <c:v>-164.94636950864026</c:v>
                </c:pt>
                <c:pt idx="29">
                  <c:v>-140.91916741271893</c:v>
                </c:pt>
                <c:pt idx="30">
                  <c:v>-116.89196531679772</c:v>
                </c:pt>
                <c:pt idx="31">
                  <c:v>-92.864763220876398</c:v>
                </c:pt>
                <c:pt idx="32">
                  <c:v>-68.837561124955187</c:v>
                </c:pt>
                <c:pt idx="33">
                  <c:v>-44.810359029033862</c:v>
                </c:pt>
                <c:pt idx="34">
                  <c:v>-20.78315693311265</c:v>
                </c:pt>
                <c:pt idx="35">
                  <c:v>3.2440451628086748</c:v>
                </c:pt>
                <c:pt idx="36">
                  <c:v>27.271247258729886</c:v>
                </c:pt>
                <c:pt idx="37">
                  <c:v>51.298449354651098</c:v>
                </c:pt>
                <c:pt idx="38">
                  <c:v>75.325651450572536</c:v>
                </c:pt>
                <c:pt idx="39">
                  <c:v>99.352853546493748</c:v>
                </c:pt>
                <c:pt idx="40">
                  <c:v>123.38005564241496</c:v>
                </c:pt>
                <c:pt idx="41">
                  <c:v>147.40725773833617</c:v>
                </c:pt>
                <c:pt idx="42">
                  <c:v>171.43445983425761</c:v>
                </c:pt>
                <c:pt idx="43">
                  <c:v>195.46166193017882</c:v>
                </c:pt>
                <c:pt idx="44">
                  <c:v>219.48886402610003</c:v>
                </c:pt>
                <c:pt idx="45">
                  <c:v>243.51606612202124</c:v>
                </c:pt>
                <c:pt idx="46">
                  <c:v>267.54326821794245</c:v>
                </c:pt>
                <c:pt idx="47">
                  <c:v>291.57047031386389</c:v>
                </c:pt>
                <c:pt idx="48">
                  <c:v>315.59767240978488</c:v>
                </c:pt>
                <c:pt idx="49">
                  <c:v>339.62487450570632</c:v>
                </c:pt>
                <c:pt idx="50">
                  <c:v>363.65207660162753</c:v>
                </c:pt>
                <c:pt idx="51">
                  <c:v>387.67927869754897</c:v>
                </c:pt>
                <c:pt idx="52">
                  <c:v>411.70648079346995</c:v>
                </c:pt>
                <c:pt idx="53">
                  <c:v>435.73368288939139</c:v>
                </c:pt>
                <c:pt idx="54">
                  <c:v>459.76088498531283</c:v>
                </c:pt>
                <c:pt idx="55">
                  <c:v>483.78808708123381</c:v>
                </c:pt>
                <c:pt idx="56">
                  <c:v>507.81528917715525</c:v>
                </c:pt>
                <c:pt idx="57">
                  <c:v>531.84249127307646</c:v>
                </c:pt>
                <c:pt idx="58">
                  <c:v>555.8696933689979</c:v>
                </c:pt>
                <c:pt idx="59">
                  <c:v>579.89689546491888</c:v>
                </c:pt>
                <c:pt idx="60">
                  <c:v>603.92409756084032</c:v>
                </c:pt>
                <c:pt idx="61">
                  <c:v>627.95129965676153</c:v>
                </c:pt>
                <c:pt idx="62">
                  <c:v>651.97850175268275</c:v>
                </c:pt>
                <c:pt idx="63">
                  <c:v>676.00570384860418</c:v>
                </c:pt>
                <c:pt idx="64">
                  <c:v>700.0329059445254</c:v>
                </c:pt>
                <c:pt idx="65">
                  <c:v>724.06010804044683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67CD-48F8-89F8-D0DEC6173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723424"/>
        <c:axId val="954721456"/>
      </c:barChart>
      <c:catAx>
        <c:axId val="95472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</a:t>
                </a:r>
                <a:r>
                  <a:rPr lang="en-US" baseline="0"/>
                  <a:t> electricity rate ($/kWh)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1456"/>
        <c:crosses val="autoZero"/>
        <c:auto val="1"/>
        <c:lblAlgn val="ctr"/>
        <c:lblOffset val="100"/>
        <c:noMultiLvlLbl val="0"/>
      </c:catAx>
      <c:valAx>
        <c:axId val="9547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Difference in annual heating/cooling</a:t>
                </a:r>
                <a:r>
                  <a:rPr lang="en-US" baseline="0"/>
                  <a:t> cost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Heatpump</a:t>
            </a:r>
            <a:r>
              <a:rPr lang="en-US" baseline="0"/>
              <a:t> break-even cost given current system consumption in GJ 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'Cost sensitivity'!$C$81</c:f>
              <c:strCache>
                <c:ptCount val="1"/>
                <c:pt idx="0">
                  <c:v>Blended rate electricity ($/kWh)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'Cost sensitivity'!$B$82:$B$147</c:f>
              <c:numCache>
                <c:formatCode>General</c:formatCode>
                <c:ptCount val="66"/>
                <c:pt idx="0">
                  <c:v>5</c:v>
                </c:pt>
                <c:pt idx="1">
                  <c:v>6</c:v>
                </c:pt>
                <c:pt idx="2">
                  <c:v>7</c:v>
                </c:pt>
                <c:pt idx="3">
                  <c:v>8</c:v>
                </c:pt>
                <c:pt idx="4">
                  <c:v>9</c:v>
                </c:pt>
                <c:pt idx="5">
                  <c:v>10</c:v>
                </c:pt>
                <c:pt idx="6">
                  <c:v>11</c:v>
                </c:pt>
                <c:pt idx="7">
                  <c:v>12</c:v>
                </c:pt>
                <c:pt idx="8">
                  <c:v>13</c:v>
                </c:pt>
                <c:pt idx="9">
                  <c:v>14</c:v>
                </c:pt>
                <c:pt idx="10">
                  <c:v>15</c:v>
                </c:pt>
                <c:pt idx="11">
                  <c:v>16</c:v>
                </c:pt>
                <c:pt idx="12">
                  <c:v>17</c:v>
                </c:pt>
                <c:pt idx="13">
                  <c:v>18</c:v>
                </c:pt>
                <c:pt idx="14">
                  <c:v>19</c:v>
                </c:pt>
                <c:pt idx="15">
                  <c:v>20</c:v>
                </c:pt>
                <c:pt idx="16">
                  <c:v>21</c:v>
                </c:pt>
                <c:pt idx="17">
                  <c:v>22</c:v>
                </c:pt>
                <c:pt idx="18">
                  <c:v>23</c:v>
                </c:pt>
                <c:pt idx="19">
                  <c:v>24</c:v>
                </c:pt>
                <c:pt idx="20">
                  <c:v>25</c:v>
                </c:pt>
                <c:pt idx="21">
                  <c:v>26</c:v>
                </c:pt>
                <c:pt idx="22">
                  <c:v>27</c:v>
                </c:pt>
                <c:pt idx="23">
                  <c:v>28</c:v>
                </c:pt>
                <c:pt idx="24">
                  <c:v>29</c:v>
                </c:pt>
                <c:pt idx="25">
                  <c:v>30</c:v>
                </c:pt>
                <c:pt idx="26">
                  <c:v>31</c:v>
                </c:pt>
                <c:pt idx="27">
                  <c:v>32</c:v>
                </c:pt>
                <c:pt idx="28">
                  <c:v>33</c:v>
                </c:pt>
                <c:pt idx="29">
                  <c:v>34</c:v>
                </c:pt>
                <c:pt idx="30">
                  <c:v>35</c:v>
                </c:pt>
                <c:pt idx="31">
                  <c:v>36</c:v>
                </c:pt>
                <c:pt idx="32">
                  <c:v>37</c:v>
                </c:pt>
                <c:pt idx="33">
                  <c:v>38</c:v>
                </c:pt>
                <c:pt idx="34">
                  <c:v>39</c:v>
                </c:pt>
                <c:pt idx="35">
                  <c:v>40</c:v>
                </c:pt>
                <c:pt idx="36">
                  <c:v>41</c:v>
                </c:pt>
                <c:pt idx="37">
                  <c:v>42</c:v>
                </c:pt>
                <c:pt idx="38">
                  <c:v>43</c:v>
                </c:pt>
                <c:pt idx="39">
                  <c:v>44</c:v>
                </c:pt>
                <c:pt idx="40">
                  <c:v>45</c:v>
                </c:pt>
                <c:pt idx="41">
                  <c:v>46</c:v>
                </c:pt>
                <c:pt idx="42">
                  <c:v>47</c:v>
                </c:pt>
                <c:pt idx="43">
                  <c:v>48</c:v>
                </c:pt>
                <c:pt idx="44">
                  <c:v>49</c:v>
                </c:pt>
                <c:pt idx="45">
                  <c:v>50</c:v>
                </c:pt>
                <c:pt idx="46">
                  <c:v>51</c:v>
                </c:pt>
                <c:pt idx="47">
                  <c:v>52</c:v>
                </c:pt>
                <c:pt idx="48">
                  <c:v>53</c:v>
                </c:pt>
                <c:pt idx="49">
                  <c:v>54</c:v>
                </c:pt>
                <c:pt idx="50">
                  <c:v>55</c:v>
                </c:pt>
                <c:pt idx="51">
                  <c:v>56</c:v>
                </c:pt>
                <c:pt idx="52">
                  <c:v>57</c:v>
                </c:pt>
                <c:pt idx="53">
                  <c:v>58</c:v>
                </c:pt>
                <c:pt idx="54">
                  <c:v>59</c:v>
                </c:pt>
                <c:pt idx="55">
                  <c:v>60</c:v>
                </c:pt>
                <c:pt idx="56">
                  <c:v>61</c:v>
                </c:pt>
                <c:pt idx="57">
                  <c:v>62</c:v>
                </c:pt>
                <c:pt idx="58">
                  <c:v>63</c:v>
                </c:pt>
                <c:pt idx="59">
                  <c:v>64</c:v>
                </c:pt>
                <c:pt idx="60">
                  <c:v>65</c:v>
                </c:pt>
                <c:pt idx="61">
                  <c:v>66</c:v>
                </c:pt>
                <c:pt idx="62">
                  <c:v>67</c:v>
                </c:pt>
                <c:pt idx="63">
                  <c:v>68</c:v>
                </c:pt>
                <c:pt idx="64">
                  <c:v>69</c:v>
                </c:pt>
                <c:pt idx="65">
                  <c:v>70</c:v>
                </c:pt>
              </c:numCache>
            </c:numRef>
          </c:xVal>
          <c:yVal>
            <c:numRef>
              <c:f>'Cost sensitivity'!$C$82:$C$147</c:f>
              <c:numCache>
                <c:formatCode>_("$"* #,##0.00_);_("$"* \(#,##0.00\);_("$"* "-"??_);_(@_)</c:formatCode>
                <c:ptCount val="6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0D-4496-B8C5-72FB6E8776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92494032"/>
        <c:axId val="892498624"/>
      </c:scatterChart>
      <c:valAx>
        <c:axId val="89249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 natural</a:t>
                </a:r>
                <a:r>
                  <a:rPr lang="en-US" baseline="0"/>
                  <a:t> gas rate ($/GJ)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498624"/>
        <c:crosses val="autoZero"/>
        <c:crossBetween val="midCat"/>
      </c:valAx>
      <c:valAx>
        <c:axId val="89249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Blended electricity rate ($/kWh)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9249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'Emissions sensitivity'!$E$13</c:f>
              <c:strCache>
                <c:ptCount val="1"/>
                <c:pt idx="0">
                  <c:v>Delta (kg/CO2)</c:v>
                </c:pt>
              </c:strCache>
            </c:strRef>
          </c:tx>
          <c:spPr>
            <a:solidFill>
              <a:srgbClr val="000000"/>
            </a:solidFill>
            <a:ln>
              <a:noFill/>
            </a:ln>
            <a:effectLst/>
          </c:spPr>
          <c:invertIfNegative val="1"/>
          <c:cat>
            <c:numRef>
              <c:f>'Emissions sensitivity'!$B$14:$B$79</c:f>
              <c:numCache>
                <c:formatCode>General</c:formatCode>
                <c:ptCount val="66"/>
                <c:pt idx="0">
                  <c:v>0.8</c:v>
                </c:pt>
                <c:pt idx="1">
                  <c:v>0.79</c:v>
                </c:pt>
                <c:pt idx="2">
                  <c:v>0.78</c:v>
                </c:pt>
                <c:pt idx="3">
                  <c:v>0.77</c:v>
                </c:pt>
                <c:pt idx="4">
                  <c:v>0.76</c:v>
                </c:pt>
                <c:pt idx="5">
                  <c:v>0.75</c:v>
                </c:pt>
                <c:pt idx="6">
                  <c:v>0.74</c:v>
                </c:pt>
                <c:pt idx="7">
                  <c:v>0.73</c:v>
                </c:pt>
                <c:pt idx="8">
                  <c:v>0.72</c:v>
                </c:pt>
                <c:pt idx="9">
                  <c:v>0.71</c:v>
                </c:pt>
                <c:pt idx="10">
                  <c:v>0.7</c:v>
                </c:pt>
                <c:pt idx="11">
                  <c:v>0.69</c:v>
                </c:pt>
                <c:pt idx="12">
                  <c:v>0.67999999999999994</c:v>
                </c:pt>
                <c:pt idx="13">
                  <c:v>0.66999999999999993</c:v>
                </c:pt>
                <c:pt idx="14">
                  <c:v>0.65999999999999992</c:v>
                </c:pt>
                <c:pt idx="15">
                  <c:v>0.64999999999999991</c:v>
                </c:pt>
                <c:pt idx="16">
                  <c:v>0.6399999999999999</c:v>
                </c:pt>
                <c:pt idx="17">
                  <c:v>0.62999999999999989</c:v>
                </c:pt>
                <c:pt idx="18">
                  <c:v>0.61999999999999988</c:v>
                </c:pt>
                <c:pt idx="19">
                  <c:v>0.60999999999999988</c:v>
                </c:pt>
                <c:pt idx="20">
                  <c:v>0.59999999999999987</c:v>
                </c:pt>
                <c:pt idx="21">
                  <c:v>0.58999999999999986</c:v>
                </c:pt>
                <c:pt idx="22">
                  <c:v>0.57999999999999985</c:v>
                </c:pt>
                <c:pt idx="23">
                  <c:v>0.56999999999999984</c:v>
                </c:pt>
                <c:pt idx="24">
                  <c:v>0.55999999999999983</c:v>
                </c:pt>
                <c:pt idx="25">
                  <c:v>0.54999999999999982</c:v>
                </c:pt>
                <c:pt idx="26">
                  <c:v>0.53999999999999981</c:v>
                </c:pt>
                <c:pt idx="27">
                  <c:v>0.5299999999999998</c:v>
                </c:pt>
                <c:pt idx="28">
                  <c:v>0.5199999999999998</c:v>
                </c:pt>
                <c:pt idx="29">
                  <c:v>0.50999999999999979</c:v>
                </c:pt>
                <c:pt idx="30">
                  <c:v>0.49999999999999978</c:v>
                </c:pt>
                <c:pt idx="31">
                  <c:v>0.48999999999999977</c:v>
                </c:pt>
                <c:pt idx="32">
                  <c:v>0.47999999999999976</c:v>
                </c:pt>
                <c:pt idx="33">
                  <c:v>0.46999999999999975</c:v>
                </c:pt>
                <c:pt idx="34">
                  <c:v>0.45999999999999974</c:v>
                </c:pt>
                <c:pt idx="35">
                  <c:v>0.44999999999999973</c:v>
                </c:pt>
                <c:pt idx="36">
                  <c:v>0.43999999999999972</c:v>
                </c:pt>
                <c:pt idx="37">
                  <c:v>0.42999999999999972</c:v>
                </c:pt>
                <c:pt idx="38">
                  <c:v>0.41999999999999971</c:v>
                </c:pt>
                <c:pt idx="39">
                  <c:v>0.4099999999999997</c:v>
                </c:pt>
                <c:pt idx="40">
                  <c:v>0.39999999999999969</c:v>
                </c:pt>
                <c:pt idx="41">
                  <c:v>0.38999999999999968</c:v>
                </c:pt>
                <c:pt idx="42">
                  <c:v>0.37999999999999967</c:v>
                </c:pt>
                <c:pt idx="43">
                  <c:v>0.36999999999999966</c:v>
                </c:pt>
                <c:pt idx="44">
                  <c:v>0.35999999999999965</c:v>
                </c:pt>
                <c:pt idx="45">
                  <c:v>0.34999999999999964</c:v>
                </c:pt>
                <c:pt idx="46">
                  <c:v>0.33999999999999964</c:v>
                </c:pt>
                <c:pt idx="47">
                  <c:v>0.32999999999999963</c:v>
                </c:pt>
                <c:pt idx="48">
                  <c:v>0.31999999999999962</c:v>
                </c:pt>
                <c:pt idx="49">
                  <c:v>0.30999999999999961</c:v>
                </c:pt>
                <c:pt idx="50">
                  <c:v>0.2999999999999996</c:v>
                </c:pt>
                <c:pt idx="51">
                  <c:v>0.28999999999999959</c:v>
                </c:pt>
                <c:pt idx="52">
                  <c:v>0.27999999999999958</c:v>
                </c:pt>
                <c:pt idx="53">
                  <c:v>0.26999999999999957</c:v>
                </c:pt>
                <c:pt idx="54">
                  <c:v>0.25999999999999956</c:v>
                </c:pt>
                <c:pt idx="55">
                  <c:v>0.24999999999999956</c:v>
                </c:pt>
                <c:pt idx="56">
                  <c:v>0.23999999999999955</c:v>
                </c:pt>
                <c:pt idx="57">
                  <c:v>0.22999999999999954</c:v>
                </c:pt>
                <c:pt idx="58">
                  <c:v>0.21999999999999953</c:v>
                </c:pt>
                <c:pt idx="59">
                  <c:v>0.20999999999999952</c:v>
                </c:pt>
                <c:pt idx="60">
                  <c:v>0.19999999999999951</c:v>
                </c:pt>
                <c:pt idx="61">
                  <c:v>0.1899999999999995</c:v>
                </c:pt>
                <c:pt idx="62">
                  <c:v>0.17999999999999949</c:v>
                </c:pt>
                <c:pt idx="63">
                  <c:v>0.16999999999999948</c:v>
                </c:pt>
                <c:pt idx="64">
                  <c:v>0.15999999999999948</c:v>
                </c:pt>
                <c:pt idx="65">
                  <c:v>0.14999999999999947</c:v>
                </c:pt>
              </c:numCache>
            </c:numRef>
          </c:cat>
          <c:val>
            <c:numRef>
              <c:f>'Emissions sensitivity'!$E$14:$E$79</c:f>
              <c:numCache>
                <c:formatCode>_(* #,##0.00_);_(* \(#,##0.00\);_(* "-"??_);_(@_)</c:formatCode>
                <c:ptCount val="66"/>
                <c:pt idx="0">
                  <c:v>-571.12447580341404</c:v>
                </c:pt>
                <c:pt idx="1">
                  <c:v>-595.11589890762752</c:v>
                </c:pt>
                <c:pt idx="2">
                  <c:v>-619.10732201184078</c:v>
                </c:pt>
                <c:pt idx="3">
                  <c:v>-643.09874511605426</c:v>
                </c:pt>
                <c:pt idx="4">
                  <c:v>-667.09016822026774</c:v>
                </c:pt>
                <c:pt idx="5">
                  <c:v>-691.081591324481</c:v>
                </c:pt>
                <c:pt idx="6">
                  <c:v>-715.07301442869448</c:v>
                </c:pt>
                <c:pt idx="7">
                  <c:v>-739.06443753290796</c:v>
                </c:pt>
                <c:pt idx="8">
                  <c:v>-763.05586063712144</c:v>
                </c:pt>
                <c:pt idx="9">
                  <c:v>-787.0472837413347</c:v>
                </c:pt>
                <c:pt idx="10">
                  <c:v>-811.03870684554818</c:v>
                </c:pt>
                <c:pt idx="11">
                  <c:v>-835.03012994976166</c:v>
                </c:pt>
                <c:pt idx="12">
                  <c:v>-859.02155305397491</c:v>
                </c:pt>
                <c:pt idx="13">
                  <c:v>-883.01297615818839</c:v>
                </c:pt>
                <c:pt idx="14">
                  <c:v>-907.00439926240188</c:v>
                </c:pt>
                <c:pt idx="15">
                  <c:v>-930.99582236661536</c:v>
                </c:pt>
                <c:pt idx="16">
                  <c:v>-954.98724547082861</c:v>
                </c:pt>
                <c:pt idx="17">
                  <c:v>-978.97866857504209</c:v>
                </c:pt>
                <c:pt idx="18">
                  <c:v>-1002.9700916792556</c:v>
                </c:pt>
                <c:pt idx="19">
                  <c:v>-1026.9615147834688</c:v>
                </c:pt>
                <c:pt idx="20">
                  <c:v>-1050.9529378876823</c:v>
                </c:pt>
                <c:pt idx="21">
                  <c:v>-1074.9443609918958</c:v>
                </c:pt>
                <c:pt idx="22">
                  <c:v>-1098.9357840961093</c:v>
                </c:pt>
                <c:pt idx="23">
                  <c:v>-1122.9272072003225</c:v>
                </c:pt>
                <c:pt idx="24">
                  <c:v>-1146.918630304536</c:v>
                </c:pt>
                <c:pt idx="25">
                  <c:v>-1170.9100534087495</c:v>
                </c:pt>
                <c:pt idx="26">
                  <c:v>-1194.9014765129627</c:v>
                </c:pt>
                <c:pt idx="27">
                  <c:v>-1218.8928996171762</c:v>
                </c:pt>
                <c:pt idx="28">
                  <c:v>-1242.8843227213897</c:v>
                </c:pt>
                <c:pt idx="29">
                  <c:v>-1266.8757458256032</c:v>
                </c:pt>
                <c:pt idx="30">
                  <c:v>-1290.8671689298164</c:v>
                </c:pt>
                <c:pt idx="31">
                  <c:v>-1314.8585920340299</c:v>
                </c:pt>
                <c:pt idx="32">
                  <c:v>-1338.8500151382434</c:v>
                </c:pt>
                <c:pt idx="33">
                  <c:v>-1362.8414382424567</c:v>
                </c:pt>
                <c:pt idx="34">
                  <c:v>-1386.8328613466701</c:v>
                </c:pt>
                <c:pt idx="35">
                  <c:v>-1410.8242844508836</c:v>
                </c:pt>
                <c:pt idx="36">
                  <c:v>-1434.8157075550971</c:v>
                </c:pt>
                <c:pt idx="37">
                  <c:v>-1458.8071306593104</c:v>
                </c:pt>
                <c:pt idx="38">
                  <c:v>-1482.7985537635236</c:v>
                </c:pt>
                <c:pt idx="39">
                  <c:v>-1506.7899768677371</c:v>
                </c:pt>
                <c:pt idx="40">
                  <c:v>-1530.7813999719506</c:v>
                </c:pt>
                <c:pt idx="41">
                  <c:v>-1554.7728230761641</c:v>
                </c:pt>
                <c:pt idx="42">
                  <c:v>-1578.7642461803775</c:v>
                </c:pt>
                <c:pt idx="43">
                  <c:v>-1602.7556692845908</c:v>
                </c:pt>
                <c:pt idx="44">
                  <c:v>-1626.7470923888043</c:v>
                </c:pt>
                <c:pt idx="45">
                  <c:v>-1650.7385154930175</c:v>
                </c:pt>
                <c:pt idx="46">
                  <c:v>-1674.729938597231</c:v>
                </c:pt>
                <c:pt idx="47">
                  <c:v>-1698.7213617014445</c:v>
                </c:pt>
                <c:pt idx="48">
                  <c:v>-1722.712784805658</c:v>
                </c:pt>
                <c:pt idx="49">
                  <c:v>-1746.7042079098715</c:v>
                </c:pt>
                <c:pt idx="50">
                  <c:v>-1770.6956310140847</c:v>
                </c:pt>
                <c:pt idx="51">
                  <c:v>-1794.6870541182982</c:v>
                </c:pt>
                <c:pt idx="52">
                  <c:v>-1818.6784772225114</c:v>
                </c:pt>
                <c:pt idx="53">
                  <c:v>-1842.6699003267249</c:v>
                </c:pt>
                <c:pt idx="54">
                  <c:v>-1866.6613234309384</c:v>
                </c:pt>
                <c:pt idx="55">
                  <c:v>-1890.6527465351519</c:v>
                </c:pt>
                <c:pt idx="56">
                  <c:v>-1914.6441696393654</c:v>
                </c:pt>
                <c:pt idx="57">
                  <c:v>-1938.6355927435786</c:v>
                </c:pt>
                <c:pt idx="58">
                  <c:v>-1962.6270158477921</c:v>
                </c:pt>
                <c:pt idx="59">
                  <c:v>-1986.6184389520054</c:v>
                </c:pt>
                <c:pt idx="60">
                  <c:v>-2010.6098620562188</c:v>
                </c:pt>
                <c:pt idx="61">
                  <c:v>-2034.6012851604323</c:v>
                </c:pt>
                <c:pt idx="62">
                  <c:v>-2058.5927082646458</c:v>
                </c:pt>
                <c:pt idx="63">
                  <c:v>-2082.5841313688593</c:v>
                </c:pt>
                <c:pt idx="64">
                  <c:v>-2106.5755544730728</c:v>
                </c:pt>
                <c:pt idx="65">
                  <c:v>-2130.5669775772858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C00000"/>
                  </a:solidFill>
                  <a:ln>
                    <a:noFill/>
                  </a:ln>
                  <a:effectLst/>
                </c14:spPr>
              </c14:invertSolidFillFmt>
            </c:ext>
            <c:ext xmlns:c16="http://schemas.microsoft.com/office/drawing/2014/chart" uri="{C3380CC4-5D6E-409C-BE32-E72D297353CC}">
              <c16:uniqueId val="{00000000-EF40-4C07-84CC-D71E4348FE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54723424"/>
        <c:axId val="954721456"/>
      </c:barChart>
      <c:catAx>
        <c:axId val="9547234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Electric grid emissions factor</a:t>
                </a:r>
                <a:r>
                  <a:rPr lang="en-US" baseline="0"/>
                  <a:t> (kgCO2/kWh)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1456"/>
        <c:crosses val="autoZero"/>
        <c:auto val="1"/>
        <c:lblAlgn val="ctr"/>
        <c:lblOffset val="100"/>
        <c:noMultiLvlLbl val="0"/>
      </c:catAx>
      <c:valAx>
        <c:axId val="9547214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Difference in annual heating/cooling</a:t>
                </a:r>
                <a:r>
                  <a:rPr lang="en-US" baseline="0"/>
                  <a:t> emissions (kgCO2/year) </a:t>
                </a:r>
                <a:endParaRPr 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723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8</xdr:row>
          <xdr:rowOff>203200</xdr:rowOff>
        </xdr:from>
        <xdr:to>
          <xdr:col>9</xdr:col>
          <xdr:colOff>723900</xdr:colOff>
          <xdr:row>11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2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for Natural Gas Design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88900</xdr:colOff>
          <xdr:row>14</xdr:row>
          <xdr:rowOff>12700</xdr:rowOff>
        </xdr:from>
        <xdr:to>
          <xdr:col>9</xdr:col>
          <xdr:colOff>190500</xdr:colOff>
          <xdr:row>16</xdr:row>
          <xdr:rowOff>114300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2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Solve for Cooling Design Load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129346</xdr:colOff>
      <xdr:row>33</xdr:row>
      <xdr:rowOff>137629</xdr:rowOff>
    </xdr:from>
    <xdr:ext cx="6529871" cy="2800508"/>
    <xdr:graphicFrame macro="">
      <xdr:nvGraphicFramePr>
        <xdr:cNvPr id="2" name="Chart 1" title="Chart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909637</xdr:colOff>
      <xdr:row>11</xdr:row>
      <xdr:rowOff>76200</xdr:rowOff>
    </xdr:from>
    <xdr:to>
      <xdr:col>18</xdr:col>
      <xdr:colOff>390525</xdr:colOff>
      <xdr:row>35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514350</xdr:colOff>
      <xdr:row>80</xdr:row>
      <xdr:rowOff>19049</xdr:rowOff>
    </xdr:from>
    <xdr:to>
      <xdr:col>17</xdr:col>
      <xdr:colOff>0</xdr:colOff>
      <xdr:row>107</xdr:row>
      <xdr:rowOff>19049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192087</xdr:colOff>
      <xdr:row>7</xdr:row>
      <xdr:rowOff>158750</xdr:rowOff>
    </xdr:from>
    <xdr:to>
      <xdr:col>16</xdr:col>
      <xdr:colOff>463550</xdr:colOff>
      <xdr:row>32</xdr:row>
      <xdr:rowOff>53975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owney, Brent" id="{D3EF5EB2-3BA5-4997-BCA5-64EC91852F56}" userId="S::BDOWNEY1@calgary.ca::05ca8c03-0c62-4757-8846-ab2c4e0929ee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954D971-130E-473B-BED3-62A039040BFB}" name="Table1" displayName="Table1" ref="A1:AA74" totalsRowShown="0" headerRowDxfId="28" dataDxfId="27" tableBorderDxfId="26">
  <tableColumns count="27">
    <tableColumn id="1" xr3:uid="{20A3A725-D6FB-4DDA-A3D9-F8F2BA5FDBFC}" name="Row #"/>
    <tableColumn id="2" xr3:uid="{249CCF57-25EB-4DC6-BAF9-2864433AF037}" name="Minimum Capacity Threshold" dataDxfId="25">
      <calculatedColumnFormula>IFERROR(IF(H2&lt;'HP Calcs'!$D$4,$K2-$M2,0),0)</calculatedColumnFormula>
    </tableColumn>
    <tableColumn id="3" xr3:uid="{ACCEC14C-0953-402E-A422-4597675785AF}" name="Maximum Capacity Threshold" dataDxfId="24">
      <calculatedColumnFormula>K2-N2</calculatedColumnFormula>
    </tableColumn>
    <tableColumn id="4" xr3:uid="{4D4D14FB-C0FD-4B6E-8AB4-D4108A79F69D}" name="kWh" dataDxfId="23">
      <calculatedColumnFormula>IFERROR((K2/N2)*P2*G2,0)</calculatedColumnFormula>
    </tableColumn>
    <tableColumn id="5" xr3:uid="{4AD255C1-2CEB-4040-8675-89752A9B41C3}" name="Modulating Hours" dataDxfId="22">
      <calculatedColumnFormula>IFERROR(IF(H2&gt;'HP Calcs'!$D$5,IF(AND(K2&gt;M2,K2&lt;N2,H2&gt;'HP Calcs'!$D$5),J2,0),IF(AND(K2&gt;M2,K2&lt;N2,H2&lt;'HP Calcs'!$D$4),J2,0)),0)</calculatedColumnFormula>
    </tableColumn>
    <tableColumn id="6" xr3:uid="{8E3B4397-4308-4CD5-B738-1ABA66854BD5}" name="Low-Load Hours" dataDxfId="21">
      <calculatedColumnFormula>IFERROR(IF(H2&gt;'HP Calcs'!$D$5,IF(AND(K2&lt;M2,H2&gt;'HP Calcs'!$D$5),J2,0),IF(AND(K2&lt;M2,H2&lt;'HP Calcs'!$D$4),J2,0)),0)</calculatedColumnFormula>
    </tableColumn>
    <tableColumn id="7" xr3:uid="{06571D2A-E6EE-4851-9847-801123495318}" name="Modulating + Low Load Hours" dataDxfId="20">
      <calculatedColumnFormula>E2+F2</calculatedColumnFormula>
    </tableColumn>
    <tableColumn id="8" xr3:uid="{DD9D5873-49D2-457A-A8F3-375BB1A73363}" name="Temperature" dataDxfId="19"/>
    <tableColumn id="9" xr3:uid="{1EB2CB9B-EB59-4FE5-946D-600BCD856473}" name="Heating stage" dataDxfId="18">
      <calculatedColumnFormula>IFERROR(VLOOKUP(H2,'HP Calcs'!$D$26:$T$33,2),0)</calculatedColumnFormula>
    </tableColumn>
    <tableColumn id="10" xr3:uid="{EE0A71DF-F3B3-48EE-A891-D3D02B8C6B05}" name="Hours" dataDxfId="17">
      <calculatedColumnFormula>COUNTIF($AH$2:$AH$8761,H2)</calculatedColumnFormula>
    </tableColumn>
    <tableColumn id="11" xr3:uid="{95426570-BC1E-4B7E-A76D-78D3730AFF96}" name=" Load Line (btu/hr)" dataDxfId="16">
      <calculatedColumnFormula>IF(H2&lt;'HP Calcs'!$D$4,MAX(_xlfn.FORECAST.LINEAR(H2,'HP Calcs'!$E$3:$E$4,'HP Calcs'!$D$3:$D$4),0),MAX(_xlfn.FORECAST.LINEAR(H2,'HP Calcs'!$E$5:$E$6,'HP Calcs'!$D$5:$D$6),0))</calculatedColumnFormula>
    </tableColumn>
    <tableColumn id="12" xr3:uid="{F53F2753-DBCB-45E3-A157-258572353814}" name="Annual Heating/Cooling Load (btu/year)" dataDxfId="15">
      <calculatedColumnFormula>J2*K2</calculatedColumnFormula>
    </tableColumn>
    <tableColumn id="13" xr3:uid="{75F8055F-76E0-471C-8D04-7EE95704F8F1}" name="Heating/Cooling Min Capacity" dataDxfId="14">
      <calculatedColumnFormula>IFERROR(IF(ISNUMBER(MATCH(H2,'HP Calcs'!$D$28:$D$33,0)),VLOOKUP(H2,'HP Calcs'!$D$28:$R$33,3,FALSE),INDEX('HP Calcs'!$F$28:$F$33,MATCH(I2,'HP Calcs'!$E$28:$E$33,0))+(INDEX('HP Calcs'!$G$28:$G$33,MATCH(I2,'HP Calcs'!$E$28:$E$33,0))*(H2-(INDEX('HP Calcs'!$D$28:$D$33,MATCH(I2,'HP Calcs'!$E$28:$E$33,0)))))),0)</calculatedColumnFormula>
    </tableColumn>
    <tableColumn id="14" xr3:uid="{402C725D-B06F-4DB9-8F1D-C279B6776062}" name="Heating/Cooling Max Capacity" dataDxfId="13">
      <calculatedColumnFormula>IFERROR(IF(ISNUMBER(MATCH(H2,'HP Calcs'!$D$28:$D$33,0)),VLOOKUP(H2,'HP Calcs'!$D$28:$R$33,5,FALSE),INDEX('HP Calcs'!$H$28:$H$33,MATCH(I2,'HP Calcs'!$E$28:$E$33,0))+(INDEX('HP Calcs'!$I$28:$I$33,MATCH(I2,'HP Calcs'!$E$28:$E$33,0))*(H2-(INDEX('HP Calcs'!$D$28:$D$33,MATCH(I2,'HP Calcs'!$E$28:$E$33,0)))))),0)</calculatedColumnFormula>
    </tableColumn>
    <tableColumn id="16" xr3:uid="{64999023-AFDF-4F78-91B6-CF530E783FF1}" name="min kW" dataDxfId="12">
      <calculatedColumnFormula>IFERROR(IF(ISNUMBER(MATCH($H2,'HP Calcs'!$D$28:$D$33,0)),VLOOKUP($H2,'HP Calcs'!$D$28:$R$33,7,FALSE),INDEX('HP Calcs'!J$28:J$33,MATCH($I2,'HP Calcs'!$E$28:$E$33,0))+(INDEX('HP Calcs'!K$28:K$33,MATCH($I2,'HP Calcs'!$E$28:$E$33,0))*($H2-(INDEX('HP Calcs'!$D$28:$D$33,MATCH($I2,'HP Calcs'!$E$28:$E$33,0)))))),0)</calculatedColumnFormula>
    </tableColumn>
    <tableColumn id="17" xr3:uid="{AD0CE8DE-4596-43AB-861C-E98961B87E62}" name="max kW" dataDxfId="11">
      <calculatedColumnFormula>IFERROR(IF(ISNUMBER(MATCH($H2,'HP Calcs'!$D$28:$D$33,0)),VLOOKUP($H2,'HP Calcs'!$D$28:$R$33,9,FALSE),INDEX('HP Calcs'!L$28:L$33,MATCH($I2,'HP Calcs'!$E$28:$E$33,0))+(INDEX('HP Calcs'!M$28:M$33,MATCH($I2,'HP Calcs'!$E$28:$E$33,0))*($H2-(INDEX('HP Calcs'!$D$28:$D$33,MATCH($I2,'HP Calcs'!$E$28:$E$33,0)))))),0)</calculatedColumnFormula>
    </tableColumn>
    <tableColumn id="15" xr3:uid="{158BB7E6-E9E2-4945-B245-CE470CDE718A}" name="Cost of Electricity" dataDxfId="10" dataCellStyle="Currency">
      <calculatedColumnFormula>Table1[[#This Row],[kWh]]*'Conversion Factors'!$N$21</calculatedColumnFormula>
    </tableColumn>
    <tableColumn id="18" xr3:uid="{AF61BF1C-C122-47B9-92F8-E5FBD7DA4747}" name="Cost of Natural Gas" dataDxfId="9" dataCellStyle="Currency">
      <calculatedColumnFormula>IF(Table1[[#This Row],[Temperature]]&lt;='HP Calcs'!$D$4,(Table1[[#This Row],[Annual Heating/Cooling Load (btu/year)]]*'Conversion Factors'!$M$4)/'HP Calcs'!$B$53*'Conversion Factors'!$N$20,"")</calculatedColumnFormula>
    </tableColumn>
    <tableColumn id="27" xr3:uid="{6C54AA4A-892F-4152-BFB0-39D010A0D7A0}" name="Electricity or Natural Gas?" dataDxfId="8" dataCellStyle="Currency">
      <calculatedColumnFormula>IF(MIN(Table1[[#This Row],[Cost of Electricity]:[Cost of Natural Gas]])=0,MAX(Table1[[#This Row],[Cost of Electricity]:[Cost of Natural Gas]]),MIN(Table1[[#This Row],[Cost of Electricity]:[Cost of Natural Gas]]))</calculatedColumnFormula>
    </tableColumn>
    <tableColumn id="26" xr3:uid="{23424BA4-E98B-4862-981D-7C506FC86714}" name="Fuel Selector (Cost)" dataDxfId="7" dataCellStyle="Currency">
      <calculatedColumnFormula>IF(Table1[[#This Row],[Electricity or Natural Gas?]]=Table1[[#This Row],[Cost of Natural Gas]],-Table1[[#This Row],[Cost of Natural Gas]],Table1[[#This Row],[Cost of Electricity]])</calculatedColumnFormula>
    </tableColumn>
    <tableColumn id="29" xr3:uid="{D23657D8-5403-4A37-9993-98A32B276A8F}" name="Cost Optimized Energy Use (GJ)" dataDxfId="6" dataCellStyle="Currency">
      <calculatedColumnFormula>IF(Table1[[#This Row],[Electricity or Natural Gas?]]=Table1[[#This Row],[Cost of Natural Gas]],Table1[[#This Row],[Annual Heating/Cooling Load (btu/year)]]/'HP Calcs'!$B$53*'Conversion Factors'!$M$4,Table1[[#This Row],[kWh]]/'Conversion Factors'!$M$5)</calculatedColumnFormula>
    </tableColumn>
    <tableColumn id="28" xr3:uid="{821EA4D1-6028-4421-B3A3-3EC84A9A5EFD}" name="Cost Optimized GHG Emissions" dataDxfId="5" dataCellStyle="Currency">
      <calculatedColumnFormula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calculatedColumnFormula>
    </tableColumn>
    <tableColumn id="20" xr3:uid="{FD6E52F4-3597-47B0-84A3-91A9531723FC}" name="Electricity Emissions" dataDxfId="4">
      <calculatedColumnFormula>Table1[[#This Row],[kWh]]*'Conversion Factors'!$D$6*'Conversion Factors'!$C$9</calculatedColumnFormula>
    </tableColumn>
    <tableColumn id="21" xr3:uid="{7A55A2B6-E4B1-4ED7-8E9C-83A5E5D084D9}" name="Natural Gas Emissions " dataDxfId="3" dataCellStyle="Currency">
      <calculatedColumnFormula>IF(Table1[[#This Row],[Temperature]]&lt;='HP Calcs'!$D$4,(Table1[[#This Row],[Annual Heating/Cooling Load (btu/year)]])/'HP Calcs'!$B$53*'Conversion Factors'!$M$4*'Conversion Factors'!$C$27,0)</calculatedColumnFormula>
    </tableColumn>
    <tableColumn id="24" xr3:uid="{977E60EB-364E-4AB9-9E50-71CA3180B48F}" name="Electricity or Natural Gas?2" dataDxfId="2">
      <calculatedColumnFormula>IF(MIN(Table1[[#This Row],[Electricity Emissions]:[Natural Gas Emissions ]])=0,MAX(Table1[[#This Row],[Electricity Emissions]:[Natural Gas Emissions ]]),MIN(Table1[[#This Row],[Electricity Emissions]:[Natural Gas Emissions ]]))</calculatedColumnFormula>
    </tableColumn>
    <tableColumn id="25" xr3:uid="{12B73142-AB28-4226-AAB9-95AF6D4EB067}" name="Fuel Selector (Emissions)" dataDxfId="1">
      <calculatedColumnFormula>IF(Table1[[#This Row],[Electricity or Natural Gas?2]]=Table1[[#This Row],[Natural Gas Emissions ]],-Table1[[#This Row],[Natural Gas Emissions ]],Table1[[#This Row],[Electricity Emissions]])</calculatedColumnFormula>
    </tableColumn>
    <tableColumn id="19" xr3:uid="{7E048B2E-4A22-42A8-8451-A125717267A4}" name="Elec/NG Ratio" dataDxfId="0">
      <calculatedColumnFormula>IF(Table1[[#This Row],[Fuel Selector (Cost)]]&lt;0,"NG","Elec")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6" dT="2023-06-30T17:37:33.70" personId="{D3EF5EB2-3BA5-4997-BCA5-64EC91852F56}" id="{98667387-EDEE-4C72-80D9-CABEE2386405}">
    <text>adjusted to remove GoA Gas Rebate - artificially impacts electricity costs for temporary time period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nrcan.gc.ca/energy/energy-sources-distribution/natural-gas/natural-gas-primer/5641" TargetMode="External"/><Relationship Id="rId2" Type="http://schemas.openxmlformats.org/officeDocument/2006/relationships/hyperlink" Target="https://publications.gc.ca/collections/collection_2022/eccc/En81-4-2020-3-eng.pdf" TargetMode="External"/><Relationship Id="rId1" Type="http://schemas.openxmlformats.org/officeDocument/2006/relationships/hyperlink" Target="https://publications.gc.ca/collections/collection_2022/eccc/En81-4-2020-2-eng.pdf" TargetMode="Externa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663D39-1D19-496A-9D41-6445E5BFFF8C}">
  <sheetPr>
    <tabColor rgb="FFFF0000"/>
  </sheetPr>
  <dimension ref="B2:C26"/>
  <sheetViews>
    <sheetView zoomScale="130" zoomScaleNormal="130" workbookViewId="0">
      <selection activeCell="C8" sqref="C8"/>
    </sheetView>
  </sheetViews>
  <sheetFormatPr defaultRowHeight="12.5" x14ac:dyDescent="0.25"/>
  <cols>
    <col min="2" max="2" width="11.08984375" customWidth="1"/>
  </cols>
  <sheetData>
    <row r="2" spans="2:3" ht="13" x14ac:dyDescent="0.3">
      <c r="B2" s="94" t="s">
        <v>361</v>
      </c>
    </row>
    <row r="3" spans="2:3" ht="13" x14ac:dyDescent="0.3">
      <c r="B3" s="383">
        <v>1</v>
      </c>
      <c r="C3" s="40" t="s">
        <v>378</v>
      </c>
    </row>
    <row r="4" spans="2:3" x14ac:dyDescent="0.25">
      <c r="B4" s="383">
        <v>2</v>
      </c>
      <c r="C4" s="40" t="s">
        <v>362</v>
      </c>
    </row>
    <row r="5" spans="2:3" x14ac:dyDescent="0.25">
      <c r="B5" s="150">
        <v>3</v>
      </c>
      <c r="C5" s="40" t="s">
        <v>363</v>
      </c>
    </row>
    <row r="6" spans="2:3" x14ac:dyDescent="0.25">
      <c r="B6" s="150">
        <v>4</v>
      </c>
      <c r="C6" s="40" t="s">
        <v>364</v>
      </c>
    </row>
    <row r="7" spans="2:3" x14ac:dyDescent="0.25">
      <c r="B7" s="150">
        <v>5</v>
      </c>
      <c r="C7" s="58" t="s">
        <v>372</v>
      </c>
    </row>
    <row r="8" spans="2:3" x14ac:dyDescent="0.25">
      <c r="B8" s="150">
        <v>6</v>
      </c>
      <c r="C8" s="40" t="s">
        <v>374</v>
      </c>
    </row>
    <row r="9" spans="2:3" x14ac:dyDescent="0.25">
      <c r="B9" s="150">
        <v>7</v>
      </c>
      <c r="C9" s="40" t="s">
        <v>375</v>
      </c>
    </row>
    <row r="10" spans="2:3" x14ac:dyDescent="0.25">
      <c r="B10" s="150">
        <v>8</v>
      </c>
      <c r="C10" s="40" t="s">
        <v>385</v>
      </c>
    </row>
    <row r="12" spans="2:3" ht="13" x14ac:dyDescent="0.3">
      <c r="B12" s="94" t="s">
        <v>365</v>
      </c>
    </row>
    <row r="13" spans="2:3" ht="13" x14ac:dyDescent="0.3">
      <c r="B13" s="94">
        <v>1</v>
      </c>
      <c r="C13" s="40" t="s">
        <v>366</v>
      </c>
    </row>
    <row r="14" spans="2:3" ht="13" x14ac:dyDescent="0.3">
      <c r="B14" s="94">
        <v>2</v>
      </c>
      <c r="C14" s="40" t="s">
        <v>367</v>
      </c>
    </row>
    <row r="15" spans="2:3" ht="13" x14ac:dyDescent="0.3">
      <c r="B15" s="94">
        <v>3</v>
      </c>
      <c r="C15" s="40" t="s">
        <v>368</v>
      </c>
    </row>
    <row r="16" spans="2:3" ht="13" x14ac:dyDescent="0.3">
      <c r="B16" s="94">
        <v>4</v>
      </c>
      <c r="C16" s="40" t="s">
        <v>369</v>
      </c>
    </row>
    <row r="18" spans="2:3" ht="13" x14ac:dyDescent="0.3">
      <c r="B18" s="94" t="s">
        <v>370</v>
      </c>
    </row>
    <row r="19" spans="2:3" ht="13" x14ac:dyDescent="0.3">
      <c r="B19" s="94">
        <v>1</v>
      </c>
      <c r="C19" s="40" t="s">
        <v>371</v>
      </c>
    </row>
    <row r="20" spans="2:3" ht="13" x14ac:dyDescent="0.3">
      <c r="B20" s="94">
        <v>2</v>
      </c>
      <c r="C20" s="40" t="s">
        <v>377</v>
      </c>
    </row>
    <row r="21" spans="2:3" ht="13" x14ac:dyDescent="0.3">
      <c r="B21" s="94">
        <v>3</v>
      </c>
      <c r="C21" s="40" t="s">
        <v>379</v>
      </c>
    </row>
    <row r="23" spans="2:3" ht="13" x14ac:dyDescent="0.3">
      <c r="B23" s="94" t="s">
        <v>373</v>
      </c>
    </row>
    <row r="24" spans="2:3" ht="13" x14ac:dyDescent="0.3">
      <c r="B24" s="94">
        <v>1</v>
      </c>
      <c r="C24" s="40" t="s">
        <v>380</v>
      </c>
    </row>
    <row r="25" spans="2:3" ht="13" x14ac:dyDescent="0.3">
      <c r="B25" s="94">
        <v>2</v>
      </c>
      <c r="C25" s="40" t="s">
        <v>382</v>
      </c>
    </row>
    <row r="26" spans="2:3" ht="13" x14ac:dyDescent="0.3">
      <c r="B26" s="94">
        <v>3</v>
      </c>
      <c r="C26" s="40" t="s">
        <v>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6997F9-7670-4A6A-B255-9D595D045299}">
  <dimension ref="B1:O89"/>
  <sheetViews>
    <sheetView showGridLines="0" tabSelected="1" topLeftCell="A3" zoomScale="115" zoomScaleNormal="115" workbookViewId="0">
      <selection activeCell="D28" sqref="D28"/>
    </sheetView>
  </sheetViews>
  <sheetFormatPr defaultColWidth="8.81640625" defaultRowHeight="12.5" x14ac:dyDescent="0.25"/>
  <cols>
    <col min="1" max="1" width="3.453125" customWidth="1"/>
    <col min="2" max="2" width="28.453125" customWidth="1"/>
    <col min="3" max="3" width="25.81640625" customWidth="1"/>
    <col min="4" max="4" width="26.6328125" customWidth="1"/>
    <col min="5" max="5" width="22.453125" customWidth="1"/>
    <col min="6" max="6" width="16.453125" customWidth="1"/>
    <col min="7" max="7" width="12.1796875" customWidth="1"/>
    <col min="8" max="8" width="12.453125" customWidth="1"/>
    <col min="9" max="9" width="10.453125" customWidth="1"/>
    <col min="10" max="10" width="13.90625" customWidth="1"/>
    <col min="11" max="11" width="10.453125" customWidth="1"/>
    <col min="12" max="12" width="8.54296875" customWidth="1"/>
    <col min="13" max="13" width="7.81640625" customWidth="1"/>
    <col min="14" max="14" width="8" customWidth="1"/>
    <col min="15" max="15" width="10.453125" customWidth="1"/>
  </cols>
  <sheetData>
    <row r="1" spans="2:15" ht="16" thickBot="1" x14ac:dyDescent="0.3">
      <c r="B1" s="413" t="s">
        <v>306</v>
      </c>
      <c r="C1" s="413"/>
      <c r="D1" s="414"/>
      <c r="E1" s="411" t="s">
        <v>271</v>
      </c>
      <c r="F1" s="412"/>
      <c r="G1" s="412"/>
      <c r="H1" s="412"/>
      <c r="I1" s="408" t="s">
        <v>272</v>
      </c>
      <c r="J1" s="409"/>
      <c r="K1" s="409"/>
      <c r="L1" s="409"/>
      <c r="M1" s="409"/>
      <c r="N1" s="410"/>
    </row>
    <row r="2" spans="2:15" ht="15" customHeight="1" thickBot="1" x14ac:dyDescent="0.35">
      <c r="B2" s="241" t="s">
        <v>257</v>
      </c>
      <c r="C2" s="242" t="s">
        <v>255</v>
      </c>
      <c r="D2" s="257" t="s">
        <v>256</v>
      </c>
      <c r="E2" s="254"/>
      <c r="F2" s="264" t="s">
        <v>275</v>
      </c>
      <c r="G2" s="345" t="s">
        <v>235</v>
      </c>
      <c r="H2" s="217"/>
      <c r="I2" s="304" t="s">
        <v>185</v>
      </c>
      <c r="J2" s="81"/>
      <c r="K2" s="81"/>
      <c r="L2" s="81"/>
      <c r="M2" s="81"/>
      <c r="N2" s="305"/>
      <c r="O2" s="58"/>
    </row>
    <row r="3" spans="2:15" ht="13" thickBot="1" x14ac:dyDescent="0.3">
      <c r="B3" s="243">
        <v>800</v>
      </c>
      <c r="C3" s="244">
        <f>(VLOOKUP($G$2,$B$10:$C$17,2,FALSE)*B3)/'Conversion Factors'!$L$10</f>
        <v>17.973616725757953</v>
      </c>
      <c r="D3" s="263">
        <f>C3*3.6%</f>
        <v>0.64705020212728637</v>
      </c>
      <c r="E3" s="254"/>
      <c r="F3" s="264" t="s">
        <v>273</v>
      </c>
      <c r="G3" s="345">
        <v>2000</v>
      </c>
      <c r="H3" s="217"/>
      <c r="I3" s="247" t="s">
        <v>265</v>
      </c>
      <c r="J3" s="81"/>
      <c r="K3" s="81"/>
      <c r="L3" s="81"/>
      <c r="M3" s="81"/>
      <c r="N3" s="348">
        <v>8000</v>
      </c>
      <c r="O3" s="40"/>
    </row>
    <row r="4" spans="2:15" ht="13" thickBot="1" x14ac:dyDescent="0.3">
      <c r="B4" s="243">
        <v>1200</v>
      </c>
      <c r="C4" s="244">
        <f>(VLOOKUP($G$2,$B$10:$C$17,2,FALSE)*B4)/'Conversion Factors'!$L$10</f>
        <v>26.960425088636928</v>
      </c>
      <c r="D4" s="263">
        <f t="shared" ref="D4:D8" si="0">C4*3.6%</f>
        <v>0.97057530319092955</v>
      </c>
      <c r="E4" s="254"/>
      <c r="F4" s="264" t="s">
        <v>274</v>
      </c>
      <c r="G4" s="346"/>
      <c r="H4" s="217"/>
      <c r="I4" s="247" t="s">
        <v>264</v>
      </c>
      <c r="J4" s="81"/>
      <c r="K4" s="81"/>
      <c r="L4" s="81"/>
      <c r="M4" s="81"/>
      <c r="N4" s="348">
        <v>10000</v>
      </c>
    </row>
    <row r="5" spans="2:15" ht="13" thickBot="1" x14ac:dyDescent="0.3">
      <c r="B5" s="243">
        <v>2000</v>
      </c>
      <c r="C5" s="244">
        <f>(VLOOKUP($G$2,$B$10:$C$17,2,FALSE)*B5)/'Conversion Factors'!$L$10</f>
        <v>44.934041814394888</v>
      </c>
      <c r="D5" s="263">
        <f t="shared" si="0"/>
        <v>1.6176255053182163</v>
      </c>
      <c r="E5" s="254"/>
      <c r="F5" s="264" t="s">
        <v>282</v>
      </c>
      <c r="G5" s="347">
        <v>0.97</v>
      </c>
      <c r="H5" s="217"/>
      <c r="I5" s="265" t="s">
        <v>167</v>
      </c>
      <c r="J5" s="81"/>
      <c r="K5" s="81"/>
      <c r="L5" s="81"/>
      <c r="M5" s="81"/>
      <c r="N5" s="348">
        <v>12000</v>
      </c>
    </row>
    <row r="6" spans="2:15" ht="13" thickBot="1" x14ac:dyDescent="0.3">
      <c r="B6" s="245">
        <v>2400</v>
      </c>
      <c r="C6" s="244">
        <f>(VLOOKUP($G$2,$B$10:$C$17,2,FALSE)*B6)/'Conversion Factors'!$L$10</f>
        <v>53.920850177273856</v>
      </c>
      <c r="D6" s="263">
        <f t="shared" si="0"/>
        <v>1.9411506063818591</v>
      </c>
      <c r="E6" s="255"/>
      <c r="F6" s="264" t="s">
        <v>308</v>
      </c>
      <c r="G6" s="346" t="s">
        <v>300</v>
      </c>
      <c r="H6" s="217"/>
      <c r="I6" s="247" t="s">
        <v>328</v>
      </c>
      <c r="J6" s="81"/>
      <c r="K6" s="81"/>
      <c r="L6" s="81"/>
      <c r="M6" s="81"/>
      <c r="N6" s="348" t="s">
        <v>360</v>
      </c>
    </row>
    <row r="7" spans="2:15" ht="13" thickBot="1" x14ac:dyDescent="0.3">
      <c r="B7" s="245">
        <v>3000</v>
      </c>
      <c r="C7" s="244">
        <f>(VLOOKUP($G$2,$B$10:$C$17,2,FALSE)*B7)/'Conversion Factors'!$L$10</f>
        <v>67.401062721592325</v>
      </c>
      <c r="D7" s="263">
        <f t="shared" si="0"/>
        <v>2.426438257977324</v>
      </c>
      <c r="E7" s="256"/>
      <c r="F7" s="239"/>
      <c r="G7" s="239"/>
      <c r="H7" s="239"/>
      <c r="I7" s="381" t="s">
        <v>327</v>
      </c>
      <c r="J7" s="160"/>
      <c r="K7" s="160"/>
      <c r="L7" s="160"/>
      <c r="M7" s="160"/>
      <c r="N7" s="348" t="s">
        <v>360</v>
      </c>
    </row>
    <row r="8" spans="2:15" ht="13" thickBot="1" x14ac:dyDescent="0.3">
      <c r="B8" s="325">
        <f>G4</f>
        <v>0</v>
      </c>
      <c r="C8" s="244">
        <f>(VLOOKUP($G$2,$B$10:$C$17,2,FALSE)*B8)/'Conversion Factors'!$L$10</f>
        <v>0</v>
      </c>
      <c r="D8" s="263">
        <f t="shared" si="0"/>
        <v>0</v>
      </c>
    </row>
    <row r="9" spans="2:15" ht="39.5" thickBot="1" x14ac:dyDescent="0.3">
      <c r="B9" s="326" t="s">
        <v>324</v>
      </c>
      <c r="C9" s="327" t="s">
        <v>270</v>
      </c>
      <c r="D9" s="329" t="s">
        <v>323</v>
      </c>
      <c r="G9" s="40"/>
    </row>
    <row r="10" spans="2:15" x14ac:dyDescent="0.25">
      <c r="B10" s="243" t="s">
        <v>228</v>
      </c>
      <c r="C10" s="322">
        <v>1.0792649999999999</v>
      </c>
      <c r="D10" s="323">
        <v>0.8</v>
      </c>
    </row>
    <row r="11" spans="2:15" x14ac:dyDescent="0.25">
      <c r="B11" s="243" t="s">
        <v>229</v>
      </c>
      <c r="C11" s="322">
        <v>0.82458600000000004</v>
      </c>
      <c r="D11" s="323">
        <v>0.8</v>
      </c>
    </row>
    <row r="12" spans="2:15" x14ac:dyDescent="0.25">
      <c r="B12" s="243" t="s">
        <v>230</v>
      </c>
      <c r="C12" s="322">
        <v>0.75456900000000005</v>
      </c>
      <c r="D12" s="323">
        <v>0.8</v>
      </c>
    </row>
    <row r="13" spans="2:15" ht="13" thickBot="1" x14ac:dyDescent="0.3">
      <c r="B13" s="243" t="s">
        <v>231</v>
      </c>
      <c r="C13" s="322">
        <v>0.63663899999999995</v>
      </c>
      <c r="D13" s="323">
        <v>0.8</v>
      </c>
    </row>
    <row r="14" spans="2:15" ht="16" thickBot="1" x14ac:dyDescent="0.3">
      <c r="B14" s="243" t="s">
        <v>232</v>
      </c>
      <c r="C14" s="322">
        <v>0.53857600000000005</v>
      </c>
      <c r="D14" s="323">
        <v>0.8</v>
      </c>
      <c r="E14" s="415" t="s">
        <v>307</v>
      </c>
      <c r="F14" s="415"/>
      <c r="G14" s="415"/>
      <c r="H14" s="415"/>
      <c r="I14" s="416"/>
    </row>
    <row r="15" spans="2:15" ht="52.5" thickBot="1" x14ac:dyDescent="0.3">
      <c r="B15" s="243" t="s">
        <v>233</v>
      </c>
      <c r="C15" s="322">
        <v>0.47662100000000002</v>
      </c>
      <c r="D15" s="323">
        <v>0.8</v>
      </c>
      <c r="E15" s="320" t="s">
        <v>280</v>
      </c>
      <c r="F15" s="286" t="s">
        <v>281</v>
      </c>
      <c r="G15" s="287" t="s">
        <v>285</v>
      </c>
      <c r="H15" s="319" t="s">
        <v>309</v>
      </c>
      <c r="I15" s="282" t="s">
        <v>263</v>
      </c>
      <c r="K15" s="394" t="s">
        <v>384</v>
      </c>
    </row>
    <row r="16" spans="2:15" ht="16" thickBot="1" x14ac:dyDescent="0.4">
      <c r="B16" s="243" t="s">
        <v>234</v>
      </c>
      <c r="C16" s="322">
        <v>0.34159</v>
      </c>
      <c r="D16" s="323">
        <v>0.8</v>
      </c>
      <c r="E16" s="321">
        <f>IF(ISBLANK(G4),VLOOKUP(G3,B3:C8,2,FALSE),C8)</f>
        <v>44.934041814394888</v>
      </c>
      <c r="F16" s="283">
        <f>E16*1.58%</f>
        <v>0.70995786066743927</v>
      </c>
      <c r="G16" s="284">
        <f>IF(G5=B19,IF(G2=B17,D17,B20),G5)</f>
        <v>0.97</v>
      </c>
      <c r="H16" s="289" t="str">
        <f>G6</f>
        <v>Unit 1</v>
      </c>
      <c r="I16" s="285">
        <f>IF(ISBLANK(G4),G3*J16,G4*J16)</f>
        <v>5360</v>
      </c>
      <c r="J16" s="395">
        <f>5360/2000</f>
        <v>2.68</v>
      </c>
      <c r="K16" s="80" t="s">
        <v>386</v>
      </c>
    </row>
    <row r="17" spans="2:11" ht="13" thickBot="1" x14ac:dyDescent="0.3">
      <c r="B17" s="259" t="s">
        <v>235</v>
      </c>
      <c r="C17" s="324">
        <v>0.24183299999999999</v>
      </c>
      <c r="D17" s="328">
        <v>0.92</v>
      </c>
      <c r="E17" s="266"/>
      <c r="K17" s="266" t="s">
        <v>286</v>
      </c>
    </row>
    <row r="18" spans="2:11" ht="13" customHeight="1" x14ac:dyDescent="0.25">
      <c r="B18" s="273" t="s">
        <v>283</v>
      </c>
      <c r="G18" s="40"/>
      <c r="K18" s="266" t="s">
        <v>287</v>
      </c>
    </row>
    <row r="19" spans="2:11" x14ac:dyDescent="0.25">
      <c r="B19" s="262" t="s">
        <v>284</v>
      </c>
      <c r="C19" s="86"/>
      <c r="G19" s="40"/>
    </row>
    <row r="20" spans="2:11" x14ac:dyDescent="0.25">
      <c r="B20" s="260">
        <v>0.8</v>
      </c>
      <c r="C20" s="86"/>
      <c r="G20" s="40"/>
    </row>
    <row r="21" spans="2:11" x14ac:dyDescent="0.25">
      <c r="B21" s="260">
        <v>0.92</v>
      </c>
      <c r="C21" s="330" t="s">
        <v>325</v>
      </c>
      <c r="G21" s="40"/>
    </row>
    <row r="22" spans="2:11" ht="13" thickBot="1" x14ac:dyDescent="0.3">
      <c r="B22" s="261">
        <v>0.97</v>
      </c>
      <c r="C22" s="330" t="s">
        <v>326</v>
      </c>
      <c r="D22" s="58"/>
      <c r="G22" s="40"/>
    </row>
    <row r="23" spans="2:11" x14ac:dyDescent="0.25">
      <c r="C23" s="330"/>
      <c r="G23" s="40"/>
    </row>
    <row r="24" spans="2:11" x14ac:dyDescent="0.25">
      <c r="B24" s="237"/>
      <c r="C24" s="330"/>
      <c r="D24" s="58"/>
      <c r="G24" s="40"/>
    </row>
    <row r="25" spans="2:11" x14ac:dyDescent="0.25">
      <c r="B25" s="237"/>
      <c r="C25" s="86"/>
      <c r="D25" s="58"/>
      <c r="G25" s="40"/>
    </row>
    <row r="26" spans="2:11" x14ac:dyDescent="0.25">
      <c r="B26" s="237"/>
      <c r="C26" s="86"/>
      <c r="D26" s="58"/>
      <c r="G26" s="40"/>
    </row>
    <row r="27" spans="2:11" x14ac:dyDescent="0.25">
      <c r="B27" s="237"/>
      <c r="C27" s="86"/>
      <c r="D27" s="58"/>
      <c r="G27" s="40"/>
    </row>
    <row r="28" spans="2:11" x14ac:dyDescent="0.25">
      <c r="B28" s="237"/>
      <c r="C28" s="86"/>
      <c r="D28" s="58"/>
      <c r="G28" s="40"/>
    </row>
    <row r="29" spans="2:11" x14ac:dyDescent="0.25">
      <c r="B29" s="237"/>
      <c r="C29" s="86"/>
      <c r="D29" s="58"/>
      <c r="G29" s="40"/>
    </row>
    <row r="30" spans="2:11" x14ac:dyDescent="0.25">
      <c r="B30" s="237"/>
      <c r="C30" s="237"/>
      <c r="D30" s="237"/>
      <c r="E30" s="237"/>
      <c r="F30" s="237"/>
      <c r="G30" s="237"/>
      <c r="H30" s="237"/>
    </row>
    <row r="31" spans="2:11" ht="14" x14ac:dyDescent="0.3">
      <c r="B31" s="240" t="s">
        <v>223</v>
      </c>
      <c r="C31" s="91" t="s">
        <v>258</v>
      </c>
      <c r="D31" s="201"/>
      <c r="E31" s="201"/>
      <c r="F31" s="201"/>
      <c r="G31" s="201"/>
    </row>
    <row r="33" spans="2:5" ht="14" x14ac:dyDescent="0.3">
      <c r="B33" s="233" t="s">
        <v>249</v>
      </c>
      <c r="C33" s="236"/>
      <c r="D33" s="236"/>
    </row>
    <row r="34" spans="2:5" x14ac:dyDescent="0.25">
      <c r="B34" s="40"/>
    </row>
    <row r="35" spans="2:5" x14ac:dyDescent="0.25">
      <c r="B35" s="40" t="s">
        <v>238</v>
      </c>
      <c r="C35" s="40" t="s">
        <v>225</v>
      </c>
      <c r="D35" s="40" t="s">
        <v>226</v>
      </c>
    </row>
    <row r="36" spans="2:5" x14ac:dyDescent="0.25">
      <c r="B36" s="228" t="s">
        <v>1</v>
      </c>
      <c r="C36">
        <f>124</f>
        <v>124</v>
      </c>
      <c r="D36">
        <v>106.1</v>
      </c>
      <c r="E36" s="40" t="s">
        <v>224</v>
      </c>
    </row>
    <row r="37" spans="2:5" x14ac:dyDescent="0.25">
      <c r="B37" s="228" t="s">
        <v>237</v>
      </c>
      <c r="C37" s="230">
        <f>C36/2246</f>
        <v>5.5209260908281391E-2</v>
      </c>
      <c r="D37" s="230">
        <f>D36/1713</f>
        <v>6.1938120256859311E-2</v>
      </c>
      <c r="E37" s="40"/>
    </row>
    <row r="39" spans="2:5" ht="14" x14ac:dyDescent="0.3">
      <c r="B39" s="234" t="s">
        <v>250</v>
      </c>
      <c r="C39" s="235"/>
      <c r="D39" s="235"/>
    </row>
    <row r="41" spans="2:5" x14ac:dyDescent="0.25">
      <c r="B41" s="40" t="s">
        <v>227</v>
      </c>
      <c r="C41" s="40" t="s">
        <v>236</v>
      </c>
      <c r="D41" s="40" t="s">
        <v>239</v>
      </c>
      <c r="E41" s="40" t="s">
        <v>240</v>
      </c>
    </row>
    <row r="42" spans="2:5" x14ac:dyDescent="0.25">
      <c r="B42" s="40" t="s">
        <v>228</v>
      </c>
      <c r="C42" s="86">
        <v>1.0792649999999999</v>
      </c>
      <c r="D42">
        <v>991</v>
      </c>
    </row>
    <row r="43" spans="2:5" x14ac:dyDescent="0.25">
      <c r="B43" s="40" t="s">
        <v>229</v>
      </c>
      <c r="C43" s="86">
        <v>0.82458600000000004</v>
      </c>
      <c r="D43">
        <v>2103</v>
      </c>
    </row>
    <row r="44" spans="2:5" x14ac:dyDescent="0.25">
      <c r="B44" s="40" t="s">
        <v>230</v>
      </c>
      <c r="C44" s="86">
        <v>0.75456900000000005</v>
      </c>
      <c r="D44">
        <v>10126</v>
      </c>
    </row>
    <row r="45" spans="2:5" x14ac:dyDescent="0.25">
      <c r="B45" s="40" t="s">
        <v>231</v>
      </c>
      <c r="C45" s="86">
        <v>0.63663899999999995</v>
      </c>
      <c r="D45">
        <v>3302</v>
      </c>
    </row>
    <row r="46" spans="2:5" x14ac:dyDescent="0.25">
      <c r="B46" s="40" t="s">
        <v>232</v>
      </c>
      <c r="C46" s="86">
        <v>0.53857600000000005</v>
      </c>
      <c r="D46">
        <v>2328</v>
      </c>
    </row>
    <row r="47" spans="2:5" x14ac:dyDescent="0.25">
      <c r="B47" s="40" t="s">
        <v>233</v>
      </c>
      <c r="C47" s="86">
        <v>0.47662100000000002</v>
      </c>
      <c r="D47">
        <v>1958</v>
      </c>
    </row>
    <row r="48" spans="2:5" x14ac:dyDescent="0.25">
      <c r="B48" s="40" t="s">
        <v>234</v>
      </c>
      <c r="C48" s="86">
        <v>0.34159</v>
      </c>
      <c r="D48">
        <v>569</v>
      </c>
    </row>
    <row r="49" spans="2:9" x14ac:dyDescent="0.25">
      <c r="B49" s="40" t="s">
        <v>235</v>
      </c>
      <c r="C49" s="86">
        <v>0.24183299999999999</v>
      </c>
      <c r="D49">
        <v>277</v>
      </c>
    </row>
    <row r="51" spans="2:9" x14ac:dyDescent="0.25">
      <c r="B51" s="40" t="s">
        <v>241</v>
      </c>
      <c r="C51" s="86">
        <f>((C42*D42)+(C43*D43)+(C44*D44)+(C45*D45)+(C46*D46)+(C47*D47)+(C48*D48)+(C49*D49))/SUM(D42:D49)</f>
        <v>0.69248106317539493</v>
      </c>
    </row>
    <row r="52" spans="2:9" ht="13" x14ac:dyDescent="0.3">
      <c r="B52" s="206" t="s">
        <v>242</v>
      </c>
      <c r="C52" s="253">
        <f>(C51/10.7639)</f>
        <v>6.4333658169937941E-2</v>
      </c>
    </row>
    <row r="54" spans="2:9" x14ac:dyDescent="0.25">
      <c r="B54" s="40" t="s">
        <v>243</v>
      </c>
      <c r="C54" s="232">
        <f>1-17.61%</f>
        <v>0.82389999999999997</v>
      </c>
      <c r="D54" s="40" t="s">
        <v>244</v>
      </c>
    </row>
    <row r="55" spans="2:9" x14ac:dyDescent="0.25">
      <c r="B55" s="40" t="s">
        <v>253</v>
      </c>
      <c r="C55" s="231">
        <v>7.1400000000000005E-2</v>
      </c>
      <c r="D55" t="s">
        <v>254</v>
      </c>
    </row>
    <row r="57" spans="2:9" x14ac:dyDescent="0.25">
      <c r="B57" t="s">
        <v>245</v>
      </c>
    </row>
    <row r="59" spans="2:9" x14ac:dyDescent="0.25">
      <c r="B59" s="236" t="s">
        <v>251</v>
      </c>
      <c r="C59" s="236"/>
      <c r="D59" s="236"/>
      <c r="E59" s="236"/>
    </row>
    <row r="60" spans="2:9" x14ac:dyDescent="0.25">
      <c r="I60" s="78"/>
    </row>
    <row r="61" spans="2:9" ht="13" x14ac:dyDescent="0.25">
      <c r="B61" s="229" t="s">
        <v>220</v>
      </c>
      <c r="C61" s="229" t="s">
        <v>246</v>
      </c>
      <c r="D61" s="229" t="s">
        <v>248</v>
      </c>
      <c r="E61" s="229" t="s">
        <v>247</v>
      </c>
      <c r="G61" s="229"/>
      <c r="H61" s="229"/>
    </row>
    <row r="62" spans="2:9" x14ac:dyDescent="0.25">
      <c r="B62" s="406" t="s">
        <v>221</v>
      </c>
      <c r="C62">
        <v>1200</v>
      </c>
      <c r="D62" s="86">
        <f>C62*$C$37*$C$54</f>
        <v>54.584292074799649</v>
      </c>
      <c r="E62" s="86">
        <f>D62*$C$55</f>
        <v>3.8973184541406951</v>
      </c>
    </row>
    <row r="63" spans="2:9" x14ac:dyDescent="0.25">
      <c r="B63" s="406"/>
      <c r="C63">
        <v>2000</v>
      </c>
      <c r="D63" s="86">
        <f t="shared" ref="D63:D65" si="1">C63*$C$37*$C$54</f>
        <v>90.973820124666076</v>
      </c>
      <c r="E63" s="86">
        <f t="shared" ref="E63:E69" si="2">D63*$C$55</f>
        <v>6.4955307569011582</v>
      </c>
    </row>
    <row r="64" spans="2:9" x14ac:dyDescent="0.25">
      <c r="B64" s="406"/>
      <c r="C64">
        <v>2600</v>
      </c>
      <c r="D64" s="86">
        <f t="shared" si="1"/>
        <v>118.26596616206588</v>
      </c>
      <c r="E64" s="86">
        <f t="shared" si="2"/>
        <v>8.4441899839715049</v>
      </c>
    </row>
    <row r="65" spans="2:5" x14ac:dyDescent="0.25">
      <c r="B65" s="406"/>
      <c r="C65">
        <v>3000</v>
      </c>
      <c r="D65" s="86">
        <f t="shared" si="1"/>
        <v>136.46073018699911</v>
      </c>
      <c r="E65" s="86">
        <f t="shared" si="2"/>
        <v>9.7432961353517378</v>
      </c>
    </row>
    <row r="66" spans="2:5" x14ac:dyDescent="0.25">
      <c r="B66" s="406" t="s">
        <v>222</v>
      </c>
      <c r="C66">
        <v>800</v>
      </c>
      <c r="D66" s="86">
        <f>C66*$D$37*$C$54</f>
        <v>40.824653823701105</v>
      </c>
      <c r="E66" s="86">
        <f t="shared" si="2"/>
        <v>2.9148802830122591</v>
      </c>
    </row>
    <row r="67" spans="2:5" x14ac:dyDescent="0.25">
      <c r="B67" s="406"/>
      <c r="C67">
        <v>1200</v>
      </c>
      <c r="D67" s="86">
        <f t="shared" ref="D67:D69" si="3">C67*$D$37*$C$54</f>
        <v>61.236980735551668</v>
      </c>
      <c r="E67" s="86">
        <f t="shared" si="2"/>
        <v>4.3723204245183895</v>
      </c>
    </row>
    <row r="68" spans="2:5" x14ac:dyDescent="0.25">
      <c r="B68" s="406"/>
      <c r="C68">
        <v>2000</v>
      </c>
      <c r="D68" s="86">
        <f t="shared" si="3"/>
        <v>102.06163455925277</v>
      </c>
      <c r="E68" s="86">
        <f t="shared" si="2"/>
        <v>7.2872007075306477</v>
      </c>
    </row>
    <row r="69" spans="2:5" x14ac:dyDescent="0.25">
      <c r="B69" s="406"/>
      <c r="C69">
        <v>2400</v>
      </c>
      <c r="D69" s="86">
        <f t="shared" si="3"/>
        <v>122.47396147110334</v>
      </c>
      <c r="E69" s="86">
        <f t="shared" si="2"/>
        <v>8.7446408490367791</v>
      </c>
    </row>
    <row r="71" spans="2:5" x14ac:dyDescent="0.25">
      <c r="B71" s="235" t="s">
        <v>252</v>
      </c>
      <c r="C71" s="235"/>
      <c r="D71" s="235"/>
      <c r="E71" s="235"/>
    </row>
    <row r="73" spans="2:5" ht="13" x14ac:dyDescent="0.25">
      <c r="B73" s="229" t="s">
        <v>220</v>
      </c>
      <c r="C73" s="229" t="s">
        <v>246</v>
      </c>
      <c r="D73" s="229" t="s">
        <v>248</v>
      </c>
      <c r="E73" s="229" t="s">
        <v>247</v>
      </c>
    </row>
    <row r="74" spans="2:5" x14ac:dyDescent="0.25">
      <c r="B74" s="407" t="s">
        <v>221</v>
      </c>
      <c r="C74">
        <v>1200</v>
      </c>
      <c r="D74" s="86">
        <f>C74*$C$52*$C$54</f>
        <v>63.605401159454246</v>
      </c>
      <c r="E74" s="86">
        <f>D74*$C$55</f>
        <v>4.5414256427850335</v>
      </c>
    </row>
    <row r="75" spans="2:5" x14ac:dyDescent="0.25">
      <c r="B75" s="407"/>
      <c r="C75">
        <v>2000</v>
      </c>
      <c r="D75" s="86">
        <f t="shared" ref="D75:D81" si="4">C75*$C$52*$C$54</f>
        <v>106.00900193242373</v>
      </c>
      <c r="E75" s="86">
        <f t="shared" ref="E75:E81" si="5">D75*$C$55</f>
        <v>7.5690427379750549</v>
      </c>
    </row>
    <row r="76" spans="2:5" x14ac:dyDescent="0.25">
      <c r="B76" s="407"/>
      <c r="C76">
        <v>2600</v>
      </c>
      <c r="D76" s="86">
        <f t="shared" si="4"/>
        <v>137.81170251215084</v>
      </c>
      <c r="E76" s="86">
        <f t="shared" si="5"/>
        <v>9.8397555593675712</v>
      </c>
    </row>
    <row r="77" spans="2:5" x14ac:dyDescent="0.25">
      <c r="B77" s="407"/>
      <c r="C77">
        <v>3000</v>
      </c>
      <c r="D77" s="86">
        <f t="shared" si="4"/>
        <v>159.01350289863561</v>
      </c>
      <c r="E77" s="86">
        <f>D77*$C$55</f>
        <v>11.353564106962583</v>
      </c>
    </row>
    <row r="78" spans="2:5" x14ac:dyDescent="0.25">
      <c r="B78" s="407" t="s">
        <v>222</v>
      </c>
      <c r="C78">
        <v>800</v>
      </c>
      <c r="D78" s="86">
        <f t="shared" si="4"/>
        <v>42.40360077296949</v>
      </c>
      <c r="E78" s="86">
        <f t="shared" si="5"/>
        <v>3.0276170951900219</v>
      </c>
    </row>
    <row r="79" spans="2:5" x14ac:dyDescent="0.25">
      <c r="B79" s="407"/>
      <c r="C79">
        <v>1200</v>
      </c>
      <c r="D79" s="86">
        <f t="shared" si="4"/>
        <v>63.605401159454246</v>
      </c>
      <c r="E79" s="86">
        <f t="shared" si="5"/>
        <v>4.5414256427850335</v>
      </c>
    </row>
    <row r="80" spans="2:5" x14ac:dyDescent="0.25">
      <c r="B80" s="407"/>
      <c r="C80">
        <v>2000</v>
      </c>
      <c r="D80" s="86">
        <f t="shared" si="4"/>
        <v>106.00900193242373</v>
      </c>
      <c r="E80" s="86">
        <f t="shared" si="5"/>
        <v>7.5690427379750549</v>
      </c>
    </row>
    <row r="81" spans="2:5" x14ac:dyDescent="0.25">
      <c r="B81" s="407"/>
      <c r="C81">
        <v>2400</v>
      </c>
      <c r="D81" s="86">
        <f t="shared" si="4"/>
        <v>127.21080231890849</v>
      </c>
      <c r="E81" s="86">
        <f t="shared" si="5"/>
        <v>9.0828512855700669</v>
      </c>
    </row>
    <row r="83" spans="2:5" x14ac:dyDescent="0.25">
      <c r="B83" s="40" t="s">
        <v>259</v>
      </c>
    </row>
    <row r="85" spans="2:5" x14ac:dyDescent="0.25">
      <c r="B85" t="s">
        <v>260</v>
      </c>
      <c r="C85" t="s">
        <v>261</v>
      </c>
    </row>
    <row r="86" spans="2:5" x14ac:dyDescent="0.25">
      <c r="B86" s="246">
        <v>90075.82</v>
      </c>
      <c r="C86" s="246">
        <v>1419.14</v>
      </c>
    </row>
    <row r="87" spans="2:5" x14ac:dyDescent="0.25">
      <c r="B87" s="200">
        <v>1.5800000000000002E-2</v>
      </c>
    </row>
    <row r="89" spans="2:5" x14ac:dyDescent="0.25">
      <c r="B89" t="s">
        <v>262</v>
      </c>
    </row>
  </sheetData>
  <mergeCells count="8">
    <mergeCell ref="B66:B69"/>
    <mergeCell ref="B62:B65"/>
    <mergeCell ref="B74:B77"/>
    <mergeCell ref="B78:B81"/>
    <mergeCell ref="I1:N1"/>
    <mergeCell ref="E1:H1"/>
    <mergeCell ref="B1:D1"/>
    <mergeCell ref="E14:I14"/>
  </mergeCells>
  <dataValidations count="3">
    <dataValidation type="list" allowBlank="1" showInputMessage="1" showErrorMessage="1" sqref="G3" xr:uid="{3FB44B9A-5EB6-4307-A72B-1D0667A2C49D}">
      <formula1>$B$3:$B$7</formula1>
    </dataValidation>
    <dataValidation type="list" allowBlank="1" showInputMessage="1" showErrorMessage="1" sqref="G2" xr:uid="{642DBD0C-A1FF-4116-8B6B-955F7CC46E43}">
      <formula1>$B$10:$B$17</formula1>
    </dataValidation>
    <dataValidation type="list" allowBlank="1" showInputMessage="1" showErrorMessage="1" sqref="G5" xr:uid="{AF169471-20B4-4C28-9991-EBA79843E305}">
      <formula1>$B$19:$B$22</formula1>
    </dataValidation>
  </dataValidations>
  <pageMargins left="0.7" right="0.7" top="0.75" bottom="0.75" header="0.3" footer="0.3"/>
  <pageSetup orientation="portrait"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644A966-A46D-4C4E-9A34-DB621D1630D5}">
          <x14:formula1>
            <xm:f>'HP Database'!$K$7:$K$11</xm:f>
          </x14:formula1>
          <xm:sqref>G6</xm:sqref>
        </x14:dataValidation>
        <x14:dataValidation type="list" allowBlank="1" showInputMessage="1" showErrorMessage="1" xr:uid="{E0CC6E22-661A-4CE4-8263-4AE53931969C}">
          <x14:formula1>
            <xm:f>'Conversion Factors'!$L$25:$L$27</xm:f>
          </x14:formula1>
          <xm:sqref>N6:N7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outlinePr summaryBelow="0" summaryRight="0"/>
  </sheetPr>
  <dimension ref="B1:AA85"/>
  <sheetViews>
    <sheetView showGridLines="0" topLeftCell="B4" zoomScale="85" zoomScaleNormal="85" workbookViewId="0">
      <selection activeCell="C10" sqref="C10"/>
    </sheetView>
  </sheetViews>
  <sheetFormatPr defaultColWidth="12.453125" defaultRowHeight="15.75" customHeight="1" x14ac:dyDescent="0.25"/>
  <cols>
    <col min="1" max="1" width="5" customWidth="1"/>
    <col min="2" max="2" width="19.453125" customWidth="1"/>
    <col min="3" max="3" width="24.453125" customWidth="1"/>
    <col min="4" max="4" width="15.453125" customWidth="1"/>
    <col min="5" max="5" width="17.453125" bestFit="1" customWidth="1"/>
    <col min="6" max="6" width="13.453125" bestFit="1" customWidth="1"/>
    <col min="7" max="7" width="14.1796875" bestFit="1" customWidth="1"/>
    <col min="8" max="8" width="17.453125" customWidth="1"/>
    <col min="9" max="9" width="14.81640625" bestFit="1" customWidth="1"/>
    <col min="11" max="11" width="18.453125" customWidth="1"/>
    <col min="12" max="12" width="17.36328125" customWidth="1"/>
  </cols>
  <sheetData>
    <row r="1" spans="2:12" ht="13" x14ac:dyDescent="0.3">
      <c r="B1" s="31" t="s">
        <v>2</v>
      </c>
      <c r="C1" s="39"/>
      <c r="D1" s="39"/>
      <c r="E1" s="39"/>
      <c r="F1" s="39"/>
      <c r="G1" s="39"/>
      <c r="H1" s="39"/>
      <c r="I1" s="39"/>
      <c r="J1" s="39"/>
      <c r="K1" s="45"/>
      <c r="L1" s="2"/>
    </row>
    <row r="2" spans="2:12" ht="13" x14ac:dyDescent="0.3">
      <c r="B2" s="32"/>
      <c r="D2" s="1" t="s">
        <v>3</v>
      </c>
      <c r="E2" s="58" t="s">
        <v>78</v>
      </c>
      <c r="K2" s="41"/>
      <c r="L2" s="2"/>
    </row>
    <row r="3" spans="2:12" ht="13" x14ac:dyDescent="0.3">
      <c r="B3" s="32"/>
      <c r="C3" s="61" t="s">
        <v>4</v>
      </c>
      <c r="D3" s="223">
        <v>-31</v>
      </c>
      <c r="E3" s="64">
        <v>8055.7844950768813</v>
      </c>
      <c r="F3" s="62" t="s">
        <v>5</v>
      </c>
      <c r="K3" s="41"/>
      <c r="L3" s="2"/>
    </row>
    <row r="4" spans="2:12" ht="13" x14ac:dyDescent="0.3">
      <c r="B4" s="32"/>
      <c r="D4" s="224">
        <v>17</v>
      </c>
      <c r="E4" s="63">
        <v>0</v>
      </c>
      <c r="G4" s="58"/>
      <c r="H4" s="58"/>
      <c r="I4" s="58"/>
      <c r="J4" s="58"/>
      <c r="K4" s="46"/>
      <c r="L4" s="2"/>
    </row>
    <row r="5" spans="2:12" ht="13" x14ac:dyDescent="0.3">
      <c r="B5" s="32"/>
      <c r="D5" s="224">
        <v>24</v>
      </c>
      <c r="E5" s="63">
        <v>0</v>
      </c>
      <c r="G5" s="58"/>
      <c r="H5" s="58"/>
      <c r="I5" s="58"/>
      <c r="J5" s="58"/>
      <c r="K5" s="46"/>
      <c r="L5" s="2"/>
    </row>
    <row r="6" spans="2:12" ht="13" x14ac:dyDescent="0.3">
      <c r="B6" s="32"/>
      <c r="C6" s="40" t="s">
        <v>77</v>
      </c>
      <c r="D6" s="224">
        <v>28.6</v>
      </c>
      <c r="E6" s="222">
        <v>2791.1405062251879</v>
      </c>
      <c r="F6" t="s">
        <v>79</v>
      </c>
      <c r="G6" s="58"/>
      <c r="H6" s="58"/>
      <c r="I6" s="58"/>
      <c r="J6" s="58"/>
      <c r="K6" s="46"/>
      <c r="L6" s="2"/>
    </row>
    <row r="7" spans="2:12" ht="13" x14ac:dyDescent="0.3">
      <c r="B7" s="32"/>
      <c r="C7" s="58"/>
      <c r="D7" s="60"/>
      <c r="E7" s="60"/>
      <c r="F7" s="58"/>
      <c r="G7" s="58"/>
      <c r="H7" s="58"/>
      <c r="I7" s="58"/>
      <c r="J7" s="58"/>
      <c r="K7" s="46"/>
      <c r="L7" s="2"/>
    </row>
    <row r="8" spans="2:12" ht="13.5" thickBot="1" x14ac:dyDescent="0.35">
      <c r="B8" s="33"/>
      <c r="C8" s="42"/>
      <c r="D8" s="42"/>
      <c r="E8" s="42"/>
      <c r="F8" s="42"/>
      <c r="G8" s="42"/>
      <c r="H8" s="42"/>
      <c r="I8" s="42"/>
      <c r="J8" s="42"/>
      <c r="K8" s="44"/>
      <c r="L8" s="2"/>
    </row>
    <row r="9" spans="2:12" ht="15.75" customHeight="1" thickBot="1" x14ac:dyDescent="0.3">
      <c r="K9" s="10"/>
      <c r="L9" s="4"/>
    </row>
    <row r="10" spans="2:12" ht="13" x14ac:dyDescent="0.3">
      <c r="B10" s="423" t="s">
        <v>6</v>
      </c>
      <c r="C10" s="154">
        <f>'User Inputs'!E16</f>
        <v>44.934041814394888</v>
      </c>
      <c r="D10" s="155" t="s">
        <v>219</v>
      </c>
      <c r="E10" s="155"/>
      <c r="F10" s="155"/>
      <c r="G10" s="156"/>
      <c r="H10" s="183"/>
      <c r="K10" s="3"/>
      <c r="L10" s="4"/>
    </row>
    <row r="11" spans="2:12" ht="15.75" customHeight="1" x14ac:dyDescent="0.3">
      <c r="B11" s="424"/>
      <c r="C11" s="157">
        <f>C10/'Conversion Factors'!$M$4</f>
        <v>42589086.700656727</v>
      </c>
      <c r="D11" s="80" t="s">
        <v>171</v>
      </c>
      <c r="E11" s="65"/>
      <c r="G11" s="41"/>
      <c r="H11" s="47"/>
      <c r="K11" s="3"/>
      <c r="L11" s="4"/>
    </row>
    <row r="12" spans="2:12" ht="15.75" customHeight="1" x14ac:dyDescent="0.25">
      <c r="B12" s="83"/>
      <c r="C12" s="3">
        <f>SUMIF('HP Table'!H:H,"&lt;"&amp;'HP Calcs'!$D$4,'HP Table'!L:L)</f>
        <v>18956267.889977787</v>
      </c>
      <c r="D12" s="1" t="s">
        <v>7</v>
      </c>
      <c r="E12" s="40" t="s">
        <v>157</v>
      </c>
      <c r="G12" s="41" t="s">
        <v>217</v>
      </c>
      <c r="K12" s="3"/>
      <c r="L12" s="4"/>
    </row>
    <row r="13" spans="2:12" ht="15.75" customHeight="1" thickBot="1" x14ac:dyDescent="0.3">
      <c r="B13" s="158"/>
      <c r="C13" s="159">
        <f>C10*'Conversion Factors'!C27</f>
        <v>2375.9760038871582</v>
      </c>
      <c r="D13" s="160" t="s">
        <v>8</v>
      </c>
      <c r="E13" s="42"/>
      <c r="F13" s="42"/>
      <c r="G13" s="44"/>
      <c r="K13" s="3"/>
      <c r="L13" s="4"/>
    </row>
    <row r="14" spans="2:12" ht="15.75" customHeight="1" x14ac:dyDescent="0.3">
      <c r="B14" s="426" t="s">
        <v>80</v>
      </c>
      <c r="C14" s="151">
        <f>'User Inputs'!F16</f>
        <v>0.70995786066743927</v>
      </c>
      <c r="D14" s="152" t="s">
        <v>155</v>
      </c>
      <c r="G14" s="41"/>
      <c r="K14" s="3"/>
      <c r="L14" s="4"/>
    </row>
    <row r="15" spans="2:12" ht="15.75" customHeight="1" x14ac:dyDescent="0.3">
      <c r="B15" s="426"/>
      <c r="C15" s="157">
        <f>C14/'Conversion Factors'!$M$4</f>
        <v>672907.56987037638</v>
      </c>
      <c r="D15" t="s">
        <v>156</v>
      </c>
      <c r="G15" s="41"/>
      <c r="K15" s="3"/>
      <c r="L15" s="4"/>
    </row>
    <row r="16" spans="2:12" ht="15.75" customHeight="1" x14ac:dyDescent="0.25">
      <c r="B16" s="83"/>
      <c r="C16" s="65">
        <f>SUMIF('HP Table'!H:H,"&gt;"&amp;'HP Calcs'!$D$5,'HP Table'!L:L)</f>
        <v>672907.56987037603</v>
      </c>
      <c r="D16" t="s">
        <v>7</v>
      </c>
      <c r="E16" s="40" t="s">
        <v>157</v>
      </c>
      <c r="G16" s="41"/>
      <c r="K16" s="3"/>
      <c r="L16" s="4"/>
    </row>
    <row r="17" spans="2:23" ht="15.75" customHeight="1" x14ac:dyDescent="0.25">
      <c r="B17" s="83"/>
      <c r="C17" s="153">
        <f>C14*'Conversion Factors'!C9</f>
        <v>116.35420494271924</v>
      </c>
      <c r="D17" s="81" t="s">
        <v>8</v>
      </c>
      <c r="G17" s="41"/>
      <c r="K17" s="3"/>
      <c r="L17" s="4"/>
    </row>
    <row r="18" spans="2:23" ht="13" thickBot="1" x14ac:dyDescent="0.3">
      <c r="B18" s="83"/>
      <c r="G18" s="41"/>
      <c r="K18" s="3"/>
      <c r="L18" s="4"/>
    </row>
    <row r="19" spans="2:23" ht="13" customHeight="1" thickBot="1" x14ac:dyDescent="0.35">
      <c r="B19" s="308" t="s">
        <v>81</v>
      </c>
      <c r="C19" s="309">
        <f>C13+C17</f>
        <v>2492.3302088298774</v>
      </c>
      <c r="D19" s="310" t="s">
        <v>8</v>
      </c>
      <c r="E19" s="92"/>
      <c r="F19" s="92"/>
      <c r="G19" s="292"/>
      <c r="I19" s="59"/>
      <c r="K19" s="3"/>
      <c r="L19" s="4"/>
    </row>
    <row r="20" spans="2:23" ht="15.75" customHeight="1" thickBot="1" x14ac:dyDescent="0.35">
      <c r="B20" s="82"/>
      <c r="I20" s="2"/>
      <c r="J20" s="2"/>
      <c r="K20" s="2"/>
      <c r="L20" s="5"/>
    </row>
    <row r="21" spans="2:23" ht="15.75" customHeight="1" x14ac:dyDescent="0.3">
      <c r="B21" s="31" t="s">
        <v>9</v>
      </c>
      <c r="C21" s="39"/>
      <c r="D21" s="39"/>
      <c r="E21" s="39"/>
      <c r="F21" s="39"/>
      <c r="G21" s="39"/>
      <c r="H21" s="39"/>
      <c r="I21" s="68"/>
      <c r="J21" s="68"/>
      <c r="K21" s="68"/>
      <c r="L21" s="6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45"/>
    </row>
    <row r="22" spans="2:23" ht="15.75" customHeight="1" x14ac:dyDescent="0.3">
      <c r="B22" s="32"/>
      <c r="C22" s="84"/>
      <c r="D22" s="40"/>
      <c r="F22" s="40"/>
      <c r="I22" s="2"/>
      <c r="J22" s="2"/>
      <c r="K22" s="2"/>
      <c r="L22" s="5"/>
      <c r="W22" s="41"/>
    </row>
    <row r="23" spans="2:23" ht="15.75" customHeight="1" thickBot="1" x14ac:dyDescent="0.35">
      <c r="B23" s="32"/>
      <c r="C23" s="84"/>
      <c r="D23" s="77"/>
      <c r="I23" s="2"/>
      <c r="J23" s="2"/>
      <c r="K23" s="2"/>
      <c r="L23" s="5"/>
      <c r="W23" s="41"/>
    </row>
    <row r="24" spans="2:23" ht="15.75" customHeight="1" thickBot="1" x14ac:dyDescent="0.35">
      <c r="B24" s="32"/>
      <c r="C24" s="288" t="str">
        <f>'User Inputs'!H16</f>
        <v>Unit 1</v>
      </c>
      <c r="D24" s="77"/>
      <c r="I24" s="2"/>
      <c r="J24" s="2"/>
      <c r="K24" s="2"/>
      <c r="L24" s="5"/>
      <c r="W24" s="41"/>
    </row>
    <row r="25" spans="2:23" ht="15.75" customHeight="1" x14ac:dyDescent="0.3">
      <c r="B25" s="32"/>
      <c r="C25" s="84"/>
      <c r="D25" s="77"/>
      <c r="F25" s="40"/>
      <c r="I25" s="2"/>
      <c r="L25" s="5"/>
      <c r="W25" s="41"/>
    </row>
    <row r="26" spans="2:23" ht="13" x14ac:dyDescent="0.3">
      <c r="B26" s="32"/>
      <c r="C26" s="84"/>
      <c r="D26" s="77"/>
      <c r="I26" s="2"/>
      <c r="J26" s="2"/>
      <c r="K26" s="2"/>
      <c r="L26" s="5"/>
      <c r="W26" s="41"/>
    </row>
    <row r="27" spans="2:23" ht="26" x14ac:dyDescent="0.3">
      <c r="B27" s="32"/>
      <c r="D27" s="52" t="s">
        <v>10</v>
      </c>
      <c r="E27" s="67" t="s">
        <v>128</v>
      </c>
      <c r="F27" s="53" t="s">
        <v>12</v>
      </c>
      <c r="G27" s="67" t="s">
        <v>129</v>
      </c>
      <c r="H27" s="53" t="s">
        <v>14</v>
      </c>
      <c r="I27" s="67" t="s">
        <v>130</v>
      </c>
      <c r="J27" s="53" t="s">
        <v>16</v>
      </c>
      <c r="K27" s="67" t="s">
        <v>13</v>
      </c>
      <c r="L27" s="53" t="s">
        <v>17</v>
      </c>
      <c r="M27" s="67" t="s">
        <v>15</v>
      </c>
      <c r="N27" s="53" t="s">
        <v>18</v>
      </c>
      <c r="O27" s="67" t="s">
        <v>13</v>
      </c>
      <c r="P27" s="53" t="s">
        <v>19</v>
      </c>
      <c r="Q27" s="67" t="s">
        <v>15</v>
      </c>
    </row>
    <row r="28" spans="2:23" ht="15.75" customHeight="1" x14ac:dyDescent="0.3">
      <c r="B28" s="32"/>
      <c r="C28" s="279" t="s">
        <v>20</v>
      </c>
      <c r="D28" s="76">
        <f>D3</f>
        <v>-31</v>
      </c>
      <c r="E28" s="56">
        <v>1</v>
      </c>
      <c r="F28" s="54">
        <f>VLOOKUP($C$24&amp;'HP Calcs'!$D28,'HP Database'!$C$2:$I$31,2,FALSE)</f>
        <v>14300</v>
      </c>
      <c r="G28" s="55">
        <f>(F29-F28)/($D29-$D28)</f>
        <v>368.75</v>
      </c>
      <c r="H28" s="54">
        <f>VLOOKUP($C$24&amp;$D28,'HP Database'!$C$2:$I$31,3,FALSE)</f>
        <v>14300</v>
      </c>
      <c r="I28" s="55">
        <f>(H29-H28)/($D29-$D28)</f>
        <v>368.75</v>
      </c>
      <c r="J28" s="57">
        <f>VLOOKUP($C$24&amp;$D28,'HP Database'!$C$2:$I$31,4,FALSE)</f>
        <v>2.74</v>
      </c>
      <c r="K28" s="55">
        <f>(J29-J28)/($D29-$D28)</f>
        <v>2.2499999999999992E-2</v>
      </c>
      <c r="L28" s="57">
        <f>VLOOKUP($C$24&amp;$D28,'HP Database'!$C$2:$I$31,5,FALSE)</f>
        <v>2.74</v>
      </c>
      <c r="M28" s="55">
        <f>(L29-L28)/($D29-$D28)</f>
        <v>2.2499999999999992E-2</v>
      </c>
      <c r="N28" s="57">
        <f>VLOOKUP($C$24&amp;$D28,'HP Database'!$C$2:$I$31,6,FALSE)</f>
        <v>1.53</v>
      </c>
      <c r="O28" s="55">
        <f>(N29-N28)/($D29-$D28)</f>
        <v>2.3749999999999993E-2</v>
      </c>
      <c r="P28" s="57">
        <f>VLOOKUP($C$24&amp;$D28,'HP Database'!$C$2:$I$31,7,FALSE)</f>
        <v>1.53</v>
      </c>
      <c r="Q28" s="55">
        <f>(P29-P28)/($D29-$D28)</f>
        <v>2.3749999999999993E-2</v>
      </c>
    </row>
    <row r="29" spans="2:23" ht="15.75" customHeight="1" x14ac:dyDescent="0.3">
      <c r="B29" s="32"/>
      <c r="C29" s="85"/>
      <c r="D29" s="76">
        <v>-15</v>
      </c>
      <c r="E29" s="56">
        <v>2</v>
      </c>
      <c r="F29" s="54">
        <f>VLOOKUP($C$24&amp;'HP Calcs'!$D29,'HP Database'!$C$2:$I$31,2,FALSE)</f>
        <v>20200</v>
      </c>
      <c r="G29" s="55">
        <f t="shared" ref="G29:G33" si="0">(F30-F29)/($D30-$D29)</f>
        <v>514.28571428571433</v>
      </c>
      <c r="H29" s="54">
        <f>VLOOKUP($C$24&amp;$D29,'HP Database'!$C$2:$I$31,3,FALSE)</f>
        <v>20200</v>
      </c>
      <c r="I29" s="55">
        <f t="shared" ref="I29:I33" si="1">(H30-H29)/($D30-$D29)</f>
        <v>514.28571428571433</v>
      </c>
      <c r="J29" s="57">
        <f>VLOOKUP($C$24&amp;$D29,'HP Database'!$C$2:$I$31,4,FALSE)</f>
        <v>3.1</v>
      </c>
      <c r="K29" s="55">
        <f t="shared" ref="K29:K33" si="2">(J30-J29)/($D30-$D29)</f>
        <v>1.2857142857142836E-2</v>
      </c>
      <c r="L29" s="57">
        <f>VLOOKUP($C$24&amp;$D29,'HP Database'!$C$2:$I$31,5,FALSE)</f>
        <v>3.1</v>
      </c>
      <c r="M29" s="55">
        <f t="shared" ref="M29:M33" si="3">(L30-L29)/($D30-$D29)</f>
        <v>1.2857142857142836E-2</v>
      </c>
      <c r="N29" s="57">
        <f>VLOOKUP($C$24&amp;$D29,'HP Database'!$C$2:$I$31,6,FALSE)</f>
        <v>1.91</v>
      </c>
      <c r="O29" s="55">
        <f t="shared" ref="O29:O33" si="4">(N30-N29)/($D30-$D29)</f>
        <v>0.04</v>
      </c>
      <c r="P29" s="57">
        <f>VLOOKUP($C$24&amp;$D29,'HP Database'!$C$2:$I$31,7,FALSE)</f>
        <v>1.91</v>
      </c>
      <c r="Q29" s="55">
        <f t="shared" ref="Q29:Q33" si="5">(P30-P29)/($D30-$D29)</f>
        <v>0.04</v>
      </c>
    </row>
    <row r="30" spans="2:23" ht="12.5" x14ac:dyDescent="0.25">
      <c r="B30" s="32"/>
      <c r="D30" s="54">
        <v>-8</v>
      </c>
      <c r="E30" s="56">
        <v>3</v>
      </c>
      <c r="F30" s="54">
        <f>VLOOKUP($C$24&amp;'HP Calcs'!$D30,'HP Database'!$C$2:$I$31,2,FALSE)</f>
        <v>23800</v>
      </c>
      <c r="G30" s="55">
        <f t="shared" si="0"/>
        <v>-1143.75</v>
      </c>
      <c r="H30" s="54">
        <f>VLOOKUP($C$24&amp;$D30,'HP Database'!$C$2:$I$31,3,FALSE)</f>
        <v>23800</v>
      </c>
      <c r="I30" s="55">
        <f t="shared" si="1"/>
        <v>-150</v>
      </c>
      <c r="J30" s="57">
        <f>VLOOKUP($C$24&amp;$D30,'HP Database'!$C$2:$I$31,4,FALSE)</f>
        <v>3.19</v>
      </c>
      <c r="K30" s="55">
        <f t="shared" si="2"/>
        <v>-0.17499999999999999</v>
      </c>
      <c r="L30" s="57">
        <f>VLOOKUP($C$24&amp;$D30,'HP Database'!$C$2:$I$31,5,FALSE)</f>
        <v>3.19</v>
      </c>
      <c r="M30" s="55">
        <f t="shared" si="3"/>
        <v>-9.6250000000000002E-2</v>
      </c>
      <c r="N30" s="57">
        <f>VLOOKUP($C$24&amp;$D30,'HP Database'!$C$2:$I$31,6,FALSE)</f>
        <v>2.19</v>
      </c>
      <c r="O30" s="55">
        <f t="shared" si="4"/>
        <v>0.12125</v>
      </c>
      <c r="P30" s="57">
        <f>VLOOKUP($C$24&amp;$D30,'HP Database'!$C$2:$I$31,7,FALSE)</f>
        <v>2.19</v>
      </c>
      <c r="Q30" s="55">
        <f t="shared" si="5"/>
        <v>0.10062499999999999</v>
      </c>
    </row>
    <row r="31" spans="2:23" ht="15.75" customHeight="1" x14ac:dyDescent="0.25">
      <c r="B31" s="32"/>
      <c r="D31" s="54">
        <f>ROUND(8.3,0)</f>
        <v>8</v>
      </c>
      <c r="E31" s="56">
        <v>4</v>
      </c>
      <c r="F31" s="54">
        <f>VLOOKUP($C$24&amp;'HP Calcs'!$D31,'HP Database'!$C$2:$I$31,2,FALSE)</f>
        <v>5500</v>
      </c>
      <c r="G31" s="55">
        <f t="shared" si="0"/>
        <v>90</v>
      </c>
      <c r="H31" s="54">
        <f>VLOOKUP($C$24&amp;$D31,'HP Database'!$C$2:$I$31,3,FALSE)</f>
        <v>21400</v>
      </c>
      <c r="I31" s="55">
        <f t="shared" si="1"/>
        <v>130</v>
      </c>
      <c r="J31" s="57">
        <f>VLOOKUP($C$24&amp;$D31,'HP Database'!$C$2:$I$31,4,FALSE)</f>
        <v>0.39</v>
      </c>
      <c r="K31" s="55">
        <f t="shared" si="2"/>
        <v>-4.000000000000001E-3</v>
      </c>
      <c r="L31" s="57">
        <f>VLOOKUP($C$24&amp;$D31,'HP Database'!$C$2:$I$31,5,FALSE)</f>
        <v>1.65</v>
      </c>
      <c r="M31" s="55">
        <f t="shared" si="3"/>
        <v>-1.9999999999999997E-2</v>
      </c>
      <c r="N31" s="57">
        <f>VLOOKUP($C$24&amp;$D31,'HP Database'!$C$2:$I$31,6,FALSE)</f>
        <v>4.13</v>
      </c>
      <c r="O31" s="55">
        <f t="shared" si="4"/>
        <v>0.13850000000000001</v>
      </c>
      <c r="P31" s="57">
        <f>VLOOKUP($C$24&amp;$D31,'HP Database'!$C$2:$I$31,7,FALSE)</f>
        <v>3.8</v>
      </c>
      <c r="Q31" s="55">
        <f t="shared" si="5"/>
        <v>9.1499999999999998E-2</v>
      </c>
    </row>
    <row r="32" spans="2:23" ht="15.75" customHeight="1" x14ac:dyDescent="0.25">
      <c r="B32" s="32"/>
      <c r="C32" s="90"/>
      <c r="D32" s="89">
        <v>28</v>
      </c>
      <c r="E32" s="56">
        <v>5</v>
      </c>
      <c r="F32" s="54">
        <f>VLOOKUP($C$24&amp;'HP Calcs'!$D32,'HP Database'!$C$2:$I$31,2,FALSE)</f>
        <v>7300</v>
      </c>
      <c r="G32" s="55">
        <f t="shared" si="0"/>
        <v>-57.142857142857146</v>
      </c>
      <c r="H32" s="54">
        <f>VLOOKUP($C$24&amp;$D32,'HP Database'!$C$2:$I$31,3,FALSE)</f>
        <v>24000</v>
      </c>
      <c r="I32" s="55">
        <f t="shared" si="1"/>
        <v>-171.42857142857142</v>
      </c>
      <c r="J32" s="57">
        <f>VLOOKUP($C$24&amp;$D32,'HP Database'!$C$2:$I$31,4,FALSE)</f>
        <v>0.31</v>
      </c>
      <c r="K32" s="55">
        <f t="shared" si="2"/>
        <v>1.142857142857143E-2</v>
      </c>
      <c r="L32" s="57">
        <f>VLOOKUP($C$24&amp;$D32,'HP Database'!$C$2:$I$31,5,FALSE)</f>
        <v>1.25</v>
      </c>
      <c r="M32" s="55">
        <f t="shared" si="3"/>
        <v>3.1428571428571424E-2</v>
      </c>
      <c r="N32" s="57">
        <f>VLOOKUP($C$24&amp;$D32,'HP Database'!$C$2:$I$31,6,FALSE)</f>
        <v>6.9</v>
      </c>
      <c r="O32" s="55">
        <f t="shared" si="4"/>
        <v>-0.24428571428571427</v>
      </c>
      <c r="P32" s="57">
        <f>VLOOKUP($C$24&amp;$D32,'HP Database'!$C$2:$I$31,7,FALSE)</f>
        <v>5.63</v>
      </c>
      <c r="Q32" s="55">
        <f t="shared" si="5"/>
        <v>-0.1542857142857143</v>
      </c>
    </row>
    <row r="33" spans="2:23" ht="15.75" customHeight="1" x14ac:dyDescent="0.25">
      <c r="B33" s="32"/>
      <c r="D33" s="54">
        <v>35</v>
      </c>
      <c r="E33" s="56">
        <v>6</v>
      </c>
      <c r="F33" s="54">
        <f>VLOOKUP($C$24&amp;'HP Calcs'!$D33,'HP Database'!$C$2:$I$31,2,FALSE)</f>
        <v>6900</v>
      </c>
      <c r="G33" s="55">
        <f t="shared" si="0"/>
        <v>197.14285714285714</v>
      </c>
      <c r="H33" s="54">
        <f>VLOOKUP($C$24&amp;$D33,'HP Database'!$C$2:$I$31,3,FALSE)</f>
        <v>22800</v>
      </c>
      <c r="I33" s="55">
        <f t="shared" si="1"/>
        <v>651.42857142857144</v>
      </c>
      <c r="J33" s="57">
        <f>VLOOKUP($C$24&amp;$D33,'HP Database'!$C$2:$I$31,4,FALSE)</f>
        <v>0.39</v>
      </c>
      <c r="K33" s="55">
        <f t="shared" si="2"/>
        <v>1.1142857142857144E-2</v>
      </c>
      <c r="L33" s="57">
        <f>VLOOKUP($C$24&amp;$D33,'HP Database'!$C$2:$I$31,5,FALSE)</f>
        <v>1.47</v>
      </c>
      <c r="M33" s="55">
        <f t="shared" si="3"/>
        <v>4.2000000000000003E-2</v>
      </c>
      <c r="N33" s="57">
        <f>VLOOKUP($C$24&amp;$D33,'HP Database'!$C$2:$I$31,6,FALSE)</f>
        <v>5.19</v>
      </c>
      <c r="O33" s="55">
        <f t="shared" si="4"/>
        <v>0.1482857142857143</v>
      </c>
      <c r="P33" s="57">
        <f>VLOOKUP($C$24&amp;$D33,'HP Database'!$C$2:$I$31,7,FALSE)</f>
        <v>4.55</v>
      </c>
      <c r="Q33" s="55">
        <f t="shared" si="5"/>
        <v>0.13</v>
      </c>
    </row>
    <row r="34" spans="2:23" ht="15.75" customHeight="1" x14ac:dyDescent="0.3">
      <c r="B34" s="32"/>
      <c r="J34" s="2"/>
      <c r="K34" s="2"/>
      <c r="W34" s="41"/>
    </row>
    <row r="35" spans="2:23" ht="15.75" customHeight="1" x14ac:dyDescent="0.3">
      <c r="B35" s="32"/>
      <c r="C35" s="421" t="s">
        <v>21</v>
      </c>
      <c r="D35" s="422"/>
      <c r="E35" s="48">
        <f>SUMIF('HP Table'!H2:H74,"&lt;"&amp;'HP Calcs'!D4,'HP Table'!J2:J74)</f>
        <v>7223</v>
      </c>
      <c r="F35" s="1" t="s">
        <v>22</v>
      </c>
      <c r="I35" s="47"/>
      <c r="J35" s="425" t="s">
        <v>85</v>
      </c>
      <c r="K35" s="425"/>
      <c r="L35" s="70">
        <f>SUMIF('HP Table'!H2:H74,"&gt;"&amp;'HP Calcs'!$D$5,'HP Table'!J2:J74)</f>
        <v>341</v>
      </c>
      <c r="W35" s="41"/>
    </row>
    <row r="36" spans="2:23" ht="15.75" customHeight="1" x14ac:dyDescent="0.3">
      <c r="B36" s="32"/>
      <c r="C36" s="421" t="s">
        <v>86</v>
      </c>
      <c r="D36" s="422"/>
      <c r="E36" s="48">
        <f>C12/E35</f>
        <v>2624.4313844632129</v>
      </c>
      <c r="F36" s="86"/>
      <c r="J36" s="425" t="s">
        <v>87</v>
      </c>
      <c r="K36" s="425"/>
      <c r="L36" s="314">
        <f>C16/L35</f>
        <v>1973.3359820245632</v>
      </c>
      <c r="W36" s="41"/>
    </row>
    <row r="37" spans="2:23" ht="15.75" customHeight="1" x14ac:dyDescent="0.3">
      <c r="B37" s="32"/>
      <c r="C37" s="421" t="s">
        <v>23</v>
      </c>
      <c r="D37" s="422"/>
      <c r="E37" s="71" cm="1">
        <f t="array" ref="E37">VLOOKUP(MIN(IF('HP Table'!B2:B74&gt;0,'HP Table'!B2:B74)),'HP Table'!B2:P74,7,FALSE)</f>
        <v>-32</v>
      </c>
      <c r="F37" s="87" t="s">
        <v>24</v>
      </c>
      <c r="J37" s="313" t="s">
        <v>25</v>
      </c>
      <c r="K37" s="313"/>
      <c r="L37" s="315">
        <f>H32</f>
        <v>24000</v>
      </c>
      <c r="W37" s="41"/>
    </row>
    <row r="38" spans="2:23" ht="15.75" customHeight="1" x14ac:dyDescent="0.3">
      <c r="B38" s="32"/>
      <c r="C38" s="421" t="s">
        <v>25</v>
      </c>
      <c r="D38" s="422"/>
      <c r="E38" s="72">
        <f>H28</f>
        <v>14300</v>
      </c>
      <c r="F38" s="40" t="s">
        <v>26</v>
      </c>
      <c r="J38" s="313" t="s">
        <v>27</v>
      </c>
      <c r="K38" s="313"/>
      <c r="L38" s="316">
        <f>L37/E6</f>
        <v>8.5986355564945143</v>
      </c>
      <c r="W38" s="41"/>
    </row>
    <row r="39" spans="2:23" ht="15.75" customHeight="1" x14ac:dyDescent="0.3">
      <c r="B39" s="32"/>
      <c r="C39" s="421" t="s">
        <v>27</v>
      </c>
      <c r="D39" s="422"/>
      <c r="E39" s="216">
        <f>E38/E3</f>
        <v>1.7751219646875032</v>
      </c>
      <c r="J39" s="313" t="s">
        <v>88</v>
      </c>
      <c r="K39" s="313"/>
      <c r="L39" s="317">
        <f>C16</f>
        <v>672907.56987037603</v>
      </c>
      <c r="W39" s="41"/>
    </row>
    <row r="40" spans="2:23" ht="13" x14ac:dyDescent="0.3">
      <c r="B40" s="32"/>
      <c r="C40" s="421" t="s">
        <v>28</v>
      </c>
      <c r="D40" s="422"/>
      <c r="E40" s="74">
        <f>C12</f>
        <v>18956267.889977787</v>
      </c>
      <c r="F40" s="40"/>
      <c r="J40" s="313" t="s">
        <v>89</v>
      </c>
      <c r="K40" s="313"/>
      <c r="L40" s="315">
        <f>SUMIFS('HP Table'!L55:L74,'HP Table'!G55:G74,"&gt;0")</f>
        <v>672907.56987037603</v>
      </c>
      <c r="W40" s="41"/>
    </row>
    <row r="41" spans="2:23" ht="13" x14ac:dyDescent="0.3">
      <c r="B41" s="32"/>
      <c r="C41" s="421" t="s">
        <v>29</v>
      </c>
      <c r="D41" s="422"/>
      <c r="E41" s="74">
        <f>SUMIFS('HP Table'!L2:L54,'HP Table'!G2:G54,"&gt;0")</f>
        <v>18923373.436622888</v>
      </c>
      <c r="J41" s="313" t="s">
        <v>90</v>
      </c>
      <c r="K41" s="313"/>
      <c r="L41" s="316">
        <f>L40/L39</f>
        <v>1</v>
      </c>
      <c r="W41" s="41"/>
    </row>
    <row r="42" spans="2:23" ht="13" x14ac:dyDescent="0.3">
      <c r="B42" s="32"/>
      <c r="C42" s="419" t="s">
        <v>30</v>
      </c>
      <c r="D42" s="420"/>
      <c r="E42" s="225">
        <f>E41/E40</f>
        <v>0.99826471890216906</v>
      </c>
      <c r="J42" s="313" t="s">
        <v>91</v>
      </c>
      <c r="K42" s="313"/>
      <c r="L42" s="317">
        <f>L39-L40</f>
        <v>0</v>
      </c>
      <c r="W42" s="41"/>
    </row>
    <row r="43" spans="2:23" ht="13" x14ac:dyDescent="0.3">
      <c r="B43" s="32"/>
      <c r="C43" s="421" t="s">
        <v>31</v>
      </c>
      <c r="D43" s="422"/>
      <c r="E43" s="74">
        <f>E40-E41</f>
        <v>32894.45335489884</v>
      </c>
      <c r="F43" s="88"/>
      <c r="J43" s="313" t="s">
        <v>92</v>
      </c>
      <c r="K43" s="313"/>
      <c r="L43" s="70"/>
      <c r="W43" s="41"/>
    </row>
    <row r="44" spans="2:23" ht="17.25" customHeight="1" x14ac:dyDescent="0.3">
      <c r="B44" s="32"/>
      <c r="C44" s="421" t="s">
        <v>32</v>
      </c>
      <c r="D44" s="422"/>
      <c r="E44" s="70">
        <f>SUMIFS('HP Table'!J2:J74,'HP Table'!H2:H74,"&lt;="&amp;'HP Calcs'!D4,'HP Table'!G2:G74,0)</f>
        <v>233</v>
      </c>
      <c r="J44" s="313" t="s">
        <v>93</v>
      </c>
      <c r="K44" s="313"/>
      <c r="L44" s="70"/>
      <c r="W44" s="41"/>
    </row>
    <row r="45" spans="2:23" ht="13" x14ac:dyDescent="0.3">
      <c r="B45" s="32"/>
      <c r="C45" s="421" t="s">
        <v>33</v>
      </c>
      <c r="D45" s="422"/>
      <c r="E45" s="73">
        <f>E43/E40</f>
        <v>1.7352810978309816E-3</v>
      </c>
      <c r="J45" s="313" t="s">
        <v>34</v>
      </c>
      <c r="K45" s="313"/>
      <c r="L45" s="70"/>
      <c r="W45" s="41"/>
    </row>
    <row r="46" spans="2:23" ht="15.75" customHeight="1" x14ac:dyDescent="0.3">
      <c r="B46" s="32"/>
      <c r="C46" s="421" t="s">
        <v>34</v>
      </c>
      <c r="D46" s="422"/>
      <c r="E46" s="75">
        <f>SUM('HP Table'!E2:E74)</f>
        <v>0</v>
      </c>
      <c r="F46" s="47"/>
      <c r="J46" s="313" t="s">
        <v>35</v>
      </c>
      <c r="K46" s="313"/>
      <c r="L46" s="70"/>
      <c r="W46" s="41"/>
    </row>
    <row r="47" spans="2:23" ht="15.75" customHeight="1" x14ac:dyDescent="0.3">
      <c r="B47" s="32"/>
      <c r="C47" s="427" t="s">
        <v>35</v>
      </c>
      <c r="D47" s="428"/>
      <c r="E47" s="215">
        <f>E46/SUM('HP Table'!J2:J86)</f>
        <v>0</v>
      </c>
      <c r="J47" s="313" t="s">
        <v>36</v>
      </c>
      <c r="K47" s="313"/>
      <c r="L47" s="70"/>
      <c r="W47" s="41"/>
    </row>
    <row r="48" spans="2:23" ht="15.75" customHeight="1" x14ac:dyDescent="0.3">
      <c r="B48" s="32"/>
      <c r="C48" s="421" t="s">
        <v>36</v>
      </c>
      <c r="D48" s="422"/>
      <c r="E48" s="75">
        <f>SUM('HP Table'!F2:F74)</f>
        <v>7560</v>
      </c>
      <c r="J48" s="425" t="s">
        <v>37</v>
      </c>
      <c r="K48" s="425"/>
      <c r="L48" s="70"/>
      <c r="W48" s="41"/>
    </row>
    <row r="49" spans="2:23" ht="15.75" customHeight="1" x14ac:dyDescent="0.3">
      <c r="B49" s="32"/>
      <c r="C49" s="419" t="s">
        <v>37</v>
      </c>
      <c r="D49" s="420"/>
      <c r="E49" s="225">
        <f>E48/SUM('HP Table'!J2:J74)</f>
        <v>0.86301369863013699</v>
      </c>
      <c r="W49" s="41"/>
    </row>
    <row r="50" spans="2:23" ht="15.75" customHeight="1" thickBot="1" x14ac:dyDescent="0.3">
      <c r="B50" s="33"/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4"/>
    </row>
    <row r="51" spans="2:23" ht="15.75" customHeight="1" thickBot="1" x14ac:dyDescent="0.3"/>
    <row r="52" spans="2:23" ht="15.75" customHeight="1" thickBot="1" x14ac:dyDescent="0.35">
      <c r="B52" s="34" t="s">
        <v>183</v>
      </c>
      <c r="C52" s="38" t="s">
        <v>172</v>
      </c>
      <c r="D52" s="39"/>
      <c r="E52" s="167">
        <f>C10-((B53-'User Inputs'!G16)*C10)</f>
        <v>44.934041814394888</v>
      </c>
      <c r="G52" s="31" t="str">
        <f>B52</f>
        <v>High Efficiency Furnace Upgade</v>
      </c>
      <c r="H52" s="50"/>
      <c r="I52" s="50"/>
      <c r="J52" s="51"/>
      <c r="L52" s="94"/>
      <c r="M52" s="94"/>
      <c r="N52" s="94"/>
      <c r="O52" s="94"/>
      <c r="P52" s="94"/>
      <c r="Q52" s="94"/>
    </row>
    <row r="53" spans="2:23" ht="15.75" customHeight="1" thickBot="1" x14ac:dyDescent="0.3">
      <c r="B53" s="189">
        <v>0.97</v>
      </c>
      <c r="C53" s="87" t="s">
        <v>173</v>
      </c>
      <c r="D53" s="87"/>
      <c r="E53" s="36">
        <f>E52*'Conversion Factors'!C27</f>
        <v>2375.9760038871582</v>
      </c>
      <c r="G53" s="32"/>
      <c r="H53" s="40" t="s">
        <v>174</v>
      </c>
      <c r="J53" s="96">
        <f>'User Inputs'!N3</f>
        <v>8000</v>
      </c>
      <c r="M53" s="95"/>
      <c r="N53" s="95"/>
      <c r="O53" s="47"/>
      <c r="P53" s="79"/>
      <c r="Q53" s="95"/>
    </row>
    <row r="54" spans="2:23" ht="15.75" customHeight="1" x14ac:dyDescent="0.3">
      <c r="B54" s="35"/>
      <c r="C54" s="248" t="s">
        <v>266</v>
      </c>
      <c r="D54" s="39"/>
      <c r="E54" s="172">
        <f>(C10-E52)+C14</f>
        <v>0.70995786066743927</v>
      </c>
      <c r="G54" s="66"/>
      <c r="H54" s="40" t="s">
        <v>98</v>
      </c>
      <c r="J54" s="96">
        <f>C10*'Conversion Factors'!N20</f>
        <v>898.68083628789782</v>
      </c>
      <c r="M54" s="95"/>
      <c r="N54" s="95"/>
      <c r="O54" s="47"/>
      <c r="P54" s="79"/>
      <c r="Q54" s="95"/>
    </row>
    <row r="55" spans="2:23" ht="15.75" customHeight="1" thickBot="1" x14ac:dyDescent="0.35">
      <c r="B55" s="190"/>
      <c r="C55" s="173" t="s">
        <v>267</v>
      </c>
      <c r="D55" s="42"/>
      <c r="E55" s="43">
        <f>E54*'Conversion Factors'!C27</f>
        <v>37.540420861417104</v>
      </c>
      <c r="G55" s="32"/>
      <c r="H55" s="40" t="s">
        <v>179</v>
      </c>
      <c r="J55" s="96">
        <f>(C14*'Conversion Factors'!M5)*'Conversion Factors'!N21</f>
        <v>59.163202386143979</v>
      </c>
      <c r="M55" s="95"/>
      <c r="N55" s="95"/>
      <c r="O55" s="47"/>
      <c r="P55" s="79"/>
      <c r="Q55" s="95"/>
    </row>
    <row r="56" spans="2:23" ht="15.75" customHeight="1" x14ac:dyDescent="0.3">
      <c r="B56" s="2"/>
      <c r="C56" s="40"/>
      <c r="E56" s="188"/>
      <c r="G56" s="32"/>
      <c r="H56" s="40" t="s">
        <v>180</v>
      </c>
      <c r="J56" s="97">
        <f>(E52*'Conversion Factors'!N20)+J55</f>
        <v>957.84403867404183</v>
      </c>
      <c r="L56" s="40"/>
      <c r="M56" s="95"/>
      <c r="N56" s="95"/>
      <c r="O56" s="47"/>
      <c r="P56" s="79"/>
      <c r="Q56" s="95"/>
      <c r="W56" s="95"/>
    </row>
    <row r="57" spans="2:23" ht="15.75" customHeight="1" x14ac:dyDescent="0.3">
      <c r="B57" s="2"/>
      <c r="C57" s="40"/>
      <c r="E57" s="188"/>
      <c r="G57" s="32"/>
      <c r="H57" t="s">
        <v>99</v>
      </c>
      <c r="J57" s="97">
        <f>(J54+J55)-J56</f>
        <v>0</v>
      </c>
      <c r="W57" s="95"/>
    </row>
    <row r="58" spans="2:23" ht="15.75" customHeight="1" thickBot="1" x14ac:dyDescent="0.35">
      <c r="B58" s="2"/>
      <c r="C58" s="40"/>
      <c r="E58" s="188"/>
      <c r="G58" s="33"/>
      <c r="H58" s="42" t="s">
        <v>100</v>
      </c>
      <c r="I58" s="42"/>
      <c r="J58" s="370" t="e">
        <f>SUM(J53:J53)/J57</f>
        <v>#DIV/0!</v>
      </c>
      <c r="V58" s="360"/>
    </row>
    <row r="59" spans="2:23" ht="15.75" customHeight="1" x14ac:dyDescent="0.3">
      <c r="B59" s="2"/>
      <c r="C59" s="40"/>
      <c r="E59" s="188"/>
      <c r="L59" s="94"/>
      <c r="M59" s="94"/>
      <c r="O59" s="94"/>
    </row>
    <row r="60" spans="2:23" ht="15.75" customHeight="1" x14ac:dyDescent="0.3">
      <c r="B60" s="2"/>
      <c r="C60" s="40"/>
      <c r="E60" s="188"/>
    </row>
    <row r="61" spans="2:23" ht="15.75" customHeight="1" thickBot="1" x14ac:dyDescent="0.3"/>
    <row r="62" spans="2:23" ht="15.75" customHeight="1" x14ac:dyDescent="0.3">
      <c r="B62" s="34" t="s">
        <v>214</v>
      </c>
      <c r="C62" s="38" t="s">
        <v>38</v>
      </c>
      <c r="D62" s="39"/>
      <c r="E62" s="167">
        <f>SUM('HP Table'!$D$2:$D$74)</f>
        <v>2399.1423104213395</v>
      </c>
      <c r="F62" s="78"/>
      <c r="G62" s="31" t="str">
        <f>B62</f>
        <v>Heat Pump + HEF</v>
      </c>
      <c r="H62" s="50"/>
      <c r="I62" s="50"/>
      <c r="J62" s="51"/>
    </row>
    <row r="63" spans="2:23" ht="15.75" customHeight="1" x14ac:dyDescent="0.3">
      <c r="B63" s="32"/>
      <c r="C63" s="87" t="s">
        <v>39</v>
      </c>
      <c r="D63" s="170"/>
      <c r="E63" s="37">
        <f>(E62/277.778)</f>
        <v>8.6369054079924954</v>
      </c>
      <c r="G63" s="32"/>
      <c r="H63" s="355" t="s">
        <v>339</v>
      </c>
      <c r="I63" s="354"/>
      <c r="J63" s="96">
        <f>'User Inputs'!N4</f>
        <v>10000</v>
      </c>
    </row>
    <row r="64" spans="2:23" ht="15.75" customHeight="1" x14ac:dyDescent="0.3">
      <c r="B64" s="35"/>
      <c r="C64" s="87" t="s">
        <v>40</v>
      </c>
      <c r="D64" s="87"/>
      <c r="E64" s="36">
        <f>E63*'Conversion Factors'!C9</f>
        <v>1415.492830754326</v>
      </c>
      <c r="G64" s="66"/>
      <c r="H64" s="355" t="s">
        <v>98</v>
      </c>
      <c r="I64" s="354"/>
      <c r="J64" s="96">
        <f>J54</f>
        <v>898.68083628789782</v>
      </c>
    </row>
    <row r="65" spans="2:27" ht="15.75" customHeight="1" x14ac:dyDescent="0.25">
      <c r="B65" s="35"/>
      <c r="C65" s="87" t="s">
        <v>41</v>
      </c>
      <c r="D65" s="87"/>
      <c r="E65" s="37">
        <f>(E43*'Conversion Factors'!M4)/B53</f>
        <v>3.5778991707855229E-2</v>
      </c>
      <c r="F65" s="40"/>
      <c r="G65" s="32"/>
      <c r="H65" s="355" t="s">
        <v>179</v>
      </c>
      <c r="I65" s="354"/>
      <c r="J65" s="96">
        <f>(C14*'Conversion Factors'!M5)*'Conversion Factors'!N21</f>
        <v>59.163202386143979</v>
      </c>
    </row>
    <row r="66" spans="2:27" ht="15.75" customHeight="1" x14ac:dyDescent="0.25">
      <c r="B66" s="35"/>
      <c r="C66" s="87" t="s">
        <v>42</v>
      </c>
      <c r="D66" s="87"/>
      <c r="E66" s="36">
        <f>E65*'Conversion Factors'!C27</f>
        <v>1.8918846893917336</v>
      </c>
      <c r="G66" s="32"/>
      <c r="H66" s="355" t="s">
        <v>180</v>
      </c>
      <c r="I66" s="354"/>
      <c r="J66" s="97">
        <f>(E65*'Conversion Factors'!N20)+(E62*'Conversion Factors'!N21)</f>
        <v>720.45827296055893</v>
      </c>
    </row>
    <row r="67" spans="2:27" ht="15.75" customHeight="1" x14ac:dyDescent="0.3">
      <c r="B67" s="32"/>
      <c r="C67" s="94" t="s">
        <v>160</v>
      </c>
      <c r="D67" s="94"/>
      <c r="E67" s="174">
        <f>E63+E65</f>
        <v>8.6726843997003513</v>
      </c>
      <c r="G67" s="32"/>
      <c r="H67" s="354" t="s">
        <v>99</v>
      </c>
      <c r="I67" s="354"/>
      <c r="J67" s="97">
        <f>(J64+J65)-J66</f>
        <v>237.3857657134829</v>
      </c>
    </row>
    <row r="68" spans="2:27" ht="15.75" customHeight="1" thickBot="1" x14ac:dyDescent="0.35">
      <c r="B68" s="66"/>
      <c r="C68" s="40" t="s">
        <v>94</v>
      </c>
      <c r="E68" s="281">
        <f>E64+E66</f>
        <v>1417.3847154437176</v>
      </c>
      <c r="F68" s="79"/>
      <c r="G68" s="32"/>
      <c r="H68" s="354" t="s">
        <v>100</v>
      </c>
      <c r="I68" s="354"/>
      <c r="J68" s="358">
        <f>IF(J63/J67&lt;=0,"",J63/J67)</f>
        <v>42.125524965425619</v>
      </c>
      <c r="Y68" s="79"/>
    </row>
    <row r="69" spans="2:27" ht="15.75" customHeight="1" x14ac:dyDescent="0.25">
      <c r="B69" s="32"/>
      <c r="C69" s="171" t="s">
        <v>95</v>
      </c>
      <c r="D69" s="39"/>
      <c r="E69" s="172">
        <f>(C10+C14)-E67</f>
        <v>36.971315275361974</v>
      </c>
      <c r="G69" s="32"/>
      <c r="H69" s="361" t="s">
        <v>341</v>
      </c>
      <c r="I69" s="354"/>
      <c r="J69" s="97">
        <f>SUM(Table1[Electricity or Natural Gas?])</f>
        <v>422.81278657933143</v>
      </c>
    </row>
    <row r="70" spans="2:27" ht="15.75" customHeight="1" thickBot="1" x14ac:dyDescent="0.35">
      <c r="B70" s="33"/>
      <c r="C70" s="173" t="s">
        <v>96</v>
      </c>
      <c r="D70" s="42"/>
      <c r="E70" s="43">
        <f>C19-E68</f>
        <v>1074.9454933861598</v>
      </c>
      <c r="G70" s="32"/>
      <c r="H70" s="356" t="s">
        <v>337</v>
      </c>
      <c r="I70" s="354"/>
      <c r="J70" s="97">
        <f>J64-SUM(Table1[Electricity or Natural Gas?])</f>
        <v>475.86804970856639</v>
      </c>
    </row>
    <row r="71" spans="2:27" ht="15.75" customHeight="1" thickBot="1" x14ac:dyDescent="0.3">
      <c r="G71" s="33"/>
      <c r="H71" s="359" t="s">
        <v>338</v>
      </c>
      <c r="I71" s="42"/>
      <c r="J71" s="43">
        <f>IF(J63/J70&lt;=0,"",J63/J70)</f>
        <v>21.014228642003289</v>
      </c>
      <c r="Y71" s="169"/>
      <c r="Z71" s="168"/>
      <c r="AA71" s="168"/>
    </row>
    <row r="72" spans="2:27" ht="15.75" customHeight="1" thickBot="1" x14ac:dyDescent="0.3">
      <c r="B72" s="417" t="s">
        <v>213</v>
      </c>
      <c r="C72" s="38" t="s">
        <v>38</v>
      </c>
      <c r="D72" s="39"/>
      <c r="E72" s="167">
        <f>SUM('HP Table'!$D$2:$D$74)</f>
        <v>2399.1423104213395</v>
      </c>
      <c r="Y72" s="95"/>
      <c r="Z72" s="95"/>
      <c r="AA72" s="95"/>
    </row>
    <row r="73" spans="2:27" ht="15.75" customHeight="1" x14ac:dyDescent="0.3">
      <c r="B73" s="418"/>
      <c r="C73" s="87" t="s">
        <v>39</v>
      </c>
      <c r="D73" s="170"/>
      <c r="E73" s="37">
        <f>(E72/277.778)</f>
        <v>8.6369054079924954</v>
      </c>
      <c r="G73" s="31" t="str">
        <f>B72</f>
        <v>Heat Pump + HEF + Solar PV</v>
      </c>
      <c r="H73" s="50"/>
      <c r="I73" s="50"/>
      <c r="J73" s="51"/>
    </row>
    <row r="74" spans="2:27" ht="15.75" customHeight="1" x14ac:dyDescent="0.3">
      <c r="B74" s="181"/>
      <c r="C74" s="87" t="s">
        <v>163</v>
      </c>
      <c r="D74" s="170"/>
      <c r="E74" s="37">
        <f>'User Inputs'!I16/'Conversion Factors'!M5</f>
        <v>19.295984563212347</v>
      </c>
      <c r="G74" s="32"/>
      <c r="H74" s="355" t="s">
        <v>339</v>
      </c>
      <c r="I74" s="354"/>
      <c r="J74" s="96">
        <f>'User Inputs'!N4</f>
        <v>10000</v>
      </c>
    </row>
    <row r="75" spans="2:27" ht="15.75" customHeight="1" x14ac:dyDescent="0.3">
      <c r="B75" s="181"/>
      <c r="C75" s="87" t="s">
        <v>165</v>
      </c>
      <c r="D75" s="170"/>
      <c r="E75" s="37">
        <f>E73-E74</f>
        <v>-10.659079155219851</v>
      </c>
      <c r="G75" s="66"/>
      <c r="H75" s="355" t="s">
        <v>97</v>
      </c>
      <c r="I75" s="357"/>
      <c r="J75" s="96">
        <f>'User Inputs'!N5</f>
        <v>12000</v>
      </c>
    </row>
    <row r="76" spans="2:27" ht="15.75" customHeight="1" x14ac:dyDescent="0.25">
      <c r="B76" s="35"/>
      <c r="C76" s="87" t="s">
        <v>164</v>
      </c>
      <c r="D76" s="87"/>
      <c r="E76" s="175">
        <f>E75*'Conversion Factors'!C9</f>
        <v>-1746.9046393276981</v>
      </c>
      <c r="G76" s="32"/>
      <c r="H76" s="355" t="s">
        <v>98</v>
      </c>
      <c r="I76" s="354"/>
      <c r="J76" s="96">
        <f>J64</f>
        <v>898.68083628789782</v>
      </c>
    </row>
    <row r="77" spans="2:27" ht="15.75" customHeight="1" x14ac:dyDescent="0.25">
      <c r="B77" s="35"/>
      <c r="C77" s="87" t="s">
        <v>41</v>
      </c>
      <c r="D77" s="87"/>
      <c r="E77" s="37">
        <f>E65</f>
        <v>3.5778991707855229E-2</v>
      </c>
      <c r="G77" s="32"/>
      <c r="H77" s="355" t="s">
        <v>179</v>
      </c>
      <c r="I77" s="354"/>
      <c r="J77" s="96">
        <f>J65</f>
        <v>59.163202386143979</v>
      </c>
    </row>
    <row r="78" spans="2:27" ht="15.75" customHeight="1" x14ac:dyDescent="0.25">
      <c r="B78" s="35"/>
      <c r="C78" s="87" t="s">
        <v>42</v>
      </c>
      <c r="D78" s="87"/>
      <c r="E78" s="36">
        <f>E77*'Conversion Factors'!C27</f>
        <v>1.8918846893917336</v>
      </c>
      <c r="G78" s="32"/>
      <c r="H78" s="355" t="s">
        <v>180</v>
      </c>
      <c r="I78" s="354"/>
      <c r="J78" s="97">
        <f>J66</f>
        <v>720.45827296055893</v>
      </c>
    </row>
    <row r="79" spans="2:27" ht="15.75" customHeight="1" x14ac:dyDescent="0.3">
      <c r="B79" s="32"/>
      <c r="C79" s="94" t="s">
        <v>160</v>
      </c>
      <c r="D79" s="94"/>
      <c r="E79" s="174">
        <f>E75+E77</f>
        <v>-10.623300163511995</v>
      </c>
      <c r="G79" s="32"/>
      <c r="H79" s="362" t="s">
        <v>342</v>
      </c>
      <c r="I79" s="354"/>
      <c r="J79" s="97">
        <f>(E74*'Conversion Factors'!M5*('Conversion Factors'!N21*0.65))</f>
        <v>1045.2</v>
      </c>
      <c r="K79" s="58" t="s">
        <v>269</v>
      </c>
    </row>
    <row r="80" spans="2:27" ht="15.75" customHeight="1" thickBot="1" x14ac:dyDescent="0.35">
      <c r="B80" s="66"/>
      <c r="C80" s="40" t="s">
        <v>94</v>
      </c>
      <c r="E80" s="176">
        <f>E76+E78</f>
        <v>-1745.0127546383064</v>
      </c>
      <c r="G80" s="363"/>
      <c r="H80" s="354" t="s">
        <v>99</v>
      </c>
      <c r="I80" s="354"/>
      <c r="J80" s="97">
        <f>(J76-(J78-J79))</f>
        <v>1223.422563327339</v>
      </c>
      <c r="K80" s="197"/>
    </row>
    <row r="81" spans="2:11" ht="15.75" customHeight="1" x14ac:dyDescent="0.3">
      <c r="B81" s="32"/>
      <c r="C81" s="171" t="s">
        <v>166</v>
      </c>
      <c r="D81" s="39"/>
      <c r="E81" s="172">
        <f>(C10+C14)-E79</f>
        <v>56.267299838574317</v>
      </c>
      <c r="G81" s="32"/>
      <c r="H81" s="357" t="s">
        <v>100</v>
      </c>
      <c r="I81" s="357"/>
      <c r="J81" s="364">
        <f>IF(SUM(J74:J75)/J80&lt;=0,"",SUM(J74:J75)/J80)</f>
        <v>17.982339593416242</v>
      </c>
      <c r="K81" s="95"/>
    </row>
    <row r="82" spans="2:11" ht="15.75" customHeight="1" thickBot="1" x14ac:dyDescent="0.35">
      <c r="B82" s="33"/>
      <c r="C82" s="173" t="s">
        <v>96</v>
      </c>
      <c r="D82" s="42"/>
      <c r="E82" s="43">
        <f>C19-E80</f>
        <v>4237.3429634681834</v>
      </c>
      <c r="G82" s="32"/>
      <c r="H82" s="361" t="s">
        <v>341</v>
      </c>
      <c r="I82" s="354"/>
      <c r="J82" s="97">
        <f>SUM(Table1[Electricity or Natural Gas?])</f>
        <v>422.81278657933143</v>
      </c>
    </row>
    <row r="83" spans="2:11" ht="15.75" customHeight="1" x14ac:dyDescent="0.25">
      <c r="G83" s="32"/>
      <c r="H83" s="362" t="s">
        <v>342</v>
      </c>
      <c r="I83" s="354"/>
      <c r="J83" s="97">
        <f>(E74*'Conversion Factors'!M5*('Conversion Factors'!N21*0.65))</f>
        <v>1045.2</v>
      </c>
    </row>
    <row r="84" spans="2:11" ht="15.75" customHeight="1" x14ac:dyDescent="0.25">
      <c r="G84" s="365"/>
      <c r="H84" s="356" t="s">
        <v>337</v>
      </c>
      <c r="I84" s="354"/>
      <c r="J84" s="97">
        <f>J76-(J82-J83)</f>
        <v>1521.0680497085664</v>
      </c>
    </row>
    <row r="85" spans="2:11" ht="15.75" customHeight="1" thickBot="1" x14ac:dyDescent="0.35">
      <c r="G85" s="366"/>
      <c r="H85" s="367" t="s">
        <v>338</v>
      </c>
      <c r="I85" s="182"/>
      <c r="J85" s="368">
        <f>(J74+J75)/J84</f>
        <v>14.463521210780252</v>
      </c>
    </row>
  </sheetData>
  <mergeCells count="21">
    <mergeCell ref="J48:K48"/>
    <mergeCell ref="J36:K36"/>
    <mergeCell ref="B14:B15"/>
    <mergeCell ref="J35:K35"/>
    <mergeCell ref="C46:D46"/>
    <mergeCell ref="C47:D47"/>
    <mergeCell ref="C48:D48"/>
    <mergeCell ref="B72:B73"/>
    <mergeCell ref="C49:D49"/>
    <mergeCell ref="C44:D44"/>
    <mergeCell ref="C45:D45"/>
    <mergeCell ref="B10:B11"/>
    <mergeCell ref="C40:D40"/>
    <mergeCell ref="C41:D41"/>
    <mergeCell ref="C42:D42"/>
    <mergeCell ref="C43:D43"/>
    <mergeCell ref="C35:D35"/>
    <mergeCell ref="C36:D36"/>
    <mergeCell ref="C37:D37"/>
    <mergeCell ref="C38:D38"/>
    <mergeCell ref="C39:D39"/>
  </mergeCells>
  <conditionalFormatting sqref="E70">
    <cfRule type="cellIs" dxfId="34" priority="5" operator="lessThan">
      <formula>0</formula>
    </cfRule>
    <cfRule type="cellIs" dxfId="33" priority="6" operator="greaterThan">
      <formula>0</formula>
    </cfRule>
  </conditionalFormatting>
  <conditionalFormatting sqref="E82">
    <cfRule type="cellIs" dxfId="32" priority="3" operator="lessThan">
      <formula>0</formula>
    </cfRule>
    <cfRule type="cellIs" dxfId="31" priority="4" operator="greaterThan">
      <formula>0</formula>
    </cfRule>
  </conditionalFormatting>
  <conditionalFormatting sqref="E55">
    <cfRule type="cellIs" dxfId="30" priority="1" operator="lessThan">
      <formula>0</formula>
    </cfRule>
    <cfRule type="cellIs" dxfId="29" priority="2" operator="greaterThan">
      <formula>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SolveNatGasMatch">
                <anchor moveWithCells="1" sizeWithCells="1">
                  <from>
                    <xdr:col>7</xdr:col>
                    <xdr:colOff>114300</xdr:colOff>
                    <xdr:row>8</xdr:row>
                    <xdr:rowOff>203200</xdr:rowOff>
                  </from>
                  <to>
                    <xdr:col>9</xdr:col>
                    <xdr:colOff>723900</xdr:colOff>
                    <xdr:row>11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SolveElecMatch">
                <anchor moveWithCells="1" sizeWithCells="1">
                  <from>
                    <xdr:col>7</xdr:col>
                    <xdr:colOff>88900</xdr:colOff>
                    <xdr:row>14</xdr:row>
                    <xdr:rowOff>12700</xdr:rowOff>
                  </from>
                  <to>
                    <xdr:col>9</xdr:col>
                    <xdr:colOff>190500</xdr:colOff>
                    <xdr:row>16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outlinePr summaryBelow="0" summaryRight="0"/>
  </sheetPr>
  <dimension ref="A1:AI12417"/>
  <sheetViews>
    <sheetView showGridLines="0" topLeftCell="G1" zoomScaleNormal="100" workbookViewId="0">
      <pane ySplit="1" topLeftCell="A2" activePane="bottomLeft" state="frozen"/>
      <selection pane="bottomLeft" activeCell="S1" activeCellId="1" sqref="H1:H1048576 S1:S1048576"/>
    </sheetView>
  </sheetViews>
  <sheetFormatPr defaultColWidth="12.453125" defaultRowHeight="15.75" customHeight="1" x14ac:dyDescent="0.25"/>
  <cols>
    <col min="1" max="1" width="8.26953125" customWidth="1"/>
    <col min="2" max="3" width="28.453125" customWidth="1"/>
    <col min="4" max="4" width="16.453125" customWidth="1"/>
    <col min="5" max="5" width="18" customWidth="1"/>
    <col min="6" max="6" width="16.81640625" customWidth="1"/>
    <col min="7" max="7" width="28.81640625" customWidth="1"/>
    <col min="8" max="8" width="14.1796875" customWidth="1"/>
    <col min="9" max="9" width="17.1796875" customWidth="1"/>
    <col min="11" max="11" width="25.453125" customWidth="1"/>
    <col min="12" max="12" width="34.1796875" customWidth="1"/>
    <col min="13" max="13" width="31.453125" customWidth="1"/>
    <col min="14" max="14" width="30" customWidth="1"/>
    <col min="15" max="15" width="13.453125" customWidth="1"/>
    <col min="17" max="17" width="12.453125" style="78" customWidth="1"/>
    <col min="18" max="19" width="14.81640625" style="78" customWidth="1"/>
    <col min="20" max="22" width="18.81640625" style="78" customWidth="1"/>
    <col min="23" max="23" width="14.81640625" style="78" customWidth="1"/>
    <col min="24" max="24" width="14.81640625" style="333" customWidth="1"/>
    <col min="25" max="26" width="14.81640625" style="78" customWidth="1"/>
    <col min="27" max="28" width="14.81640625" style="333" customWidth="1"/>
  </cols>
  <sheetData>
    <row r="1" spans="1:35" ht="15.75" customHeight="1" x14ac:dyDescent="0.35">
      <c r="A1" s="40" t="s">
        <v>340</v>
      </c>
      <c r="B1" s="161" t="s">
        <v>23</v>
      </c>
      <c r="C1" s="161" t="s">
        <v>43</v>
      </c>
      <c r="D1" s="161" t="s">
        <v>44</v>
      </c>
      <c r="E1" s="161" t="s">
        <v>45</v>
      </c>
      <c r="F1" s="161" t="s">
        <v>46</v>
      </c>
      <c r="G1" s="161" t="s">
        <v>47</v>
      </c>
      <c r="H1" s="161" t="s">
        <v>48</v>
      </c>
      <c r="I1" s="161" t="s">
        <v>11</v>
      </c>
      <c r="J1" s="161" t="s">
        <v>49</v>
      </c>
      <c r="K1" s="162" t="s">
        <v>82</v>
      </c>
      <c r="L1" s="161" t="s">
        <v>218</v>
      </c>
      <c r="M1" s="161" t="s">
        <v>84</v>
      </c>
      <c r="N1" s="161" t="s">
        <v>83</v>
      </c>
      <c r="O1" s="161" t="s">
        <v>50</v>
      </c>
      <c r="P1" s="161" t="s">
        <v>51</v>
      </c>
      <c r="Q1" s="349" t="s">
        <v>327</v>
      </c>
      <c r="R1" s="350" t="s">
        <v>328</v>
      </c>
      <c r="S1" s="351" t="s">
        <v>335</v>
      </c>
      <c r="T1" s="351" t="s">
        <v>333</v>
      </c>
      <c r="U1" s="351" t="s">
        <v>346</v>
      </c>
      <c r="V1" s="351" t="s">
        <v>347</v>
      </c>
      <c r="W1" s="352" t="s">
        <v>330</v>
      </c>
      <c r="X1" s="353" t="s">
        <v>329</v>
      </c>
      <c r="Y1" s="352" t="s">
        <v>336</v>
      </c>
      <c r="Z1" s="352" t="s">
        <v>334</v>
      </c>
      <c r="AA1" s="339" t="s">
        <v>350</v>
      </c>
      <c r="AB1" s="336"/>
      <c r="AC1" s="6" t="s">
        <v>52</v>
      </c>
      <c r="AD1" s="6" t="s">
        <v>53</v>
      </c>
      <c r="AE1" s="6" t="s">
        <v>54</v>
      </c>
      <c r="AF1" s="6" t="s">
        <v>55</v>
      </c>
      <c r="AG1" s="6" t="s">
        <v>10</v>
      </c>
      <c r="AH1" s="6" t="s">
        <v>10</v>
      </c>
    </row>
    <row r="2" spans="1:35" ht="15.75" customHeight="1" x14ac:dyDescent="0.35">
      <c r="A2">
        <v>1</v>
      </c>
      <c r="B2" s="48">
        <f>IFERROR(IF(H2&lt;'HP Calcs'!$D$4,$K2-$M2,0),0)</f>
        <v>8223.6133387243171</v>
      </c>
      <c r="C2" s="48">
        <f>K2-N2</f>
        <v>8223.6133387243171</v>
      </c>
      <c r="D2" s="48">
        <f t="shared" ref="D2:D33" si="0">IFERROR((K2/N2)*P2*G2,0)</f>
        <v>0</v>
      </c>
      <c r="E2" s="48">
        <f>IFERROR(IF(H2&gt;'HP Calcs'!$D$5,IF(AND(K2&gt;M2,K2&lt;N2,H2&gt;'HP Calcs'!$D$5),J2,0),IF(AND(K2&gt;M2,K2&lt;N2,H2&lt;'HP Calcs'!$D$4),J2,0)),0)</f>
        <v>0</v>
      </c>
      <c r="F2" s="48">
        <f>IFERROR(IF(H2&gt;'HP Calcs'!$D$5,IF(AND(K2&lt;M2,H2&gt;'HP Calcs'!$D$5),J2,0),IF(AND(K2&lt;M2,H2&lt;'HP Calcs'!$D$4),J2,0)),0)</f>
        <v>0</v>
      </c>
      <c r="G2" s="48">
        <f>E2+F2</f>
        <v>0</v>
      </c>
      <c r="H2" s="48">
        <v>-32</v>
      </c>
      <c r="I2" s="49">
        <f>IFERROR(VLOOKUP(H2,'HP Calcs'!$D$26:$T$33,2),0)</f>
        <v>0</v>
      </c>
      <c r="J2" s="48">
        <f>COUNTIF($AH$2:$AH$8761,H2)</f>
        <v>4</v>
      </c>
      <c r="K2" s="49">
        <f>IF(H2&lt;'HP Calcs'!$D$4,MAX(_xlfn.FORECAST.LINEAR(H2,'HP Calcs'!$E$3:$E$4,'HP Calcs'!$D$3:$D$4),0),MAX(_xlfn.FORECAST.LINEAR(H2,'HP Calcs'!$E$5:$E$6,'HP Calcs'!$D$5:$D$6),0))</f>
        <v>8223.6133387243171</v>
      </c>
      <c r="L2" s="48">
        <f t="shared" ref="L2:L33" si="1">J2*K2</f>
        <v>32894.453354897269</v>
      </c>
      <c r="M2" s="49">
        <f>IFERROR(IF(ISNUMBER(MATCH(H2,'HP Calcs'!$D$28:$D$33,0)),VLOOKUP(H2,'HP Calcs'!$D$28:$R$33,3,FALSE),INDEX('HP Calcs'!$F$28:$F$33,MATCH(I2,'HP Calcs'!$E$28:$E$33,0))+(INDEX('HP Calcs'!$G$28:$G$33,MATCH(I2,'HP Calcs'!$E$28:$E$33,0))*(H2-(INDEX('HP Calcs'!$D$28:$D$33,MATCH(I2,'HP Calcs'!$E$28:$E$33,0)))))),0)</f>
        <v>0</v>
      </c>
      <c r="N2" s="49">
        <f>IFERROR(IF(ISNUMBER(MATCH(H2,'HP Calcs'!$D$28:$D$33,0)),VLOOKUP(H2,'HP Calcs'!$D$28:$R$33,5,FALSE),INDEX('HP Calcs'!$H$28:$H$33,MATCH(I2,'HP Calcs'!$E$28:$E$33,0))+(INDEX('HP Calcs'!$I$28:$I$33,MATCH(I2,'HP Calcs'!$E$28:$E$33,0))*(H2-(INDEX('HP Calcs'!$D$28:$D$33,MATCH(I2,'HP Calcs'!$E$28:$E$33,0)))))),0)</f>
        <v>0</v>
      </c>
      <c r="O2" s="55">
        <f>IFERROR(IF(ISNUMBER(MATCH($H2,'HP Calcs'!$D$28:$D$33,0)),VLOOKUP($H2,'HP Calcs'!$D$28:$R$33,7,FALSE),INDEX('HP Calcs'!J$28:J$33,MATCH($I2,'HP Calcs'!$E$28:$E$33,0))+(INDEX('HP Calcs'!K$28:K$33,MATCH($I2,'HP Calcs'!$E$28:$E$33,0))*($H2-(INDEX('HP Calcs'!$D$28:$D$33,MATCH($I2,'HP Calcs'!$E$28:$E$33,0)))))),0)</f>
        <v>0</v>
      </c>
      <c r="P2" s="55">
        <f>IFERROR(IF(ISNUMBER(MATCH($H2,'HP Calcs'!$D$28:$D$33,0)),VLOOKUP($H2,'HP Calcs'!$D$28:$R$33,9,FALSE),INDEX('HP Calcs'!L$28:L$33,MATCH($I2,'HP Calcs'!$E$28:$E$33,0))+(INDEX('HP Calcs'!M$28:M$33,MATCH($I2,'HP Calcs'!$E$28:$E$33,0))*($H2-(INDEX('HP Calcs'!$D$28:$D$33,MATCH($I2,'HP Calcs'!$E$28:$E$33,0)))))),0)</f>
        <v>0</v>
      </c>
      <c r="Q2" s="331">
        <f>Table1[[#This Row],[kWh]]*'Conversion Factors'!$N$21</f>
        <v>0</v>
      </c>
      <c r="R2" s="334">
        <f>IF(Table1[[#This Row],[Temperature]]&lt;='HP Calcs'!$D$4,(Table1[[#This Row],[Annual Heating/Cooling Load (btu/year)]]*'Conversion Factors'!$M$4)/'HP Calcs'!$B$53*'Conversion Factors'!$N$20,"")</f>
        <v>0.71557983415707049</v>
      </c>
      <c r="S2" s="334">
        <f>IF(MIN(Table1[[#This Row],[Cost of Electricity]:[Cost of Natural Gas]])=0,MAX(Table1[[#This Row],[Cost of Electricity]:[Cost of Natural Gas]]),MIN(Table1[[#This Row],[Cost of Electricity]:[Cost of Natural Gas]]))</f>
        <v>0.71557983415707049</v>
      </c>
      <c r="T2" s="334">
        <f>IF(Table1[[#This Row],[Electricity or Natural Gas?]]=Table1[[#This Row],[Cost of Natural Gas]],-Table1[[#This Row],[Cost of Natural Gas]],Table1[[#This Row],[Cost of Electricity]])</f>
        <v>-0.71557983415707049</v>
      </c>
      <c r="U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3.5778991707853515E-2</v>
      </c>
      <c r="V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1.891884689391643</v>
      </c>
      <c r="W2" s="55">
        <f>Table1[[#This Row],[kWh]]*'Conversion Factors'!$D$6*'Conversion Factors'!$C$9</f>
        <v>0</v>
      </c>
      <c r="X2" s="55">
        <f>IF(Table1[[#This Row],[Temperature]]&lt;='HP Calcs'!$D$4,(Table1[[#This Row],[Annual Heating/Cooling Load (btu/year)]])/'HP Calcs'!$B$53*'Conversion Factors'!$M$4*'Conversion Factors'!$C$27,0)</f>
        <v>1.891884689391643</v>
      </c>
      <c r="Y2" s="55">
        <f>IF(MIN(Table1[[#This Row],[Electricity Emissions]:[Natural Gas Emissions ]])=0,MAX(Table1[[#This Row],[Electricity Emissions]:[Natural Gas Emissions ]]),MIN(Table1[[#This Row],[Electricity Emissions]:[Natural Gas Emissions ]]))</f>
        <v>1.891884689391643</v>
      </c>
      <c r="Z2" s="55">
        <f>IF(Table1[[#This Row],[Electricity or Natural Gas?2]]=Table1[[#This Row],[Natural Gas Emissions ]],-Table1[[#This Row],[Natural Gas Emissions ]],Table1[[#This Row],[Electricity Emissions]])</f>
        <v>-1.891884689391643</v>
      </c>
      <c r="AA2" s="379" t="str">
        <f>IF(Table1[[#This Row],[Fuel Selector (Cost)]]&lt;0,"NG","Elec")</f>
        <v>NG</v>
      </c>
      <c r="AB2" s="337"/>
      <c r="AC2" s="7">
        <v>2022</v>
      </c>
      <c r="AD2" s="7">
        <v>1</v>
      </c>
      <c r="AE2" s="7">
        <v>1</v>
      </c>
      <c r="AF2" s="8">
        <v>0</v>
      </c>
      <c r="AG2" s="9">
        <v>-25.8</v>
      </c>
      <c r="AH2" s="10">
        <f t="shared" ref="AH2:AH9" si="2">ROUNDDOWN(AG2,0)</f>
        <v>-25</v>
      </c>
      <c r="AI2" s="149"/>
    </row>
    <row r="3" spans="1:35" ht="15.75" customHeight="1" x14ac:dyDescent="0.35">
      <c r="A3">
        <v>2</v>
      </c>
      <c r="B3" s="48">
        <f>IFERROR(IF(H3&lt;'HP Calcs'!$D$4,$K3-$M3,0),0)</f>
        <v>-6244.2155049231187</v>
      </c>
      <c r="C3" s="48">
        <f t="shared" ref="C3:C33" si="3">K3-N3</f>
        <v>-6244.2155049231187</v>
      </c>
      <c r="D3" s="48">
        <f t="shared" si="0"/>
        <v>26.240450474173507</v>
      </c>
      <c r="E3" s="48">
        <f>IFERROR(IF(H3&gt;'HP Calcs'!$D$5,IF(AND(K3&gt;M3,K3&lt;N3,H3&gt;'HP Calcs'!$D$5),J3,0),IF(AND(K3&gt;M3,K3&lt;N3,H3&lt;'HP Calcs'!$D$4),J3,0)),0)</f>
        <v>0</v>
      </c>
      <c r="F3" s="48">
        <f>IFERROR(IF(H3&gt;'HP Calcs'!$D$5,IF(AND(K3&lt;M3,H3&gt;'HP Calcs'!$D$5),J3,0),IF(AND(K3&lt;M3,H3&lt;'HP Calcs'!$D$4),J3,0)),0)</f>
        <v>17</v>
      </c>
      <c r="G3" s="48">
        <f t="shared" ref="G3:G66" si="4">E3+F3</f>
        <v>17</v>
      </c>
      <c r="H3" s="48">
        <v>-31</v>
      </c>
      <c r="I3" s="49">
        <f>IFERROR(VLOOKUP(H3,'HP Calcs'!$D$26:$T$33,2),0)</f>
        <v>1</v>
      </c>
      <c r="J3" s="48">
        <f t="shared" ref="J3:J33" si="5">COUNTIF($AH$2:$AH$8761,H3)</f>
        <v>17</v>
      </c>
      <c r="K3" s="221">
        <f>IF(H3&lt;'HP Calcs'!$D$4,MAX(_xlfn.FORECAST.LINEAR(H3,'HP Calcs'!$E$3:$E$4,'HP Calcs'!$D$3:$D$4),0),MAX(_xlfn.FORECAST.LINEAR(H3,'HP Calcs'!$E$5:$E$6,'HP Calcs'!$D$5:$D$6),0))</f>
        <v>8055.7844950768813</v>
      </c>
      <c r="L3" s="48">
        <f t="shared" si="1"/>
        <v>136948.33641630699</v>
      </c>
      <c r="M3" s="49">
        <f>IFERROR(IF(ISNUMBER(MATCH(H3,'HP Calcs'!$D$28:$D$33,0)),VLOOKUP(H3,'HP Calcs'!$D$28:$R$33,3,FALSE),INDEX('HP Calcs'!$F$28:$F$33,MATCH(I3,'HP Calcs'!$E$28:$E$33,0))+(INDEX('HP Calcs'!$G$28:$G$33,MATCH(I3,'HP Calcs'!$E$28:$E$33,0))*(H3-(INDEX('HP Calcs'!$D$28:$D$33,MATCH(I3,'HP Calcs'!$E$28:$E$33,0)))))),0)</f>
        <v>14300</v>
      </c>
      <c r="N3" s="49">
        <f>IFERROR(IF(ISNUMBER(MATCH(H3,'HP Calcs'!$D$28:$D$33,0)),VLOOKUP(H3,'HP Calcs'!$D$28:$R$33,5,FALSE),INDEX('HP Calcs'!$H$28:$H$33,MATCH(I3,'HP Calcs'!$E$28:$E$33,0))+(INDEX('HP Calcs'!$I$28:$I$33,MATCH(I3,'HP Calcs'!$E$28:$E$33,0))*(H3-(INDEX('HP Calcs'!$D$28:$D$33,MATCH(I3,'HP Calcs'!$E$28:$E$33,0)))))),0)</f>
        <v>14300</v>
      </c>
      <c r="O3" s="55">
        <f>IFERROR(IF(ISNUMBER(MATCH($H3,'HP Calcs'!$D$28:$D$33,0)),VLOOKUP($H3,'HP Calcs'!$D$28:$R$33,7,FALSE),INDEX('HP Calcs'!J$28:J$33,MATCH($I3,'HP Calcs'!$E$28:$E$33,0))+(INDEX('HP Calcs'!K$28:K$33,MATCH($I3,'HP Calcs'!$E$28:$E$33,0))*($H3-(INDEX('HP Calcs'!$D$28:$D$33,MATCH($I3,'HP Calcs'!$E$28:$E$33,0)))))),0)</f>
        <v>2.74</v>
      </c>
      <c r="P3" s="55">
        <f>IFERROR(IF(ISNUMBER(MATCH($H3,'HP Calcs'!$D$28:$D$33,0)),VLOOKUP($H3,'HP Calcs'!$D$28:$R$33,9,FALSE),INDEX('HP Calcs'!L$28:L$33,MATCH($I3,'HP Calcs'!$E$28:$E$33,0))+(INDEX('HP Calcs'!M$28:M$33,MATCH($I3,'HP Calcs'!$E$28:$E$33,0))*($H3-(INDEX('HP Calcs'!$D$28:$D$33,MATCH($I3,'HP Calcs'!$E$28:$E$33,0)))))),0)</f>
        <v>2.74</v>
      </c>
      <c r="Q3" s="331">
        <f>Table1[[#This Row],[kWh]]*'Conversion Factors'!$N$21</f>
        <v>7.872135142252052</v>
      </c>
      <c r="R3" s="334">
        <f>IF(Table1[[#This Row],[Temperature]]&lt;='HP Calcs'!$D$4,(Table1[[#This Row],[Annual Heating/Cooling Load (btu/year)]]*'Conversion Factors'!$M$4)/'HP Calcs'!$B$53*'Conversion Factors'!$N$20,"")</f>
        <v>2.9791486973069867</v>
      </c>
      <c r="S3" s="334">
        <f>IF(MIN(Table1[[#This Row],[Cost of Electricity]:[Cost of Natural Gas]])=0,MAX(Table1[[#This Row],[Cost of Electricity]:[Cost of Natural Gas]]),MIN(Table1[[#This Row],[Cost of Electricity]:[Cost of Natural Gas]]))</f>
        <v>2.9791486973069867</v>
      </c>
      <c r="T3" s="334">
        <f>IF(Table1[[#This Row],[Electricity or Natural Gas?]]=Table1[[#This Row],[Cost of Natural Gas]],-Table1[[#This Row],[Cost of Natural Gas]],Table1[[#This Row],[Cost of Electricity]])</f>
        <v>-2.9791486973069867</v>
      </c>
      <c r="U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0.14895743486534935</v>
      </c>
      <c r="V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7.8764178905284741</v>
      </c>
      <c r="W3" s="55">
        <f>Table1[[#This Row],[kWh]]*'Conversion Factors'!$D$6*'Conversion Factors'!$C$9</f>
        <v>15.481865779762371</v>
      </c>
      <c r="X3" s="55">
        <f>IF(Table1[[#This Row],[Temperature]]&lt;='HP Calcs'!$D$4,(Table1[[#This Row],[Annual Heating/Cooling Load (btu/year)]])/'HP Calcs'!$B$53*'Conversion Factors'!$M$4*'Conversion Factors'!$C$27,0)</f>
        <v>7.8764178905284741</v>
      </c>
      <c r="Y3" s="55">
        <f>IF(MIN(Table1[[#This Row],[Electricity Emissions]:[Natural Gas Emissions ]])=0,MAX(Table1[[#This Row],[Electricity Emissions]:[Natural Gas Emissions ]]),MIN(Table1[[#This Row],[Electricity Emissions]:[Natural Gas Emissions ]]))</f>
        <v>7.8764178905284741</v>
      </c>
      <c r="Z3" s="55">
        <f>IF(Table1[[#This Row],[Electricity or Natural Gas?2]]=Table1[[#This Row],[Natural Gas Emissions ]],-Table1[[#This Row],[Natural Gas Emissions ]],Table1[[#This Row],[Electricity Emissions]])</f>
        <v>-7.8764178905284741</v>
      </c>
      <c r="AA3" s="55" t="str">
        <f>IF(Table1[[#This Row],[Fuel Selector (Cost)]]&lt;0,"NG","Elec")</f>
        <v>NG</v>
      </c>
      <c r="AB3" s="337"/>
      <c r="AC3" s="7">
        <v>2022</v>
      </c>
      <c r="AD3" s="7">
        <v>1</v>
      </c>
      <c r="AE3" s="7">
        <v>1</v>
      </c>
      <c r="AF3" s="8">
        <v>4.1666666666666664E-2</v>
      </c>
      <c r="AG3" s="9">
        <v>-25.6</v>
      </c>
      <c r="AH3" s="10">
        <f t="shared" si="2"/>
        <v>-25</v>
      </c>
      <c r="AI3" s="149"/>
    </row>
    <row r="4" spans="1:35" ht="15.75" customHeight="1" x14ac:dyDescent="0.35">
      <c r="A4">
        <v>3</v>
      </c>
      <c r="B4" s="48">
        <f>IFERROR(IF(H4&lt;'HP Calcs'!$D$4,$K4-$M4,0),0)</f>
        <v>-6780.7943485705537</v>
      </c>
      <c r="C4" s="48">
        <f t="shared" si="3"/>
        <v>-6780.7943485705537</v>
      </c>
      <c r="D4" s="48">
        <f t="shared" si="0"/>
        <v>26.739060572122998</v>
      </c>
      <c r="E4" s="48">
        <f>IFERROR(IF(H4&gt;'HP Calcs'!$D$5,IF(AND(K4&gt;M4,K4&lt;N4,H4&gt;'HP Calcs'!$D$5),J4,0),IF(AND(K4&gt;M4,K4&lt;N4,H4&lt;'HP Calcs'!$D$4),J4,0)),0)</f>
        <v>0</v>
      </c>
      <c r="F4" s="48">
        <f>IFERROR(IF(H4&gt;'HP Calcs'!$D$5,IF(AND(K4&lt;M4,H4&gt;'HP Calcs'!$D$5),J4,0),IF(AND(K4&lt;M4,H4&lt;'HP Calcs'!$D$4),J4,0)),0)</f>
        <v>18</v>
      </c>
      <c r="G4" s="48">
        <f t="shared" si="4"/>
        <v>18</v>
      </c>
      <c r="H4" s="48">
        <v>-30</v>
      </c>
      <c r="I4" s="49">
        <f>IFERROR(VLOOKUP(H4,'HP Calcs'!$D$26:$T$33,2),0)</f>
        <v>1</v>
      </c>
      <c r="J4" s="48">
        <f t="shared" si="5"/>
        <v>18</v>
      </c>
      <c r="K4" s="49">
        <f>IF(H4&lt;'HP Calcs'!$D$4,MAX(_xlfn.FORECAST.LINEAR(H4,'HP Calcs'!$E$3:$E$4,'HP Calcs'!$D$3:$D$4),0),MAX(_xlfn.FORECAST.LINEAR(H4,'HP Calcs'!$E$5:$E$6,'HP Calcs'!$D$5:$D$6),0))</f>
        <v>7887.9556514294463</v>
      </c>
      <c r="L4" s="48">
        <f t="shared" si="1"/>
        <v>141983.20172573003</v>
      </c>
      <c r="M4" s="49">
        <f>IFERROR(IF(ISNUMBER(MATCH(H4,'HP Calcs'!$D$28:$D$33,0)),VLOOKUP(H4,'HP Calcs'!$D$28:$R$33,3,FALSE),INDEX('HP Calcs'!$F$28:$F$33,MATCH(I4,'HP Calcs'!$E$28:$E$33,0))+(INDEX('HP Calcs'!$G$28:$G$33,MATCH(I4,'HP Calcs'!$E$28:$E$33,0))*(H4-(INDEX('HP Calcs'!$D$28:$D$33,MATCH(I4,'HP Calcs'!$E$28:$E$33,0)))))),0)</f>
        <v>14668.75</v>
      </c>
      <c r="N4" s="49">
        <f>IFERROR(IF(ISNUMBER(MATCH(H4,'HP Calcs'!$D$28:$D$33,0)),VLOOKUP(H4,'HP Calcs'!$D$28:$R$33,5,FALSE),INDEX('HP Calcs'!$H$28:$H$33,MATCH(I4,'HP Calcs'!$E$28:$E$33,0))+(INDEX('HP Calcs'!$I$28:$I$33,MATCH(I4,'HP Calcs'!$E$28:$E$33,0))*(H4-(INDEX('HP Calcs'!$D$28:$D$33,MATCH(I4,'HP Calcs'!$E$28:$E$33,0)))))),0)</f>
        <v>14668.75</v>
      </c>
      <c r="O4" s="55">
        <f>IFERROR(IF(ISNUMBER(MATCH($H4,'HP Calcs'!$D$28:$D$33,0)),VLOOKUP($H4,'HP Calcs'!$D$28:$R$33,7,FALSE),INDEX('HP Calcs'!J$28:J$33,MATCH($I4,'HP Calcs'!$E$28:$E$33,0))+(INDEX('HP Calcs'!K$28:K$33,MATCH($I4,'HP Calcs'!$E$28:$E$33,0))*($H4-(INDEX('HP Calcs'!$D$28:$D$33,MATCH($I4,'HP Calcs'!$E$28:$E$33,0)))))),0)</f>
        <v>2.7625000000000002</v>
      </c>
      <c r="P4" s="55">
        <f>IFERROR(IF(ISNUMBER(MATCH($H4,'HP Calcs'!$D$28:$D$33,0)),VLOOKUP($H4,'HP Calcs'!$D$28:$R$33,9,FALSE),INDEX('HP Calcs'!L$28:L$33,MATCH($I4,'HP Calcs'!$E$28:$E$33,0))+(INDEX('HP Calcs'!M$28:M$33,MATCH($I4,'HP Calcs'!$E$28:$E$33,0))*($H4-(INDEX('HP Calcs'!$D$28:$D$33,MATCH($I4,'HP Calcs'!$E$28:$E$33,0)))))),0)</f>
        <v>2.7625000000000002</v>
      </c>
      <c r="Q4" s="331">
        <f>Table1[[#This Row],[kWh]]*'Conversion Factors'!$N$21</f>
        <v>8.0217181716368984</v>
      </c>
      <c r="R4" s="334">
        <f>IF(Table1[[#This Row],[Temperature]]&lt;='HP Calcs'!$D$4,(Table1[[#This Row],[Annual Heating/Cooling Load (btu/year)]]*'Conversion Factors'!$M$4)/'HP Calcs'!$B$53*'Conversion Factors'!$N$20,"")</f>
        <v>3.0886762229432732</v>
      </c>
      <c r="S4" s="334">
        <f>IF(MIN(Table1[[#This Row],[Cost of Electricity]:[Cost of Natural Gas]])=0,MAX(Table1[[#This Row],[Cost of Electricity]:[Cost of Natural Gas]]),MIN(Table1[[#This Row],[Cost of Electricity]:[Cost of Natural Gas]]))</f>
        <v>3.0886762229432732</v>
      </c>
      <c r="T4" s="334">
        <f>IF(Table1[[#This Row],[Electricity or Natural Gas?]]=Table1[[#This Row],[Cost of Natural Gas]],-Table1[[#This Row],[Cost of Natural Gas]],Table1[[#This Row],[Cost of Electricity]])</f>
        <v>-3.0886762229432732</v>
      </c>
      <c r="U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0.15443381114716365</v>
      </c>
      <c r="V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8.1659920776802544</v>
      </c>
      <c r="W4" s="55">
        <f>Table1[[#This Row],[kWh]]*'Conversion Factors'!$D$6*'Conversion Factors'!$C$9</f>
        <v>15.776045737552572</v>
      </c>
      <c r="X4" s="55">
        <f>IF(Table1[[#This Row],[Temperature]]&lt;='HP Calcs'!$D$4,(Table1[[#This Row],[Annual Heating/Cooling Load (btu/year)]])/'HP Calcs'!$B$53*'Conversion Factors'!$M$4*'Conversion Factors'!$C$27,0)</f>
        <v>8.1659920776802544</v>
      </c>
      <c r="Y4" s="55">
        <f>IF(MIN(Table1[[#This Row],[Electricity Emissions]:[Natural Gas Emissions ]])=0,MAX(Table1[[#This Row],[Electricity Emissions]:[Natural Gas Emissions ]]),MIN(Table1[[#This Row],[Electricity Emissions]:[Natural Gas Emissions ]]))</f>
        <v>8.1659920776802544</v>
      </c>
      <c r="Z4" s="55">
        <f>IF(Table1[[#This Row],[Electricity or Natural Gas?2]]=Table1[[#This Row],[Natural Gas Emissions ]],-Table1[[#This Row],[Natural Gas Emissions ]],Table1[[#This Row],[Electricity Emissions]])</f>
        <v>-8.1659920776802544</v>
      </c>
      <c r="AA4" s="55" t="str">
        <f>IF(Table1[[#This Row],[Fuel Selector (Cost)]]&lt;0,"NG","Elec")</f>
        <v>NG</v>
      </c>
      <c r="AB4" s="337"/>
      <c r="AC4" s="7">
        <v>2022</v>
      </c>
      <c r="AD4" s="7">
        <v>1</v>
      </c>
      <c r="AE4" s="7">
        <v>1</v>
      </c>
      <c r="AF4" s="8">
        <v>8.3333333333333329E-2</v>
      </c>
      <c r="AG4" s="9">
        <v>-25.6</v>
      </c>
      <c r="AH4" s="10">
        <f t="shared" si="2"/>
        <v>-25</v>
      </c>
      <c r="AI4" s="149"/>
    </row>
    <row r="5" spans="1:35" ht="15.75" customHeight="1" x14ac:dyDescent="0.35">
      <c r="A5">
        <v>4</v>
      </c>
      <c r="B5" s="48">
        <f>IFERROR(IF(H5&lt;'HP Calcs'!$D$4,$K5-$M5,0),0)</f>
        <v>-7317.3731922179886</v>
      </c>
      <c r="C5" s="48">
        <f t="shared" si="3"/>
        <v>-7317.3731922179886</v>
      </c>
      <c r="D5" s="48">
        <f t="shared" si="0"/>
        <v>42.893871640245194</v>
      </c>
      <c r="E5" s="48">
        <f>IFERROR(IF(H5&gt;'HP Calcs'!$D$5,IF(AND(K5&gt;M5,K5&lt;N5,H5&gt;'HP Calcs'!$D$5),J5,0),IF(AND(K5&gt;M5,K5&lt;N5,H5&lt;'HP Calcs'!$D$4),J5,0)),0)</f>
        <v>0</v>
      </c>
      <c r="F5" s="48">
        <f>IFERROR(IF(H5&gt;'HP Calcs'!$D$5,IF(AND(K5&lt;M5,H5&gt;'HP Calcs'!$D$5),J5,0),IF(AND(K5&lt;M5,H5&lt;'HP Calcs'!$D$4),J5,0)),0)</f>
        <v>30</v>
      </c>
      <c r="G5" s="48">
        <f t="shared" si="4"/>
        <v>30</v>
      </c>
      <c r="H5" s="48">
        <v>-29</v>
      </c>
      <c r="I5" s="49">
        <f>IFERROR(VLOOKUP(H5,'HP Calcs'!$D$26:$T$33,2),0)</f>
        <v>1</v>
      </c>
      <c r="J5" s="48">
        <f t="shared" si="5"/>
        <v>30</v>
      </c>
      <c r="K5" s="49">
        <f>IF(H5&lt;'HP Calcs'!$D$4,MAX(_xlfn.FORECAST.LINEAR(H5,'HP Calcs'!$E$3:$E$4,'HP Calcs'!$D$3:$D$4),0),MAX(_xlfn.FORECAST.LINEAR(H5,'HP Calcs'!$E$5:$E$6,'HP Calcs'!$D$5:$D$6),0))</f>
        <v>7720.1268077820114</v>
      </c>
      <c r="L5" s="48">
        <f t="shared" si="1"/>
        <v>231603.80423346034</v>
      </c>
      <c r="M5" s="49">
        <f>IFERROR(IF(ISNUMBER(MATCH(H5,'HP Calcs'!$D$28:$D$33,0)),VLOOKUP(H5,'HP Calcs'!$D$28:$R$33,3,FALSE),INDEX('HP Calcs'!$F$28:$F$33,MATCH(I5,'HP Calcs'!$E$28:$E$33,0))+(INDEX('HP Calcs'!$G$28:$G$33,MATCH(I5,'HP Calcs'!$E$28:$E$33,0))*(H5-(INDEX('HP Calcs'!$D$28:$D$33,MATCH(I5,'HP Calcs'!$E$28:$E$33,0)))))),0)</f>
        <v>15037.5</v>
      </c>
      <c r="N5" s="49">
        <f>IFERROR(IF(ISNUMBER(MATCH(H5,'HP Calcs'!$D$28:$D$33,0)),VLOOKUP(H5,'HP Calcs'!$D$28:$R$33,5,FALSE),INDEX('HP Calcs'!$H$28:$H$33,MATCH(I5,'HP Calcs'!$E$28:$E$33,0))+(INDEX('HP Calcs'!$I$28:$I$33,MATCH(I5,'HP Calcs'!$E$28:$E$33,0))*(H5-(INDEX('HP Calcs'!$D$28:$D$33,MATCH(I5,'HP Calcs'!$E$28:$E$33,0)))))),0)</f>
        <v>15037.5</v>
      </c>
      <c r="O5" s="55">
        <f>IFERROR(IF(ISNUMBER(MATCH($H5,'HP Calcs'!$D$28:$D$33,0)),VLOOKUP($H5,'HP Calcs'!$D$28:$R$33,7,FALSE),INDEX('HP Calcs'!J$28:J$33,MATCH($I5,'HP Calcs'!$E$28:$E$33,0))+(INDEX('HP Calcs'!K$28:K$33,MATCH($I5,'HP Calcs'!$E$28:$E$33,0))*($H5-(INDEX('HP Calcs'!$D$28:$D$33,MATCH($I5,'HP Calcs'!$E$28:$E$33,0)))))),0)</f>
        <v>2.7850000000000001</v>
      </c>
      <c r="P5" s="55">
        <f>IFERROR(IF(ISNUMBER(MATCH($H5,'HP Calcs'!$D$28:$D$33,0)),VLOOKUP($H5,'HP Calcs'!$D$28:$R$33,9,FALSE),INDEX('HP Calcs'!L$28:L$33,MATCH($I5,'HP Calcs'!$E$28:$E$33,0))+(INDEX('HP Calcs'!M$28:M$33,MATCH($I5,'HP Calcs'!$E$28:$E$33,0))*($H5-(INDEX('HP Calcs'!$D$28:$D$33,MATCH($I5,'HP Calcs'!$E$28:$E$33,0)))))),0)</f>
        <v>2.7850000000000001</v>
      </c>
      <c r="Q5" s="331">
        <f>Table1[[#This Row],[kWh]]*'Conversion Factors'!$N$21</f>
        <v>12.868161492073558</v>
      </c>
      <c r="R5" s="334">
        <f>IF(Table1[[#This Row],[Temperature]]&lt;='HP Calcs'!$D$4,(Table1[[#This Row],[Annual Heating/Cooling Load (btu/year)]]*'Conversion Factors'!$M$4)/'HP Calcs'!$B$53*'Conversion Factors'!$N$20,"")</f>
        <v>5.0382661792691685</v>
      </c>
      <c r="S5" s="334">
        <f>IF(MIN(Table1[[#This Row],[Cost of Electricity]:[Cost of Natural Gas]])=0,MAX(Table1[[#This Row],[Cost of Electricity]:[Cost of Natural Gas]]),MIN(Table1[[#This Row],[Cost of Electricity]:[Cost of Natural Gas]]))</f>
        <v>5.0382661792691685</v>
      </c>
      <c r="T5" s="334">
        <f>IF(Table1[[#This Row],[Electricity or Natural Gas?]]=Table1[[#This Row],[Cost of Natural Gas]],-Table1[[#This Row],[Cost of Natural Gas]],Table1[[#This Row],[Cost of Electricity]])</f>
        <v>-5.0382661792691685</v>
      </c>
      <c r="U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0.25191330896345843</v>
      </c>
      <c r="V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13.320412608981975</v>
      </c>
      <c r="W5" s="55">
        <f>Table1[[#This Row],[kWh]]*'Conversion Factors'!$D$6*'Conversion Factors'!$C$9</f>
        <v>25.30738426774467</v>
      </c>
      <c r="X5" s="55">
        <f>IF(Table1[[#This Row],[Temperature]]&lt;='HP Calcs'!$D$4,(Table1[[#This Row],[Annual Heating/Cooling Load (btu/year)]])/'HP Calcs'!$B$53*'Conversion Factors'!$M$4*'Conversion Factors'!$C$27,0)</f>
        <v>13.320412608981975</v>
      </c>
      <c r="Y5" s="55">
        <f>IF(MIN(Table1[[#This Row],[Electricity Emissions]:[Natural Gas Emissions ]])=0,MAX(Table1[[#This Row],[Electricity Emissions]:[Natural Gas Emissions ]]),MIN(Table1[[#This Row],[Electricity Emissions]:[Natural Gas Emissions ]]))</f>
        <v>13.320412608981975</v>
      </c>
      <c r="Z5" s="55">
        <f>IF(Table1[[#This Row],[Electricity or Natural Gas?2]]=Table1[[#This Row],[Natural Gas Emissions ]],-Table1[[#This Row],[Natural Gas Emissions ]],Table1[[#This Row],[Electricity Emissions]])</f>
        <v>-13.320412608981975</v>
      </c>
      <c r="AA5" s="55" t="str">
        <f>IF(Table1[[#This Row],[Fuel Selector (Cost)]]&lt;0,"NG","Elec")</f>
        <v>NG</v>
      </c>
      <c r="AB5" s="337"/>
      <c r="AC5" s="7">
        <v>2022</v>
      </c>
      <c r="AD5" s="7">
        <v>1</v>
      </c>
      <c r="AE5" s="7">
        <v>1</v>
      </c>
      <c r="AF5" s="8">
        <v>0.125</v>
      </c>
      <c r="AG5" s="9">
        <v>-25.2</v>
      </c>
      <c r="AH5" s="10">
        <f t="shared" si="2"/>
        <v>-25</v>
      </c>
      <c r="AI5" s="149"/>
    </row>
    <row r="6" spans="1:35" ht="15.75" customHeight="1" x14ac:dyDescent="0.35">
      <c r="A6">
        <v>5</v>
      </c>
      <c r="B6" s="48">
        <f>IFERROR(IF(H6&lt;'HP Calcs'!$D$4,$K6-$M6,0),0)</f>
        <v>-7853.9520358654236</v>
      </c>
      <c r="C6" s="48">
        <f t="shared" si="3"/>
        <v>-7853.9520358654236</v>
      </c>
      <c r="D6" s="48">
        <f t="shared" si="0"/>
        <v>41.287938078976694</v>
      </c>
      <c r="E6" s="48">
        <f>IFERROR(IF(H6&gt;'HP Calcs'!$D$5,IF(AND(K6&gt;M6,K6&lt;N6,H6&gt;'HP Calcs'!$D$5),J6,0),IF(AND(K6&gt;M6,K6&lt;N6,H6&lt;'HP Calcs'!$D$4),J6,0)),0)</f>
        <v>0</v>
      </c>
      <c r="F6" s="48">
        <f>IFERROR(IF(H6&gt;'HP Calcs'!$D$5,IF(AND(K6&lt;M6,H6&gt;'HP Calcs'!$D$5),J6,0),IF(AND(K6&lt;M6,H6&lt;'HP Calcs'!$D$4),J6,0)),0)</f>
        <v>30</v>
      </c>
      <c r="G6" s="48">
        <f t="shared" si="4"/>
        <v>30</v>
      </c>
      <c r="H6" s="48">
        <v>-28</v>
      </c>
      <c r="I6" s="49">
        <f>IFERROR(VLOOKUP(H6,'HP Calcs'!$D$26:$T$33,2),0)</f>
        <v>1</v>
      </c>
      <c r="J6" s="48">
        <f t="shared" si="5"/>
        <v>30</v>
      </c>
      <c r="K6" s="49">
        <f>IF(H6&lt;'HP Calcs'!$D$4,MAX(_xlfn.FORECAST.LINEAR(H6,'HP Calcs'!$E$3:$E$4,'HP Calcs'!$D$3:$D$4),0),MAX(_xlfn.FORECAST.LINEAR(H6,'HP Calcs'!$E$5:$E$6,'HP Calcs'!$D$5:$D$6),0))</f>
        <v>7552.2979641345764</v>
      </c>
      <c r="L6" s="48">
        <f t="shared" si="1"/>
        <v>226568.9389240373</v>
      </c>
      <c r="M6" s="49">
        <f>IFERROR(IF(ISNUMBER(MATCH(H6,'HP Calcs'!$D$28:$D$33,0)),VLOOKUP(H6,'HP Calcs'!$D$28:$R$33,3,FALSE),INDEX('HP Calcs'!$F$28:$F$33,MATCH(I6,'HP Calcs'!$E$28:$E$33,0))+(INDEX('HP Calcs'!$G$28:$G$33,MATCH(I6,'HP Calcs'!$E$28:$E$33,0))*(H6-(INDEX('HP Calcs'!$D$28:$D$33,MATCH(I6,'HP Calcs'!$E$28:$E$33,0)))))),0)</f>
        <v>15406.25</v>
      </c>
      <c r="N6" s="49">
        <f>IFERROR(IF(ISNUMBER(MATCH(H6,'HP Calcs'!$D$28:$D$33,0)),VLOOKUP(H6,'HP Calcs'!$D$28:$R$33,5,FALSE),INDEX('HP Calcs'!$H$28:$H$33,MATCH(I6,'HP Calcs'!$E$28:$E$33,0))+(INDEX('HP Calcs'!$I$28:$I$33,MATCH(I6,'HP Calcs'!$E$28:$E$33,0))*(H6-(INDEX('HP Calcs'!$D$28:$D$33,MATCH(I6,'HP Calcs'!$E$28:$E$33,0)))))),0)</f>
        <v>15406.25</v>
      </c>
      <c r="O6" s="55">
        <f>IFERROR(IF(ISNUMBER(MATCH($H6,'HP Calcs'!$D$28:$D$33,0)),VLOOKUP($H6,'HP Calcs'!$D$28:$R$33,7,FALSE),INDEX('HP Calcs'!J$28:J$33,MATCH($I6,'HP Calcs'!$E$28:$E$33,0))+(INDEX('HP Calcs'!K$28:K$33,MATCH($I6,'HP Calcs'!$E$28:$E$33,0))*($H6-(INDEX('HP Calcs'!$D$28:$D$33,MATCH($I6,'HP Calcs'!$E$28:$E$33,0)))))),0)</f>
        <v>2.8075000000000001</v>
      </c>
      <c r="P6" s="55">
        <f>IFERROR(IF(ISNUMBER(MATCH($H6,'HP Calcs'!$D$28:$D$33,0)),VLOOKUP($H6,'HP Calcs'!$D$28:$R$33,9,FALSE),INDEX('HP Calcs'!L$28:L$33,MATCH($I6,'HP Calcs'!$E$28:$E$33,0))+(INDEX('HP Calcs'!M$28:M$33,MATCH($I6,'HP Calcs'!$E$28:$E$33,0))*($H6-(INDEX('HP Calcs'!$D$28:$D$33,MATCH($I6,'HP Calcs'!$E$28:$E$33,0)))))),0)</f>
        <v>2.8075000000000001</v>
      </c>
      <c r="Q6" s="331">
        <f>Table1[[#This Row],[kWh]]*'Conversion Factors'!$N$21</f>
        <v>12.386381423693008</v>
      </c>
      <c r="R6" s="334">
        <f>IF(Table1[[#This Row],[Temperature]]&lt;='HP Calcs'!$D$4,(Table1[[#This Row],[Annual Heating/Cooling Load (btu/year)]]*'Conversion Factors'!$M$4)/'HP Calcs'!$B$53*'Conversion Factors'!$N$20,"")</f>
        <v>4.9287386536328821</v>
      </c>
      <c r="S6" s="334">
        <f>IF(MIN(Table1[[#This Row],[Cost of Electricity]:[Cost of Natural Gas]])=0,MAX(Table1[[#This Row],[Cost of Electricity]:[Cost of Natural Gas]]),MIN(Table1[[#This Row],[Cost of Electricity]:[Cost of Natural Gas]]))</f>
        <v>4.9287386536328821</v>
      </c>
      <c r="T6" s="334">
        <f>IF(Table1[[#This Row],[Electricity or Natural Gas?]]=Table1[[#This Row],[Cost of Natural Gas]],-Table1[[#This Row],[Cost of Natural Gas]],Table1[[#This Row],[Cost of Electricity]])</f>
        <v>-4.9287386536328821</v>
      </c>
      <c r="U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0.24643693268164413</v>
      </c>
      <c r="V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13.030838421830195</v>
      </c>
      <c r="W6" s="55">
        <f>Table1[[#This Row],[kWh]]*'Conversion Factors'!$D$6*'Conversion Factors'!$C$9</f>
        <v>24.359883466596255</v>
      </c>
      <c r="X6" s="55">
        <f>IF(Table1[[#This Row],[Temperature]]&lt;='HP Calcs'!$D$4,(Table1[[#This Row],[Annual Heating/Cooling Load (btu/year)]])/'HP Calcs'!$B$53*'Conversion Factors'!$M$4*'Conversion Factors'!$C$27,0)</f>
        <v>13.030838421830195</v>
      </c>
      <c r="Y6" s="55">
        <f>IF(MIN(Table1[[#This Row],[Electricity Emissions]:[Natural Gas Emissions ]])=0,MAX(Table1[[#This Row],[Electricity Emissions]:[Natural Gas Emissions ]]),MIN(Table1[[#This Row],[Electricity Emissions]:[Natural Gas Emissions ]]))</f>
        <v>13.030838421830195</v>
      </c>
      <c r="Z6" s="55">
        <f>IF(Table1[[#This Row],[Electricity or Natural Gas?2]]=Table1[[#This Row],[Natural Gas Emissions ]],-Table1[[#This Row],[Natural Gas Emissions ]],Table1[[#This Row],[Electricity Emissions]])</f>
        <v>-13.030838421830195</v>
      </c>
      <c r="AA6" s="55" t="str">
        <f>IF(Table1[[#This Row],[Fuel Selector (Cost)]]&lt;0,"NG","Elec")</f>
        <v>NG</v>
      </c>
      <c r="AB6" s="337"/>
      <c r="AC6" s="7">
        <v>2022</v>
      </c>
      <c r="AD6" s="7">
        <v>1</v>
      </c>
      <c r="AE6" s="7">
        <v>1</v>
      </c>
      <c r="AF6" s="8">
        <v>0.16666666666666666</v>
      </c>
      <c r="AG6" s="9">
        <v>-25.3</v>
      </c>
      <c r="AH6" s="10">
        <f t="shared" si="2"/>
        <v>-25</v>
      </c>
      <c r="AI6" s="149"/>
    </row>
    <row r="7" spans="1:35" ht="15.75" customHeight="1" x14ac:dyDescent="0.35">
      <c r="A7">
        <v>6</v>
      </c>
      <c r="B7" s="48">
        <f>IFERROR(IF(H7&lt;'HP Calcs'!$D$4,$K7-$M7,0),0)</f>
        <v>-8390.5308795128585</v>
      </c>
      <c r="C7" s="48">
        <f t="shared" si="3"/>
        <v>-8390.5308795128585</v>
      </c>
      <c r="D7" s="48">
        <f t="shared" si="0"/>
        <v>42.392236041287831</v>
      </c>
      <c r="E7" s="48">
        <f>IFERROR(IF(H7&gt;'HP Calcs'!$D$5,IF(AND(K7&gt;M7,K7&lt;N7,H7&gt;'HP Calcs'!$D$5),J7,0),IF(AND(K7&gt;M7,K7&lt;N7,H7&lt;'HP Calcs'!$D$4),J7,0)),0)</f>
        <v>0</v>
      </c>
      <c r="F7" s="48">
        <f>IFERROR(IF(H7&gt;'HP Calcs'!$D$5,IF(AND(K7&lt;M7,H7&gt;'HP Calcs'!$D$5),J7,0),IF(AND(K7&lt;M7,H7&lt;'HP Calcs'!$D$4),J7,0)),0)</f>
        <v>32</v>
      </c>
      <c r="G7" s="48">
        <f t="shared" si="4"/>
        <v>32</v>
      </c>
      <c r="H7" s="48">
        <v>-27</v>
      </c>
      <c r="I7" s="49">
        <f>IFERROR(VLOOKUP(H7,'HP Calcs'!$D$26:$T$33,2),0)</f>
        <v>1</v>
      </c>
      <c r="J7" s="48">
        <f t="shared" si="5"/>
        <v>32</v>
      </c>
      <c r="K7" s="49">
        <f>IF(H7&lt;'HP Calcs'!$D$4,MAX(_xlfn.FORECAST.LINEAR(H7,'HP Calcs'!$E$3:$E$4,'HP Calcs'!$D$3:$D$4),0),MAX(_xlfn.FORECAST.LINEAR(H7,'HP Calcs'!$E$5:$E$6,'HP Calcs'!$D$5:$D$6),0))</f>
        <v>7384.4691204871415</v>
      </c>
      <c r="L7" s="48">
        <f t="shared" si="1"/>
        <v>236303.01185558853</v>
      </c>
      <c r="M7" s="49">
        <f>IFERROR(IF(ISNUMBER(MATCH(H7,'HP Calcs'!$D$28:$D$33,0)),VLOOKUP(H7,'HP Calcs'!$D$28:$R$33,3,FALSE),INDEX('HP Calcs'!$F$28:$F$33,MATCH(I7,'HP Calcs'!$E$28:$E$33,0))+(INDEX('HP Calcs'!$G$28:$G$33,MATCH(I7,'HP Calcs'!$E$28:$E$33,0))*(H7-(INDEX('HP Calcs'!$D$28:$D$33,MATCH(I7,'HP Calcs'!$E$28:$E$33,0)))))),0)</f>
        <v>15775</v>
      </c>
      <c r="N7" s="49">
        <f>IFERROR(IF(ISNUMBER(MATCH(H7,'HP Calcs'!$D$28:$D$33,0)),VLOOKUP(H7,'HP Calcs'!$D$28:$R$33,5,FALSE),INDEX('HP Calcs'!$H$28:$H$33,MATCH(I7,'HP Calcs'!$E$28:$E$33,0))+(INDEX('HP Calcs'!$I$28:$I$33,MATCH(I7,'HP Calcs'!$E$28:$E$33,0))*(H7-(INDEX('HP Calcs'!$D$28:$D$33,MATCH(I7,'HP Calcs'!$E$28:$E$33,0)))))),0)</f>
        <v>15775</v>
      </c>
      <c r="O7" s="55">
        <f>IFERROR(IF(ISNUMBER(MATCH($H7,'HP Calcs'!$D$28:$D$33,0)),VLOOKUP($H7,'HP Calcs'!$D$28:$R$33,7,FALSE),INDEX('HP Calcs'!J$28:J$33,MATCH($I7,'HP Calcs'!$E$28:$E$33,0))+(INDEX('HP Calcs'!K$28:K$33,MATCH($I7,'HP Calcs'!$E$28:$E$33,0))*($H7-(INDEX('HP Calcs'!$D$28:$D$33,MATCH($I7,'HP Calcs'!$E$28:$E$33,0)))))),0)</f>
        <v>2.83</v>
      </c>
      <c r="P7" s="55">
        <f>IFERROR(IF(ISNUMBER(MATCH($H7,'HP Calcs'!$D$28:$D$33,0)),VLOOKUP($H7,'HP Calcs'!$D$28:$R$33,9,FALSE),INDEX('HP Calcs'!L$28:L$33,MATCH($I7,'HP Calcs'!$E$28:$E$33,0))+(INDEX('HP Calcs'!M$28:M$33,MATCH($I7,'HP Calcs'!$E$28:$E$33,0))*($H7-(INDEX('HP Calcs'!$D$28:$D$33,MATCH($I7,'HP Calcs'!$E$28:$E$33,0)))))),0)</f>
        <v>2.83</v>
      </c>
      <c r="Q7" s="331">
        <f>Table1[[#This Row],[kWh]]*'Conversion Factors'!$N$21</f>
        <v>12.717670812386348</v>
      </c>
      <c r="R7" s="334">
        <f>IF(Table1[[#This Row],[Temperature]]&lt;='HP Calcs'!$D$4,(Table1[[#This Row],[Annual Heating/Cooling Load (btu/year)]]*'Conversion Factors'!$M$4)/'HP Calcs'!$B$53*'Conversion Factors'!$N$20,"")</f>
        <v>5.1404918698630366</v>
      </c>
      <c r="S7" s="334">
        <f>IF(MIN(Table1[[#This Row],[Cost of Electricity]:[Cost of Natural Gas]])=0,MAX(Table1[[#This Row],[Cost of Electricity]:[Cost of Natural Gas]]),MIN(Table1[[#This Row],[Cost of Electricity]:[Cost of Natural Gas]]))</f>
        <v>5.1404918698630366</v>
      </c>
      <c r="T7" s="334">
        <f>IF(Table1[[#This Row],[Electricity or Natural Gas?]]=Table1[[#This Row],[Cost of Natural Gas]],-Table1[[#This Row],[Cost of Natural Gas]],Table1[[#This Row],[Cost of Electricity]])</f>
        <v>-5.1404918698630366</v>
      </c>
      <c r="U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0.25702459349315177</v>
      </c>
      <c r="V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13.590681850323637</v>
      </c>
      <c r="W7" s="55">
        <f>Table1[[#This Row],[kWh]]*'Conversion Factors'!$D$6*'Conversion Factors'!$C$9</f>
        <v>25.011419264359823</v>
      </c>
      <c r="X7" s="55">
        <f>IF(Table1[[#This Row],[Temperature]]&lt;='HP Calcs'!$D$4,(Table1[[#This Row],[Annual Heating/Cooling Load (btu/year)]])/'HP Calcs'!$B$53*'Conversion Factors'!$M$4*'Conversion Factors'!$C$27,0)</f>
        <v>13.590681850323637</v>
      </c>
      <c r="Y7" s="55">
        <f>IF(MIN(Table1[[#This Row],[Electricity Emissions]:[Natural Gas Emissions ]])=0,MAX(Table1[[#This Row],[Electricity Emissions]:[Natural Gas Emissions ]]),MIN(Table1[[#This Row],[Electricity Emissions]:[Natural Gas Emissions ]]))</f>
        <v>13.590681850323637</v>
      </c>
      <c r="Z7" s="55">
        <f>IF(Table1[[#This Row],[Electricity or Natural Gas?2]]=Table1[[#This Row],[Natural Gas Emissions ]],-Table1[[#This Row],[Natural Gas Emissions ]],Table1[[#This Row],[Electricity Emissions]])</f>
        <v>-13.590681850323637</v>
      </c>
      <c r="AA7" s="55" t="str">
        <f>IF(Table1[[#This Row],[Fuel Selector (Cost)]]&lt;0,"NG","Elec")</f>
        <v>NG</v>
      </c>
      <c r="AB7" s="337"/>
      <c r="AC7" s="7">
        <v>2022</v>
      </c>
      <c r="AD7" s="7">
        <v>1</v>
      </c>
      <c r="AE7" s="7">
        <v>1</v>
      </c>
      <c r="AF7" s="8">
        <v>0.20833333333333334</v>
      </c>
      <c r="AG7" s="9">
        <v>-25.1</v>
      </c>
      <c r="AH7" s="10">
        <f t="shared" si="2"/>
        <v>-25</v>
      </c>
      <c r="AI7" s="149"/>
    </row>
    <row r="8" spans="1:35" ht="15.75" customHeight="1" x14ac:dyDescent="0.35">
      <c r="A8">
        <v>7</v>
      </c>
      <c r="B8" s="48">
        <f>IFERROR(IF(H8&lt;'HP Calcs'!$D$4,$K8-$M8,0),0)</f>
        <v>-8927.1097231602944</v>
      </c>
      <c r="C8" s="48">
        <f t="shared" si="3"/>
        <v>-8927.1097231602944</v>
      </c>
      <c r="D8" s="48">
        <f t="shared" si="0"/>
        <v>52.280549561105424</v>
      </c>
      <c r="E8" s="48">
        <f>IFERROR(IF(H8&gt;'HP Calcs'!$D$5,IF(AND(K8&gt;M8,K8&lt;N8,H8&gt;'HP Calcs'!$D$5),J8,0),IF(AND(K8&gt;M8,K8&lt;N8,H8&lt;'HP Calcs'!$D$4),J8,0)),0)</f>
        <v>0</v>
      </c>
      <c r="F8" s="48">
        <f>IFERROR(IF(H8&gt;'HP Calcs'!$D$5,IF(AND(K8&lt;M8,H8&gt;'HP Calcs'!$D$5),J8,0),IF(AND(K8&lt;M8,H8&lt;'HP Calcs'!$D$4),J8,0)),0)</f>
        <v>41</v>
      </c>
      <c r="G8" s="48">
        <f t="shared" si="4"/>
        <v>41</v>
      </c>
      <c r="H8" s="48">
        <v>-26</v>
      </c>
      <c r="I8" s="49">
        <f>IFERROR(VLOOKUP(H8,'HP Calcs'!$D$26:$T$33,2),0)</f>
        <v>1</v>
      </c>
      <c r="J8" s="48">
        <f t="shared" si="5"/>
        <v>41</v>
      </c>
      <c r="K8" s="49">
        <f>IF(H8&lt;'HP Calcs'!$D$4,MAX(_xlfn.FORECAST.LINEAR(H8,'HP Calcs'!$E$3:$E$4,'HP Calcs'!$D$3:$D$4),0),MAX(_xlfn.FORECAST.LINEAR(H8,'HP Calcs'!$E$5:$E$6,'HP Calcs'!$D$5:$D$6),0))</f>
        <v>7216.6402768397056</v>
      </c>
      <c r="L8" s="48">
        <f t="shared" si="1"/>
        <v>295882.25135042792</v>
      </c>
      <c r="M8" s="49">
        <f>IFERROR(IF(ISNUMBER(MATCH(H8,'HP Calcs'!$D$28:$D$33,0)),VLOOKUP(H8,'HP Calcs'!$D$28:$R$33,3,FALSE),INDEX('HP Calcs'!$F$28:$F$33,MATCH(I8,'HP Calcs'!$E$28:$E$33,0))+(INDEX('HP Calcs'!$G$28:$G$33,MATCH(I8,'HP Calcs'!$E$28:$E$33,0))*(H8-(INDEX('HP Calcs'!$D$28:$D$33,MATCH(I8,'HP Calcs'!$E$28:$E$33,0)))))),0)</f>
        <v>16143.75</v>
      </c>
      <c r="N8" s="49">
        <f>IFERROR(IF(ISNUMBER(MATCH(H8,'HP Calcs'!$D$28:$D$33,0)),VLOOKUP(H8,'HP Calcs'!$D$28:$R$33,5,FALSE),INDEX('HP Calcs'!$H$28:$H$33,MATCH(I8,'HP Calcs'!$E$28:$E$33,0))+(INDEX('HP Calcs'!$I$28:$I$33,MATCH(I8,'HP Calcs'!$E$28:$E$33,0))*(H8-(INDEX('HP Calcs'!$D$28:$D$33,MATCH(I8,'HP Calcs'!$E$28:$E$33,0)))))),0)</f>
        <v>16143.75</v>
      </c>
      <c r="O8" s="55">
        <f>IFERROR(IF(ISNUMBER(MATCH($H8,'HP Calcs'!$D$28:$D$33,0)),VLOOKUP($H8,'HP Calcs'!$D$28:$R$33,7,FALSE),INDEX('HP Calcs'!J$28:J$33,MATCH($I8,'HP Calcs'!$E$28:$E$33,0))+(INDEX('HP Calcs'!K$28:K$33,MATCH($I8,'HP Calcs'!$E$28:$E$33,0))*($H8-(INDEX('HP Calcs'!$D$28:$D$33,MATCH($I8,'HP Calcs'!$E$28:$E$33,0)))))),0)</f>
        <v>2.8525</v>
      </c>
      <c r="P8" s="55">
        <f>IFERROR(IF(ISNUMBER(MATCH($H8,'HP Calcs'!$D$28:$D$33,0)),VLOOKUP($H8,'HP Calcs'!$D$28:$R$33,9,FALSE),INDEX('HP Calcs'!L$28:L$33,MATCH($I8,'HP Calcs'!$E$28:$E$33,0))+(INDEX('HP Calcs'!M$28:M$33,MATCH($I8,'HP Calcs'!$E$28:$E$33,0))*($H8-(INDEX('HP Calcs'!$D$28:$D$33,MATCH($I8,'HP Calcs'!$E$28:$E$33,0)))))),0)</f>
        <v>2.8525</v>
      </c>
      <c r="Q8" s="331">
        <f>Table1[[#This Row],[kWh]]*'Conversion Factors'!$N$21</f>
        <v>15.684164868331626</v>
      </c>
      <c r="R8" s="334">
        <f>IF(Table1[[#This Row],[Temperature]]&lt;='HP Calcs'!$D$4,(Table1[[#This Row],[Annual Heating/Cooling Load (btu/year)]]*'Conversion Factors'!$M$4)/'HP Calcs'!$B$53*'Conversion Factors'!$N$20,"")</f>
        <v>6.4365675898924222</v>
      </c>
      <c r="S8" s="334">
        <f>IF(MIN(Table1[[#This Row],[Cost of Electricity]:[Cost of Natural Gas]])=0,MAX(Table1[[#This Row],[Cost of Electricity]:[Cost of Natural Gas]]),MIN(Table1[[#This Row],[Cost of Electricity]:[Cost of Natural Gas]]))</f>
        <v>6.4365675898924222</v>
      </c>
      <c r="T8" s="334">
        <f>IF(Table1[[#This Row],[Electricity or Natural Gas?]]=Table1[[#This Row],[Cost of Natural Gas]],-Table1[[#This Row],[Cost of Natural Gas]],Table1[[#This Row],[Cost of Electricity]])</f>
        <v>-6.4365675898924222</v>
      </c>
      <c r="U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0.32182837949462112</v>
      </c>
      <c r="V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17.017309731619726</v>
      </c>
      <c r="W8" s="55">
        <f>Table1[[#This Row],[kWh]]*'Conversion Factors'!$D$6*'Conversion Factors'!$C$9</f>
        <v>30.845524241052203</v>
      </c>
      <c r="X8" s="55">
        <f>IF(Table1[[#This Row],[Temperature]]&lt;='HP Calcs'!$D$4,(Table1[[#This Row],[Annual Heating/Cooling Load (btu/year)]])/'HP Calcs'!$B$53*'Conversion Factors'!$M$4*'Conversion Factors'!$C$27,0)</f>
        <v>17.017309731619726</v>
      </c>
      <c r="Y8" s="55">
        <f>IF(MIN(Table1[[#This Row],[Electricity Emissions]:[Natural Gas Emissions ]])=0,MAX(Table1[[#This Row],[Electricity Emissions]:[Natural Gas Emissions ]]),MIN(Table1[[#This Row],[Electricity Emissions]:[Natural Gas Emissions ]]))</f>
        <v>17.017309731619726</v>
      </c>
      <c r="Z8" s="55">
        <f>IF(Table1[[#This Row],[Electricity or Natural Gas?2]]=Table1[[#This Row],[Natural Gas Emissions ]],-Table1[[#This Row],[Natural Gas Emissions ]],Table1[[#This Row],[Electricity Emissions]])</f>
        <v>-17.017309731619726</v>
      </c>
      <c r="AA8" s="55" t="str">
        <f>IF(Table1[[#This Row],[Fuel Selector (Cost)]]&lt;0,"NG","Elec")</f>
        <v>NG</v>
      </c>
      <c r="AB8" s="337"/>
      <c r="AC8" s="7">
        <v>2022</v>
      </c>
      <c r="AD8" s="7">
        <v>1</v>
      </c>
      <c r="AE8" s="7">
        <v>1</v>
      </c>
      <c r="AF8" s="8">
        <v>0.25</v>
      </c>
      <c r="AG8" s="9">
        <v>-24.1</v>
      </c>
      <c r="AH8" s="10">
        <f t="shared" si="2"/>
        <v>-24</v>
      </c>
      <c r="AI8" s="149"/>
    </row>
    <row r="9" spans="1:35" ht="15.75" customHeight="1" x14ac:dyDescent="0.35">
      <c r="A9">
        <v>8</v>
      </c>
      <c r="B9" s="48">
        <f>IFERROR(IF(H9&lt;'HP Calcs'!$D$4,$K9-$M9,0),0)</f>
        <v>-9463.6885668077302</v>
      </c>
      <c r="C9" s="48">
        <f t="shared" si="3"/>
        <v>-9463.6885668077302</v>
      </c>
      <c r="D9" s="48">
        <f t="shared" si="0"/>
        <v>42.954528415743965</v>
      </c>
      <c r="E9" s="48">
        <f>IFERROR(IF(H9&gt;'HP Calcs'!$D$5,IF(AND(K9&gt;M9,K9&lt;N9,H9&gt;'HP Calcs'!$D$5),J9,0),IF(AND(K9&gt;M9,K9&lt;N9,H9&lt;'HP Calcs'!$D$4),J9,0)),0)</f>
        <v>0</v>
      </c>
      <c r="F9" s="48">
        <f>IFERROR(IF(H9&gt;'HP Calcs'!$D$5,IF(AND(K9&lt;M9,H9&gt;'HP Calcs'!$D$5),J9,0),IF(AND(K9&lt;M9,H9&lt;'HP Calcs'!$D$4),J9,0)),0)</f>
        <v>35</v>
      </c>
      <c r="G9" s="48">
        <f t="shared" si="4"/>
        <v>35</v>
      </c>
      <c r="H9" s="48">
        <v>-25</v>
      </c>
      <c r="I9" s="49">
        <f>IFERROR(VLOOKUP(H9,'HP Calcs'!$D$26:$T$33,2),0)</f>
        <v>1</v>
      </c>
      <c r="J9" s="48">
        <f t="shared" si="5"/>
        <v>35</v>
      </c>
      <c r="K9" s="49">
        <f>IF(H9&lt;'HP Calcs'!$D$4,MAX(_xlfn.FORECAST.LINEAR(H9,'HP Calcs'!$E$3:$E$4,'HP Calcs'!$D$3:$D$4),0),MAX(_xlfn.FORECAST.LINEAR(H9,'HP Calcs'!$E$5:$E$6,'HP Calcs'!$D$5:$D$6),0))</f>
        <v>7048.8114331922707</v>
      </c>
      <c r="L9" s="48">
        <f t="shared" si="1"/>
        <v>246708.40016172949</v>
      </c>
      <c r="M9" s="49">
        <f>IFERROR(IF(ISNUMBER(MATCH(H9,'HP Calcs'!$D$28:$D$33,0)),VLOOKUP(H9,'HP Calcs'!$D$28:$R$33,3,FALSE),INDEX('HP Calcs'!$F$28:$F$33,MATCH(I9,'HP Calcs'!$E$28:$E$33,0))+(INDEX('HP Calcs'!$G$28:$G$33,MATCH(I9,'HP Calcs'!$E$28:$E$33,0))*(H9-(INDEX('HP Calcs'!$D$28:$D$33,MATCH(I9,'HP Calcs'!$E$28:$E$33,0)))))),0)</f>
        <v>16512.5</v>
      </c>
      <c r="N9" s="49">
        <f>IFERROR(IF(ISNUMBER(MATCH(H9,'HP Calcs'!$D$28:$D$33,0)),VLOOKUP(H9,'HP Calcs'!$D$28:$R$33,5,FALSE),INDEX('HP Calcs'!$H$28:$H$33,MATCH(I9,'HP Calcs'!$E$28:$E$33,0))+(INDEX('HP Calcs'!$I$28:$I$33,MATCH(I9,'HP Calcs'!$E$28:$E$33,0))*(H9-(INDEX('HP Calcs'!$D$28:$D$33,MATCH(I9,'HP Calcs'!$E$28:$E$33,0)))))),0)</f>
        <v>16512.5</v>
      </c>
      <c r="O9" s="55">
        <f>IFERROR(IF(ISNUMBER(MATCH($H9,'HP Calcs'!$D$28:$D$33,0)),VLOOKUP($H9,'HP Calcs'!$D$28:$R$33,7,FALSE),INDEX('HP Calcs'!J$28:J$33,MATCH($I9,'HP Calcs'!$E$28:$E$33,0))+(INDEX('HP Calcs'!K$28:K$33,MATCH($I9,'HP Calcs'!$E$28:$E$33,0))*($H9-(INDEX('HP Calcs'!$D$28:$D$33,MATCH($I9,'HP Calcs'!$E$28:$E$33,0)))))),0)</f>
        <v>2.875</v>
      </c>
      <c r="P9" s="55">
        <f>IFERROR(IF(ISNUMBER(MATCH($H9,'HP Calcs'!$D$28:$D$33,0)),VLOOKUP($H9,'HP Calcs'!$D$28:$R$33,9,FALSE),INDEX('HP Calcs'!L$28:L$33,MATCH($I9,'HP Calcs'!$E$28:$E$33,0))+(INDEX('HP Calcs'!M$28:M$33,MATCH($I9,'HP Calcs'!$E$28:$E$33,0))*($H9-(INDEX('HP Calcs'!$D$28:$D$33,MATCH($I9,'HP Calcs'!$E$28:$E$33,0)))))),0)</f>
        <v>2.875</v>
      </c>
      <c r="Q9" s="331">
        <f>Table1[[#This Row],[kWh]]*'Conversion Factors'!$N$21</f>
        <v>12.886358524723189</v>
      </c>
      <c r="R9" s="334">
        <f>IF(Table1[[#This Row],[Temperature]]&lt;='HP Calcs'!$D$4,(Table1[[#This Row],[Annual Heating/Cooling Load (btu/year)]]*'Conversion Factors'!$M$4)/'HP Calcs'!$B$53*'Conversion Factors'!$N$20,"")</f>
        <v>5.3668487561780278</v>
      </c>
      <c r="S9" s="334">
        <f>IF(MIN(Table1[[#This Row],[Cost of Electricity]:[Cost of Natural Gas]])=0,MAX(Table1[[#This Row],[Cost of Electricity]:[Cost of Natural Gas]]),MIN(Table1[[#This Row],[Cost of Electricity]:[Cost of Natural Gas]]))</f>
        <v>5.3668487561780278</v>
      </c>
      <c r="T9" s="334">
        <f>IF(Table1[[#This Row],[Electricity or Natural Gas?]]=Table1[[#This Row],[Cost of Natural Gas]],-Table1[[#This Row],[Cost of Natural Gas]],Table1[[#This Row],[Cost of Electricity]])</f>
        <v>-5.3668487561780278</v>
      </c>
      <c r="U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0.26834243780890138</v>
      </c>
      <c r="V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14.189135170437323</v>
      </c>
      <c r="W9" s="55">
        <f>Table1[[#This Row],[kWh]]*'Conversion Factors'!$D$6*'Conversion Factors'!$C$9</f>
        <v>25.343171765288943</v>
      </c>
      <c r="X9" s="55">
        <f>IF(Table1[[#This Row],[Temperature]]&lt;='HP Calcs'!$D$4,(Table1[[#This Row],[Annual Heating/Cooling Load (btu/year)]])/'HP Calcs'!$B$53*'Conversion Factors'!$M$4*'Conversion Factors'!$C$27,0)</f>
        <v>14.189135170437323</v>
      </c>
      <c r="Y9" s="55">
        <f>IF(MIN(Table1[[#This Row],[Electricity Emissions]:[Natural Gas Emissions ]])=0,MAX(Table1[[#This Row],[Electricity Emissions]:[Natural Gas Emissions ]]),MIN(Table1[[#This Row],[Electricity Emissions]:[Natural Gas Emissions ]]))</f>
        <v>14.189135170437323</v>
      </c>
      <c r="Z9" s="55">
        <f>IF(Table1[[#This Row],[Electricity or Natural Gas?2]]=Table1[[#This Row],[Natural Gas Emissions ]],-Table1[[#This Row],[Natural Gas Emissions ]],Table1[[#This Row],[Electricity Emissions]])</f>
        <v>-14.189135170437323</v>
      </c>
      <c r="AA9" s="55" t="str">
        <f>IF(Table1[[#This Row],[Fuel Selector (Cost)]]&lt;0,"NG","Elec")</f>
        <v>NG</v>
      </c>
      <c r="AB9" s="337"/>
      <c r="AC9" s="7">
        <v>2022</v>
      </c>
      <c r="AD9" s="7">
        <v>1</v>
      </c>
      <c r="AE9" s="7">
        <v>1</v>
      </c>
      <c r="AF9" s="8">
        <v>0.29166666666666669</v>
      </c>
      <c r="AG9" s="9">
        <v>-24.7</v>
      </c>
      <c r="AH9" s="10">
        <f t="shared" si="2"/>
        <v>-24</v>
      </c>
      <c r="AI9" s="149"/>
    </row>
    <row r="10" spans="1:35" ht="15.75" customHeight="1" x14ac:dyDescent="0.35">
      <c r="A10">
        <v>9</v>
      </c>
      <c r="B10" s="48">
        <f>IFERROR(IF(H10&lt;'HP Calcs'!$D$4,$K10-$M10,0),0)</f>
        <v>-10000.267410455164</v>
      </c>
      <c r="C10" s="48">
        <f t="shared" si="3"/>
        <v>-10000.267410455164</v>
      </c>
      <c r="D10" s="48">
        <f t="shared" si="0"/>
        <v>81.49264104679601</v>
      </c>
      <c r="E10" s="48">
        <f>IFERROR(IF(H10&gt;'HP Calcs'!$D$5,IF(AND(K10&gt;M10,K10&lt;N10,H10&gt;'HP Calcs'!$D$5),J10,0),IF(AND(K10&gt;M10,K10&lt;N10,H10&lt;'HP Calcs'!$D$4),J10,0)),0)</f>
        <v>0</v>
      </c>
      <c r="F10" s="48">
        <f>IFERROR(IF(H10&gt;'HP Calcs'!$D$5,IF(AND(K10&lt;M10,H10&gt;'HP Calcs'!$D$5),J10,0),IF(AND(K10&lt;M10,H10&lt;'HP Calcs'!$D$4),J10,0)),0)</f>
        <v>69</v>
      </c>
      <c r="G10" s="48">
        <f t="shared" si="4"/>
        <v>69</v>
      </c>
      <c r="H10" s="48">
        <v>-24</v>
      </c>
      <c r="I10" s="49">
        <f>IFERROR(VLOOKUP(H10,'HP Calcs'!$D$26:$T$33,2),0)</f>
        <v>1</v>
      </c>
      <c r="J10" s="48">
        <f t="shared" si="5"/>
        <v>69</v>
      </c>
      <c r="K10" s="49">
        <f>IF(H10&lt;'HP Calcs'!$D$4,MAX(_xlfn.FORECAST.LINEAR(H10,'HP Calcs'!$E$3:$E$4,'HP Calcs'!$D$3:$D$4),0),MAX(_xlfn.FORECAST.LINEAR(H10,'HP Calcs'!$E$5:$E$6,'HP Calcs'!$D$5:$D$6),0))</f>
        <v>6880.9825895448357</v>
      </c>
      <c r="L10" s="48">
        <f t="shared" si="1"/>
        <v>474787.79867859365</v>
      </c>
      <c r="M10" s="49">
        <f>IFERROR(IF(ISNUMBER(MATCH(H10,'HP Calcs'!$D$28:$D$33,0)),VLOOKUP(H10,'HP Calcs'!$D$28:$R$33,3,FALSE),INDEX('HP Calcs'!$F$28:$F$33,MATCH(I10,'HP Calcs'!$E$28:$E$33,0))+(INDEX('HP Calcs'!$G$28:$G$33,MATCH(I10,'HP Calcs'!$E$28:$E$33,0))*(H10-(INDEX('HP Calcs'!$D$28:$D$33,MATCH(I10,'HP Calcs'!$E$28:$E$33,0)))))),0)</f>
        <v>16881.25</v>
      </c>
      <c r="N10" s="49">
        <f>IFERROR(IF(ISNUMBER(MATCH(H10,'HP Calcs'!$D$28:$D$33,0)),VLOOKUP(H10,'HP Calcs'!$D$28:$R$33,5,FALSE),INDEX('HP Calcs'!$H$28:$H$33,MATCH(I10,'HP Calcs'!$E$28:$E$33,0))+(INDEX('HP Calcs'!$I$28:$I$33,MATCH(I10,'HP Calcs'!$E$28:$E$33,0))*(H10-(INDEX('HP Calcs'!$D$28:$D$33,MATCH(I10,'HP Calcs'!$E$28:$E$33,0)))))),0)</f>
        <v>16881.25</v>
      </c>
      <c r="O10" s="55">
        <f>IFERROR(IF(ISNUMBER(MATCH($H10,'HP Calcs'!$D$28:$D$33,0)),VLOOKUP($H10,'HP Calcs'!$D$28:$R$33,7,FALSE),INDEX('HP Calcs'!J$28:J$33,MATCH($I10,'HP Calcs'!$E$28:$E$33,0))+(INDEX('HP Calcs'!K$28:K$33,MATCH($I10,'HP Calcs'!$E$28:$E$33,0))*($H10-(INDEX('HP Calcs'!$D$28:$D$33,MATCH($I10,'HP Calcs'!$E$28:$E$33,0)))))),0)</f>
        <v>2.8975</v>
      </c>
      <c r="P10" s="55">
        <f>IFERROR(IF(ISNUMBER(MATCH($H10,'HP Calcs'!$D$28:$D$33,0)),VLOOKUP($H10,'HP Calcs'!$D$28:$R$33,9,FALSE),INDEX('HP Calcs'!L$28:L$33,MATCH($I10,'HP Calcs'!$E$28:$E$33,0))+(INDEX('HP Calcs'!M$28:M$33,MATCH($I10,'HP Calcs'!$E$28:$E$33,0))*($H10-(INDEX('HP Calcs'!$D$28:$D$33,MATCH($I10,'HP Calcs'!$E$28:$E$33,0)))))),0)</f>
        <v>2.8975</v>
      </c>
      <c r="Q10" s="331">
        <f>Table1[[#This Row],[kWh]]*'Conversion Factors'!$N$21</f>
        <v>24.447792314038804</v>
      </c>
      <c r="R10" s="334">
        <f>IF(Table1[[#This Row],[Temperature]]&lt;='HP Calcs'!$D$4,(Table1[[#This Row],[Annual Heating/Cooling Load (btu/year)]]*'Conversion Factors'!$M$4)/'HP Calcs'!$B$53*'Conversion Factors'!$N$20,"")</f>
        <v>10.328445667501796</v>
      </c>
      <c r="S10" s="334">
        <f>IF(MIN(Table1[[#This Row],[Cost of Electricity]:[Cost of Natural Gas]])=0,MAX(Table1[[#This Row],[Cost of Electricity]:[Cost of Natural Gas]]),MIN(Table1[[#This Row],[Cost of Electricity]:[Cost of Natural Gas]]))</f>
        <v>10.328445667501796</v>
      </c>
      <c r="T10" s="334">
        <f>IF(Table1[[#This Row],[Electricity or Natural Gas?]]=Table1[[#This Row],[Cost of Natural Gas]],-Table1[[#This Row],[Cost of Natural Gas]],Table1[[#This Row],[Cost of Electricity]])</f>
        <v>-10.328445667501796</v>
      </c>
      <c r="U1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0.51642228337508966</v>
      </c>
      <c r="V1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27.306845848413044</v>
      </c>
      <c r="W10" s="55">
        <f>Table1[[#This Row],[kWh]]*'Conversion Factors'!$D$6*'Conversion Factors'!$C$9</f>
        <v>48.080658217609646</v>
      </c>
      <c r="X10" s="55">
        <f>IF(Table1[[#This Row],[Temperature]]&lt;='HP Calcs'!$D$4,(Table1[[#This Row],[Annual Heating/Cooling Load (btu/year)]])/'HP Calcs'!$B$53*'Conversion Factors'!$M$4*'Conversion Factors'!$C$27,0)</f>
        <v>27.306845848413044</v>
      </c>
      <c r="Y10" s="55">
        <f>IF(MIN(Table1[[#This Row],[Electricity Emissions]:[Natural Gas Emissions ]])=0,MAX(Table1[[#This Row],[Electricity Emissions]:[Natural Gas Emissions ]]),MIN(Table1[[#This Row],[Electricity Emissions]:[Natural Gas Emissions ]]))</f>
        <v>27.306845848413044</v>
      </c>
      <c r="Z10" s="55">
        <f>IF(Table1[[#This Row],[Electricity or Natural Gas?2]]=Table1[[#This Row],[Natural Gas Emissions ]],-Table1[[#This Row],[Natural Gas Emissions ]],Table1[[#This Row],[Electricity Emissions]])</f>
        <v>-27.306845848413044</v>
      </c>
      <c r="AA10" s="55" t="str">
        <f>IF(Table1[[#This Row],[Fuel Selector (Cost)]]&lt;0,"NG","Elec")</f>
        <v>NG</v>
      </c>
      <c r="AB10" s="337"/>
      <c r="AC10" s="7">
        <v>2022</v>
      </c>
      <c r="AD10" s="7">
        <v>1</v>
      </c>
      <c r="AE10" s="7">
        <v>1</v>
      </c>
      <c r="AF10" s="8">
        <v>0.33333333333333331</v>
      </c>
      <c r="AG10" s="9">
        <v>-23.7</v>
      </c>
      <c r="AH10" s="10">
        <f>ROUND(AG10,0)</f>
        <v>-24</v>
      </c>
      <c r="AI10" s="149"/>
    </row>
    <row r="11" spans="1:35" ht="15.75" customHeight="1" x14ac:dyDescent="0.35">
      <c r="A11">
        <v>10</v>
      </c>
      <c r="B11" s="48">
        <f>IFERROR(IF(H11&lt;'HP Calcs'!$D$4,$K11-$M11,0),0)</f>
        <v>-10536.846254102598</v>
      </c>
      <c r="C11" s="48">
        <f t="shared" si="3"/>
        <v>-10536.846254102598</v>
      </c>
      <c r="D11" s="48">
        <f t="shared" si="0"/>
        <v>59.091319697220946</v>
      </c>
      <c r="E11" s="48">
        <f>IFERROR(IF(H11&gt;'HP Calcs'!$D$5,IF(AND(K11&gt;M11,K11&lt;N11,H11&gt;'HP Calcs'!$D$5),J11,0),IF(AND(K11&gt;M11,K11&lt;N11,H11&lt;'HP Calcs'!$D$4),J11,0)),0)</f>
        <v>0</v>
      </c>
      <c r="F11" s="48">
        <f>IFERROR(IF(H11&gt;'HP Calcs'!$D$5,IF(AND(K11&lt;M11,H11&gt;'HP Calcs'!$D$5),J11,0),IF(AND(K11&lt;M11,H11&lt;'HP Calcs'!$D$4),J11,0)),0)</f>
        <v>52</v>
      </c>
      <c r="G11" s="48">
        <f t="shared" si="4"/>
        <v>52</v>
      </c>
      <c r="H11" s="48">
        <v>-23</v>
      </c>
      <c r="I11" s="49">
        <f>IFERROR(VLOOKUP(H11,'HP Calcs'!$D$26:$T$33,2),0)</f>
        <v>1</v>
      </c>
      <c r="J11" s="48">
        <f t="shared" si="5"/>
        <v>52</v>
      </c>
      <c r="K11" s="49">
        <f>IF(H11&lt;'HP Calcs'!$D$4,MAX(_xlfn.FORECAST.LINEAR(H11,'HP Calcs'!$E$3:$E$4,'HP Calcs'!$D$3:$D$4),0),MAX(_xlfn.FORECAST.LINEAR(H11,'HP Calcs'!$E$5:$E$6,'HP Calcs'!$D$5:$D$6),0))</f>
        <v>6713.1537458974008</v>
      </c>
      <c r="L11" s="48">
        <f t="shared" si="1"/>
        <v>349083.99478666484</v>
      </c>
      <c r="M11" s="49">
        <f>IFERROR(IF(ISNUMBER(MATCH(H11,'HP Calcs'!$D$28:$D$33,0)),VLOOKUP(H11,'HP Calcs'!$D$28:$R$33,3,FALSE),INDEX('HP Calcs'!$F$28:$F$33,MATCH(I11,'HP Calcs'!$E$28:$E$33,0))+(INDEX('HP Calcs'!$G$28:$G$33,MATCH(I11,'HP Calcs'!$E$28:$E$33,0))*(H11-(INDEX('HP Calcs'!$D$28:$D$33,MATCH(I11,'HP Calcs'!$E$28:$E$33,0)))))),0)</f>
        <v>17250</v>
      </c>
      <c r="N11" s="49">
        <f>IFERROR(IF(ISNUMBER(MATCH(H11,'HP Calcs'!$D$28:$D$33,0)),VLOOKUP(H11,'HP Calcs'!$D$28:$R$33,5,FALSE),INDEX('HP Calcs'!$H$28:$H$33,MATCH(I11,'HP Calcs'!$E$28:$E$33,0))+(INDEX('HP Calcs'!$I$28:$I$33,MATCH(I11,'HP Calcs'!$E$28:$E$33,0))*(H11-(INDEX('HP Calcs'!$D$28:$D$33,MATCH(I11,'HP Calcs'!$E$28:$E$33,0)))))),0)</f>
        <v>17250</v>
      </c>
      <c r="O11" s="55">
        <f>IFERROR(IF(ISNUMBER(MATCH($H11,'HP Calcs'!$D$28:$D$33,0)),VLOOKUP($H11,'HP Calcs'!$D$28:$R$33,7,FALSE),INDEX('HP Calcs'!J$28:J$33,MATCH($I11,'HP Calcs'!$E$28:$E$33,0))+(INDEX('HP Calcs'!K$28:K$33,MATCH($I11,'HP Calcs'!$E$28:$E$33,0))*($H11-(INDEX('HP Calcs'!$D$28:$D$33,MATCH($I11,'HP Calcs'!$E$28:$E$33,0)))))),0)</f>
        <v>2.92</v>
      </c>
      <c r="P11" s="55">
        <f>IFERROR(IF(ISNUMBER(MATCH($H11,'HP Calcs'!$D$28:$D$33,0)),VLOOKUP($H11,'HP Calcs'!$D$28:$R$33,9,FALSE),INDEX('HP Calcs'!L$28:L$33,MATCH($I11,'HP Calcs'!$E$28:$E$33,0))+(INDEX('HP Calcs'!M$28:M$33,MATCH($I11,'HP Calcs'!$E$28:$E$33,0))*($H11-(INDEX('HP Calcs'!$D$28:$D$33,MATCH($I11,'HP Calcs'!$E$28:$E$33,0)))))),0)</f>
        <v>2.92</v>
      </c>
      <c r="Q11" s="331">
        <f>Table1[[#This Row],[kWh]]*'Conversion Factors'!$N$21</f>
        <v>17.727395909166283</v>
      </c>
      <c r="R11" s="334">
        <f>IF(Table1[[#This Row],[Temperature]]&lt;='HP Calcs'!$D$4,(Table1[[#This Row],[Annual Heating/Cooling Load (btu/year)]]*'Conversion Factors'!$M$4)/'HP Calcs'!$B$53*'Conversion Factors'!$N$20,"")</f>
        <v>7.593908444115848</v>
      </c>
      <c r="S11" s="334">
        <f>IF(MIN(Table1[[#This Row],[Cost of Electricity]:[Cost of Natural Gas]])=0,MAX(Table1[[#This Row],[Cost of Electricity]:[Cost of Natural Gas]]),MIN(Table1[[#This Row],[Cost of Electricity]:[Cost of Natural Gas]]))</f>
        <v>7.593908444115848</v>
      </c>
      <c r="T11" s="334">
        <f>IF(Table1[[#This Row],[Electricity or Natural Gas?]]=Table1[[#This Row],[Cost of Natural Gas]],-Table1[[#This Row],[Cost of Natural Gas]],Table1[[#This Row],[Cost of Electricity]])</f>
        <v>-7.593908444115848</v>
      </c>
      <c r="U1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0.37969542220579239</v>
      </c>
      <c r="V1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20.077143642523556</v>
      </c>
      <c r="W11" s="55">
        <f>Table1[[#This Row],[kWh]]*'Conversion Factors'!$D$6*'Conversion Factors'!$C$9</f>
        <v>34.863878621360364</v>
      </c>
      <c r="X11" s="55">
        <f>IF(Table1[[#This Row],[Temperature]]&lt;='HP Calcs'!$D$4,(Table1[[#This Row],[Annual Heating/Cooling Load (btu/year)]])/'HP Calcs'!$B$53*'Conversion Factors'!$M$4*'Conversion Factors'!$C$27,0)</f>
        <v>20.077143642523556</v>
      </c>
      <c r="Y11" s="55">
        <f>IF(MIN(Table1[[#This Row],[Electricity Emissions]:[Natural Gas Emissions ]])=0,MAX(Table1[[#This Row],[Electricity Emissions]:[Natural Gas Emissions ]]),MIN(Table1[[#This Row],[Electricity Emissions]:[Natural Gas Emissions ]]))</f>
        <v>20.077143642523556</v>
      </c>
      <c r="Z11" s="55">
        <f>IF(Table1[[#This Row],[Electricity or Natural Gas?2]]=Table1[[#This Row],[Natural Gas Emissions ]],-Table1[[#This Row],[Natural Gas Emissions ]],Table1[[#This Row],[Electricity Emissions]])</f>
        <v>-20.077143642523556</v>
      </c>
      <c r="AA11" s="55" t="str">
        <f>IF(Table1[[#This Row],[Fuel Selector (Cost)]]&lt;0,"NG","Elec")</f>
        <v>NG</v>
      </c>
      <c r="AB11" s="337"/>
      <c r="AC11" s="7">
        <v>2022</v>
      </c>
      <c r="AD11" s="7">
        <v>1</v>
      </c>
      <c r="AE11" s="7">
        <v>1</v>
      </c>
      <c r="AF11" s="8">
        <v>0.375</v>
      </c>
      <c r="AG11" s="9">
        <v>-23.5</v>
      </c>
      <c r="AH11" s="10">
        <f t="shared" ref="AH11:AH74" si="6">ROUND(AG11,0)</f>
        <v>-24</v>
      </c>
      <c r="AI11" s="149"/>
    </row>
    <row r="12" spans="1:35" ht="15.75" customHeight="1" x14ac:dyDescent="0.35">
      <c r="A12">
        <v>11</v>
      </c>
      <c r="B12" s="48">
        <f>IFERROR(IF(H12&lt;'HP Calcs'!$D$4,$K12-$M12,0),0)</f>
        <v>-11073.425097750034</v>
      </c>
      <c r="C12" s="48">
        <f t="shared" si="3"/>
        <v>-11073.425097750034</v>
      </c>
      <c r="D12" s="48">
        <f t="shared" si="0"/>
        <v>50.284069649892544</v>
      </c>
      <c r="E12" s="48">
        <f>IFERROR(IF(H12&gt;'HP Calcs'!$D$5,IF(AND(K12&gt;M12,K12&lt;N12,H12&gt;'HP Calcs'!$D$5),J12,0),IF(AND(K12&gt;M12,K12&lt;N12,H12&lt;'HP Calcs'!$D$4),J12,0)),0)</f>
        <v>0</v>
      </c>
      <c r="F12" s="48">
        <f>IFERROR(IF(H12&gt;'HP Calcs'!$D$5,IF(AND(K12&lt;M12,H12&gt;'HP Calcs'!$D$5),J12,0),IF(AND(K12&lt;M12,H12&lt;'HP Calcs'!$D$4),J12,0)),0)</f>
        <v>46</v>
      </c>
      <c r="G12" s="48">
        <f t="shared" si="4"/>
        <v>46</v>
      </c>
      <c r="H12" s="48">
        <v>-22</v>
      </c>
      <c r="I12" s="49">
        <f>IFERROR(VLOOKUP(H12,'HP Calcs'!$D$26:$T$33,2),0)</f>
        <v>1</v>
      </c>
      <c r="J12" s="48">
        <f t="shared" si="5"/>
        <v>46</v>
      </c>
      <c r="K12" s="49">
        <f>IF(H12&lt;'HP Calcs'!$D$4,MAX(_xlfn.FORECAST.LINEAR(H12,'HP Calcs'!$E$3:$E$4,'HP Calcs'!$D$3:$D$4),0),MAX(_xlfn.FORECAST.LINEAR(H12,'HP Calcs'!$E$5:$E$6,'HP Calcs'!$D$5:$D$6),0))</f>
        <v>6545.3249022499658</v>
      </c>
      <c r="L12" s="48">
        <f t="shared" si="1"/>
        <v>301084.94550349843</v>
      </c>
      <c r="M12" s="49">
        <f>IFERROR(IF(ISNUMBER(MATCH(H12,'HP Calcs'!$D$28:$D$33,0)),VLOOKUP(H12,'HP Calcs'!$D$28:$R$33,3,FALSE),INDEX('HP Calcs'!$F$28:$F$33,MATCH(I12,'HP Calcs'!$E$28:$E$33,0))+(INDEX('HP Calcs'!$G$28:$G$33,MATCH(I12,'HP Calcs'!$E$28:$E$33,0))*(H12-(INDEX('HP Calcs'!$D$28:$D$33,MATCH(I12,'HP Calcs'!$E$28:$E$33,0)))))),0)</f>
        <v>17618.75</v>
      </c>
      <c r="N12" s="49">
        <f>IFERROR(IF(ISNUMBER(MATCH(H12,'HP Calcs'!$D$28:$D$33,0)),VLOOKUP(H12,'HP Calcs'!$D$28:$R$33,5,FALSE),INDEX('HP Calcs'!$H$28:$H$33,MATCH(I12,'HP Calcs'!$E$28:$E$33,0))+(INDEX('HP Calcs'!$I$28:$I$33,MATCH(I12,'HP Calcs'!$E$28:$E$33,0))*(H12-(INDEX('HP Calcs'!$D$28:$D$33,MATCH(I12,'HP Calcs'!$E$28:$E$33,0)))))),0)</f>
        <v>17618.75</v>
      </c>
      <c r="O12" s="55">
        <f>IFERROR(IF(ISNUMBER(MATCH($H12,'HP Calcs'!$D$28:$D$33,0)),VLOOKUP($H12,'HP Calcs'!$D$28:$R$33,7,FALSE),INDEX('HP Calcs'!J$28:J$33,MATCH($I12,'HP Calcs'!$E$28:$E$33,0))+(INDEX('HP Calcs'!K$28:K$33,MATCH($I12,'HP Calcs'!$E$28:$E$33,0))*($H12-(INDEX('HP Calcs'!$D$28:$D$33,MATCH($I12,'HP Calcs'!$E$28:$E$33,0)))))),0)</f>
        <v>2.9425000000000003</v>
      </c>
      <c r="P12" s="55">
        <f>IFERROR(IF(ISNUMBER(MATCH($H12,'HP Calcs'!$D$28:$D$33,0)),VLOOKUP($H12,'HP Calcs'!$D$28:$R$33,9,FALSE),INDEX('HP Calcs'!L$28:L$33,MATCH($I12,'HP Calcs'!$E$28:$E$33,0))+(INDEX('HP Calcs'!M$28:M$33,MATCH($I12,'HP Calcs'!$E$28:$E$33,0))*($H12-(INDEX('HP Calcs'!$D$28:$D$33,MATCH($I12,'HP Calcs'!$E$28:$E$33,0)))))),0)</f>
        <v>2.9425000000000003</v>
      </c>
      <c r="Q12" s="331">
        <f>Table1[[#This Row],[kWh]]*'Conversion Factors'!$N$21</f>
        <v>15.085220894967762</v>
      </c>
      <c r="R12" s="334">
        <f>IF(Table1[[#This Row],[Temperature]]&lt;='HP Calcs'!$D$4,(Table1[[#This Row],[Annual Heating/Cooling Load (btu/year)]]*'Conversion Factors'!$M$4)/'HP Calcs'!$B$53*'Conversion Factors'!$N$20,"")</f>
        <v>6.5497460330499191</v>
      </c>
      <c r="S12" s="334">
        <f>IF(MIN(Table1[[#This Row],[Cost of Electricity]:[Cost of Natural Gas]])=0,MAX(Table1[[#This Row],[Cost of Electricity]:[Cost of Natural Gas]]),MIN(Table1[[#This Row],[Cost of Electricity]:[Cost of Natural Gas]]))</f>
        <v>6.5497460330499191</v>
      </c>
      <c r="T12" s="334">
        <f>IF(Table1[[#This Row],[Electricity or Natural Gas?]]=Table1[[#This Row],[Cost of Natural Gas]],-Table1[[#This Row],[Cost of Natural Gas]],Table1[[#This Row],[Cost of Electricity]])</f>
        <v>-6.5497460330499191</v>
      </c>
      <c r="U1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0.32748730165249595</v>
      </c>
      <c r="V1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17.316536391676568</v>
      </c>
      <c r="W12" s="55">
        <f>Table1[[#This Row],[kWh]]*'Conversion Factors'!$D$6*'Conversion Factors'!$C$9</f>
        <v>29.667601093436605</v>
      </c>
      <c r="X12" s="55">
        <f>IF(Table1[[#This Row],[Temperature]]&lt;='HP Calcs'!$D$4,(Table1[[#This Row],[Annual Heating/Cooling Load (btu/year)]])/'HP Calcs'!$B$53*'Conversion Factors'!$M$4*'Conversion Factors'!$C$27,0)</f>
        <v>17.316536391676568</v>
      </c>
      <c r="Y12" s="55">
        <f>IF(MIN(Table1[[#This Row],[Electricity Emissions]:[Natural Gas Emissions ]])=0,MAX(Table1[[#This Row],[Electricity Emissions]:[Natural Gas Emissions ]]),MIN(Table1[[#This Row],[Electricity Emissions]:[Natural Gas Emissions ]]))</f>
        <v>17.316536391676568</v>
      </c>
      <c r="Z12" s="55">
        <f>IF(Table1[[#This Row],[Electricity or Natural Gas?2]]=Table1[[#This Row],[Natural Gas Emissions ]],-Table1[[#This Row],[Natural Gas Emissions ]],Table1[[#This Row],[Electricity Emissions]])</f>
        <v>-17.316536391676568</v>
      </c>
      <c r="AA12" s="55" t="str">
        <f>IF(Table1[[#This Row],[Fuel Selector (Cost)]]&lt;0,"NG","Elec")</f>
        <v>NG</v>
      </c>
      <c r="AB12" s="337"/>
      <c r="AC12" s="7">
        <v>2022</v>
      </c>
      <c r="AD12" s="7">
        <v>1</v>
      </c>
      <c r="AE12" s="7">
        <v>1</v>
      </c>
      <c r="AF12" s="8">
        <v>0.41666666666666669</v>
      </c>
      <c r="AG12" s="9">
        <v>-18.899999999999999</v>
      </c>
      <c r="AH12" s="10">
        <f t="shared" si="6"/>
        <v>-19</v>
      </c>
      <c r="AI12" s="149"/>
    </row>
    <row r="13" spans="1:35" ht="15.75" customHeight="1" x14ac:dyDescent="0.35">
      <c r="A13">
        <v>12</v>
      </c>
      <c r="B13" s="48">
        <f>IFERROR(IF(H13&lt;'HP Calcs'!$D$4,$K13-$M13,0),0)</f>
        <v>-11610.00394139747</v>
      </c>
      <c r="C13" s="48">
        <f t="shared" si="3"/>
        <v>-11610.00394139747</v>
      </c>
      <c r="D13" s="48">
        <f t="shared" si="0"/>
        <v>73.587174813784884</v>
      </c>
      <c r="E13" s="48">
        <f>IFERROR(IF(H13&gt;'HP Calcs'!$D$5,IF(AND(K13&gt;M13,K13&lt;N13,H13&gt;'HP Calcs'!$D$5),J13,0),IF(AND(K13&gt;M13,K13&lt;N13,H13&lt;'HP Calcs'!$D$4),J13,0)),0)</f>
        <v>0</v>
      </c>
      <c r="F13" s="48">
        <f>IFERROR(IF(H13&gt;'HP Calcs'!$D$5,IF(AND(K13&lt;M13,H13&gt;'HP Calcs'!$D$5),J13,0),IF(AND(K13&lt;M13,H13&lt;'HP Calcs'!$D$4),J13,0)),0)</f>
        <v>70</v>
      </c>
      <c r="G13" s="48">
        <f t="shared" si="4"/>
        <v>70</v>
      </c>
      <c r="H13" s="48">
        <v>-21</v>
      </c>
      <c r="I13" s="49">
        <f>IFERROR(VLOOKUP(H13,'HP Calcs'!$D$26:$T$33,2),0)</f>
        <v>1</v>
      </c>
      <c r="J13" s="48">
        <f t="shared" si="5"/>
        <v>70</v>
      </c>
      <c r="K13" s="49">
        <f>IF(H13&lt;'HP Calcs'!$D$4,MAX(_xlfn.FORECAST.LINEAR(H13,'HP Calcs'!$E$3:$E$4,'HP Calcs'!$D$3:$D$4),0),MAX(_xlfn.FORECAST.LINEAR(H13,'HP Calcs'!$E$5:$E$6,'HP Calcs'!$D$5:$D$6),0))</f>
        <v>6377.4960586025309</v>
      </c>
      <c r="L13" s="48">
        <f t="shared" si="1"/>
        <v>446424.72410217713</v>
      </c>
      <c r="M13" s="49">
        <f>IFERROR(IF(ISNUMBER(MATCH(H13,'HP Calcs'!$D$28:$D$33,0)),VLOOKUP(H13,'HP Calcs'!$D$28:$R$33,3,FALSE),INDEX('HP Calcs'!$F$28:$F$33,MATCH(I13,'HP Calcs'!$E$28:$E$33,0))+(INDEX('HP Calcs'!$G$28:$G$33,MATCH(I13,'HP Calcs'!$E$28:$E$33,0))*(H13-(INDEX('HP Calcs'!$D$28:$D$33,MATCH(I13,'HP Calcs'!$E$28:$E$33,0)))))),0)</f>
        <v>17987.5</v>
      </c>
      <c r="N13" s="49">
        <f>IFERROR(IF(ISNUMBER(MATCH(H13,'HP Calcs'!$D$28:$D$33,0)),VLOOKUP(H13,'HP Calcs'!$D$28:$R$33,5,FALSE),INDEX('HP Calcs'!$H$28:$H$33,MATCH(I13,'HP Calcs'!$E$28:$E$33,0))+(INDEX('HP Calcs'!$I$28:$I$33,MATCH(I13,'HP Calcs'!$E$28:$E$33,0))*(H13-(INDEX('HP Calcs'!$D$28:$D$33,MATCH(I13,'HP Calcs'!$E$28:$E$33,0)))))),0)</f>
        <v>17987.5</v>
      </c>
      <c r="O13" s="55">
        <f>IFERROR(IF(ISNUMBER(MATCH($H13,'HP Calcs'!$D$28:$D$33,0)),VLOOKUP($H13,'HP Calcs'!$D$28:$R$33,7,FALSE),INDEX('HP Calcs'!J$28:J$33,MATCH($I13,'HP Calcs'!$E$28:$E$33,0))+(INDEX('HP Calcs'!K$28:K$33,MATCH($I13,'HP Calcs'!$E$28:$E$33,0))*($H13-(INDEX('HP Calcs'!$D$28:$D$33,MATCH($I13,'HP Calcs'!$E$28:$E$33,0)))))),0)</f>
        <v>2.9650000000000003</v>
      </c>
      <c r="P13" s="55">
        <f>IFERROR(IF(ISNUMBER(MATCH($H13,'HP Calcs'!$D$28:$D$33,0)),VLOOKUP($H13,'HP Calcs'!$D$28:$R$33,9,FALSE),INDEX('HP Calcs'!L$28:L$33,MATCH($I13,'HP Calcs'!$E$28:$E$33,0))+(INDEX('HP Calcs'!M$28:M$33,MATCH($I13,'HP Calcs'!$E$28:$E$33,0))*($H13-(INDEX('HP Calcs'!$D$28:$D$33,MATCH($I13,'HP Calcs'!$E$28:$E$33,0)))))),0)</f>
        <v>2.9650000000000003</v>
      </c>
      <c r="Q13" s="331">
        <f>Table1[[#This Row],[kWh]]*'Conversion Factors'!$N$21</f>
        <v>22.076152444135463</v>
      </c>
      <c r="R13" s="334">
        <f>IF(Table1[[#This Row],[Temperature]]&lt;='HP Calcs'!$D$4,(Table1[[#This Row],[Annual Heating/Cooling Load (btu/year)]]*'Conversion Factors'!$M$4)/'HP Calcs'!$B$53*'Conversion Factors'!$N$20,"")</f>
        <v>9.7114406064173817</v>
      </c>
      <c r="S13" s="334">
        <f>IF(MIN(Table1[[#This Row],[Cost of Electricity]:[Cost of Natural Gas]])=0,MAX(Table1[[#This Row],[Cost of Electricity]:[Cost of Natural Gas]]),MIN(Table1[[#This Row],[Cost of Electricity]:[Cost of Natural Gas]]))</f>
        <v>9.7114406064173817</v>
      </c>
      <c r="T13" s="334">
        <f>IF(Table1[[#This Row],[Electricity or Natural Gas?]]=Table1[[#This Row],[Cost of Natural Gas]],-Table1[[#This Row],[Cost of Natural Gas]],Table1[[#This Row],[Cost of Electricity]])</f>
        <v>-9.7114406064173817</v>
      </c>
      <c r="U1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0.48557203032086915</v>
      </c>
      <c r="V1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25.675577927458011</v>
      </c>
      <c r="W13" s="55">
        <f>Table1[[#This Row],[kWh]]*'Conversion Factors'!$D$6*'Conversion Factors'!$C$9</f>
        <v>43.416433140133087</v>
      </c>
      <c r="X13" s="55">
        <f>IF(Table1[[#This Row],[Temperature]]&lt;='HP Calcs'!$D$4,(Table1[[#This Row],[Annual Heating/Cooling Load (btu/year)]])/'HP Calcs'!$B$53*'Conversion Factors'!$M$4*'Conversion Factors'!$C$27,0)</f>
        <v>25.675577927458011</v>
      </c>
      <c r="Y13" s="55">
        <f>IF(MIN(Table1[[#This Row],[Electricity Emissions]:[Natural Gas Emissions ]])=0,MAX(Table1[[#This Row],[Electricity Emissions]:[Natural Gas Emissions ]]),MIN(Table1[[#This Row],[Electricity Emissions]:[Natural Gas Emissions ]]))</f>
        <v>25.675577927458011</v>
      </c>
      <c r="Z13" s="55">
        <f>IF(Table1[[#This Row],[Electricity or Natural Gas?2]]=Table1[[#This Row],[Natural Gas Emissions ]],-Table1[[#This Row],[Natural Gas Emissions ]],Table1[[#This Row],[Electricity Emissions]])</f>
        <v>-25.675577927458011</v>
      </c>
      <c r="AA13" s="55" t="str">
        <f>IF(Table1[[#This Row],[Fuel Selector (Cost)]]&lt;0,"NG","Elec")</f>
        <v>NG</v>
      </c>
      <c r="AB13" s="337"/>
      <c r="AC13" s="7">
        <v>2022</v>
      </c>
      <c r="AD13" s="7">
        <v>1</v>
      </c>
      <c r="AE13" s="7">
        <v>1</v>
      </c>
      <c r="AF13" s="8">
        <v>0.45833333333333331</v>
      </c>
      <c r="AG13" s="9">
        <v>-15.3</v>
      </c>
      <c r="AH13" s="10">
        <f t="shared" si="6"/>
        <v>-15</v>
      </c>
    </row>
    <row r="14" spans="1:35" ht="15.75" customHeight="1" x14ac:dyDescent="0.35">
      <c r="A14">
        <v>13</v>
      </c>
      <c r="B14" s="48">
        <f>IFERROR(IF(H14&lt;'HP Calcs'!$D$4,$K14-$M14,0),0)</f>
        <v>-12146.582785044904</v>
      </c>
      <c r="C14" s="48">
        <f t="shared" si="3"/>
        <v>-12146.582785044904</v>
      </c>
      <c r="D14" s="48">
        <f t="shared" si="0"/>
        <v>46.488989690988305</v>
      </c>
      <c r="E14" s="48">
        <f>IFERROR(IF(H14&gt;'HP Calcs'!$D$5,IF(AND(K14&gt;M14,K14&lt;N14,H14&gt;'HP Calcs'!$D$5),J14,0),IF(AND(K14&gt;M14,K14&lt;N14,H14&lt;'HP Calcs'!$D$4),J14,0)),0)</f>
        <v>0</v>
      </c>
      <c r="F14" s="48">
        <f>IFERROR(IF(H14&gt;'HP Calcs'!$D$5,IF(AND(K14&lt;M14,H14&gt;'HP Calcs'!$D$5),J14,0),IF(AND(K14&lt;M14,H14&lt;'HP Calcs'!$D$4),J14,0)),0)</f>
        <v>46</v>
      </c>
      <c r="G14" s="48">
        <f t="shared" si="4"/>
        <v>46</v>
      </c>
      <c r="H14" s="48">
        <v>-20</v>
      </c>
      <c r="I14" s="49">
        <f>IFERROR(VLOOKUP(H14,'HP Calcs'!$D$26:$T$33,2),0)</f>
        <v>1</v>
      </c>
      <c r="J14" s="48">
        <f t="shared" si="5"/>
        <v>46</v>
      </c>
      <c r="K14" s="49">
        <f>IF(H14&lt;'HP Calcs'!$D$4,MAX(_xlfn.FORECAST.LINEAR(H14,'HP Calcs'!$E$3:$E$4,'HP Calcs'!$D$3:$D$4),0),MAX(_xlfn.FORECAST.LINEAR(H14,'HP Calcs'!$E$5:$E$6,'HP Calcs'!$D$5:$D$6),0))</f>
        <v>6209.6672149550959</v>
      </c>
      <c r="L14" s="48">
        <f t="shared" si="1"/>
        <v>285644.6918879344</v>
      </c>
      <c r="M14" s="49">
        <f>IFERROR(IF(ISNUMBER(MATCH(H14,'HP Calcs'!$D$28:$D$33,0)),VLOOKUP(H14,'HP Calcs'!$D$28:$R$33,3,FALSE),INDEX('HP Calcs'!$F$28:$F$33,MATCH(I14,'HP Calcs'!$E$28:$E$33,0))+(INDEX('HP Calcs'!$G$28:$G$33,MATCH(I14,'HP Calcs'!$E$28:$E$33,0))*(H14-(INDEX('HP Calcs'!$D$28:$D$33,MATCH(I14,'HP Calcs'!$E$28:$E$33,0)))))),0)</f>
        <v>18356.25</v>
      </c>
      <c r="N14" s="49">
        <f>IFERROR(IF(ISNUMBER(MATCH(H14,'HP Calcs'!$D$28:$D$33,0)),VLOOKUP(H14,'HP Calcs'!$D$28:$R$33,5,FALSE),INDEX('HP Calcs'!$H$28:$H$33,MATCH(I14,'HP Calcs'!$E$28:$E$33,0))+(INDEX('HP Calcs'!$I$28:$I$33,MATCH(I14,'HP Calcs'!$E$28:$E$33,0))*(H14-(INDEX('HP Calcs'!$D$28:$D$33,MATCH(I14,'HP Calcs'!$E$28:$E$33,0)))))),0)</f>
        <v>18356.25</v>
      </c>
      <c r="O14" s="55">
        <f>IFERROR(IF(ISNUMBER(MATCH($H14,'HP Calcs'!$D$28:$D$33,0)),VLOOKUP($H14,'HP Calcs'!$D$28:$R$33,7,FALSE),INDEX('HP Calcs'!J$28:J$33,MATCH($I14,'HP Calcs'!$E$28:$E$33,0))+(INDEX('HP Calcs'!K$28:K$33,MATCH($I14,'HP Calcs'!$E$28:$E$33,0))*($H14-(INDEX('HP Calcs'!$D$28:$D$33,MATCH($I14,'HP Calcs'!$E$28:$E$33,0)))))),0)</f>
        <v>2.9875000000000003</v>
      </c>
      <c r="P14" s="55">
        <f>IFERROR(IF(ISNUMBER(MATCH($H14,'HP Calcs'!$D$28:$D$33,0)),VLOOKUP($H14,'HP Calcs'!$D$28:$R$33,9,FALSE),INDEX('HP Calcs'!L$28:L$33,MATCH($I14,'HP Calcs'!$E$28:$E$33,0))+(INDEX('HP Calcs'!M$28:M$33,MATCH($I14,'HP Calcs'!$E$28:$E$33,0))*($H14-(INDEX('HP Calcs'!$D$28:$D$33,MATCH($I14,'HP Calcs'!$E$28:$E$33,0)))))),0)</f>
        <v>2.9875000000000003</v>
      </c>
      <c r="Q14" s="331">
        <f>Table1[[#This Row],[kWh]]*'Conversion Factors'!$N$21</f>
        <v>13.946696907296491</v>
      </c>
      <c r="R14" s="334">
        <f>IF(Table1[[#This Row],[Temperature]]&lt;='HP Calcs'!$D$4,(Table1[[#This Row],[Annual Heating/Cooling Load (btu/year)]]*'Conversion Factors'!$M$4)/'HP Calcs'!$B$53*'Conversion Factors'!$N$20,"")</f>
        <v>6.2138616210986406</v>
      </c>
      <c r="S14" s="334">
        <f>IF(MIN(Table1[[#This Row],[Cost of Electricity]:[Cost of Natural Gas]])=0,MAX(Table1[[#This Row],[Cost of Electricity]:[Cost of Natural Gas]]),MIN(Table1[[#This Row],[Cost of Electricity]:[Cost of Natural Gas]]))</f>
        <v>6.2138616210986406</v>
      </c>
      <c r="T14" s="334">
        <f>IF(Table1[[#This Row],[Electricity or Natural Gas?]]=Table1[[#This Row],[Cost of Natural Gas]],-Table1[[#This Row],[Cost of Natural Gas]],Table1[[#This Row],[Cost of Electricity]])</f>
        <v>-6.2138616210986406</v>
      </c>
      <c r="U1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0.31069308105493204</v>
      </c>
      <c r="V1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16.428508884411102</v>
      </c>
      <c r="W14" s="55">
        <f>Table1[[#This Row],[kWh]]*'Conversion Factors'!$D$6*'Conversion Factors'!$C$9</f>
        <v>27.428503917683106</v>
      </c>
      <c r="X14" s="55">
        <f>IF(Table1[[#This Row],[Temperature]]&lt;='HP Calcs'!$D$4,(Table1[[#This Row],[Annual Heating/Cooling Load (btu/year)]])/'HP Calcs'!$B$53*'Conversion Factors'!$M$4*'Conversion Factors'!$C$27,0)</f>
        <v>16.428508884411102</v>
      </c>
      <c r="Y14" s="55">
        <f>IF(MIN(Table1[[#This Row],[Electricity Emissions]:[Natural Gas Emissions ]])=0,MAX(Table1[[#This Row],[Electricity Emissions]:[Natural Gas Emissions ]]),MIN(Table1[[#This Row],[Electricity Emissions]:[Natural Gas Emissions ]]))</f>
        <v>16.428508884411102</v>
      </c>
      <c r="Z14" s="55">
        <f>IF(Table1[[#This Row],[Electricity or Natural Gas?2]]=Table1[[#This Row],[Natural Gas Emissions ]],-Table1[[#This Row],[Natural Gas Emissions ]],Table1[[#This Row],[Electricity Emissions]])</f>
        <v>-16.428508884411102</v>
      </c>
      <c r="AA14" s="55" t="str">
        <f>IF(Table1[[#This Row],[Fuel Selector (Cost)]]&lt;0,"NG","Elec")</f>
        <v>NG</v>
      </c>
      <c r="AB14" s="337"/>
      <c r="AC14" s="7">
        <v>2022</v>
      </c>
      <c r="AD14" s="7">
        <v>1</v>
      </c>
      <c r="AE14" s="7">
        <v>1</v>
      </c>
      <c r="AF14" s="8">
        <v>0.5</v>
      </c>
      <c r="AG14" s="9">
        <v>-13</v>
      </c>
      <c r="AH14" s="10">
        <f>ROUND(AG14,0)</f>
        <v>-13</v>
      </c>
    </row>
    <row r="15" spans="1:35" ht="15.75" customHeight="1" x14ac:dyDescent="0.35">
      <c r="A15">
        <v>14</v>
      </c>
      <c r="B15" s="48">
        <f>IFERROR(IF(H15&lt;'HP Calcs'!$D$4,$K15-$M15,0),0)</f>
        <v>-12683.161628692338</v>
      </c>
      <c r="C15" s="48">
        <f t="shared" si="3"/>
        <v>-12683.161628692338</v>
      </c>
      <c r="D15" s="48">
        <f t="shared" si="0"/>
        <v>50.502992890631518</v>
      </c>
      <c r="E15" s="48">
        <f>IFERROR(IF(H15&gt;'HP Calcs'!$D$5,IF(AND(K15&gt;M15,K15&lt;N15,H15&gt;'HP Calcs'!$D$5),J15,0),IF(AND(K15&gt;M15,K15&lt;N15,H15&lt;'HP Calcs'!$D$4),J15,0)),0)</f>
        <v>0</v>
      </c>
      <c r="F15" s="48">
        <f>IFERROR(IF(H15&gt;'HP Calcs'!$D$5,IF(AND(K15&lt;M15,H15&gt;'HP Calcs'!$D$5),J15,0),IF(AND(K15&lt;M15,H15&lt;'HP Calcs'!$D$4),J15,0)),0)</f>
        <v>52</v>
      </c>
      <c r="G15" s="48">
        <f t="shared" si="4"/>
        <v>52</v>
      </c>
      <c r="H15" s="48">
        <v>-19</v>
      </c>
      <c r="I15" s="49">
        <f>IFERROR(VLOOKUP(H15,'HP Calcs'!$D$26:$T$33,2),0)</f>
        <v>1</v>
      </c>
      <c r="J15" s="48">
        <f t="shared" si="5"/>
        <v>52</v>
      </c>
      <c r="K15" s="49">
        <f>IF(H15&lt;'HP Calcs'!$D$4,MAX(_xlfn.FORECAST.LINEAR(H15,'HP Calcs'!$E$3:$E$4,'HP Calcs'!$D$3:$D$4),0),MAX(_xlfn.FORECAST.LINEAR(H15,'HP Calcs'!$E$5:$E$6,'HP Calcs'!$D$5:$D$6),0))</f>
        <v>6041.838371307661</v>
      </c>
      <c r="L15" s="48">
        <f t="shared" si="1"/>
        <v>314175.59530799836</v>
      </c>
      <c r="M15" s="49">
        <f>IFERROR(IF(ISNUMBER(MATCH(H15,'HP Calcs'!$D$28:$D$33,0)),VLOOKUP(H15,'HP Calcs'!$D$28:$R$33,3,FALSE),INDEX('HP Calcs'!$F$28:$F$33,MATCH(I15,'HP Calcs'!$E$28:$E$33,0))+(INDEX('HP Calcs'!$G$28:$G$33,MATCH(I15,'HP Calcs'!$E$28:$E$33,0))*(H15-(INDEX('HP Calcs'!$D$28:$D$33,MATCH(I15,'HP Calcs'!$E$28:$E$33,0)))))),0)</f>
        <v>18725</v>
      </c>
      <c r="N15" s="49">
        <f>IFERROR(IF(ISNUMBER(MATCH(H15,'HP Calcs'!$D$28:$D$33,0)),VLOOKUP(H15,'HP Calcs'!$D$28:$R$33,5,FALSE),INDEX('HP Calcs'!$H$28:$H$33,MATCH(I15,'HP Calcs'!$E$28:$E$33,0))+(INDEX('HP Calcs'!$I$28:$I$33,MATCH(I15,'HP Calcs'!$E$28:$E$33,0))*(H15-(INDEX('HP Calcs'!$D$28:$D$33,MATCH(I15,'HP Calcs'!$E$28:$E$33,0)))))),0)</f>
        <v>18725</v>
      </c>
      <c r="O15" s="55">
        <f>IFERROR(IF(ISNUMBER(MATCH($H15,'HP Calcs'!$D$28:$D$33,0)),VLOOKUP($H15,'HP Calcs'!$D$28:$R$33,7,FALSE),INDEX('HP Calcs'!J$28:J$33,MATCH($I15,'HP Calcs'!$E$28:$E$33,0))+(INDEX('HP Calcs'!K$28:K$33,MATCH($I15,'HP Calcs'!$E$28:$E$33,0))*($H15-(INDEX('HP Calcs'!$D$28:$D$33,MATCH($I15,'HP Calcs'!$E$28:$E$33,0)))))),0)</f>
        <v>3.0100000000000002</v>
      </c>
      <c r="P15" s="55">
        <f>IFERROR(IF(ISNUMBER(MATCH($H15,'HP Calcs'!$D$28:$D$33,0)),VLOOKUP($H15,'HP Calcs'!$D$28:$R$33,9,FALSE),INDEX('HP Calcs'!L$28:L$33,MATCH($I15,'HP Calcs'!$E$28:$E$33,0))+(INDEX('HP Calcs'!M$28:M$33,MATCH($I15,'HP Calcs'!$E$28:$E$33,0))*($H15-(INDEX('HP Calcs'!$D$28:$D$33,MATCH($I15,'HP Calcs'!$E$28:$E$33,0)))))),0)</f>
        <v>3.0100000000000002</v>
      </c>
      <c r="Q15" s="331">
        <f>Table1[[#This Row],[kWh]]*'Conversion Factors'!$N$21</f>
        <v>15.150897867189455</v>
      </c>
      <c r="R15" s="334">
        <f>IF(Table1[[#This Row],[Temperature]]&lt;='HP Calcs'!$D$4,(Table1[[#This Row],[Annual Heating/Cooling Load (btu/year)]]*'Conversion Factors'!$M$4)/'HP Calcs'!$B$53*'Conversion Factors'!$N$20,"")</f>
        <v>6.8345175997042631</v>
      </c>
      <c r="S15" s="334">
        <f>IF(MIN(Table1[[#This Row],[Cost of Electricity]:[Cost of Natural Gas]])=0,MAX(Table1[[#This Row],[Cost of Electricity]:[Cost of Natural Gas]]),MIN(Table1[[#This Row],[Cost of Electricity]:[Cost of Natural Gas]]))</f>
        <v>6.8345175997042631</v>
      </c>
      <c r="T15" s="334">
        <f>IF(Table1[[#This Row],[Electricity or Natural Gas?]]=Table1[[#This Row],[Cost of Natural Gas]],-Table1[[#This Row],[Cost of Natural Gas]],Table1[[#This Row],[Cost of Electricity]])</f>
        <v>-6.8345175997042631</v>
      </c>
      <c r="U1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0.3417258799852132</v>
      </c>
      <c r="V1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18.069429278271205</v>
      </c>
      <c r="W15" s="55">
        <f>Table1[[#This Row],[kWh]]*'Conversion Factors'!$D$6*'Conversion Factors'!$C$9</f>
        <v>29.796765805472599</v>
      </c>
      <c r="X15" s="55">
        <f>IF(Table1[[#This Row],[Temperature]]&lt;='HP Calcs'!$D$4,(Table1[[#This Row],[Annual Heating/Cooling Load (btu/year)]])/'HP Calcs'!$B$53*'Conversion Factors'!$M$4*'Conversion Factors'!$C$27,0)</f>
        <v>18.069429278271205</v>
      </c>
      <c r="Y15" s="55">
        <f>IF(MIN(Table1[[#This Row],[Electricity Emissions]:[Natural Gas Emissions ]])=0,MAX(Table1[[#This Row],[Electricity Emissions]:[Natural Gas Emissions ]]),MIN(Table1[[#This Row],[Electricity Emissions]:[Natural Gas Emissions ]]))</f>
        <v>18.069429278271205</v>
      </c>
      <c r="Z15" s="55">
        <f>IF(Table1[[#This Row],[Electricity or Natural Gas?2]]=Table1[[#This Row],[Natural Gas Emissions ]],-Table1[[#This Row],[Natural Gas Emissions ]],Table1[[#This Row],[Electricity Emissions]])</f>
        <v>-18.069429278271205</v>
      </c>
      <c r="AA15" s="55" t="str">
        <f>IF(Table1[[#This Row],[Fuel Selector (Cost)]]&lt;0,"NG","Elec")</f>
        <v>NG</v>
      </c>
      <c r="AB15" s="337"/>
      <c r="AC15" s="7">
        <v>2022</v>
      </c>
      <c r="AD15" s="7">
        <v>1</v>
      </c>
      <c r="AE15" s="7">
        <v>1</v>
      </c>
      <c r="AF15" s="8">
        <v>0.54166666666666663</v>
      </c>
      <c r="AG15" s="9">
        <v>-11.7</v>
      </c>
      <c r="AH15" s="10">
        <f t="shared" si="6"/>
        <v>-12</v>
      </c>
    </row>
    <row r="16" spans="1:35" ht="15.75" customHeight="1" x14ac:dyDescent="0.35">
      <c r="A16">
        <v>15</v>
      </c>
      <c r="B16" s="48">
        <f>IFERROR(IF(H16&lt;'HP Calcs'!$D$4,$K16-$M16,0),0)</f>
        <v>-13219.740472339774</v>
      </c>
      <c r="C16" s="48">
        <f t="shared" si="3"/>
        <v>-13219.740472339774</v>
      </c>
      <c r="D16" s="48">
        <f t="shared" si="0"/>
        <v>68.103131871003001</v>
      </c>
      <c r="E16" s="48">
        <f>IFERROR(IF(H16&gt;'HP Calcs'!$D$5,IF(AND(K16&gt;M16,K16&lt;N16,H16&gt;'HP Calcs'!$D$5),J16,0),IF(AND(K16&gt;M16,K16&lt;N16,H16&lt;'HP Calcs'!$D$4),J16,0)),0)</f>
        <v>0</v>
      </c>
      <c r="F16" s="48">
        <f>IFERROR(IF(H16&gt;'HP Calcs'!$D$5,IF(AND(K16&lt;M16,H16&gt;'HP Calcs'!$D$5),J16,0),IF(AND(K16&lt;M16,H16&lt;'HP Calcs'!$D$4),J16,0)),0)</f>
        <v>73</v>
      </c>
      <c r="G16" s="48">
        <f t="shared" si="4"/>
        <v>73</v>
      </c>
      <c r="H16" s="48">
        <v>-18</v>
      </c>
      <c r="I16" s="49">
        <f>IFERROR(VLOOKUP(H16,'HP Calcs'!$D$26:$T$33,2),0)</f>
        <v>1</v>
      </c>
      <c r="J16" s="48">
        <f t="shared" si="5"/>
        <v>73</v>
      </c>
      <c r="K16" s="49">
        <f>IF(H16&lt;'HP Calcs'!$D$4,MAX(_xlfn.FORECAST.LINEAR(H16,'HP Calcs'!$E$3:$E$4,'HP Calcs'!$D$3:$D$4),0),MAX(_xlfn.FORECAST.LINEAR(H16,'HP Calcs'!$E$5:$E$6,'HP Calcs'!$D$5:$D$6),0))</f>
        <v>5874.009527660226</v>
      </c>
      <c r="L16" s="48">
        <f t="shared" si="1"/>
        <v>428802.69551919651</v>
      </c>
      <c r="M16" s="49">
        <f>IFERROR(IF(ISNUMBER(MATCH(H16,'HP Calcs'!$D$28:$D$33,0)),VLOOKUP(H16,'HP Calcs'!$D$28:$R$33,3,FALSE),INDEX('HP Calcs'!$F$28:$F$33,MATCH(I16,'HP Calcs'!$E$28:$E$33,0))+(INDEX('HP Calcs'!$G$28:$G$33,MATCH(I16,'HP Calcs'!$E$28:$E$33,0))*(H16-(INDEX('HP Calcs'!$D$28:$D$33,MATCH(I16,'HP Calcs'!$E$28:$E$33,0)))))),0)</f>
        <v>19093.75</v>
      </c>
      <c r="N16" s="49">
        <f>IFERROR(IF(ISNUMBER(MATCH(H16,'HP Calcs'!$D$28:$D$33,0)),VLOOKUP(H16,'HP Calcs'!$D$28:$R$33,5,FALSE),INDEX('HP Calcs'!$H$28:$H$33,MATCH(I16,'HP Calcs'!$E$28:$E$33,0))+(INDEX('HP Calcs'!$I$28:$I$33,MATCH(I16,'HP Calcs'!$E$28:$E$33,0))*(H16-(INDEX('HP Calcs'!$D$28:$D$33,MATCH(I16,'HP Calcs'!$E$28:$E$33,0)))))),0)</f>
        <v>19093.75</v>
      </c>
      <c r="O16" s="55">
        <f>IFERROR(IF(ISNUMBER(MATCH($H16,'HP Calcs'!$D$28:$D$33,0)),VLOOKUP($H16,'HP Calcs'!$D$28:$R$33,7,FALSE),INDEX('HP Calcs'!J$28:J$33,MATCH($I16,'HP Calcs'!$E$28:$E$33,0))+(INDEX('HP Calcs'!K$28:K$33,MATCH($I16,'HP Calcs'!$E$28:$E$33,0))*($H16-(INDEX('HP Calcs'!$D$28:$D$33,MATCH($I16,'HP Calcs'!$E$28:$E$33,0)))))),0)</f>
        <v>3.0325000000000002</v>
      </c>
      <c r="P16" s="55">
        <f>IFERROR(IF(ISNUMBER(MATCH($H16,'HP Calcs'!$D$28:$D$33,0)),VLOOKUP($H16,'HP Calcs'!$D$28:$R$33,9,FALSE),INDEX('HP Calcs'!L$28:L$33,MATCH($I16,'HP Calcs'!$E$28:$E$33,0))+(INDEX('HP Calcs'!M$28:M$33,MATCH($I16,'HP Calcs'!$E$28:$E$33,0))*($H16-(INDEX('HP Calcs'!$D$28:$D$33,MATCH($I16,'HP Calcs'!$E$28:$E$33,0)))))),0)</f>
        <v>3.0325000000000002</v>
      </c>
      <c r="Q16" s="331">
        <f>Table1[[#This Row],[kWh]]*'Conversion Factors'!$N$21</f>
        <v>20.430939561300899</v>
      </c>
      <c r="R16" s="334">
        <f>IF(Table1[[#This Row],[Temperature]]&lt;='HP Calcs'!$D$4,(Table1[[#This Row],[Annual Heating/Cooling Load (btu/year)]]*'Conversion Factors'!$M$4)/'HP Calcs'!$B$53*'Conversion Factors'!$N$20,"")</f>
        <v>9.3280942666903819</v>
      </c>
      <c r="S16" s="334">
        <f>IF(MIN(Table1[[#This Row],[Cost of Electricity]:[Cost of Natural Gas]])=0,MAX(Table1[[#This Row],[Cost of Electricity]:[Cost of Natural Gas]]),MIN(Table1[[#This Row],[Cost of Electricity]:[Cost of Natural Gas]]))</f>
        <v>9.3280942666903819</v>
      </c>
      <c r="T16" s="334">
        <f>IF(Table1[[#This Row],[Electricity or Natural Gas?]]=Table1[[#This Row],[Cost of Natural Gas]],-Table1[[#This Row],[Cost of Natural Gas]],Table1[[#This Row],[Cost of Electricity]])</f>
        <v>-9.3280942666903819</v>
      </c>
      <c r="U1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0.46640471333451905</v>
      </c>
      <c r="V1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24.662068272426776</v>
      </c>
      <c r="W16" s="55">
        <f>Table1[[#This Row],[kWh]]*'Conversion Factors'!$D$6*'Conversion Factors'!$C$9</f>
        <v>40.180847803891773</v>
      </c>
      <c r="X16" s="55">
        <f>IF(Table1[[#This Row],[Temperature]]&lt;='HP Calcs'!$D$4,(Table1[[#This Row],[Annual Heating/Cooling Load (btu/year)]])/'HP Calcs'!$B$53*'Conversion Factors'!$M$4*'Conversion Factors'!$C$27,0)</f>
        <v>24.662068272426776</v>
      </c>
      <c r="Y16" s="55">
        <f>IF(MIN(Table1[[#This Row],[Electricity Emissions]:[Natural Gas Emissions ]])=0,MAX(Table1[[#This Row],[Electricity Emissions]:[Natural Gas Emissions ]]),MIN(Table1[[#This Row],[Electricity Emissions]:[Natural Gas Emissions ]]))</f>
        <v>24.662068272426776</v>
      </c>
      <c r="Z16" s="55">
        <f>IF(Table1[[#This Row],[Electricity or Natural Gas?2]]=Table1[[#This Row],[Natural Gas Emissions ]],-Table1[[#This Row],[Natural Gas Emissions ]],Table1[[#This Row],[Electricity Emissions]])</f>
        <v>-24.662068272426776</v>
      </c>
      <c r="AA16" s="55" t="str">
        <f>IF(Table1[[#This Row],[Fuel Selector (Cost)]]&lt;0,"NG","Elec")</f>
        <v>NG</v>
      </c>
      <c r="AB16" s="337"/>
      <c r="AC16" s="7">
        <v>2022</v>
      </c>
      <c r="AD16" s="7">
        <v>1</v>
      </c>
      <c r="AE16" s="7">
        <v>1</v>
      </c>
      <c r="AF16" s="8">
        <v>0.58333333333333337</v>
      </c>
      <c r="AG16" s="9">
        <v>-9.8000000000000007</v>
      </c>
      <c r="AH16" s="10">
        <f t="shared" si="6"/>
        <v>-10</v>
      </c>
    </row>
    <row r="17" spans="1:34" ht="15.75" customHeight="1" x14ac:dyDescent="0.35">
      <c r="A17">
        <v>16</v>
      </c>
      <c r="B17" s="48">
        <f>IFERROR(IF(H17&lt;'HP Calcs'!$D$4,$K17-$M17,0),0)</f>
        <v>-13756.31931598721</v>
      </c>
      <c r="C17" s="48">
        <f t="shared" si="3"/>
        <v>-13756.31931598721</v>
      </c>
      <c r="D17" s="48">
        <f t="shared" si="0"/>
        <v>60.011282893110241</v>
      </c>
      <c r="E17" s="48">
        <f>IFERROR(IF(H17&gt;'HP Calcs'!$D$5,IF(AND(K17&gt;M17,K17&lt;N17,H17&gt;'HP Calcs'!$D$5),J17,0),IF(AND(K17&gt;M17,K17&lt;N17,H17&lt;'HP Calcs'!$D$4),J17,0)),0)</f>
        <v>0</v>
      </c>
      <c r="F17" s="48">
        <f>IFERROR(IF(H17&gt;'HP Calcs'!$D$5,IF(AND(K17&lt;M17,H17&gt;'HP Calcs'!$D$5),J17,0),IF(AND(K17&lt;M17,H17&lt;'HP Calcs'!$D$4),J17,0)),0)</f>
        <v>67</v>
      </c>
      <c r="G17" s="48">
        <f t="shared" si="4"/>
        <v>67</v>
      </c>
      <c r="H17" s="48">
        <v>-17</v>
      </c>
      <c r="I17" s="49">
        <f>IFERROR(VLOOKUP(H17,'HP Calcs'!$D$26:$T$33,2),0)</f>
        <v>1</v>
      </c>
      <c r="J17" s="48">
        <f t="shared" si="5"/>
        <v>67</v>
      </c>
      <c r="K17" s="49">
        <f>IF(H17&lt;'HP Calcs'!$D$4,MAX(_xlfn.FORECAST.LINEAR(H17,'HP Calcs'!$E$3:$E$4,'HP Calcs'!$D$3:$D$4),0),MAX(_xlfn.FORECAST.LINEAR(H17,'HP Calcs'!$E$5:$E$6,'HP Calcs'!$D$5:$D$6),0))</f>
        <v>5706.1806840127902</v>
      </c>
      <c r="L17" s="48">
        <f t="shared" si="1"/>
        <v>382314.10582885693</v>
      </c>
      <c r="M17" s="49">
        <f>IFERROR(IF(ISNUMBER(MATCH(H17,'HP Calcs'!$D$28:$D$33,0)),VLOOKUP(H17,'HP Calcs'!$D$28:$R$33,3,FALSE),INDEX('HP Calcs'!$F$28:$F$33,MATCH(I17,'HP Calcs'!$E$28:$E$33,0))+(INDEX('HP Calcs'!$G$28:$G$33,MATCH(I17,'HP Calcs'!$E$28:$E$33,0))*(H17-(INDEX('HP Calcs'!$D$28:$D$33,MATCH(I17,'HP Calcs'!$E$28:$E$33,0)))))),0)</f>
        <v>19462.5</v>
      </c>
      <c r="N17" s="49">
        <f>IFERROR(IF(ISNUMBER(MATCH(H17,'HP Calcs'!$D$28:$D$33,0)),VLOOKUP(H17,'HP Calcs'!$D$28:$R$33,5,FALSE),INDEX('HP Calcs'!$H$28:$H$33,MATCH(I17,'HP Calcs'!$E$28:$E$33,0))+(INDEX('HP Calcs'!$I$28:$I$33,MATCH(I17,'HP Calcs'!$E$28:$E$33,0))*(H17-(INDEX('HP Calcs'!$D$28:$D$33,MATCH(I17,'HP Calcs'!$E$28:$E$33,0)))))),0)</f>
        <v>19462.5</v>
      </c>
      <c r="O17" s="55">
        <f>IFERROR(IF(ISNUMBER(MATCH($H17,'HP Calcs'!$D$28:$D$33,0)),VLOOKUP($H17,'HP Calcs'!$D$28:$R$33,7,FALSE),INDEX('HP Calcs'!J$28:J$33,MATCH($I17,'HP Calcs'!$E$28:$E$33,0))+(INDEX('HP Calcs'!K$28:K$33,MATCH($I17,'HP Calcs'!$E$28:$E$33,0))*($H17-(INDEX('HP Calcs'!$D$28:$D$33,MATCH($I17,'HP Calcs'!$E$28:$E$33,0)))))),0)</f>
        <v>3.0550000000000002</v>
      </c>
      <c r="P17" s="55">
        <f>IFERROR(IF(ISNUMBER(MATCH($H17,'HP Calcs'!$D$28:$D$33,0)),VLOOKUP($H17,'HP Calcs'!$D$28:$R$33,9,FALSE),INDEX('HP Calcs'!L$28:L$33,MATCH($I17,'HP Calcs'!$E$28:$E$33,0))+(INDEX('HP Calcs'!M$28:M$33,MATCH($I17,'HP Calcs'!$E$28:$E$33,0))*($H17-(INDEX('HP Calcs'!$D$28:$D$33,MATCH($I17,'HP Calcs'!$E$28:$E$33,0)))))),0)</f>
        <v>3.0550000000000002</v>
      </c>
      <c r="Q17" s="331">
        <f>Table1[[#This Row],[kWh]]*'Conversion Factors'!$N$21</f>
        <v>18.003384867933072</v>
      </c>
      <c r="R17" s="334">
        <f>IF(Table1[[#This Row],[Temperature]]&lt;='HP Calcs'!$D$4,(Table1[[#This Row],[Annual Heating/Cooling Load (btu/year)]]*'Conversion Factors'!$M$4)/'HP Calcs'!$B$53*'Conversion Factors'!$N$20,"")</f>
        <v>8.3167901133153368</v>
      </c>
      <c r="S17" s="334">
        <f>IF(MIN(Table1[[#This Row],[Cost of Electricity]:[Cost of Natural Gas]])=0,MAX(Table1[[#This Row],[Cost of Electricity]:[Cost of Natural Gas]]),MIN(Table1[[#This Row],[Cost of Electricity]:[Cost of Natural Gas]]))</f>
        <v>8.3167901133153368</v>
      </c>
      <c r="T17" s="334">
        <f>IF(Table1[[#This Row],[Electricity or Natural Gas?]]=Table1[[#This Row],[Cost of Natural Gas]],-Table1[[#This Row],[Cost of Natural Gas]],Table1[[#This Row],[Cost of Electricity]])</f>
        <v>-8.3167901133153368</v>
      </c>
      <c r="U1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0.41583950566576683</v>
      </c>
      <c r="V1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21.988333277725317</v>
      </c>
      <c r="W17" s="55">
        <f>Table1[[#This Row],[kWh]]*'Conversion Factors'!$D$6*'Conversion Factors'!$C$9</f>
        <v>35.406656906935048</v>
      </c>
      <c r="X17" s="55">
        <f>IF(Table1[[#This Row],[Temperature]]&lt;='HP Calcs'!$D$4,(Table1[[#This Row],[Annual Heating/Cooling Load (btu/year)]])/'HP Calcs'!$B$53*'Conversion Factors'!$M$4*'Conversion Factors'!$C$27,0)</f>
        <v>21.988333277725317</v>
      </c>
      <c r="Y17" s="55">
        <f>IF(MIN(Table1[[#This Row],[Electricity Emissions]:[Natural Gas Emissions ]])=0,MAX(Table1[[#This Row],[Electricity Emissions]:[Natural Gas Emissions ]]),MIN(Table1[[#This Row],[Electricity Emissions]:[Natural Gas Emissions ]]))</f>
        <v>21.988333277725317</v>
      </c>
      <c r="Z17" s="55">
        <f>IF(Table1[[#This Row],[Electricity or Natural Gas?2]]=Table1[[#This Row],[Natural Gas Emissions ]],-Table1[[#This Row],[Natural Gas Emissions ]],Table1[[#This Row],[Electricity Emissions]])</f>
        <v>-21.988333277725317</v>
      </c>
      <c r="AA17" s="55" t="str">
        <f>IF(Table1[[#This Row],[Fuel Selector (Cost)]]&lt;0,"NG","Elec")</f>
        <v>NG</v>
      </c>
      <c r="AB17" s="337"/>
      <c r="AC17" s="7">
        <v>2022</v>
      </c>
      <c r="AD17" s="7">
        <v>1</v>
      </c>
      <c r="AE17" s="7">
        <v>1</v>
      </c>
      <c r="AF17" s="8">
        <v>0.625</v>
      </c>
      <c r="AG17" s="9">
        <v>-8.9</v>
      </c>
      <c r="AH17" s="10">
        <f t="shared" si="6"/>
        <v>-9</v>
      </c>
    </row>
    <row r="18" spans="1:34" ht="15.75" customHeight="1" x14ac:dyDescent="0.35">
      <c r="A18">
        <v>17</v>
      </c>
      <c r="B18" s="48">
        <f>IFERROR(IF(H18&lt;'HP Calcs'!$D$4,$K18-$M18,0),0)</f>
        <v>-14292.898159634644</v>
      </c>
      <c r="C18" s="48">
        <f t="shared" si="3"/>
        <v>-14292.898159634644</v>
      </c>
      <c r="D18" s="48">
        <f t="shared" si="0"/>
        <v>61.881525410055126</v>
      </c>
      <c r="E18" s="48">
        <f>IFERROR(IF(H18&gt;'HP Calcs'!$D$5,IF(AND(K18&gt;M18,K18&lt;N18,H18&gt;'HP Calcs'!$D$5),J18,0),IF(AND(K18&gt;M18,K18&lt;N18,H18&lt;'HP Calcs'!$D$4),J18,0)),0)</f>
        <v>0</v>
      </c>
      <c r="F18" s="48">
        <f>IFERROR(IF(H18&gt;'HP Calcs'!$D$5,IF(AND(K18&lt;M18,H18&gt;'HP Calcs'!$D$5),J18,0),IF(AND(K18&lt;M18,H18&lt;'HP Calcs'!$D$4),J18,0)),0)</f>
        <v>72</v>
      </c>
      <c r="G18" s="48">
        <f t="shared" si="4"/>
        <v>72</v>
      </c>
      <c r="H18" s="48">
        <v>-16</v>
      </c>
      <c r="I18" s="49">
        <f>IFERROR(VLOOKUP(H18,'HP Calcs'!$D$26:$T$33,2),0)</f>
        <v>1</v>
      </c>
      <c r="J18" s="48">
        <f t="shared" si="5"/>
        <v>72</v>
      </c>
      <c r="K18" s="49">
        <f>IF(H18&lt;'HP Calcs'!$D$4,MAX(_xlfn.FORECAST.LINEAR(H18,'HP Calcs'!$E$3:$E$4,'HP Calcs'!$D$3:$D$4),0),MAX(_xlfn.FORECAST.LINEAR(H18,'HP Calcs'!$E$5:$E$6,'HP Calcs'!$D$5:$D$6),0))</f>
        <v>5538.3518403653561</v>
      </c>
      <c r="L18" s="48">
        <f t="shared" si="1"/>
        <v>398761.33250630565</v>
      </c>
      <c r="M18" s="49">
        <f>IFERROR(IF(ISNUMBER(MATCH(H18,'HP Calcs'!$D$28:$D$33,0)),VLOOKUP(H18,'HP Calcs'!$D$28:$R$33,3,FALSE),INDEX('HP Calcs'!$F$28:$F$33,MATCH(I18,'HP Calcs'!$E$28:$E$33,0))+(INDEX('HP Calcs'!$G$28:$G$33,MATCH(I18,'HP Calcs'!$E$28:$E$33,0))*(H18-(INDEX('HP Calcs'!$D$28:$D$33,MATCH(I18,'HP Calcs'!$E$28:$E$33,0)))))),0)</f>
        <v>19831.25</v>
      </c>
      <c r="N18" s="49">
        <f>IFERROR(IF(ISNUMBER(MATCH(H18,'HP Calcs'!$D$28:$D$33,0)),VLOOKUP(H18,'HP Calcs'!$D$28:$R$33,5,FALSE),INDEX('HP Calcs'!$H$28:$H$33,MATCH(I18,'HP Calcs'!$E$28:$E$33,0))+(INDEX('HP Calcs'!$I$28:$I$33,MATCH(I18,'HP Calcs'!$E$28:$E$33,0))*(H18-(INDEX('HP Calcs'!$D$28:$D$33,MATCH(I18,'HP Calcs'!$E$28:$E$33,0)))))),0)</f>
        <v>19831.25</v>
      </c>
      <c r="O18" s="55">
        <f>IFERROR(IF(ISNUMBER(MATCH($H18,'HP Calcs'!$D$28:$D$33,0)),VLOOKUP($H18,'HP Calcs'!$D$28:$R$33,7,FALSE),INDEX('HP Calcs'!J$28:J$33,MATCH($I18,'HP Calcs'!$E$28:$E$33,0))+(INDEX('HP Calcs'!K$28:K$33,MATCH($I18,'HP Calcs'!$E$28:$E$33,0))*($H18-(INDEX('HP Calcs'!$D$28:$D$33,MATCH($I18,'HP Calcs'!$E$28:$E$33,0)))))),0)</f>
        <v>3.0775000000000001</v>
      </c>
      <c r="P18" s="55">
        <f>IFERROR(IF(ISNUMBER(MATCH($H18,'HP Calcs'!$D$28:$D$33,0)),VLOOKUP($H18,'HP Calcs'!$D$28:$R$33,9,FALSE),INDEX('HP Calcs'!L$28:L$33,MATCH($I18,'HP Calcs'!$E$28:$E$33,0))+(INDEX('HP Calcs'!M$28:M$33,MATCH($I18,'HP Calcs'!$E$28:$E$33,0))*($H18-(INDEX('HP Calcs'!$D$28:$D$33,MATCH($I18,'HP Calcs'!$E$28:$E$33,0)))))),0)</f>
        <v>3.0775000000000001</v>
      </c>
      <c r="Q18" s="331">
        <f>Table1[[#This Row],[kWh]]*'Conversion Factors'!$N$21</f>
        <v>18.564457623016537</v>
      </c>
      <c r="R18" s="334">
        <f>IF(Table1[[#This Row],[Temperature]]&lt;='HP Calcs'!$D$4,(Table1[[#This Row],[Annual Heating/Cooling Load (btu/year)]]*'Conversion Factors'!$M$4)/'HP Calcs'!$B$53*'Conversion Factors'!$N$20,"")</f>
        <v>8.6745800303938729</v>
      </c>
      <c r="S18" s="334">
        <f>IF(MIN(Table1[[#This Row],[Cost of Electricity]:[Cost of Natural Gas]])=0,MAX(Table1[[#This Row],[Cost of Electricity]:[Cost of Natural Gas]]),MIN(Table1[[#This Row],[Cost of Electricity]:[Cost of Natural Gas]]))</f>
        <v>8.6745800303938729</v>
      </c>
      <c r="T18" s="334">
        <f>IF(Table1[[#This Row],[Electricity or Natural Gas?]]=Table1[[#This Row],[Cost of Natural Gas]],-Table1[[#This Row],[Cost of Natural Gas]],Table1[[#This Row],[Cost of Electricity]])</f>
        <v>-8.6745800303938729</v>
      </c>
      <c r="U1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0.43372900151969368</v>
      </c>
      <c r="V1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22.934275622421143</v>
      </c>
      <c r="W18" s="55">
        <f>Table1[[#This Row],[kWh]]*'Conversion Factors'!$D$6*'Conversion Factors'!$C$9</f>
        <v>36.510099991932528</v>
      </c>
      <c r="X18" s="55">
        <f>IF(Table1[[#This Row],[Temperature]]&lt;='HP Calcs'!$D$4,(Table1[[#This Row],[Annual Heating/Cooling Load (btu/year)]])/'HP Calcs'!$B$53*'Conversion Factors'!$M$4*'Conversion Factors'!$C$27,0)</f>
        <v>22.934275622421143</v>
      </c>
      <c r="Y18" s="55">
        <f>IF(MIN(Table1[[#This Row],[Electricity Emissions]:[Natural Gas Emissions ]])=0,MAX(Table1[[#This Row],[Electricity Emissions]:[Natural Gas Emissions ]]),MIN(Table1[[#This Row],[Electricity Emissions]:[Natural Gas Emissions ]]))</f>
        <v>22.934275622421143</v>
      </c>
      <c r="Z18" s="55">
        <f>IF(Table1[[#This Row],[Electricity or Natural Gas?2]]=Table1[[#This Row],[Natural Gas Emissions ]],-Table1[[#This Row],[Natural Gas Emissions ]],Table1[[#This Row],[Electricity Emissions]])</f>
        <v>-22.934275622421143</v>
      </c>
      <c r="AA18" s="55" t="str">
        <f>IF(Table1[[#This Row],[Fuel Selector (Cost)]]&lt;0,"NG","Elec")</f>
        <v>NG</v>
      </c>
      <c r="AB18" s="337"/>
      <c r="AC18" s="7">
        <v>2022</v>
      </c>
      <c r="AD18" s="7">
        <v>1</v>
      </c>
      <c r="AE18" s="7">
        <v>1</v>
      </c>
      <c r="AF18" s="8">
        <v>0.66666666666666663</v>
      </c>
      <c r="AG18" s="9">
        <v>-7.8</v>
      </c>
      <c r="AH18" s="10">
        <f t="shared" si="6"/>
        <v>-8</v>
      </c>
    </row>
    <row r="19" spans="1:34" ht="15.75" customHeight="1" x14ac:dyDescent="0.35">
      <c r="A19">
        <v>18</v>
      </c>
      <c r="B19" s="48">
        <f>IFERROR(IF(H19&lt;'HP Calcs'!$D$4,$K19-$M19,0),0)</f>
        <v>-14829.47700328208</v>
      </c>
      <c r="C19" s="48">
        <f t="shared" si="3"/>
        <v>-14829.47700328208</v>
      </c>
      <c r="D19" s="48">
        <f t="shared" si="0"/>
        <v>42.857836983709348</v>
      </c>
      <c r="E19" s="48">
        <f>IFERROR(IF(H19&gt;'HP Calcs'!$D$5,IF(AND(K19&gt;M19,K19&lt;N19,H19&gt;'HP Calcs'!$D$5),J19,0),IF(AND(K19&gt;M19,K19&lt;N19,H19&lt;'HP Calcs'!$D$4),J19,0)),0)</f>
        <v>0</v>
      </c>
      <c r="F19" s="48">
        <f>IFERROR(IF(H19&gt;'HP Calcs'!$D$5,IF(AND(K19&lt;M19,H19&gt;'HP Calcs'!$D$5),J19,0),IF(AND(K19&lt;M19,H19&lt;'HP Calcs'!$D$4),J19,0)),0)</f>
        <v>52</v>
      </c>
      <c r="G19" s="48">
        <f t="shared" si="4"/>
        <v>52</v>
      </c>
      <c r="H19" s="48">
        <v>-15</v>
      </c>
      <c r="I19" s="49">
        <f>IFERROR(VLOOKUP(H19,'HP Calcs'!$D$26:$T$33,2),0)</f>
        <v>2</v>
      </c>
      <c r="J19" s="48">
        <f t="shared" si="5"/>
        <v>52</v>
      </c>
      <c r="K19" s="49">
        <f>IF(H19&lt;'HP Calcs'!$D$4,MAX(_xlfn.FORECAST.LINEAR(H19,'HP Calcs'!$E$3:$E$4,'HP Calcs'!$D$3:$D$4),0),MAX(_xlfn.FORECAST.LINEAR(H19,'HP Calcs'!$E$5:$E$6,'HP Calcs'!$D$5:$D$6),0))</f>
        <v>5370.5229967179203</v>
      </c>
      <c r="L19" s="48">
        <f t="shared" si="1"/>
        <v>279267.19582933187</v>
      </c>
      <c r="M19" s="49">
        <f>IFERROR(IF(ISNUMBER(MATCH(H19,'HP Calcs'!$D$28:$D$33,0)),VLOOKUP(H19,'HP Calcs'!$D$28:$R$33,3,FALSE),INDEX('HP Calcs'!$F$28:$F$33,MATCH(I19,'HP Calcs'!$E$28:$E$33,0))+(INDEX('HP Calcs'!$G$28:$G$33,MATCH(I19,'HP Calcs'!$E$28:$E$33,0))*(H19-(INDEX('HP Calcs'!$D$28:$D$33,MATCH(I19,'HP Calcs'!$E$28:$E$33,0)))))),0)</f>
        <v>20200</v>
      </c>
      <c r="N19" s="49">
        <f>IFERROR(IF(ISNUMBER(MATCH(H19,'HP Calcs'!$D$28:$D$33,0)),VLOOKUP(H19,'HP Calcs'!$D$28:$R$33,5,FALSE),INDEX('HP Calcs'!$H$28:$H$33,MATCH(I19,'HP Calcs'!$E$28:$E$33,0))+(INDEX('HP Calcs'!$I$28:$I$33,MATCH(I19,'HP Calcs'!$E$28:$E$33,0))*(H19-(INDEX('HP Calcs'!$D$28:$D$33,MATCH(I19,'HP Calcs'!$E$28:$E$33,0)))))),0)</f>
        <v>20200</v>
      </c>
      <c r="O19" s="55">
        <f>IFERROR(IF(ISNUMBER(MATCH($H19,'HP Calcs'!$D$28:$D$33,0)),VLOOKUP($H19,'HP Calcs'!$D$28:$R$33,7,FALSE),INDEX('HP Calcs'!J$28:J$33,MATCH($I19,'HP Calcs'!$E$28:$E$33,0))+(INDEX('HP Calcs'!K$28:K$33,MATCH($I19,'HP Calcs'!$E$28:$E$33,0))*($H19-(INDEX('HP Calcs'!$D$28:$D$33,MATCH($I19,'HP Calcs'!$E$28:$E$33,0)))))),0)</f>
        <v>3.1</v>
      </c>
      <c r="P19" s="55">
        <f>IFERROR(IF(ISNUMBER(MATCH($H19,'HP Calcs'!$D$28:$D$33,0)),VLOOKUP($H19,'HP Calcs'!$D$28:$R$33,9,FALSE),INDEX('HP Calcs'!L$28:L$33,MATCH($I19,'HP Calcs'!$E$28:$E$33,0))+(INDEX('HP Calcs'!M$28:M$33,MATCH($I19,'HP Calcs'!$E$28:$E$33,0))*($H19-(INDEX('HP Calcs'!$D$28:$D$33,MATCH($I19,'HP Calcs'!$E$28:$E$33,0)))))),0)</f>
        <v>3.1</v>
      </c>
      <c r="Q19" s="331">
        <f>Table1[[#This Row],[kWh]]*'Conversion Factors'!$N$21</f>
        <v>12.857351095112804</v>
      </c>
      <c r="R19" s="334">
        <f>IF(Table1[[#This Row],[Temperature]]&lt;='HP Calcs'!$D$4,(Table1[[#This Row],[Annual Heating/Cooling Load (btu/year)]]*'Conversion Factors'!$M$4)/'HP Calcs'!$B$53*'Conversion Factors'!$N$20,"")</f>
        <v>6.0751267552926782</v>
      </c>
      <c r="S19" s="334">
        <f>IF(MIN(Table1[[#This Row],[Cost of Electricity]:[Cost of Natural Gas]])=0,MAX(Table1[[#This Row],[Cost of Electricity]:[Cost of Natural Gas]]),MIN(Table1[[#This Row],[Cost of Electricity]:[Cost of Natural Gas]]))</f>
        <v>6.0751267552926782</v>
      </c>
      <c r="T19" s="334">
        <f>IF(Table1[[#This Row],[Electricity or Natural Gas?]]=Table1[[#This Row],[Cost of Natural Gas]],-Table1[[#This Row],[Cost of Natural Gas]],Table1[[#This Row],[Cost of Electricity]])</f>
        <v>-6.0751267552926782</v>
      </c>
      <c r="U1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0.30375633776463395</v>
      </c>
      <c r="V1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16.061714914018847</v>
      </c>
      <c r="W19" s="55">
        <f>Table1[[#This Row],[kWh]]*'Conversion Factors'!$D$6*'Conversion Factors'!$C$9</f>
        <v>25.286123820388521</v>
      </c>
      <c r="X19" s="55">
        <f>IF(Table1[[#This Row],[Temperature]]&lt;='HP Calcs'!$D$4,(Table1[[#This Row],[Annual Heating/Cooling Load (btu/year)]])/'HP Calcs'!$B$53*'Conversion Factors'!$M$4*'Conversion Factors'!$C$27,0)</f>
        <v>16.061714914018847</v>
      </c>
      <c r="Y19" s="55">
        <f>IF(MIN(Table1[[#This Row],[Electricity Emissions]:[Natural Gas Emissions ]])=0,MAX(Table1[[#This Row],[Electricity Emissions]:[Natural Gas Emissions ]]),MIN(Table1[[#This Row],[Electricity Emissions]:[Natural Gas Emissions ]]))</f>
        <v>16.061714914018847</v>
      </c>
      <c r="Z19" s="55">
        <f>IF(Table1[[#This Row],[Electricity or Natural Gas?2]]=Table1[[#This Row],[Natural Gas Emissions ]],-Table1[[#This Row],[Natural Gas Emissions ]],Table1[[#This Row],[Electricity Emissions]])</f>
        <v>-16.061714914018847</v>
      </c>
      <c r="AA19" s="55" t="str">
        <f>IF(Table1[[#This Row],[Fuel Selector (Cost)]]&lt;0,"NG","Elec")</f>
        <v>NG</v>
      </c>
      <c r="AB19" s="337"/>
      <c r="AC19" s="7">
        <v>2022</v>
      </c>
      <c r="AD19" s="7">
        <v>1</v>
      </c>
      <c r="AE19" s="7">
        <v>1</v>
      </c>
      <c r="AF19" s="8">
        <v>0.70833333333333337</v>
      </c>
      <c r="AG19" s="9">
        <v>-2.6</v>
      </c>
      <c r="AH19" s="10">
        <f t="shared" si="6"/>
        <v>-3</v>
      </c>
    </row>
    <row r="20" spans="1:34" ht="15.75" customHeight="1" x14ac:dyDescent="0.35">
      <c r="A20">
        <v>19</v>
      </c>
      <c r="B20" s="48">
        <f>IFERROR(IF(H20&lt;'HP Calcs'!$D$4,$K20-$M20,0),0)</f>
        <v>-15511.591561215228</v>
      </c>
      <c r="C20" s="48">
        <f t="shared" si="3"/>
        <v>-15511.591561215228</v>
      </c>
      <c r="D20" s="48">
        <f t="shared" si="0"/>
        <v>41.437485493493199</v>
      </c>
      <c r="E20" s="48">
        <f>IFERROR(IF(H20&gt;'HP Calcs'!$D$5,IF(AND(K20&gt;M20,K20&lt;N20,H20&gt;'HP Calcs'!$D$5),J20,0),IF(AND(K20&gt;M20,K20&lt;N20,H20&lt;'HP Calcs'!$D$4),J20,0)),0)</f>
        <v>0</v>
      </c>
      <c r="F20" s="48">
        <f>IFERROR(IF(H20&gt;'HP Calcs'!$D$5,IF(AND(K20&lt;M20,H20&gt;'HP Calcs'!$D$5),J20,0),IF(AND(K20&lt;M20,H20&lt;'HP Calcs'!$D$4),J20,0)),0)</f>
        <v>53</v>
      </c>
      <c r="G20" s="48">
        <f t="shared" si="4"/>
        <v>53</v>
      </c>
      <c r="H20" s="48">
        <v>-14</v>
      </c>
      <c r="I20" s="49">
        <f>IFERROR(VLOOKUP(H20,'HP Calcs'!$D$26:$T$33,2),0)</f>
        <v>2</v>
      </c>
      <c r="J20" s="48">
        <f t="shared" si="5"/>
        <v>53</v>
      </c>
      <c r="K20" s="49">
        <f>IF(H20&lt;'HP Calcs'!$D$4,MAX(_xlfn.FORECAST.LINEAR(H20,'HP Calcs'!$E$3:$E$4,'HP Calcs'!$D$3:$D$4),0),MAX(_xlfn.FORECAST.LINEAR(H20,'HP Calcs'!$E$5:$E$6,'HP Calcs'!$D$5:$D$6),0))</f>
        <v>5202.6941530704862</v>
      </c>
      <c r="L20" s="48">
        <f t="shared" si="1"/>
        <v>275742.79011273576</v>
      </c>
      <c r="M20" s="49">
        <f>IFERROR(IF(ISNUMBER(MATCH(H20,'HP Calcs'!$D$28:$D$33,0)),VLOOKUP(H20,'HP Calcs'!$D$28:$R$33,3,FALSE),INDEX('HP Calcs'!$F$28:$F$33,MATCH(I20,'HP Calcs'!$E$28:$E$33,0))+(INDEX('HP Calcs'!$G$28:$G$33,MATCH(I20,'HP Calcs'!$E$28:$E$33,0))*(H20-(INDEX('HP Calcs'!$D$28:$D$33,MATCH(I20,'HP Calcs'!$E$28:$E$33,0)))))),0)</f>
        <v>20714.285714285714</v>
      </c>
      <c r="N20" s="49">
        <f>IFERROR(IF(ISNUMBER(MATCH(H20,'HP Calcs'!$D$28:$D$33,0)),VLOOKUP(H20,'HP Calcs'!$D$28:$R$33,5,FALSE),INDEX('HP Calcs'!$H$28:$H$33,MATCH(I20,'HP Calcs'!$E$28:$E$33,0))+(INDEX('HP Calcs'!$I$28:$I$33,MATCH(I20,'HP Calcs'!$E$28:$E$33,0))*(H20-(INDEX('HP Calcs'!$D$28:$D$33,MATCH(I20,'HP Calcs'!$E$28:$E$33,0)))))),0)</f>
        <v>20714.285714285714</v>
      </c>
      <c r="O20" s="55">
        <f>IFERROR(IF(ISNUMBER(MATCH($H20,'HP Calcs'!$D$28:$D$33,0)),VLOOKUP($H20,'HP Calcs'!$D$28:$R$33,7,FALSE),INDEX('HP Calcs'!J$28:J$33,MATCH($I20,'HP Calcs'!$E$28:$E$33,0))+(INDEX('HP Calcs'!K$28:K$33,MATCH($I20,'HP Calcs'!$E$28:$E$33,0))*($H20-(INDEX('HP Calcs'!$D$28:$D$33,MATCH($I20,'HP Calcs'!$E$28:$E$33,0)))))),0)</f>
        <v>3.112857142857143</v>
      </c>
      <c r="P20" s="55">
        <f>IFERROR(IF(ISNUMBER(MATCH($H20,'HP Calcs'!$D$28:$D$33,0)),VLOOKUP($H20,'HP Calcs'!$D$28:$R$33,9,FALSE),INDEX('HP Calcs'!L$28:L$33,MATCH($I20,'HP Calcs'!$E$28:$E$33,0))+(INDEX('HP Calcs'!M$28:M$33,MATCH($I20,'HP Calcs'!$E$28:$E$33,0))*($H20-(INDEX('HP Calcs'!$D$28:$D$33,MATCH($I20,'HP Calcs'!$E$28:$E$33,0)))))),0)</f>
        <v>3.112857142857143</v>
      </c>
      <c r="Q20" s="331">
        <f>Table1[[#This Row],[kWh]]*'Conversion Factors'!$N$21</f>
        <v>12.431245648047959</v>
      </c>
      <c r="R20" s="334">
        <f>IF(Table1[[#This Row],[Temperature]]&lt;='HP Calcs'!$D$4,(Table1[[#This Row],[Annual Heating/Cooling Load (btu/year)]]*'Conversion Factors'!$M$4)/'HP Calcs'!$B$53*'Conversion Factors'!$N$20,"")</f>
        <v>5.9984574873472782</v>
      </c>
      <c r="S20" s="334">
        <f>IF(MIN(Table1[[#This Row],[Cost of Electricity]:[Cost of Natural Gas]])=0,MAX(Table1[[#This Row],[Cost of Electricity]:[Cost of Natural Gas]]),MIN(Table1[[#This Row],[Cost of Electricity]:[Cost of Natural Gas]]))</f>
        <v>5.9984574873472782</v>
      </c>
      <c r="T20" s="334">
        <f>IF(Table1[[#This Row],[Electricity or Natural Gas?]]=Table1[[#This Row],[Cost of Natural Gas]],-Table1[[#This Row],[Cost of Natural Gas]],Table1[[#This Row],[Cost of Electricity]])</f>
        <v>-5.9984574873472782</v>
      </c>
      <c r="U2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0.29992287436736392</v>
      </c>
      <c r="V2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15.859012983012599</v>
      </c>
      <c r="W20" s="55">
        <f>Table1[[#This Row],[kWh]]*'Conversion Factors'!$D$6*'Conversion Factors'!$C$9</f>
        <v>24.448116441160987</v>
      </c>
      <c r="X20" s="55">
        <f>IF(Table1[[#This Row],[Temperature]]&lt;='HP Calcs'!$D$4,(Table1[[#This Row],[Annual Heating/Cooling Load (btu/year)]])/'HP Calcs'!$B$53*'Conversion Factors'!$M$4*'Conversion Factors'!$C$27,0)</f>
        <v>15.859012983012599</v>
      </c>
      <c r="Y20" s="55">
        <f>IF(MIN(Table1[[#This Row],[Electricity Emissions]:[Natural Gas Emissions ]])=0,MAX(Table1[[#This Row],[Electricity Emissions]:[Natural Gas Emissions ]]),MIN(Table1[[#This Row],[Electricity Emissions]:[Natural Gas Emissions ]]))</f>
        <v>15.859012983012599</v>
      </c>
      <c r="Z20" s="55">
        <f>IF(Table1[[#This Row],[Electricity or Natural Gas?2]]=Table1[[#This Row],[Natural Gas Emissions ]],-Table1[[#This Row],[Natural Gas Emissions ]],Table1[[#This Row],[Electricity Emissions]])</f>
        <v>-15.859012983012599</v>
      </c>
      <c r="AA20" s="55" t="str">
        <f>IF(Table1[[#This Row],[Fuel Selector (Cost)]]&lt;0,"NG","Elec")</f>
        <v>NG</v>
      </c>
      <c r="AB20" s="337"/>
      <c r="AC20" s="7">
        <v>2022</v>
      </c>
      <c r="AD20" s="7">
        <v>1</v>
      </c>
      <c r="AE20" s="7">
        <v>1</v>
      </c>
      <c r="AF20" s="8">
        <v>0.75</v>
      </c>
      <c r="AG20" s="9">
        <v>-1.5</v>
      </c>
      <c r="AH20" s="10">
        <f t="shared" si="6"/>
        <v>-2</v>
      </c>
    </row>
    <row r="21" spans="1:34" ht="15.75" customHeight="1" x14ac:dyDescent="0.35">
      <c r="A21">
        <v>20</v>
      </c>
      <c r="B21" s="48">
        <f>IFERROR(IF(H21&lt;'HP Calcs'!$D$4,$K21-$M21,0),0)</f>
        <v>-16193.706119148377</v>
      </c>
      <c r="C21" s="48">
        <f t="shared" si="3"/>
        <v>-16193.706119148377</v>
      </c>
      <c r="D21" s="48">
        <f t="shared" si="0"/>
        <v>54.859025032254713</v>
      </c>
      <c r="E21" s="48">
        <f>IFERROR(IF(H21&gt;'HP Calcs'!$D$5,IF(AND(K21&gt;M21,K21&lt;N21,H21&gt;'HP Calcs'!$D$5),J21,0),IF(AND(K21&gt;M21,K21&lt;N21,H21&lt;'HP Calcs'!$D$4),J21,0)),0)</f>
        <v>0</v>
      </c>
      <c r="F21" s="48">
        <f>IFERROR(IF(H21&gt;'HP Calcs'!$D$5,IF(AND(K21&lt;M21,H21&gt;'HP Calcs'!$D$5),J21,0),IF(AND(K21&lt;M21,H21&lt;'HP Calcs'!$D$4),J21,0)),0)</f>
        <v>74</v>
      </c>
      <c r="G21" s="48">
        <f t="shared" si="4"/>
        <v>74</v>
      </c>
      <c r="H21" s="48">
        <v>-13</v>
      </c>
      <c r="I21" s="49">
        <f>IFERROR(VLOOKUP(H21,'HP Calcs'!$D$26:$T$33,2),0)</f>
        <v>2</v>
      </c>
      <c r="J21" s="48">
        <f t="shared" si="5"/>
        <v>74</v>
      </c>
      <c r="K21" s="49">
        <f>IF(H21&lt;'HP Calcs'!$D$4,MAX(_xlfn.FORECAST.LINEAR(H21,'HP Calcs'!$E$3:$E$4,'HP Calcs'!$D$3:$D$4),0),MAX(_xlfn.FORECAST.LINEAR(H21,'HP Calcs'!$E$5:$E$6,'HP Calcs'!$D$5:$D$6),0))</f>
        <v>5034.8653094230503</v>
      </c>
      <c r="L21" s="48">
        <f t="shared" si="1"/>
        <v>372580.03289730573</v>
      </c>
      <c r="M21" s="49">
        <f>IFERROR(IF(ISNUMBER(MATCH(H21,'HP Calcs'!$D$28:$D$33,0)),VLOOKUP(H21,'HP Calcs'!$D$28:$R$33,3,FALSE),INDEX('HP Calcs'!$F$28:$F$33,MATCH(I21,'HP Calcs'!$E$28:$E$33,0))+(INDEX('HP Calcs'!$G$28:$G$33,MATCH(I21,'HP Calcs'!$E$28:$E$33,0))*(H21-(INDEX('HP Calcs'!$D$28:$D$33,MATCH(I21,'HP Calcs'!$E$28:$E$33,0)))))),0)</f>
        <v>21228.571428571428</v>
      </c>
      <c r="N21" s="49">
        <f>IFERROR(IF(ISNUMBER(MATCH(H21,'HP Calcs'!$D$28:$D$33,0)),VLOOKUP(H21,'HP Calcs'!$D$28:$R$33,5,FALSE),INDEX('HP Calcs'!$H$28:$H$33,MATCH(I21,'HP Calcs'!$E$28:$E$33,0))+(INDEX('HP Calcs'!$I$28:$I$33,MATCH(I21,'HP Calcs'!$E$28:$E$33,0))*(H21-(INDEX('HP Calcs'!$D$28:$D$33,MATCH(I21,'HP Calcs'!$E$28:$E$33,0)))))),0)</f>
        <v>21228.571428571428</v>
      </c>
      <c r="O21" s="55">
        <f>IFERROR(IF(ISNUMBER(MATCH($H21,'HP Calcs'!$D$28:$D$33,0)),VLOOKUP($H21,'HP Calcs'!$D$28:$R$33,7,FALSE),INDEX('HP Calcs'!J$28:J$33,MATCH($I21,'HP Calcs'!$E$28:$E$33,0))+(INDEX('HP Calcs'!K$28:K$33,MATCH($I21,'HP Calcs'!$E$28:$E$33,0))*($H21-(INDEX('HP Calcs'!$D$28:$D$33,MATCH($I21,'HP Calcs'!$E$28:$E$33,0)))))),0)</f>
        <v>3.1257142857142859</v>
      </c>
      <c r="P21" s="55">
        <f>IFERROR(IF(ISNUMBER(MATCH($H21,'HP Calcs'!$D$28:$D$33,0)),VLOOKUP($H21,'HP Calcs'!$D$28:$R$33,9,FALSE),INDEX('HP Calcs'!L$28:L$33,MATCH($I21,'HP Calcs'!$E$28:$E$33,0))+(INDEX('HP Calcs'!M$28:M$33,MATCH($I21,'HP Calcs'!$E$28:$E$33,0))*($H21-(INDEX('HP Calcs'!$D$28:$D$33,MATCH($I21,'HP Calcs'!$E$28:$E$33,0)))))),0)</f>
        <v>3.1257142857142859</v>
      </c>
      <c r="Q21" s="331">
        <f>Table1[[#This Row],[kWh]]*'Conversion Factors'!$N$21</f>
        <v>16.457707509676414</v>
      </c>
      <c r="R21" s="334">
        <f>IF(Table1[[#This Row],[Temperature]]&lt;='HP Calcs'!$D$4,(Table1[[#This Row],[Annual Heating/Cooling Load (btu/year)]]*'Conversion Factors'!$M$4)/'HP Calcs'!$B$53*'Conversion Factors'!$N$20,"")</f>
        <v>8.1050368970851832</v>
      </c>
      <c r="S21" s="334">
        <f>IF(MIN(Table1[[#This Row],[Cost of Electricity]:[Cost of Natural Gas]])=0,MAX(Table1[[#This Row],[Cost of Electricity]:[Cost of Natural Gas]]),MIN(Table1[[#This Row],[Cost of Electricity]:[Cost of Natural Gas]]))</f>
        <v>8.1050368970851832</v>
      </c>
      <c r="T21" s="334">
        <f>IF(Table1[[#This Row],[Electricity or Natural Gas?]]=Table1[[#This Row],[Cost of Natural Gas]],-Table1[[#This Row],[Cost of Natural Gas]],Table1[[#This Row],[Cost of Electricity]])</f>
        <v>-8.1050368970851832</v>
      </c>
      <c r="U2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0.40525184485425919</v>
      </c>
      <c r="V2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21.428489849231873</v>
      </c>
      <c r="W21" s="55">
        <f>Table1[[#This Row],[kWh]]*'Conversion Factors'!$D$6*'Conversion Factors'!$C$9</f>
        <v>32.366824769030288</v>
      </c>
      <c r="X21" s="55">
        <f>IF(Table1[[#This Row],[Temperature]]&lt;='HP Calcs'!$D$4,(Table1[[#This Row],[Annual Heating/Cooling Load (btu/year)]])/'HP Calcs'!$B$53*'Conversion Factors'!$M$4*'Conversion Factors'!$C$27,0)</f>
        <v>21.428489849231873</v>
      </c>
      <c r="Y21" s="55">
        <f>IF(MIN(Table1[[#This Row],[Electricity Emissions]:[Natural Gas Emissions ]])=0,MAX(Table1[[#This Row],[Electricity Emissions]:[Natural Gas Emissions ]]),MIN(Table1[[#This Row],[Electricity Emissions]:[Natural Gas Emissions ]]))</f>
        <v>21.428489849231873</v>
      </c>
      <c r="Z21" s="55">
        <f>IF(Table1[[#This Row],[Electricity or Natural Gas?2]]=Table1[[#This Row],[Natural Gas Emissions ]],-Table1[[#This Row],[Natural Gas Emissions ]],Table1[[#This Row],[Electricity Emissions]])</f>
        <v>-21.428489849231873</v>
      </c>
      <c r="AA21" s="55" t="str">
        <f>IF(Table1[[#This Row],[Fuel Selector (Cost)]]&lt;0,"NG","Elec")</f>
        <v>NG</v>
      </c>
      <c r="AB21" s="337"/>
      <c r="AC21" s="7">
        <v>2022</v>
      </c>
      <c r="AD21" s="7">
        <v>1</v>
      </c>
      <c r="AE21" s="7">
        <v>1</v>
      </c>
      <c r="AF21" s="8">
        <v>0.79166666666666663</v>
      </c>
      <c r="AG21" s="9">
        <v>-1.9</v>
      </c>
      <c r="AH21" s="10">
        <f t="shared" si="6"/>
        <v>-2</v>
      </c>
    </row>
    <row r="22" spans="1:34" ht="15.75" customHeight="1" x14ac:dyDescent="0.35">
      <c r="A22">
        <v>21</v>
      </c>
      <c r="B22" s="48">
        <f>IFERROR(IF(H22&lt;'HP Calcs'!$D$4,$K22-$M22,0),0)</f>
        <v>-16875.82067708153</v>
      </c>
      <c r="C22" s="48">
        <f t="shared" si="3"/>
        <v>-16875.82067708153</v>
      </c>
      <c r="D22" s="48">
        <f t="shared" si="0"/>
        <v>42.855822998281909</v>
      </c>
      <c r="E22" s="48">
        <f>IFERROR(IF(H22&gt;'HP Calcs'!$D$5,IF(AND(K22&gt;M22,K22&lt;N22,H22&gt;'HP Calcs'!$D$5),J22,0),IF(AND(K22&gt;M22,K22&lt;N22,H22&lt;'HP Calcs'!$D$4),J22,0)),0)</f>
        <v>0</v>
      </c>
      <c r="F22" s="48">
        <f>IFERROR(IF(H22&gt;'HP Calcs'!$D$5,IF(AND(K22&lt;M22,H22&gt;'HP Calcs'!$D$5),J22,0),IF(AND(K22&lt;M22,H22&lt;'HP Calcs'!$D$4),J22,0)),0)</f>
        <v>61</v>
      </c>
      <c r="G22" s="48">
        <f t="shared" si="4"/>
        <v>61</v>
      </c>
      <c r="H22" s="48">
        <v>-12</v>
      </c>
      <c r="I22" s="49">
        <f>IFERROR(VLOOKUP(H22,'HP Calcs'!$D$26:$T$33,2),0)</f>
        <v>2</v>
      </c>
      <c r="J22" s="48">
        <f t="shared" si="5"/>
        <v>61</v>
      </c>
      <c r="K22" s="49">
        <f>IF(H22&lt;'HP Calcs'!$D$4,MAX(_xlfn.FORECAST.LINEAR(H22,'HP Calcs'!$E$3:$E$4,'HP Calcs'!$D$3:$D$4),0),MAX(_xlfn.FORECAST.LINEAR(H22,'HP Calcs'!$E$5:$E$6,'HP Calcs'!$D$5:$D$6),0))</f>
        <v>4867.0364657756154</v>
      </c>
      <c r="L22" s="48">
        <f t="shared" si="1"/>
        <v>296889.22441231256</v>
      </c>
      <c r="M22" s="49">
        <f>IFERROR(IF(ISNUMBER(MATCH(H22,'HP Calcs'!$D$28:$D$33,0)),VLOOKUP(H22,'HP Calcs'!$D$28:$R$33,3,FALSE),INDEX('HP Calcs'!$F$28:$F$33,MATCH(I22,'HP Calcs'!$E$28:$E$33,0))+(INDEX('HP Calcs'!$G$28:$G$33,MATCH(I22,'HP Calcs'!$E$28:$E$33,0))*(H22-(INDEX('HP Calcs'!$D$28:$D$33,MATCH(I22,'HP Calcs'!$E$28:$E$33,0)))))),0)</f>
        <v>21742.857142857145</v>
      </c>
      <c r="N22" s="49">
        <f>IFERROR(IF(ISNUMBER(MATCH(H22,'HP Calcs'!$D$28:$D$33,0)),VLOOKUP(H22,'HP Calcs'!$D$28:$R$33,5,FALSE),INDEX('HP Calcs'!$H$28:$H$33,MATCH(I22,'HP Calcs'!$E$28:$E$33,0))+(INDEX('HP Calcs'!$I$28:$I$33,MATCH(I22,'HP Calcs'!$E$28:$E$33,0))*(H22-(INDEX('HP Calcs'!$D$28:$D$33,MATCH(I22,'HP Calcs'!$E$28:$E$33,0)))))),0)</f>
        <v>21742.857142857145</v>
      </c>
      <c r="O22" s="55">
        <f>IFERROR(IF(ISNUMBER(MATCH($H22,'HP Calcs'!$D$28:$D$33,0)),VLOOKUP($H22,'HP Calcs'!$D$28:$R$33,7,FALSE),INDEX('HP Calcs'!J$28:J$33,MATCH($I22,'HP Calcs'!$E$28:$E$33,0))+(INDEX('HP Calcs'!K$28:K$33,MATCH($I22,'HP Calcs'!$E$28:$E$33,0))*($H22-(INDEX('HP Calcs'!$D$28:$D$33,MATCH($I22,'HP Calcs'!$E$28:$E$33,0)))))),0)</f>
        <v>3.1385714285714288</v>
      </c>
      <c r="P22" s="55">
        <f>IFERROR(IF(ISNUMBER(MATCH($H22,'HP Calcs'!$D$28:$D$33,0)),VLOOKUP($H22,'HP Calcs'!$D$28:$R$33,9,FALSE),INDEX('HP Calcs'!L$28:L$33,MATCH($I22,'HP Calcs'!$E$28:$E$33,0))+(INDEX('HP Calcs'!M$28:M$33,MATCH($I22,'HP Calcs'!$E$28:$E$33,0))*($H22-(INDEX('HP Calcs'!$D$28:$D$33,MATCH($I22,'HP Calcs'!$E$28:$E$33,0)))))),0)</f>
        <v>3.1385714285714288</v>
      </c>
      <c r="Q22" s="331">
        <f>Table1[[#This Row],[kWh]]*'Conversion Factors'!$N$21</f>
        <v>12.856746899484572</v>
      </c>
      <c r="R22" s="334">
        <f>IF(Table1[[#This Row],[Temperature]]&lt;='HP Calcs'!$D$4,(Table1[[#This Row],[Annual Heating/Cooling Load (btu/year)]]*'Conversion Factors'!$M$4)/'HP Calcs'!$B$53*'Conversion Factors'!$N$20,"")</f>
        <v>6.4584730950196798</v>
      </c>
      <c r="S22" s="334">
        <f>IF(MIN(Table1[[#This Row],[Cost of Electricity]:[Cost of Natural Gas]])=0,MAX(Table1[[#This Row],[Cost of Electricity]:[Cost of Natural Gas]]),MIN(Table1[[#This Row],[Cost of Electricity]:[Cost of Natural Gas]]))</f>
        <v>6.4584730950196798</v>
      </c>
      <c r="T22" s="334">
        <f>IF(Table1[[#This Row],[Electricity or Natural Gas?]]=Table1[[#This Row],[Cost of Natural Gas]],-Table1[[#This Row],[Cost of Natural Gas]],Table1[[#This Row],[Cost of Electricity]])</f>
        <v>-6.4584730950196798</v>
      </c>
      <c r="U2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0.322923654750984</v>
      </c>
      <c r="V2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17.075224569050082</v>
      </c>
      <c r="W22" s="55">
        <f>Table1[[#This Row],[kWh]]*'Conversion Factors'!$D$6*'Conversion Factors'!$C$9</f>
        <v>25.284935568986331</v>
      </c>
      <c r="X22" s="55">
        <f>IF(Table1[[#This Row],[Temperature]]&lt;='HP Calcs'!$D$4,(Table1[[#This Row],[Annual Heating/Cooling Load (btu/year)]])/'HP Calcs'!$B$53*'Conversion Factors'!$M$4*'Conversion Factors'!$C$27,0)</f>
        <v>17.075224569050082</v>
      </c>
      <c r="Y22" s="55">
        <f>IF(MIN(Table1[[#This Row],[Electricity Emissions]:[Natural Gas Emissions ]])=0,MAX(Table1[[#This Row],[Electricity Emissions]:[Natural Gas Emissions ]]),MIN(Table1[[#This Row],[Electricity Emissions]:[Natural Gas Emissions ]]))</f>
        <v>17.075224569050082</v>
      </c>
      <c r="Z22" s="55">
        <f>IF(Table1[[#This Row],[Electricity or Natural Gas?2]]=Table1[[#This Row],[Natural Gas Emissions ]],-Table1[[#This Row],[Natural Gas Emissions ]],Table1[[#This Row],[Electricity Emissions]])</f>
        <v>-17.075224569050082</v>
      </c>
      <c r="AA22" s="55" t="str">
        <f>IF(Table1[[#This Row],[Fuel Selector (Cost)]]&lt;0,"NG","Elec")</f>
        <v>NG</v>
      </c>
      <c r="AB22" s="337"/>
      <c r="AC22" s="7">
        <v>2022</v>
      </c>
      <c r="AD22" s="7">
        <v>1</v>
      </c>
      <c r="AE22" s="7">
        <v>1</v>
      </c>
      <c r="AF22" s="8">
        <v>0.83333333333333337</v>
      </c>
      <c r="AG22" s="9">
        <v>-1.6</v>
      </c>
      <c r="AH22" s="10">
        <f t="shared" si="6"/>
        <v>-2</v>
      </c>
    </row>
    <row r="23" spans="1:34" ht="15.75" customHeight="1" x14ac:dyDescent="0.35">
      <c r="A23">
        <v>22</v>
      </c>
      <c r="B23" s="48">
        <f>IFERROR(IF(H23&lt;'HP Calcs'!$D$4,$K23-$M23,0),0)</f>
        <v>-17557.93523501468</v>
      </c>
      <c r="C23" s="48">
        <f t="shared" si="3"/>
        <v>-17557.93523501468</v>
      </c>
      <c r="D23" s="48">
        <f t="shared" si="0"/>
        <v>61.879334874234473</v>
      </c>
      <c r="E23" s="48">
        <f>IFERROR(IF(H23&gt;'HP Calcs'!$D$5,IF(AND(K23&gt;M23,K23&lt;N23,H23&gt;'HP Calcs'!$D$5),J23,0),IF(AND(K23&gt;M23,K23&lt;N23,H23&lt;'HP Calcs'!$D$4),J23,0)),0)</f>
        <v>0</v>
      </c>
      <c r="F23" s="48">
        <f>IFERROR(IF(H23&gt;'HP Calcs'!$D$5,IF(AND(K23&lt;M23,H23&gt;'HP Calcs'!$D$5),J23,0),IF(AND(K23&lt;M23,H23&lt;'HP Calcs'!$D$4),J23,0)),0)</f>
        <v>93</v>
      </c>
      <c r="G23" s="48">
        <f t="shared" si="4"/>
        <v>93</v>
      </c>
      <c r="H23" s="48">
        <v>-11</v>
      </c>
      <c r="I23" s="49">
        <f>IFERROR(VLOOKUP(H23,'HP Calcs'!$D$26:$T$33,2),0)</f>
        <v>2</v>
      </c>
      <c r="J23" s="48">
        <f t="shared" si="5"/>
        <v>93</v>
      </c>
      <c r="K23" s="49">
        <f>IF(H23&lt;'HP Calcs'!$D$4,MAX(_xlfn.FORECAST.LINEAR(H23,'HP Calcs'!$E$3:$E$4,'HP Calcs'!$D$3:$D$4),0),MAX(_xlfn.FORECAST.LINEAR(H23,'HP Calcs'!$E$5:$E$6,'HP Calcs'!$D$5:$D$6),0))</f>
        <v>4699.2076221281804</v>
      </c>
      <c r="L23" s="48">
        <f t="shared" si="1"/>
        <v>437026.30885792075</v>
      </c>
      <c r="M23" s="49">
        <f>IFERROR(IF(ISNUMBER(MATCH(H23,'HP Calcs'!$D$28:$D$33,0)),VLOOKUP(H23,'HP Calcs'!$D$28:$R$33,3,FALSE),INDEX('HP Calcs'!$F$28:$F$33,MATCH(I23,'HP Calcs'!$E$28:$E$33,0))+(INDEX('HP Calcs'!$G$28:$G$33,MATCH(I23,'HP Calcs'!$E$28:$E$33,0))*(H23-(INDEX('HP Calcs'!$D$28:$D$33,MATCH(I23,'HP Calcs'!$E$28:$E$33,0)))))),0)</f>
        <v>22257.142857142859</v>
      </c>
      <c r="N23" s="49">
        <f>IFERROR(IF(ISNUMBER(MATCH(H23,'HP Calcs'!$D$28:$D$33,0)),VLOOKUP(H23,'HP Calcs'!$D$28:$R$33,5,FALSE),INDEX('HP Calcs'!$H$28:$H$33,MATCH(I23,'HP Calcs'!$E$28:$E$33,0))+(INDEX('HP Calcs'!$I$28:$I$33,MATCH(I23,'HP Calcs'!$E$28:$E$33,0))*(H23-(INDEX('HP Calcs'!$D$28:$D$33,MATCH(I23,'HP Calcs'!$E$28:$E$33,0)))))),0)</f>
        <v>22257.142857142859</v>
      </c>
      <c r="O23" s="55">
        <f>IFERROR(IF(ISNUMBER(MATCH($H23,'HP Calcs'!$D$28:$D$33,0)),VLOOKUP($H23,'HP Calcs'!$D$28:$R$33,7,FALSE),INDEX('HP Calcs'!J$28:J$33,MATCH($I23,'HP Calcs'!$E$28:$E$33,0))+(INDEX('HP Calcs'!K$28:K$33,MATCH($I23,'HP Calcs'!$E$28:$E$33,0))*($H23-(INDEX('HP Calcs'!$D$28:$D$33,MATCH($I23,'HP Calcs'!$E$28:$E$33,0)))))),0)</f>
        <v>3.1514285714285712</v>
      </c>
      <c r="P23" s="55">
        <f>IFERROR(IF(ISNUMBER(MATCH($H23,'HP Calcs'!$D$28:$D$33,0)),VLOOKUP($H23,'HP Calcs'!$D$28:$R$33,9,FALSE),INDEX('HP Calcs'!L$28:L$33,MATCH($I23,'HP Calcs'!$E$28:$E$33,0))+(INDEX('HP Calcs'!M$28:M$33,MATCH($I23,'HP Calcs'!$E$28:$E$33,0))*($H23-(INDEX('HP Calcs'!$D$28:$D$33,MATCH($I23,'HP Calcs'!$E$28:$E$33,0)))))),0)</f>
        <v>3.1514285714285712</v>
      </c>
      <c r="Q23" s="331">
        <f>Table1[[#This Row],[kWh]]*'Conversion Factors'!$N$21</f>
        <v>18.56380046227034</v>
      </c>
      <c r="R23" s="334">
        <f>IF(Table1[[#This Row],[Temperature]]&lt;='HP Calcs'!$D$4,(Table1[[#This Row],[Annual Heating/Cooling Load (btu/year)]]*'Conversion Factors'!$M$4)/'HP Calcs'!$B$53*'Conversion Factors'!$N$20,"")</f>
        <v>9.5069892252296473</v>
      </c>
      <c r="S23" s="334">
        <f>IF(MIN(Table1[[#This Row],[Cost of Electricity]:[Cost of Natural Gas]])=0,MAX(Table1[[#This Row],[Cost of Electricity]:[Cost of Natural Gas]]),MIN(Table1[[#This Row],[Cost of Electricity]:[Cost of Natural Gas]]))</f>
        <v>9.5069892252296473</v>
      </c>
      <c r="T23" s="334">
        <f>IF(Table1[[#This Row],[Electricity or Natural Gas?]]=Table1[[#This Row],[Cost of Natural Gas]],-Table1[[#This Row],[Cost of Natural Gas]],Table1[[#This Row],[Cost of Electricity]])</f>
        <v>-9.5069892252296473</v>
      </c>
      <c r="U2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0.47534946126148236</v>
      </c>
      <c r="V2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25.135039444774684</v>
      </c>
      <c r="W23" s="55">
        <f>Table1[[#This Row],[kWh]]*'Conversion Factors'!$D$6*'Conversion Factors'!$C$9</f>
        <v>36.508807575798343</v>
      </c>
      <c r="X23" s="55">
        <f>IF(Table1[[#This Row],[Temperature]]&lt;='HP Calcs'!$D$4,(Table1[[#This Row],[Annual Heating/Cooling Load (btu/year)]])/'HP Calcs'!$B$53*'Conversion Factors'!$M$4*'Conversion Factors'!$C$27,0)</f>
        <v>25.135039444774684</v>
      </c>
      <c r="Y23" s="55">
        <f>IF(MIN(Table1[[#This Row],[Electricity Emissions]:[Natural Gas Emissions ]])=0,MAX(Table1[[#This Row],[Electricity Emissions]:[Natural Gas Emissions ]]),MIN(Table1[[#This Row],[Electricity Emissions]:[Natural Gas Emissions ]]))</f>
        <v>25.135039444774684</v>
      </c>
      <c r="Z23" s="55">
        <f>IF(Table1[[#This Row],[Electricity or Natural Gas?2]]=Table1[[#This Row],[Natural Gas Emissions ]],-Table1[[#This Row],[Natural Gas Emissions ]],Table1[[#This Row],[Electricity Emissions]])</f>
        <v>-25.135039444774684</v>
      </c>
      <c r="AA23" s="55" t="str">
        <f>IF(Table1[[#This Row],[Fuel Selector (Cost)]]&lt;0,"NG","Elec")</f>
        <v>NG</v>
      </c>
      <c r="AB23" s="337"/>
      <c r="AC23" s="7">
        <v>2022</v>
      </c>
      <c r="AD23" s="7">
        <v>1</v>
      </c>
      <c r="AE23" s="7">
        <v>1</v>
      </c>
      <c r="AF23" s="8">
        <v>0.875</v>
      </c>
      <c r="AG23" s="9">
        <v>-2.4</v>
      </c>
      <c r="AH23" s="10">
        <f t="shared" si="6"/>
        <v>-2</v>
      </c>
    </row>
    <row r="24" spans="1:34" ht="15.75" customHeight="1" x14ac:dyDescent="0.35">
      <c r="A24">
        <v>23</v>
      </c>
      <c r="B24" s="48">
        <f>IFERROR(IF(H24&lt;'HP Calcs'!$D$4,$K24-$M24,0),0)</f>
        <v>-18240.049792947826</v>
      </c>
      <c r="C24" s="48">
        <f t="shared" si="3"/>
        <v>-18240.049792947826</v>
      </c>
      <c r="D24" s="48">
        <f t="shared" si="0"/>
        <v>59.189358561322202</v>
      </c>
      <c r="E24" s="48">
        <f>IFERROR(IF(H24&gt;'HP Calcs'!$D$5,IF(AND(K24&gt;M24,K24&lt;N24,H24&gt;'HP Calcs'!$D$5),J24,0),IF(AND(K24&gt;M24,K24&lt;N24,H24&lt;'HP Calcs'!$D$4),J24,0)),0)</f>
        <v>0</v>
      </c>
      <c r="F24" s="48">
        <f>IFERROR(IF(H24&gt;'HP Calcs'!$D$5,IF(AND(K24&lt;M24,H24&gt;'HP Calcs'!$D$5),J24,0),IF(AND(K24&lt;M24,H24&lt;'HP Calcs'!$D$4),J24,0)),0)</f>
        <v>94</v>
      </c>
      <c r="G24" s="48">
        <f t="shared" si="4"/>
        <v>94</v>
      </c>
      <c r="H24" s="48">
        <v>-10</v>
      </c>
      <c r="I24" s="49">
        <f>IFERROR(VLOOKUP(H24,'HP Calcs'!$D$26:$T$33,2),0)</f>
        <v>2</v>
      </c>
      <c r="J24" s="48">
        <f t="shared" si="5"/>
        <v>94</v>
      </c>
      <c r="K24" s="49">
        <f>IF(H24&lt;'HP Calcs'!$D$4,MAX(_xlfn.FORECAST.LINEAR(H24,'HP Calcs'!$E$3:$E$4,'HP Calcs'!$D$3:$D$4),0),MAX(_xlfn.FORECAST.LINEAR(H24,'HP Calcs'!$E$5:$E$6,'HP Calcs'!$D$5:$D$6),0))</f>
        <v>4531.3787784807455</v>
      </c>
      <c r="L24" s="48">
        <f t="shared" si="1"/>
        <v>425949.6051771901</v>
      </c>
      <c r="M24" s="49">
        <f>IFERROR(IF(ISNUMBER(MATCH(H24,'HP Calcs'!$D$28:$D$33,0)),VLOOKUP(H24,'HP Calcs'!$D$28:$R$33,3,FALSE),INDEX('HP Calcs'!$F$28:$F$33,MATCH(I24,'HP Calcs'!$E$28:$E$33,0))+(INDEX('HP Calcs'!$G$28:$G$33,MATCH(I24,'HP Calcs'!$E$28:$E$33,0))*(H24-(INDEX('HP Calcs'!$D$28:$D$33,MATCH(I24,'HP Calcs'!$E$28:$E$33,0)))))),0)</f>
        <v>22771.428571428572</v>
      </c>
      <c r="N24" s="49">
        <f>IFERROR(IF(ISNUMBER(MATCH(H24,'HP Calcs'!$D$28:$D$33,0)),VLOOKUP(H24,'HP Calcs'!$D$28:$R$33,5,FALSE),INDEX('HP Calcs'!$H$28:$H$33,MATCH(I24,'HP Calcs'!$E$28:$E$33,0))+(INDEX('HP Calcs'!$I$28:$I$33,MATCH(I24,'HP Calcs'!$E$28:$E$33,0))*(H24-(INDEX('HP Calcs'!$D$28:$D$33,MATCH(I24,'HP Calcs'!$E$28:$E$33,0)))))),0)</f>
        <v>22771.428571428572</v>
      </c>
      <c r="O24" s="55">
        <f>IFERROR(IF(ISNUMBER(MATCH($H24,'HP Calcs'!$D$28:$D$33,0)),VLOOKUP($H24,'HP Calcs'!$D$28:$R$33,7,FALSE),INDEX('HP Calcs'!J$28:J$33,MATCH($I24,'HP Calcs'!$E$28:$E$33,0))+(INDEX('HP Calcs'!K$28:K$33,MATCH($I24,'HP Calcs'!$E$28:$E$33,0))*($H24-(INDEX('HP Calcs'!$D$28:$D$33,MATCH($I24,'HP Calcs'!$E$28:$E$33,0)))))),0)</f>
        <v>3.1642857142857141</v>
      </c>
      <c r="P24" s="55">
        <f>IFERROR(IF(ISNUMBER(MATCH($H24,'HP Calcs'!$D$28:$D$33,0)),VLOOKUP($H24,'HP Calcs'!$D$28:$R$33,9,FALSE),INDEX('HP Calcs'!L$28:L$33,MATCH($I24,'HP Calcs'!$E$28:$E$33,0))+(INDEX('HP Calcs'!M$28:M$33,MATCH($I24,'HP Calcs'!$E$28:$E$33,0))*($H24-(INDEX('HP Calcs'!$D$28:$D$33,MATCH($I24,'HP Calcs'!$E$28:$E$33,0)))))),0)</f>
        <v>3.1642857142857141</v>
      </c>
      <c r="Q24" s="331">
        <f>Table1[[#This Row],[kWh]]*'Conversion Factors'!$N$21</f>
        <v>17.75680756839666</v>
      </c>
      <c r="R24" s="334">
        <f>IF(Table1[[#This Row],[Temperature]]&lt;='HP Calcs'!$D$4,(Table1[[#This Row],[Annual Heating/Cooling Load (btu/year)]]*'Conversion Factors'!$M$4)/'HP Calcs'!$B$53*'Conversion Factors'!$N$20,"")</f>
        <v>9.2660286688298186</v>
      </c>
      <c r="S24" s="334">
        <f>IF(MIN(Table1[[#This Row],[Cost of Electricity]:[Cost of Natural Gas]])=0,MAX(Table1[[#This Row],[Cost of Electricity]:[Cost of Natural Gas]]),MIN(Table1[[#This Row],[Cost of Electricity]:[Cost of Natural Gas]]))</f>
        <v>9.2660286688298186</v>
      </c>
      <c r="T24" s="334">
        <f>IF(Table1[[#This Row],[Electricity or Natural Gas?]]=Table1[[#This Row],[Cost of Natural Gas]],-Table1[[#This Row],[Cost of Natural Gas]],Table1[[#This Row],[Cost of Electricity]])</f>
        <v>-9.2660286688298186</v>
      </c>
      <c r="U2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0.46330143344149094</v>
      </c>
      <c r="V2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24.497976233040767</v>
      </c>
      <c r="W24" s="55">
        <f>Table1[[#This Row],[kWh]]*'Conversion Factors'!$D$6*'Conversion Factors'!$C$9</f>
        <v>34.921721551180106</v>
      </c>
      <c r="X24" s="55">
        <f>IF(Table1[[#This Row],[Temperature]]&lt;='HP Calcs'!$D$4,(Table1[[#This Row],[Annual Heating/Cooling Load (btu/year)]])/'HP Calcs'!$B$53*'Conversion Factors'!$M$4*'Conversion Factors'!$C$27,0)</f>
        <v>24.497976233040767</v>
      </c>
      <c r="Y24" s="55">
        <f>IF(MIN(Table1[[#This Row],[Electricity Emissions]:[Natural Gas Emissions ]])=0,MAX(Table1[[#This Row],[Electricity Emissions]:[Natural Gas Emissions ]]),MIN(Table1[[#This Row],[Electricity Emissions]:[Natural Gas Emissions ]]))</f>
        <v>24.497976233040767</v>
      </c>
      <c r="Z24" s="55">
        <f>IF(Table1[[#This Row],[Electricity or Natural Gas?2]]=Table1[[#This Row],[Natural Gas Emissions ]],-Table1[[#This Row],[Natural Gas Emissions ]],Table1[[#This Row],[Electricity Emissions]])</f>
        <v>-24.497976233040767</v>
      </c>
      <c r="AA24" s="55" t="str">
        <f>IF(Table1[[#This Row],[Fuel Selector (Cost)]]&lt;0,"NG","Elec")</f>
        <v>NG</v>
      </c>
      <c r="AB24" s="337"/>
      <c r="AC24" s="7">
        <v>2022</v>
      </c>
      <c r="AD24" s="7">
        <v>1</v>
      </c>
      <c r="AE24" s="7">
        <v>1</v>
      </c>
      <c r="AF24" s="8">
        <v>0.91666666666666663</v>
      </c>
      <c r="AG24" s="9">
        <v>-0.4</v>
      </c>
      <c r="AH24" s="10">
        <f t="shared" si="6"/>
        <v>0</v>
      </c>
    </row>
    <row r="25" spans="1:34" ht="15.75" customHeight="1" x14ac:dyDescent="0.35">
      <c r="A25">
        <v>24</v>
      </c>
      <c r="B25" s="48">
        <f>IFERROR(IF(H25&lt;'HP Calcs'!$D$4,$K25-$M25,0),0)</f>
        <v>-18922.164350880976</v>
      </c>
      <c r="C25" s="48">
        <f t="shared" si="3"/>
        <v>-18922.164350880976</v>
      </c>
      <c r="D25" s="48">
        <f t="shared" si="0"/>
        <v>67.276838111829989</v>
      </c>
      <c r="E25" s="48">
        <f>IFERROR(IF(H25&gt;'HP Calcs'!$D$5,IF(AND(K25&gt;M25,K25&lt;N25,H25&gt;'HP Calcs'!$D$5),J25,0),IF(AND(K25&gt;M25,K25&lt;N25,H25&lt;'HP Calcs'!$D$4),J25,0)),0)</f>
        <v>0</v>
      </c>
      <c r="F25" s="48">
        <f>IFERROR(IF(H25&gt;'HP Calcs'!$D$5,IF(AND(K25&lt;M25,H25&gt;'HP Calcs'!$D$5),J25,0),IF(AND(K25&lt;M25,H25&lt;'HP Calcs'!$D$4),J25,0)),0)</f>
        <v>113</v>
      </c>
      <c r="G25" s="48">
        <f>E25+F25</f>
        <v>113</v>
      </c>
      <c r="H25" s="48">
        <v>-9</v>
      </c>
      <c r="I25" s="49">
        <f>IFERROR(VLOOKUP(H25,'HP Calcs'!$D$26:$T$33,2),0)</f>
        <v>2</v>
      </c>
      <c r="J25" s="48">
        <f t="shared" si="5"/>
        <v>113</v>
      </c>
      <c r="K25" s="49">
        <f>IF(H25&lt;'HP Calcs'!$D$4,MAX(_xlfn.FORECAST.LINEAR(H25,'HP Calcs'!$E$3:$E$4,'HP Calcs'!$D$3:$D$4),0),MAX(_xlfn.FORECAST.LINEAR(H25,'HP Calcs'!$E$5:$E$6,'HP Calcs'!$D$5:$D$6),0))</f>
        <v>4363.5499348333105</v>
      </c>
      <c r="L25" s="48">
        <f t="shared" si="1"/>
        <v>493081.14263616409</v>
      </c>
      <c r="M25" s="49">
        <f>IFERROR(IF(ISNUMBER(MATCH(H25,'HP Calcs'!$D$28:$D$33,0)),VLOOKUP(H25,'HP Calcs'!$D$28:$R$33,3,FALSE),INDEX('HP Calcs'!$F$28:$F$33,MATCH(I25,'HP Calcs'!$E$28:$E$33,0))+(INDEX('HP Calcs'!$G$28:$G$33,MATCH(I25,'HP Calcs'!$E$28:$E$33,0))*(H25-(INDEX('HP Calcs'!$D$28:$D$33,MATCH(I25,'HP Calcs'!$E$28:$E$33,0)))))),0)</f>
        <v>23285.714285714286</v>
      </c>
      <c r="N25" s="49">
        <f>IFERROR(IF(ISNUMBER(MATCH(H25,'HP Calcs'!$D$28:$D$33,0)),VLOOKUP(H25,'HP Calcs'!$D$28:$R$33,5,FALSE),INDEX('HP Calcs'!$H$28:$H$33,MATCH(I25,'HP Calcs'!$E$28:$E$33,0))+(INDEX('HP Calcs'!$I$28:$I$33,MATCH(I25,'HP Calcs'!$E$28:$E$33,0))*(H25-(INDEX('HP Calcs'!$D$28:$D$33,MATCH(I25,'HP Calcs'!$E$28:$E$33,0)))))),0)</f>
        <v>23285.714285714286</v>
      </c>
      <c r="O25" s="55">
        <f>IFERROR(IF(ISNUMBER(MATCH($H25,'HP Calcs'!$D$28:$D$33,0)),VLOOKUP($H25,'HP Calcs'!$D$28:$R$33,7,FALSE),INDEX('HP Calcs'!J$28:J$33,MATCH($I25,'HP Calcs'!$E$28:$E$33,0))+(INDEX('HP Calcs'!K$28:K$33,MATCH($I25,'HP Calcs'!$E$28:$E$33,0))*($H25-(INDEX('HP Calcs'!$D$28:$D$33,MATCH($I25,'HP Calcs'!$E$28:$E$33,0)))))),0)</f>
        <v>3.177142857142857</v>
      </c>
      <c r="P25" s="55">
        <f>IFERROR(IF(ISNUMBER(MATCH($H25,'HP Calcs'!$D$28:$D$33,0)),VLOOKUP($H25,'HP Calcs'!$D$28:$R$33,9,FALSE),INDEX('HP Calcs'!L$28:L$33,MATCH($I25,'HP Calcs'!$E$28:$E$33,0))+(INDEX('HP Calcs'!M$28:M$33,MATCH($I25,'HP Calcs'!$E$28:$E$33,0))*($H25-(INDEX('HP Calcs'!$D$28:$D$33,MATCH($I25,'HP Calcs'!$E$28:$E$33,0)))))),0)</f>
        <v>3.177142857142857</v>
      </c>
      <c r="Q25" s="331">
        <f>Table1[[#This Row],[kWh]]*'Conversion Factors'!$N$21</f>
        <v>20.183051433548997</v>
      </c>
      <c r="R25" s="334">
        <f>IF(Table1[[#This Row],[Temperature]]&lt;='HP Calcs'!$D$4,(Table1[[#This Row],[Annual Heating/Cooling Load (btu/year)]]*'Conversion Factors'!$M$4)/'HP Calcs'!$B$53*'Conversion Factors'!$N$20,"")</f>
        <v>10.726395677313636</v>
      </c>
      <c r="S25" s="334">
        <f>IF(MIN(Table1[[#This Row],[Cost of Electricity]:[Cost of Natural Gas]])=0,MAX(Table1[[#This Row],[Cost of Electricity]:[Cost of Natural Gas]]),MIN(Table1[[#This Row],[Cost of Electricity]:[Cost of Natural Gas]]))</f>
        <v>10.726395677313636</v>
      </c>
      <c r="T25" s="334">
        <f>IF(Table1[[#This Row],[Electricity or Natural Gas?]]=Table1[[#This Row],[Cost of Natural Gas]],-Table1[[#This Row],[Cost of Natural Gas]],Table1[[#This Row],[Cost of Electricity]])</f>
        <v>-10.726395677313636</v>
      </c>
      <c r="U2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0.5363197838656818</v>
      </c>
      <c r="V2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28.358965395064526</v>
      </c>
      <c r="W25" s="55">
        <f>Table1[[#This Row],[kWh]]*'Conversion Factors'!$D$6*'Conversion Factors'!$C$9</f>
        <v>39.693334485979697</v>
      </c>
      <c r="X25" s="55">
        <f>IF(Table1[[#This Row],[Temperature]]&lt;='HP Calcs'!$D$4,(Table1[[#This Row],[Annual Heating/Cooling Load (btu/year)]])/'HP Calcs'!$B$53*'Conversion Factors'!$M$4*'Conversion Factors'!$C$27,0)</f>
        <v>28.358965395064526</v>
      </c>
      <c r="Y25" s="55">
        <f>IF(MIN(Table1[[#This Row],[Electricity Emissions]:[Natural Gas Emissions ]])=0,MAX(Table1[[#This Row],[Electricity Emissions]:[Natural Gas Emissions ]]),MIN(Table1[[#This Row],[Electricity Emissions]:[Natural Gas Emissions ]]))</f>
        <v>28.358965395064526</v>
      </c>
      <c r="Z25" s="55">
        <f>IF(Table1[[#This Row],[Electricity or Natural Gas?2]]=Table1[[#This Row],[Natural Gas Emissions ]],-Table1[[#This Row],[Natural Gas Emissions ]],Table1[[#This Row],[Electricity Emissions]])</f>
        <v>-28.358965395064526</v>
      </c>
      <c r="AA25" s="55" t="str">
        <f>IF(Table1[[#This Row],[Fuel Selector (Cost)]]&lt;0,"NG","Elec")</f>
        <v>NG</v>
      </c>
      <c r="AB25" s="337"/>
      <c r="AC25" s="7">
        <v>2022</v>
      </c>
      <c r="AD25" s="7">
        <v>1</v>
      </c>
      <c r="AE25" s="7">
        <v>1</v>
      </c>
      <c r="AF25" s="8">
        <v>0.95833333333333337</v>
      </c>
      <c r="AG25" s="9">
        <v>-2.8</v>
      </c>
      <c r="AH25" s="10">
        <f t="shared" si="6"/>
        <v>-3</v>
      </c>
    </row>
    <row r="26" spans="1:34" ht="15.75" customHeight="1" x14ac:dyDescent="0.35">
      <c r="A26">
        <v>25</v>
      </c>
      <c r="B26" s="48">
        <f>IFERROR(IF(H26&lt;'HP Calcs'!$D$4,$K26-$M26,0),0)</f>
        <v>-19604.278908814125</v>
      </c>
      <c r="C26" s="48">
        <f t="shared" si="3"/>
        <v>-19604.278908814125</v>
      </c>
      <c r="D26" s="48">
        <f t="shared" si="0"/>
        <v>69.73358969871785</v>
      </c>
      <c r="E26" s="48">
        <f>IFERROR(IF(H26&gt;'HP Calcs'!$D$5,IF(AND(K26&gt;M26,K26&lt;N26,H26&gt;'HP Calcs'!$D$5),J26,0),IF(AND(K26&gt;M26,K26&lt;N26,H26&lt;'HP Calcs'!$D$4),J26,0)),0)</f>
        <v>0</v>
      </c>
      <c r="F26" s="48">
        <f>IFERROR(IF(H26&gt;'HP Calcs'!$D$5,IF(AND(K26&lt;M26,H26&gt;'HP Calcs'!$D$5),J26,0),IF(AND(K26&lt;M26,H26&lt;'HP Calcs'!$D$4),J26,0)),0)</f>
        <v>124</v>
      </c>
      <c r="G26" s="48">
        <f>E26+F26</f>
        <v>124</v>
      </c>
      <c r="H26" s="48">
        <v>-8</v>
      </c>
      <c r="I26" s="49">
        <f>IFERROR(VLOOKUP(H26,'HP Calcs'!$D$26:$T$33,2),0)</f>
        <v>3</v>
      </c>
      <c r="J26" s="49">
        <f t="shared" si="5"/>
        <v>124</v>
      </c>
      <c r="K26" s="49">
        <f>IF(H26&lt;'HP Calcs'!$D$4,MAX(_xlfn.FORECAST.LINEAR(H26,'HP Calcs'!$E$3:$E$4,'HP Calcs'!$D$3:$D$4),0),MAX(_xlfn.FORECAST.LINEAR(H26,'HP Calcs'!$E$5:$E$6,'HP Calcs'!$D$5:$D$6),0))</f>
        <v>4195.7210911858756</v>
      </c>
      <c r="L26" s="48">
        <f t="shared" si="1"/>
        <v>520269.41530704859</v>
      </c>
      <c r="M26" s="49">
        <f>IFERROR(IF(ISNUMBER(MATCH(H26,'HP Calcs'!$D$28:$D$33,0)),VLOOKUP(H26,'HP Calcs'!$D$28:$R$33,3,FALSE),INDEX('HP Calcs'!$F$28:$F$33,MATCH(I26,'HP Calcs'!$E$28:$E$33,0))+(INDEX('HP Calcs'!$G$28:$G$33,MATCH(I26,'HP Calcs'!$E$28:$E$33,0))*(H26-(INDEX('HP Calcs'!$D$28:$D$33,MATCH(I26,'HP Calcs'!$E$28:$E$33,0)))))),0)</f>
        <v>23800</v>
      </c>
      <c r="N26" s="49">
        <f>IFERROR(IF(ISNUMBER(MATCH(H26,'HP Calcs'!$D$28:$D$33,0)),VLOOKUP(H26,'HP Calcs'!$D$28:$R$33,5,FALSE),INDEX('HP Calcs'!$H$28:$H$33,MATCH(I26,'HP Calcs'!$E$28:$E$33,0))+(INDEX('HP Calcs'!$I$28:$I$33,MATCH(I26,'HP Calcs'!$E$28:$E$33,0))*(H26-(INDEX('HP Calcs'!$D$28:$D$33,MATCH(I26,'HP Calcs'!$E$28:$E$33,0)))))),0)</f>
        <v>23800</v>
      </c>
      <c r="O26" s="55">
        <f>IFERROR(IF(ISNUMBER(MATCH($H26,'HP Calcs'!$D$28:$D$33,0)),VLOOKUP($H26,'HP Calcs'!$D$28:$R$33,7,FALSE),INDEX('HP Calcs'!J$28:J$33,MATCH($I26,'HP Calcs'!$E$28:$E$33,0))+(INDEX('HP Calcs'!K$28:K$33,MATCH($I26,'HP Calcs'!$E$28:$E$33,0))*($H26-(INDEX('HP Calcs'!$D$28:$D$33,MATCH($I26,'HP Calcs'!$E$28:$E$33,0)))))),0)</f>
        <v>3.19</v>
      </c>
      <c r="P26" s="55">
        <f>IFERROR(IF(ISNUMBER(MATCH($H26,'HP Calcs'!$D$28:$D$33,0)),VLOOKUP($H26,'HP Calcs'!$D$28:$R$33,9,FALSE),INDEX('HP Calcs'!L$28:L$33,MATCH($I26,'HP Calcs'!$E$28:$E$33,0))+(INDEX('HP Calcs'!M$28:M$33,MATCH($I26,'HP Calcs'!$E$28:$E$33,0))*($H26-(INDEX('HP Calcs'!$D$28:$D$33,MATCH($I26,'HP Calcs'!$E$28:$E$33,0)))))),0)</f>
        <v>3.19</v>
      </c>
      <c r="Q26" s="331">
        <f>Table1[[#This Row],[kWh]]*'Conversion Factors'!$N$21</f>
        <v>20.920076909615354</v>
      </c>
      <c r="R26" s="334">
        <f>IF(Table1[[#This Row],[Temperature]]&lt;='HP Calcs'!$D$4,(Table1[[#This Row],[Annual Heating/Cooling Load (btu/year)]]*'Conversion Factors'!$M$4)/'HP Calcs'!$B$53*'Conversion Factors'!$N$20,"")</f>
        <v>11.317844315749582</v>
      </c>
      <c r="S26" s="334">
        <f>IF(MIN(Table1[[#This Row],[Cost of Electricity]:[Cost of Natural Gas]])=0,MAX(Table1[[#This Row],[Cost of Electricity]:[Cost of Natural Gas]]),MIN(Table1[[#This Row],[Cost of Electricity]:[Cost of Natural Gas]]))</f>
        <v>11.317844315749582</v>
      </c>
      <c r="T26" s="334">
        <f>IF(Table1[[#This Row],[Electricity or Natural Gas?]]=Table1[[#This Row],[Cost of Natural Gas]],-Table1[[#This Row],[Cost of Natural Gas]],Table1[[#This Row],[Cost of Electricity]])</f>
        <v>-11.317844315749582</v>
      </c>
      <c r="U2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0.56589221578747906</v>
      </c>
      <c r="V2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29.92266600568415</v>
      </c>
      <c r="W26" s="55">
        <f>Table1[[#This Row],[kWh]]*'Conversion Factors'!$D$6*'Conversion Factors'!$C$9</f>
        <v>41.142817922243538</v>
      </c>
      <c r="X26" s="55">
        <f>IF(Table1[[#This Row],[Temperature]]&lt;='HP Calcs'!$D$4,(Table1[[#This Row],[Annual Heating/Cooling Load (btu/year)]])/'HP Calcs'!$B$53*'Conversion Factors'!$M$4*'Conversion Factors'!$C$27,0)</f>
        <v>29.92266600568415</v>
      </c>
      <c r="Y26" s="55">
        <f>IF(MIN(Table1[[#This Row],[Electricity Emissions]:[Natural Gas Emissions ]])=0,MAX(Table1[[#This Row],[Electricity Emissions]:[Natural Gas Emissions ]]),MIN(Table1[[#This Row],[Electricity Emissions]:[Natural Gas Emissions ]]))</f>
        <v>29.92266600568415</v>
      </c>
      <c r="Z26" s="55">
        <f>IF(Table1[[#This Row],[Electricity or Natural Gas?2]]=Table1[[#This Row],[Natural Gas Emissions ]],-Table1[[#This Row],[Natural Gas Emissions ]],Table1[[#This Row],[Electricity Emissions]])</f>
        <v>-29.92266600568415</v>
      </c>
      <c r="AA26" s="55" t="str">
        <f>IF(Table1[[#This Row],[Fuel Selector (Cost)]]&lt;0,"NG","Elec")</f>
        <v>NG</v>
      </c>
      <c r="AB26" s="337"/>
      <c r="AC26" s="7">
        <v>2022</v>
      </c>
      <c r="AD26" s="7">
        <v>1</v>
      </c>
      <c r="AE26" s="7">
        <v>2</v>
      </c>
      <c r="AF26" s="8">
        <v>0</v>
      </c>
      <c r="AG26" s="9">
        <v>-0.6</v>
      </c>
      <c r="AH26" s="10">
        <f t="shared" si="6"/>
        <v>-1</v>
      </c>
    </row>
    <row r="27" spans="1:34" ht="15.75" customHeight="1" x14ac:dyDescent="0.35">
      <c r="A27">
        <v>26</v>
      </c>
      <c r="B27" s="48">
        <f>IFERROR(IF(H27&lt;'HP Calcs'!$D$4,$K27-$M27,0),0)</f>
        <v>-18628.357752461561</v>
      </c>
      <c r="C27" s="48">
        <f t="shared" si="3"/>
        <v>-19622.107752461561</v>
      </c>
      <c r="D27" s="48">
        <f t="shared" si="0"/>
        <v>72.185917750216532</v>
      </c>
      <c r="E27" s="48">
        <f>IFERROR(IF(H27&gt;'HP Calcs'!$D$5,IF(AND(K27&gt;M27,K27&lt;N27,H27&gt;'HP Calcs'!$D$5),J27,0),IF(AND(K27&gt;M27,K27&lt;N27,H27&lt;'HP Calcs'!$D$4),J27,0)),0)</f>
        <v>0</v>
      </c>
      <c r="F27" s="48">
        <f>IFERROR(IF(H27&gt;'HP Calcs'!$D$5,IF(AND(K27&lt;M27,H27&gt;'HP Calcs'!$D$5),J27,0),IF(AND(K27&lt;M27,H27&lt;'HP Calcs'!$D$4),J27,0)),0)</f>
        <v>137</v>
      </c>
      <c r="G27" s="48">
        <f t="shared" si="4"/>
        <v>137</v>
      </c>
      <c r="H27" s="48">
        <v>-7</v>
      </c>
      <c r="I27" s="49">
        <f>IFERROR(VLOOKUP(H27,'HP Calcs'!$D$26:$T$33,2),0)</f>
        <v>3</v>
      </c>
      <c r="J27" s="48">
        <f t="shared" si="5"/>
        <v>137</v>
      </c>
      <c r="K27" s="49">
        <f>IF(H27&lt;'HP Calcs'!$D$4,MAX(_xlfn.FORECAST.LINEAR(H27,'HP Calcs'!$E$3:$E$4,'HP Calcs'!$D$3:$D$4),0),MAX(_xlfn.FORECAST.LINEAR(H27,'HP Calcs'!$E$5:$E$6,'HP Calcs'!$D$5:$D$6),0))</f>
        <v>4027.8922475384406</v>
      </c>
      <c r="L27" s="48">
        <f t="shared" si="1"/>
        <v>551821.2379127664</v>
      </c>
      <c r="M27" s="49">
        <f>IFERROR(IF(ISNUMBER(MATCH(H27,'HP Calcs'!$D$28:$D$33,0)),VLOOKUP(H27,'HP Calcs'!$D$28:$R$33,3,FALSE),INDEX('HP Calcs'!$F$28:$F$33,MATCH(I27,'HP Calcs'!$E$28:$E$33,0))+(INDEX('HP Calcs'!$G$28:$G$33,MATCH(I27,'HP Calcs'!$E$28:$E$33,0))*(H27-(INDEX('HP Calcs'!$D$28:$D$33,MATCH(I27,'HP Calcs'!$E$28:$E$33,0)))))),0)</f>
        <v>22656.25</v>
      </c>
      <c r="N27" s="49">
        <f>IFERROR(IF(ISNUMBER(MATCH(H27,'HP Calcs'!$D$28:$D$33,0)),VLOOKUP(H27,'HP Calcs'!$D$28:$R$33,5,FALSE),INDEX('HP Calcs'!$H$28:$H$33,MATCH(I27,'HP Calcs'!$E$28:$E$33,0))+(INDEX('HP Calcs'!$I$28:$I$33,MATCH(I27,'HP Calcs'!$E$28:$E$33,0))*(H27-(INDEX('HP Calcs'!$D$28:$D$33,MATCH(I27,'HP Calcs'!$E$28:$E$33,0)))))),0)</f>
        <v>23650</v>
      </c>
      <c r="O27" s="55">
        <f>IFERROR(IF(ISNUMBER(MATCH($H27,'HP Calcs'!$D$28:$D$33,0)),VLOOKUP($H27,'HP Calcs'!$D$28:$R$33,7,FALSE),INDEX('HP Calcs'!J$28:J$33,MATCH($I27,'HP Calcs'!$E$28:$E$33,0))+(INDEX('HP Calcs'!K$28:K$33,MATCH($I27,'HP Calcs'!$E$28:$E$33,0))*($H27-(INDEX('HP Calcs'!$D$28:$D$33,MATCH($I27,'HP Calcs'!$E$28:$E$33,0)))))),0)</f>
        <v>3.0150000000000001</v>
      </c>
      <c r="P27" s="55">
        <f>IFERROR(IF(ISNUMBER(MATCH($H27,'HP Calcs'!$D$28:$D$33,0)),VLOOKUP($H27,'HP Calcs'!$D$28:$R$33,9,FALSE),INDEX('HP Calcs'!L$28:L$33,MATCH($I27,'HP Calcs'!$E$28:$E$33,0))+(INDEX('HP Calcs'!M$28:M$33,MATCH($I27,'HP Calcs'!$E$28:$E$33,0))*($H27-(INDEX('HP Calcs'!$D$28:$D$33,MATCH($I27,'HP Calcs'!$E$28:$E$33,0)))))),0)</f>
        <v>3.09375</v>
      </c>
      <c r="Q27" s="331">
        <f>Table1[[#This Row],[kWh]]*'Conversion Factors'!$N$21</f>
        <v>21.655775325064958</v>
      </c>
      <c r="R27" s="334">
        <f>IF(Table1[[#This Row],[Temperature]]&lt;='HP Calcs'!$D$4,(Table1[[#This Row],[Annual Heating/Cooling Load (btu/year)]]*'Conversion Factors'!$M$4)/'HP Calcs'!$B$53*'Conversion Factors'!$N$20,"")</f>
        <v>12.004216809736976</v>
      </c>
      <c r="S27" s="334">
        <f>IF(MIN(Table1[[#This Row],[Cost of Electricity]:[Cost of Natural Gas]])=0,MAX(Table1[[#This Row],[Cost of Electricity]:[Cost of Natural Gas]]),MIN(Table1[[#This Row],[Cost of Electricity]:[Cost of Natural Gas]]))</f>
        <v>12.004216809736976</v>
      </c>
      <c r="T27" s="334">
        <f>IF(Table1[[#This Row],[Electricity or Natural Gas?]]=Table1[[#This Row],[Cost of Natural Gas]],-Table1[[#This Row],[Cost of Natural Gas]],Table1[[#This Row],[Cost of Electricity]])</f>
        <v>-12.004216809736976</v>
      </c>
      <c r="U2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0.60021084048684881</v>
      </c>
      <c r="V2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31.737330911835318</v>
      </c>
      <c r="W27" s="55">
        <f>Table1[[#This Row],[kWh]]*'Conversion Factors'!$D$6*'Conversion Factors'!$C$9</f>
        <v>42.589691472627756</v>
      </c>
      <c r="X27" s="55">
        <f>IF(Table1[[#This Row],[Temperature]]&lt;='HP Calcs'!$D$4,(Table1[[#This Row],[Annual Heating/Cooling Load (btu/year)]])/'HP Calcs'!$B$53*'Conversion Factors'!$M$4*'Conversion Factors'!$C$27,0)</f>
        <v>31.737330911835318</v>
      </c>
      <c r="Y27" s="55">
        <f>IF(MIN(Table1[[#This Row],[Electricity Emissions]:[Natural Gas Emissions ]])=0,MAX(Table1[[#This Row],[Electricity Emissions]:[Natural Gas Emissions ]]),MIN(Table1[[#This Row],[Electricity Emissions]:[Natural Gas Emissions ]]))</f>
        <v>31.737330911835318</v>
      </c>
      <c r="Z27" s="55">
        <f>IF(Table1[[#This Row],[Electricity or Natural Gas?2]]=Table1[[#This Row],[Natural Gas Emissions ]],-Table1[[#This Row],[Natural Gas Emissions ]],Table1[[#This Row],[Electricity Emissions]])</f>
        <v>-31.737330911835318</v>
      </c>
      <c r="AA27" s="55" t="str">
        <f>IF(Table1[[#This Row],[Fuel Selector (Cost)]]&lt;0,"NG","Elec")</f>
        <v>NG</v>
      </c>
      <c r="AB27" s="337"/>
      <c r="AC27" s="7">
        <v>2022</v>
      </c>
      <c r="AD27" s="7">
        <v>1</v>
      </c>
      <c r="AE27" s="7">
        <v>2</v>
      </c>
      <c r="AF27" s="8">
        <v>4.1666666666666664E-2</v>
      </c>
      <c r="AG27" s="9">
        <v>0.2</v>
      </c>
      <c r="AH27" s="10">
        <f t="shared" si="6"/>
        <v>0</v>
      </c>
    </row>
    <row r="28" spans="1:34" ht="15.75" customHeight="1" x14ac:dyDescent="0.35">
      <c r="A28">
        <v>27</v>
      </c>
      <c r="B28" s="48">
        <f>IFERROR(IF(H28&lt;'HP Calcs'!$D$4,$K28-$M28,0),0)</f>
        <v>-17652.436596108993</v>
      </c>
      <c r="C28" s="48">
        <f t="shared" si="3"/>
        <v>-19639.936596108993</v>
      </c>
      <c r="D28" s="48">
        <f>IFERROR((K28/N28)*P28*G28,0)</f>
        <v>66.469059879874209</v>
      </c>
      <c r="E28" s="48">
        <f>IFERROR(IF(H28&gt;'HP Calcs'!$D$5,IF(AND(K28&gt;M28,K28&lt;N28,H28&gt;'HP Calcs'!$D$5),J28,0),IF(AND(K28&gt;M28,K28&lt;N28,H28&lt;'HP Calcs'!$D$4),J28,0)),0)</f>
        <v>0</v>
      </c>
      <c r="F28" s="48">
        <f>IFERROR(IF(H28&gt;'HP Calcs'!$D$5,IF(AND(K28&lt;M28,H28&gt;'HP Calcs'!$D$5),J28,0),IF(AND(K28&lt;M28,H28&lt;'HP Calcs'!$D$4),J28,0)),0)</f>
        <v>135</v>
      </c>
      <c r="G28" s="48">
        <f>E28+F28</f>
        <v>135</v>
      </c>
      <c r="H28" s="48">
        <v>-6</v>
      </c>
      <c r="I28" s="49">
        <f>IFERROR(VLOOKUP(H28,'HP Calcs'!$D$26:$T$33,2),0)</f>
        <v>3</v>
      </c>
      <c r="J28" s="48">
        <f t="shared" si="5"/>
        <v>135</v>
      </c>
      <c r="K28" s="49">
        <f>IF(H28&lt;'HP Calcs'!$D$4,MAX(_xlfn.FORECAST.LINEAR(H28,'HP Calcs'!$E$3:$E$4,'HP Calcs'!$D$3:$D$4),0),MAX(_xlfn.FORECAST.LINEAR(H28,'HP Calcs'!$E$5:$E$6,'HP Calcs'!$D$5:$D$6),0))</f>
        <v>3860.0634038910052</v>
      </c>
      <c r="L28" s="48">
        <f t="shared" si="1"/>
        <v>521108.55952528573</v>
      </c>
      <c r="M28" s="49">
        <f>IFERROR(IF(ISNUMBER(MATCH(H28,'HP Calcs'!$D$28:$D$33,0)),VLOOKUP(H28,'HP Calcs'!$D$28:$R$33,3,FALSE),INDEX('HP Calcs'!$F$28:$F$33,MATCH(I28,'HP Calcs'!$E$28:$E$33,0))+(INDEX('HP Calcs'!$G$28:$G$33,MATCH(I28,'HP Calcs'!$E$28:$E$33,0))*(H28-(INDEX('HP Calcs'!$D$28:$D$33,MATCH(I28,'HP Calcs'!$E$28:$E$33,0)))))),0)</f>
        <v>21512.5</v>
      </c>
      <c r="N28" s="49">
        <f>IFERROR(IF(ISNUMBER(MATCH(H28,'HP Calcs'!$D$28:$D$33,0)),VLOOKUP(H28,'HP Calcs'!$D$28:$R$33,5,FALSE),INDEX('HP Calcs'!$H$28:$H$33,MATCH(I28,'HP Calcs'!$E$28:$E$33,0))+(INDEX('HP Calcs'!$I$28:$I$33,MATCH(I28,'HP Calcs'!$E$28:$E$33,0))*(H28-(INDEX('HP Calcs'!$D$28:$D$33,MATCH(I28,'HP Calcs'!$E$28:$E$33,0)))))),0)</f>
        <v>23500</v>
      </c>
      <c r="O28" s="55">
        <f>IFERROR(IF(ISNUMBER(MATCH($H28,'HP Calcs'!$D$28:$D$33,0)),VLOOKUP($H28,'HP Calcs'!$D$28:$R$33,7,FALSE),INDEX('HP Calcs'!J$28:J$33,MATCH($I28,'HP Calcs'!$E$28:$E$33,0))+(INDEX('HP Calcs'!K$28:K$33,MATCH($I28,'HP Calcs'!$E$28:$E$33,0))*($H28-(INDEX('HP Calcs'!$D$28:$D$33,MATCH($I28,'HP Calcs'!$E$28:$E$33,0)))))),0)</f>
        <v>2.84</v>
      </c>
      <c r="P28" s="55">
        <f>IFERROR(IF(ISNUMBER(MATCH($H28,'HP Calcs'!$D$28:$D$33,0)),VLOOKUP($H28,'HP Calcs'!$D$28:$R$33,9,FALSE),INDEX('HP Calcs'!L$28:L$33,MATCH($I28,'HP Calcs'!$E$28:$E$33,0))+(INDEX('HP Calcs'!M$28:M$33,MATCH($I28,'HP Calcs'!$E$28:$E$33,0))*($H28-(INDEX('HP Calcs'!$D$28:$D$33,MATCH($I28,'HP Calcs'!$E$28:$E$33,0)))))),0)</f>
        <v>2.9975000000000001</v>
      </c>
      <c r="Q28" s="331">
        <f>Table1[[#This Row],[kWh]]*'Conversion Factors'!$N$21</f>
        <v>19.94071796396226</v>
      </c>
      <c r="R28" s="334">
        <f>IF(Table1[[#This Row],[Temperature]]&lt;='HP Calcs'!$D$4,(Table1[[#This Row],[Annual Heating/Cooling Load (btu/year)]]*'Conversion Factors'!$M$4)/'HP Calcs'!$B$53*'Conversion Factors'!$N$20,"")</f>
        <v>11.33609890335563</v>
      </c>
      <c r="S28" s="334">
        <f>IF(MIN(Table1[[#This Row],[Cost of Electricity]:[Cost of Natural Gas]])=0,MAX(Table1[[#This Row],[Cost of Electricity]:[Cost of Natural Gas]]),MIN(Table1[[#This Row],[Cost of Electricity]:[Cost of Natural Gas]]))</f>
        <v>11.33609890335563</v>
      </c>
      <c r="T28" s="334">
        <f>IF(Table1[[#This Row],[Electricity or Natural Gas?]]=Table1[[#This Row],[Cost of Natural Gas]],-Table1[[#This Row],[Cost of Natural Gas]],Table1[[#This Row],[Cost of Electricity]])</f>
        <v>-11.33609890335563</v>
      </c>
      <c r="U2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0.56680494516778146</v>
      </c>
      <c r="V2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29.970928370209446</v>
      </c>
      <c r="W28" s="55">
        <f>Table1[[#This Row],[kWh]]*'Conversion Factors'!$D$6*'Conversion Factors'!$C$9</f>
        <v>39.216745329125793</v>
      </c>
      <c r="X28" s="55">
        <f>IF(Table1[[#This Row],[Temperature]]&lt;='HP Calcs'!$D$4,(Table1[[#This Row],[Annual Heating/Cooling Load (btu/year)]])/'HP Calcs'!$B$53*'Conversion Factors'!$M$4*'Conversion Factors'!$C$27,0)</f>
        <v>29.970928370209446</v>
      </c>
      <c r="Y28" s="55">
        <f>IF(MIN(Table1[[#This Row],[Electricity Emissions]:[Natural Gas Emissions ]])=0,MAX(Table1[[#This Row],[Electricity Emissions]:[Natural Gas Emissions ]]),MIN(Table1[[#This Row],[Electricity Emissions]:[Natural Gas Emissions ]]))</f>
        <v>29.970928370209446</v>
      </c>
      <c r="Z28" s="55">
        <f>IF(Table1[[#This Row],[Electricity or Natural Gas?2]]=Table1[[#This Row],[Natural Gas Emissions ]],-Table1[[#This Row],[Natural Gas Emissions ]],Table1[[#This Row],[Electricity Emissions]])</f>
        <v>-29.970928370209446</v>
      </c>
      <c r="AA28" s="55" t="str">
        <f>IF(Table1[[#This Row],[Fuel Selector (Cost)]]&lt;0,"NG","Elec")</f>
        <v>NG</v>
      </c>
      <c r="AB28" s="337"/>
      <c r="AC28" s="7">
        <v>2022</v>
      </c>
      <c r="AD28" s="7">
        <v>1</v>
      </c>
      <c r="AE28" s="7">
        <v>2</v>
      </c>
      <c r="AF28" s="8">
        <v>8.3333333333333329E-2</v>
      </c>
      <c r="AG28" s="9">
        <v>-0.2</v>
      </c>
      <c r="AH28" s="10">
        <f t="shared" si="6"/>
        <v>0</v>
      </c>
    </row>
    <row r="29" spans="1:34" ht="15.75" customHeight="1" x14ac:dyDescent="0.35">
      <c r="A29">
        <v>28</v>
      </c>
      <c r="B29" s="48">
        <f>IFERROR(IF(H29&lt;'HP Calcs'!$D$4,$K29-$M29,0),0)</f>
        <v>-16676.515439756429</v>
      </c>
      <c r="C29" s="48">
        <f t="shared" si="3"/>
        <v>-19657.765439756429</v>
      </c>
      <c r="D29" s="48">
        <f>IFERROR((K29/N29)*P29*G29,0)</f>
        <v>56.427740843790964</v>
      </c>
      <c r="E29" s="48">
        <f>IFERROR(IF(H29&gt;'HP Calcs'!$D$5,IF(AND(K29&gt;M29,K29&lt;N29,H29&gt;'HP Calcs'!$D$5),J29,0),IF(AND(K29&gt;M29,K29&lt;N29,H29&lt;'HP Calcs'!$D$4),J29,0)),0)</f>
        <v>0</v>
      </c>
      <c r="F29" s="48">
        <f>IFERROR(IF(H29&gt;'HP Calcs'!$D$5,IF(AND(K29&lt;M29,H29&gt;'HP Calcs'!$D$5),J29,0),IF(AND(K29&lt;M29,H29&lt;'HP Calcs'!$D$4),J29,0)),0)</f>
        <v>123</v>
      </c>
      <c r="G29" s="48">
        <f t="shared" si="4"/>
        <v>123</v>
      </c>
      <c r="H29" s="48">
        <v>-5</v>
      </c>
      <c r="I29" s="49">
        <f>IFERROR(VLOOKUP(H29,'HP Calcs'!$D$26:$T$33,2),0)</f>
        <v>3</v>
      </c>
      <c r="J29" s="48">
        <f t="shared" si="5"/>
        <v>123</v>
      </c>
      <c r="K29" s="49">
        <f>IF(H29&lt;'HP Calcs'!$D$4,MAX(_xlfn.FORECAST.LINEAR(H29,'HP Calcs'!$E$3:$E$4,'HP Calcs'!$D$3:$D$4),0),MAX(_xlfn.FORECAST.LINEAR(H29,'HP Calcs'!$E$5:$E$6,'HP Calcs'!$D$5:$D$6),0))</f>
        <v>3692.2345602435703</v>
      </c>
      <c r="L29" s="48">
        <f t="shared" si="1"/>
        <v>454144.85090995912</v>
      </c>
      <c r="M29" s="49">
        <f>IFERROR(IF(ISNUMBER(MATCH(H29,'HP Calcs'!$D$28:$D$33,0)),VLOOKUP(H29,'HP Calcs'!$D$28:$R$33,3,FALSE),INDEX('HP Calcs'!$F$28:$F$33,MATCH(I29,'HP Calcs'!$E$28:$E$33,0))+(INDEX('HP Calcs'!$G$28:$G$33,MATCH(I29,'HP Calcs'!$E$28:$E$33,0))*(H29-(INDEX('HP Calcs'!$D$28:$D$33,MATCH(I29,'HP Calcs'!$E$28:$E$33,0)))))),0)</f>
        <v>20368.75</v>
      </c>
      <c r="N29" s="49">
        <f>IFERROR(IF(ISNUMBER(MATCH(H29,'HP Calcs'!$D$28:$D$33,0)),VLOOKUP(H29,'HP Calcs'!$D$28:$R$33,5,FALSE),INDEX('HP Calcs'!$H$28:$H$33,MATCH(I29,'HP Calcs'!$E$28:$E$33,0))+(INDEX('HP Calcs'!$I$28:$I$33,MATCH(I29,'HP Calcs'!$E$28:$E$33,0))*(H29-(INDEX('HP Calcs'!$D$28:$D$33,MATCH(I29,'HP Calcs'!$E$28:$E$33,0)))))),0)</f>
        <v>23350</v>
      </c>
      <c r="O29" s="55">
        <f>IFERROR(IF(ISNUMBER(MATCH($H29,'HP Calcs'!$D$28:$D$33,0)),VLOOKUP($H29,'HP Calcs'!$D$28:$R$33,7,FALSE),INDEX('HP Calcs'!J$28:J$33,MATCH($I29,'HP Calcs'!$E$28:$E$33,0))+(INDEX('HP Calcs'!K$28:K$33,MATCH($I29,'HP Calcs'!$E$28:$E$33,0))*($H29-(INDEX('HP Calcs'!$D$28:$D$33,MATCH($I29,'HP Calcs'!$E$28:$E$33,0)))))),0)</f>
        <v>2.665</v>
      </c>
      <c r="P29" s="55">
        <f>IFERROR(IF(ISNUMBER(MATCH($H29,'HP Calcs'!$D$28:$D$33,0)),VLOOKUP($H29,'HP Calcs'!$D$28:$R$33,9,FALSE),INDEX('HP Calcs'!L$28:L$33,MATCH($I29,'HP Calcs'!$E$28:$E$33,0))+(INDEX('HP Calcs'!M$28:M$33,MATCH($I29,'HP Calcs'!$E$28:$E$33,0))*($H29-(INDEX('HP Calcs'!$D$28:$D$33,MATCH($I29,'HP Calcs'!$E$28:$E$33,0)))))),0)</f>
        <v>2.9012500000000001</v>
      </c>
      <c r="Q29" s="331">
        <f>Table1[[#This Row],[kWh]]*'Conversion Factors'!$N$21</f>
        <v>16.928322253137289</v>
      </c>
      <c r="R29" s="334">
        <f>IF(Table1[[#This Row],[Temperature]]&lt;='HP Calcs'!$D$4,(Table1[[#This Row],[Annual Heating/Cooling Load (btu/year)]]*'Conversion Factors'!$M$4)/'HP Calcs'!$B$53*'Conversion Factors'!$N$20,"")</f>
        <v>9.8793828123930201</v>
      </c>
      <c r="S29" s="334">
        <f>IF(MIN(Table1[[#This Row],[Cost of Electricity]:[Cost of Natural Gas]])=0,MAX(Table1[[#This Row],[Cost of Electricity]:[Cost of Natural Gas]]),MIN(Table1[[#This Row],[Cost of Electricity]:[Cost of Natural Gas]]))</f>
        <v>9.8793828123930201</v>
      </c>
      <c r="T29" s="334">
        <f>IF(Table1[[#This Row],[Electricity or Natural Gas?]]=Table1[[#This Row],[Cost of Natural Gas]],-Table1[[#This Row],[Cost of Natural Gas]],Table1[[#This Row],[Cost of Electricity]])</f>
        <v>-9.8793828123930201</v>
      </c>
      <c r="U2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0.49396914061965097</v>
      </c>
      <c r="V2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26.119591681090739</v>
      </c>
      <c r="W29" s="55">
        <f>Table1[[#This Row],[kWh]]*'Conversion Factors'!$D$6*'Conversion Factors'!$C$9</f>
        <v>33.292367097836674</v>
      </c>
      <c r="X29" s="55">
        <f>IF(Table1[[#This Row],[Temperature]]&lt;='HP Calcs'!$D$4,(Table1[[#This Row],[Annual Heating/Cooling Load (btu/year)]])/'HP Calcs'!$B$53*'Conversion Factors'!$M$4*'Conversion Factors'!$C$27,0)</f>
        <v>26.119591681090739</v>
      </c>
      <c r="Y29" s="55">
        <f>IF(MIN(Table1[[#This Row],[Electricity Emissions]:[Natural Gas Emissions ]])=0,MAX(Table1[[#This Row],[Electricity Emissions]:[Natural Gas Emissions ]]),MIN(Table1[[#This Row],[Electricity Emissions]:[Natural Gas Emissions ]]))</f>
        <v>26.119591681090739</v>
      </c>
      <c r="Z29" s="55">
        <f>IF(Table1[[#This Row],[Electricity or Natural Gas?2]]=Table1[[#This Row],[Natural Gas Emissions ]],-Table1[[#This Row],[Natural Gas Emissions ]],Table1[[#This Row],[Electricity Emissions]])</f>
        <v>-26.119591681090739</v>
      </c>
      <c r="AA29" s="55" t="str">
        <f>IF(Table1[[#This Row],[Fuel Selector (Cost)]]&lt;0,"NG","Elec")</f>
        <v>NG</v>
      </c>
      <c r="AB29" s="337"/>
      <c r="AC29" s="7">
        <v>2022</v>
      </c>
      <c r="AD29" s="7">
        <v>1</v>
      </c>
      <c r="AE29" s="7">
        <v>2</v>
      </c>
      <c r="AF29" s="8">
        <v>0.125</v>
      </c>
      <c r="AG29" s="9">
        <v>0.4</v>
      </c>
      <c r="AH29" s="10">
        <f t="shared" si="6"/>
        <v>0</v>
      </c>
    </row>
    <row r="30" spans="1:34" ht="15.75" customHeight="1" x14ac:dyDescent="0.35">
      <c r="A30">
        <v>29</v>
      </c>
      <c r="B30" s="48">
        <f>IFERROR(IF(H30&lt;'HP Calcs'!$D$4,$K30-$M30,0),0)</f>
        <v>-15700.594283403865</v>
      </c>
      <c r="C30" s="48">
        <f t="shared" si="3"/>
        <v>-19675.594283403865</v>
      </c>
      <c r="D30" s="48">
        <f t="shared" si="0"/>
        <v>57.952167791685071</v>
      </c>
      <c r="E30" s="48">
        <f>IFERROR(IF(H30&gt;'HP Calcs'!$D$5,IF(AND(K30&gt;M30,K30&lt;N30,H30&gt;'HP Calcs'!$D$5),J30,0),IF(AND(K30&gt;M30,K30&lt;N30,H30&lt;'HP Calcs'!$D$4),J30,0)),0)</f>
        <v>0</v>
      </c>
      <c r="F30" s="48">
        <f>IFERROR(IF(H30&gt;'HP Calcs'!$D$5,IF(AND(K30&lt;M30,H30&gt;'HP Calcs'!$D$5),J30,0),IF(AND(K30&lt;M30,H30&lt;'HP Calcs'!$D$4),J30,0)),0)</f>
        <v>136</v>
      </c>
      <c r="G30" s="48">
        <f t="shared" si="4"/>
        <v>136</v>
      </c>
      <c r="H30" s="48">
        <v>-4</v>
      </c>
      <c r="I30" s="49">
        <f>IFERROR(VLOOKUP(H30,'HP Calcs'!$D$26:$T$33,2),0)</f>
        <v>3</v>
      </c>
      <c r="J30" s="48">
        <f t="shared" si="5"/>
        <v>136</v>
      </c>
      <c r="K30" s="49">
        <f>IF(H30&lt;'HP Calcs'!$D$4,MAX(_xlfn.FORECAST.LINEAR(H30,'HP Calcs'!$E$3:$E$4,'HP Calcs'!$D$3:$D$4),0),MAX(_xlfn.FORECAST.LINEAR(H30,'HP Calcs'!$E$5:$E$6,'HP Calcs'!$D$5:$D$6),0))</f>
        <v>3524.4057165961353</v>
      </c>
      <c r="L30" s="48">
        <f t="shared" si="1"/>
        <v>479319.1774570744</v>
      </c>
      <c r="M30" s="49">
        <f>IFERROR(IF(ISNUMBER(MATCH(H30,'HP Calcs'!$D$28:$D$33,0)),VLOOKUP(H30,'HP Calcs'!$D$28:$R$33,3,FALSE),INDEX('HP Calcs'!$F$28:$F$33,MATCH(I30,'HP Calcs'!$E$28:$E$33,0))+(INDEX('HP Calcs'!$G$28:$G$33,MATCH(I30,'HP Calcs'!$E$28:$E$33,0))*(H30-(INDEX('HP Calcs'!$D$28:$D$33,MATCH(I30,'HP Calcs'!$E$28:$E$33,0)))))),0)</f>
        <v>19225</v>
      </c>
      <c r="N30" s="49">
        <f>IFERROR(IF(ISNUMBER(MATCH(H30,'HP Calcs'!$D$28:$D$33,0)),VLOOKUP(H30,'HP Calcs'!$D$28:$R$33,5,FALSE),INDEX('HP Calcs'!$H$28:$H$33,MATCH(I30,'HP Calcs'!$E$28:$E$33,0))+(INDEX('HP Calcs'!$I$28:$I$33,MATCH(I30,'HP Calcs'!$E$28:$E$33,0))*(H30-(INDEX('HP Calcs'!$D$28:$D$33,MATCH(I30,'HP Calcs'!$E$28:$E$33,0)))))),0)</f>
        <v>23200</v>
      </c>
      <c r="O30" s="55">
        <f>IFERROR(IF(ISNUMBER(MATCH($H30,'HP Calcs'!$D$28:$D$33,0)),VLOOKUP($H30,'HP Calcs'!$D$28:$R$33,7,FALSE),INDEX('HP Calcs'!J$28:J$33,MATCH($I30,'HP Calcs'!$E$28:$E$33,0))+(INDEX('HP Calcs'!K$28:K$33,MATCH($I30,'HP Calcs'!$E$28:$E$33,0))*($H30-(INDEX('HP Calcs'!$D$28:$D$33,MATCH($I30,'HP Calcs'!$E$28:$E$33,0)))))),0)</f>
        <v>2.4900000000000002</v>
      </c>
      <c r="P30" s="55">
        <f>IFERROR(IF(ISNUMBER(MATCH($H30,'HP Calcs'!$D$28:$D$33,0)),VLOOKUP($H30,'HP Calcs'!$D$28:$R$33,9,FALSE),INDEX('HP Calcs'!L$28:L$33,MATCH($I30,'HP Calcs'!$E$28:$E$33,0))+(INDEX('HP Calcs'!M$28:M$33,MATCH($I30,'HP Calcs'!$E$28:$E$33,0))*($H30-(INDEX('HP Calcs'!$D$28:$D$33,MATCH($I30,'HP Calcs'!$E$28:$E$33,0)))))),0)</f>
        <v>2.8049999999999997</v>
      </c>
      <c r="Q30" s="331">
        <f>Table1[[#This Row],[kWh]]*'Conversion Factors'!$N$21</f>
        <v>17.38565033750552</v>
      </c>
      <c r="R30" s="334">
        <f>IF(Table1[[#This Row],[Temperature]]&lt;='HP Calcs'!$D$4,(Table1[[#This Row],[Annual Heating/Cooling Load (btu/year)]]*'Conversion Factors'!$M$4)/'HP Calcs'!$B$53*'Conversion Factors'!$N$20,"")</f>
        <v>10.427020440574452</v>
      </c>
      <c r="S30" s="334">
        <f>IF(MIN(Table1[[#This Row],[Cost of Electricity]:[Cost of Natural Gas]])=0,MAX(Table1[[#This Row],[Cost of Electricity]:[Cost of Natural Gas]]),MIN(Table1[[#This Row],[Cost of Electricity]:[Cost of Natural Gas]]))</f>
        <v>10.427020440574452</v>
      </c>
      <c r="T30" s="334">
        <f>IF(Table1[[#This Row],[Electricity or Natural Gas?]]=Table1[[#This Row],[Cost of Natural Gas]],-Table1[[#This Row],[Cost of Natural Gas]],Table1[[#This Row],[Cost of Electricity]])</f>
        <v>-10.427020440574452</v>
      </c>
      <c r="U3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0.52135102202872263</v>
      </c>
      <c r="V3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27.567462616849653</v>
      </c>
      <c r="W30" s="55">
        <f>Table1[[#This Row],[kWh]]*'Conversion Factors'!$D$6*'Conversion Factors'!$C$9</f>
        <v>34.191778997094197</v>
      </c>
      <c r="X30" s="55">
        <f>IF(Table1[[#This Row],[Temperature]]&lt;='HP Calcs'!$D$4,(Table1[[#This Row],[Annual Heating/Cooling Load (btu/year)]])/'HP Calcs'!$B$53*'Conversion Factors'!$M$4*'Conversion Factors'!$C$27,0)</f>
        <v>27.567462616849653</v>
      </c>
      <c r="Y30" s="55">
        <f>IF(MIN(Table1[[#This Row],[Electricity Emissions]:[Natural Gas Emissions ]])=0,MAX(Table1[[#This Row],[Electricity Emissions]:[Natural Gas Emissions ]]),MIN(Table1[[#This Row],[Electricity Emissions]:[Natural Gas Emissions ]]))</f>
        <v>27.567462616849653</v>
      </c>
      <c r="Z30" s="55">
        <f>IF(Table1[[#This Row],[Electricity or Natural Gas?2]]=Table1[[#This Row],[Natural Gas Emissions ]],-Table1[[#This Row],[Natural Gas Emissions ]],Table1[[#This Row],[Electricity Emissions]])</f>
        <v>-27.567462616849653</v>
      </c>
      <c r="AA30" s="55" t="str">
        <f>IF(Table1[[#This Row],[Fuel Selector (Cost)]]&lt;0,"NG","Elec")</f>
        <v>NG</v>
      </c>
      <c r="AB30" s="337"/>
      <c r="AC30" s="7">
        <v>2022</v>
      </c>
      <c r="AD30" s="7">
        <v>1</v>
      </c>
      <c r="AE30" s="7">
        <v>2</v>
      </c>
      <c r="AF30" s="8">
        <v>0.16666666666666666</v>
      </c>
      <c r="AG30" s="9">
        <v>0.1</v>
      </c>
      <c r="AH30" s="10">
        <f t="shared" si="6"/>
        <v>0</v>
      </c>
    </row>
    <row r="31" spans="1:34" ht="15.75" customHeight="1" x14ac:dyDescent="0.35">
      <c r="A31">
        <v>30</v>
      </c>
      <c r="B31" s="48">
        <f>IFERROR(IF(H31&lt;'HP Calcs'!$D$4,$K31-$M31,0),0)</f>
        <v>-14724.673127051301</v>
      </c>
      <c r="C31" s="48">
        <f t="shared" si="3"/>
        <v>-19693.423127051301</v>
      </c>
      <c r="D31" s="48">
        <f t="shared" si="0"/>
        <v>68.634715973985394</v>
      </c>
      <c r="E31" s="48">
        <f>IFERROR(IF(H31&gt;'HP Calcs'!$D$5,IF(AND(K31&gt;M31,K31&lt;N31,H31&gt;'HP Calcs'!$D$5),J31,0),IF(AND(K31&gt;M31,K31&lt;N31,H31&lt;'HP Calcs'!$D$4),J31,0)),0)</f>
        <v>0</v>
      </c>
      <c r="F31" s="48">
        <f>IFERROR(IF(H31&gt;'HP Calcs'!$D$5,IF(AND(K31&lt;M31,H31&gt;'HP Calcs'!$D$5),J31,0),IF(AND(K31&lt;M31,H31&lt;'HP Calcs'!$D$4),J31,0)),0)</f>
        <v>174</v>
      </c>
      <c r="G31" s="48">
        <f t="shared" si="4"/>
        <v>174</v>
      </c>
      <c r="H31" s="48">
        <v>-3</v>
      </c>
      <c r="I31" s="49">
        <f>IFERROR(VLOOKUP(H31,'HP Calcs'!$D$26:$T$33,2),0)</f>
        <v>3</v>
      </c>
      <c r="J31" s="48">
        <f t="shared" si="5"/>
        <v>174</v>
      </c>
      <c r="K31" s="49">
        <f>IF(H31&lt;'HP Calcs'!$D$4,MAX(_xlfn.FORECAST.LINEAR(H31,'HP Calcs'!$E$3:$E$4,'HP Calcs'!$D$3:$D$4),0),MAX(_xlfn.FORECAST.LINEAR(H31,'HP Calcs'!$E$5:$E$6,'HP Calcs'!$D$5:$D$6),0))</f>
        <v>3356.5768729486999</v>
      </c>
      <c r="L31" s="48">
        <f t="shared" si="1"/>
        <v>584044.37589307374</v>
      </c>
      <c r="M31" s="49">
        <f>IFERROR(IF(ISNUMBER(MATCH(H31,'HP Calcs'!$D$28:$D$33,0)),VLOOKUP(H31,'HP Calcs'!$D$28:$R$33,3,FALSE),INDEX('HP Calcs'!$F$28:$F$33,MATCH(I31,'HP Calcs'!$E$28:$E$33,0))+(INDEX('HP Calcs'!$G$28:$G$33,MATCH(I31,'HP Calcs'!$E$28:$E$33,0))*(H31-(INDEX('HP Calcs'!$D$28:$D$33,MATCH(I31,'HP Calcs'!$E$28:$E$33,0)))))),0)</f>
        <v>18081.25</v>
      </c>
      <c r="N31" s="49">
        <f>IFERROR(IF(ISNUMBER(MATCH(H31,'HP Calcs'!$D$28:$D$33,0)),VLOOKUP(H31,'HP Calcs'!$D$28:$R$33,5,FALSE),INDEX('HP Calcs'!$H$28:$H$33,MATCH(I31,'HP Calcs'!$E$28:$E$33,0))+(INDEX('HP Calcs'!$I$28:$I$33,MATCH(I31,'HP Calcs'!$E$28:$E$33,0))*(H31-(INDEX('HP Calcs'!$D$28:$D$33,MATCH(I31,'HP Calcs'!$E$28:$E$33,0)))))),0)</f>
        <v>23050</v>
      </c>
      <c r="O31" s="55">
        <f>IFERROR(IF(ISNUMBER(MATCH($H31,'HP Calcs'!$D$28:$D$33,0)),VLOOKUP($H31,'HP Calcs'!$D$28:$R$33,7,FALSE),INDEX('HP Calcs'!J$28:J$33,MATCH($I31,'HP Calcs'!$E$28:$E$33,0))+(INDEX('HP Calcs'!K$28:K$33,MATCH($I31,'HP Calcs'!$E$28:$E$33,0))*($H31-(INDEX('HP Calcs'!$D$28:$D$33,MATCH($I31,'HP Calcs'!$E$28:$E$33,0)))))),0)</f>
        <v>2.3149999999999999</v>
      </c>
      <c r="P31" s="55">
        <f>IFERROR(IF(ISNUMBER(MATCH($H31,'HP Calcs'!$D$28:$D$33,0)),VLOOKUP($H31,'HP Calcs'!$D$28:$R$33,9,FALSE),INDEX('HP Calcs'!L$28:L$33,MATCH($I31,'HP Calcs'!$E$28:$E$33,0))+(INDEX('HP Calcs'!M$28:M$33,MATCH($I31,'HP Calcs'!$E$28:$E$33,0))*($H31-(INDEX('HP Calcs'!$D$28:$D$33,MATCH($I31,'HP Calcs'!$E$28:$E$33,0)))))),0)</f>
        <v>2.7087499999999998</v>
      </c>
      <c r="Q31" s="331">
        <f>Table1[[#This Row],[kWh]]*'Conversion Factors'!$N$21</f>
        <v>20.590414792195617</v>
      </c>
      <c r="R31" s="334">
        <f>IF(Table1[[#This Row],[Temperature]]&lt;='HP Calcs'!$D$4,(Table1[[#This Row],[Annual Heating/Cooling Load (btu/year)]]*'Conversion Factors'!$M$4)/'HP Calcs'!$B$53*'Conversion Factors'!$N$20,"")</f>
        <v>12.705192973809202</v>
      </c>
      <c r="S31" s="334">
        <f>IF(MIN(Table1[[#This Row],[Cost of Electricity]:[Cost of Natural Gas]])=0,MAX(Table1[[#This Row],[Cost of Electricity]:[Cost of Natural Gas]]),MIN(Table1[[#This Row],[Cost of Electricity]:[Cost of Natural Gas]]))</f>
        <v>12.705192973809202</v>
      </c>
      <c r="T31" s="334">
        <f>IF(Table1[[#This Row],[Electricity or Natural Gas?]]=Table1[[#This Row],[Cost of Natural Gas]],-Table1[[#This Row],[Cost of Natural Gas]],Table1[[#This Row],[Cost of Electricity]])</f>
        <v>-12.705192973809202</v>
      </c>
      <c r="U3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0.63525964869046025</v>
      </c>
      <c r="V3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33.590605709606713</v>
      </c>
      <c r="W31" s="55">
        <f>Table1[[#This Row],[kWh]]*'Conversion Factors'!$D$6*'Conversion Factors'!$C$9</f>
        <v>40.494482424651387</v>
      </c>
      <c r="X31" s="55">
        <f>IF(Table1[[#This Row],[Temperature]]&lt;='HP Calcs'!$D$4,(Table1[[#This Row],[Annual Heating/Cooling Load (btu/year)]])/'HP Calcs'!$B$53*'Conversion Factors'!$M$4*'Conversion Factors'!$C$27,0)</f>
        <v>33.590605709606713</v>
      </c>
      <c r="Y31" s="55">
        <f>IF(MIN(Table1[[#This Row],[Electricity Emissions]:[Natural Gas Emissions ]])=0,MAX(Table1[[#This Row],[Electricity Emissions]:[Natural Gas Emissions ]]),MIN(Table1[[#This Row],[Electricity Emissions]:[Natural Gas Emissions ]]))</f>
        <v>33.590605709606713</v>
      </c>
      <c r="Z31" s="55">
        <f>IF(Table1[[#This Row],[Electricity or Natural Gas?2]]=Table1[[#This Row],[Natural Gas Emissions ]],-Table1[[#This Row],[Natural Gas Emissions ]],Table1[[#This Row],[Electricity Emissions]])</f>
        <v>-33.590605709606713</v>
      </c>
      <c r="AA31" s="55" t="str">
        <f>IF(Table1[[#This Row],[Fuel Selector (Cost)]]&lt;0,"NG","Elec")</f>
        <v>NG</v>
      </c>
      <c r="AB31" s="337"/>
      <c r="AC31" s="7">
        <v>2022</v>
      </c>
      <c r="AD31" s="7">
        <v>1</v>
      </c>
      <c r="AE31" s="7">
        <v>2</v>
      </c>
      <c r="AF31" s="8">
        <v>0.20833333333333334</v>
      </c>
      <c r="AG31" s="9">
        <v>-0.3</v>
      </c>
      <c r="AH31" s="10">
        <f t="shared" si="6"/>
        <v>0</v>
      </c>
    </row>
    <row r="32" spans="1:34" ht="15.75" customHeight="1" x14ac:dyDescent="0.35">
      <c r="A32">
        <v>31</v>
      </c>
      <c r="B32" s="48">
        <f>IFERROR(IF(H32&lt;'HP Calcs'!$D$4,$K32-$M32,0),0)</f>
        <v>-13748.751970698735</v>
      </c>
      <c r="C32" s="48">
        <f t="shared" si="3"/>
        <v>-19711.251970698737</v>
      </c>
      <c r="D32" s="48">
        <f t="shared" si="0"/>
        <v>82.214696733633147</v>
      </c>
      <c r="E32" s="48">
        <f>IFERROR(IF(H32&gt;'HP Calcs'!$D$5,IF(AND(K32&gt;M32,K32&lt;N32,H32&gt;'HP Calcs'!$D$5),J32,0),IF(AND(K32&gt;M32,K32&lt;N32,H32&lt;'HP Calcs'!$D$4),J32,0)),0)</f>
        <v>0</v>
      </c>
      <c r="F32" s="48">
        <f>IFERROR(IF(H32&gt;'HP Calcs'!$D$5,IF(AND(K32&lt;M32,H32&gt;'HP Calcs'!$D$5),J32,0),IF(AND(K32&lt;M32,H32&lt;'HP Calcs'!$D$4),J32,0)),0)</f>
        <v>226</v>
      </c>
      <c r="G32" s="48">
        <f t="shared" si="4"/>
        <v>226</v>
      </c>
      <c r="H32" s="48">
        <v>-2</v>
      </c>
      <c r="I32" s="49">
        <f>IFERROR(VLOOKUP(H32,'HP Calcs'!$D$26:$T$33,2),0)</f>
        <v>3</v>
      </c>
      <c r="J32" s="48">
        <f t="shared" si="5"/>
        <v>226</v>
      </c>
      <c r="K32" s="49">
        <f>IF(H32&lt;'HP Calcs'!$D$4,MAX(_xlfn.FORECAST.LINEAR(H32,'HP Calcs'!$E$3:$E$4,'HP Calcs'!$D$3:$D$4),0),MAX(_xlfn.FORECAST.LINEAR(H32,'HP Calcs'!$E$5:$E$6,'HP Calcs'!$D$5:$D$6),0))</f>
        <v>3188.748029301265</v>
      </c>
      <c r="L32" s="48">
        <f t="shared" si="1"/>
        <v>720657.05462208588</v>
      </c>
      <c r="M32" s="49">
        <f>IFERROR(IF(ISNUMBER(MATCH(H32,'HP Calcs'!$D$28:$D$33,0)),VLOOKUP(H32,'HP Calcs'!$D$28:$R$33,3,FALSE),INDEX('HP Calcs'!$F$28:$F$33,MATCH(I32,'HP Calcs'!$E$28:$E$33,0))+(INDEX('HP Calcs'!$G$28:$G$33,MATCH(I32,'HP Calcs'!$E$28:$E$33,0))*(H32-(INDEX('HP Calcs'!$D$28:$D$33,MATCH(I32,'HP Calcs'!$E$28:$E$33,0)))))),0)</f>
        <v>16937.5</v>
      </c>
      <c r="N32" s="49">
        <f>IFERROR(IF(ISNUMBER(MATCH(H32,'HP Calcs'!$D$28:$D$33,0)),VLOOKUP(H32,'HP Calcs'!$D$28:$R$33,5,FALSE),INDEX('HP Calcs'!$H$28:$H$33,MATCH(I32,'HP Calcs'!$E$28:$E$33,0))+(INDEX('HP Calcs'!$I$28:$I$33,MATCH(I32,'HP Calcs'!$E$28:$E$33,0))*(H32-(INDEX('HP Calcs'!$D$28:$D$33,MATCH(I32,'HP Calcs'!$E$28:$E$33,0)))))),0)</f>
        <v>22900</v>
      </c>
      <c r="O32" s="55">
        <f>IFERROR(IF(ISNUMBER(MATCH($H32,'HP Calcs'!$D$28:$D$33,0)),VLOOKUP($H32,'HP Calcs'!$D$28:$R$33,7,FALSE),INDEX('HP Calcs'!J$28:J$33,MATCH($I32,'HP Calcs'!$E$28:$E$33,0))+(INDEX('HP Calcs'!K$28:K$33,MATCH($I32,'HP Calcs'!$E$28:$E$33,0))*($H32-(INDEX('HP Calcs'!$D$28:$D$33,MATCH($I32,'HP Calcs'!$E$28:$E$33,0)))))),0)</f>
        <v>2.14</v>
      </c>
      <c r="P32" s="55">
        <f>IFERROR(IF(ISNUMBER(MATCH($H32,'HP Calcs'!$D$28:$D$33,0)),VLOOKUP($H32,'HP Calcs'!$D$28:$R$33,9,FALSE),INDEX('HP Calcs'!L$28:L$33,MATCH($I32,'HP Calcs'!$E$28:$E$33,0))+(INDEX('HP Calcs'!M$28:M$33,MATCH($I32,'HP Calcs'!$E$28:$E$33,0))*($H32-(INDEX('HP Calcs'!$D$28:$D$33,MATCH($I32,'HP Calcs'!$E$28:$E$33,0)))))),0)</f>
        <v>2.6124999999999998</v>
      </c>
      <c r="Q32" s="331">
        <f>Table1[[#This Row],[kWh]]*'Conversion Factors'!$N$21</f>
        <v>24.664409020089945</v>
      </c>
      <c r="R32" s="334">
        <f>IF(Table1[[#This Row],[Temperature]]&lt;='HP Calcs'!$D$4,(Table1[[#This Row],[Annual Heating/Cooling Load (btu/year)]]*'Conversion Factors'!$M$4)/'HP Calcs'!$B$53*'Conversion Factors'!$N$20,"")</f>
        <v>15.677039836073771</v>
      </c>
      <c r="S32" s="334">
        <f>IF(MIN(Table1[[#This Row],[Cost of Electricity]:[Cost of Natural Gas]])=0,MAX(Table1[[#This Row],[Cost of Electricity]:[Cost of Natural Gas]]),MIN(Table1[[#This Row],[Cost of Electricity]:[Cost of Natural Gas]]))</f>
        <v>15.677039836073771</v>
      </c>
      <c r="T32" s="334">
        <f>IF(Table1[[#This Row],[Electricity or Natural Gas?]]=Table1[[#This Row],[Cost of Natural Gas]],-Table1[[#This Row],[Cost of Natural Gas]],Table1[[#This Row],[Cost of Electricity]])</f>
        <v>-15.677039836073771</v>
      </c>
      <c r="U3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0.78385199180368859</v>
      </c>
      <c r="V3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41.447718654325065</v>
      </c>
      <c r="W32" s="55">
        <f>Table1[[#This Row],[kWh]]*'Conversion Factors'!$D$6*'Conversion Factors'!$C$9</f>
        <v>48.50667107284356</v>
      </c>
      <c r="X32" s="55">
        <f>IF(Table1[[#This Row],[Temperature]]&lt;='HP Calcs'!$D$4,(Table1[[#This Row],[Annual Heating/Cooling Load (btu/year)]])/'HP Calcs'!$B$53*'Conversion Factors'!$M$4*'Conversion Factors'!$C$27,0)</f>
        <v>41.447718654325065</v>
      </c>
      <c r="Y32" s="55">
        <f>IF(MIN(Table1[[#This Row],[Electricity Emissions]:[Natural Gas Emissions ]])=0,MAX(Table1[[#This Row],[Electricity Emissions]:[Natural Gas Emissions ]]),MIN(Table1[[#This Row],[Electricity Emissions]:[Natural Gas Emissions ]]))</f>
        <v>41.447718654325065</v>
      </c>
      <c r="Z32" s="55">
        <f>IF(Table1[[#This Row],[Electricity or Natural Gas?2]]=Table1[[#This Row],[Natural Gas Emissions ]],-Table1[[#This Row],[Natural Gas Emissions ]],Table1[[#This Row],[Electricity Emissions]])</f>
        <v>-41.447718654325065</v>
      </c>
      <c r="AA32" s="55" t="str">
        <f>IF(Table1[[#This Row],[Fuel Selector (Cost)]]&lt;0,"NG","Elec")</f>
        <v>NG</v>
      </c>
      <c r="AB32" s="337"/>
      <c r="AC32" s="7">
        <v>2022</v>
      </c>
      <c r="AD32" s="7">
        <v>1</v>
      </c>
      <c r="AE32" s="7">
        <v>2</v>
      </c>
      <c r="AF32" s="8">
        <v>0.25</v>
      </c>
      <c r="AG32" s="9">
        <v>-1.8</v>
      </c>
      <c r="AH32" s="10">
        <f t="shared" si="6"/>
        <v>-2</v>
      </c>
    </row>
    <row r="33" spans="1:34" ht="15.75" customHeight="1" x14ac:dyDescent="0.35">
      <c r="A33">
        <v>32</v>
      </c>
      <c r="B33" s="48">
        <f>IFERROR(IF(H33&lt;'HP Calcs'!$D$4,$K33-$M33,0),0)</f>
        <v>-12772.830814346169</v>
      </c>
      <c r="C33" s="48">
        <f t="shared" si="3"/>
        <v>-19729.080814346169</v>
      </c>
      <c r="D33" s="48">
        <f t="shared" si="0"/>
        <v>72.505546131675359</v>
      </c>
      <c r="E33" s="48">
        <f>IFERROR(IF(H33&gt;'HP Calcs'!$D$5,IF(AND(K33&gt;M33,K33&lt;N33,H33&gt;'HP Calcs'!$D$5),J33,0),IF(AND(K33&gt;M33,K33&lt;N33,H33&lt;'HP Calcs'!$D$4),J33,0)),0)</f>
        <v>0</v>
      </c>
      <c r="F33" s="48">
        <f>IFERROR(IF(H33&gt;'HP Calcs'!$D$5,IF(AND(K33&lt;M33,H33&gt;'HP Calcs'!$D$5),J33,0),IF(AND(K33&lt;M33,H33&lt;'HP Calcs'!$D$4),J33,0)),0)</f>
        <v>217</v>
      </c>
      <c r="G33" s="48">
        <f t="shared" si="4"/>
        <v>217</v>
      </c>
      <c r="H33" s="48">
        <v>-1</v>
      </c>
      <c r="I33" s="49">
        <f>IFERROR(VLOOKUP(H33,'HP Calcs'!$D$26:$T$33,2),0)</f>
        <v>3</v>
      </c>
      <c r="J33" s="48">
        <f t="shared" si="5"/>
        <v>217</v>
      </c>
      <c r="K33" s="49">
        <f>IF(H33&lt;'HP Calcs'!$D$4,MAX(_xlfn.FORECAST.LINEAR(H33,'HP Calcs'!$E$3:$E$4,'HP Calcs'!$D$3:$D$4),0),MAX(_xlfn.FORECAST.LINEAR(H33,'HP Calcs'!$E$5:$E$6,'HP Calcs'!$D$5:$D$6),0))</f>
        <v>3020.91918565383</v>
      </c>
      <c r="L33" s="48">
        <f t="shared" si="1"/>
        <v>655539.4632868811</v>
      </c>
      <c r="M33" s="49">
        <f>IFERROR(IF(ISNUMBER(MATCH(H33,'HP Calcs'!$D$28:$D$33,0)),VLOOKUP(H33,'HP Calcs'!$D$28:$R$33,3,FALSE),INDEX('HP Calcs'!$F$28:$F$33,MATCH(I33,'HP Calcs'!$E$28:$E$33,0))+(INDEX('HP Calcs'!$G$28:$G$33,MATCH(I33,'HP Calcs'!$E$28:$E$33,0))*(H33-(INDEX('HP Calcs'!$D$28:$D$33,MATCH(I33,'HP Calcs'!$E$28:$E$33,0)))))),0)</f>
        <v>15793.75</v>
      </c>
      <c r="N33" s="49">
        <f>IFERROR(IF(ISNUMBER(MATCH(H33,'HP Calcs'!$D$28:$D$33,0)),VLOOKUP(H33,'HP Calcs'!$D$28:$R$33,5,FALSE),INDEX('HP Calcs'!$H$28:$H$33,MATCH(I33,'HP Calcs'!$E$28:$E$33,0))+(INDEX('HP Calcs'!$I$28:$I$33,MATCH(I33,'HP Calcs'!$E$28:$E$33,0))*(H33-(INDEX('HP Calcs'!$D$28:$D$33,MATCH(I33,'HP Calcs'!$E$28:$E$33,0)))))),0)</f>
        <v>22750</v>
      </c>
      <c r="O33" s="55">
        <f>IFERROR(IF(ISNUMBER(MATCH($H33,'HP Calcs'!$D$28:$D$33,0)),VLOOKUP($H33,'HP Calcs'!$D$28:$R$33,7,FALSE),INDEX('HP Calcs'!J$28:J$33,MATCH($I33,'HP Calcs'!$E$28:$E$33,0))+(INDEX('HP Calcs'!K$28:K$33,MATCH($I33,'HP Calcs'!$E$28:$E$33,0))*($H33-(INDEX('HP Calcs'!$D$28:$D$33,MATCH($I33,'HP Calcs'!$E$28:$E$33,0)))))),0)</f>
        <v>1.9650000000000001</v>
      </c>
      <c r="P33" s="55">
        <f>IFERROR(IF(ISNUMBER(MATCH($H33,'HP Calcs'!$D$28:$D$33,0)),VLOOKUP($H33,'HP Calcs'!$D$28:$R$33,9,FALSE),INDEX('HP Calcs'!L$28:L$33,MATCH($I33,'HP Calcs'!$E$28:$E$33,0))+(INDEX('HP Calcs'!M$28:M$33,MATCH($I33,'HP Calcs'!$E$28:$E$33,0))*($H33-(INDEX('HP Calcs'!$D$28:$D$33,MATCH($I33,'HP Calcs'!$E$28:$E$33,0)))))),0)</f>
        <v>2.5162499999999999</v>
      </c>
      <c r="Q33" s="331">
        <f>Table1[[#This Row],[kWh]]*'Conversion Factors'!$N$21</f>
        <v>21.751663839502609</v>
      </c>
      <c r="R33" s="334">
        <f>IF(Table1[[#This Row],[Temperature]]&lt;='HP Calcs'!$D$4,(Table1[[#This Row],[Annual Heating/Cooling Load (btu/year)]]*'Conversion Factors'!$M$4)/'HP Calcs'!$B$53*'Conversion Factors'!$N$20,"")</f>
        <v>14.260483837844472</v>
      </c>
      <c r="S33" s="334">
        <f>IF(MIN(Table1[[#This Row],[Cost of Electricity]:[Cost of Natural Gas]])=0,MAX(Table1[[#This Row],[Cost of Electricity]:[Cost of Natural Gas]]),MIN(Table1[[#This Row],[Cost of Electricity]:[Cost of Natural Gas]]))</f>
        <v>14.260483837844472</v>
      </c>
      <c r="T33" s="334">
        <f>IF(Table1[[#This Row],[Electricity or Natural Gas?]]=Table1[[#This Row],[Cost of Natural Gas]],-Table1[[#This Row],[Cost of Natural Gas]],Table1[[#This Row],[Cost of Electricity]])</f>
        <v>-14.260483837844472</v>
      </c>
      <c r="U3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0.71302419189222355</v>
      </c>
      <c r="V3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37.702559167162022</v>
      </c>
      <c r="W33" s="55">
        <f>Table1[[#This Row],[kWh]]*'Conversion Factors'!$D$6*'Conversion Factors'!$C$9</f>
        <v>42.778272217688468</v>
      </c>
      <c r="X33" s="55">
        <f>IF(Table1[[#This Row],[Temperature]]&lt;='HP Calcs'!$D$4,(Table1[[#This Row],[Annual Heating/Cooling Load (btu/year)]])/'HP Calcs'!$B$53*'Conversion Factors'!$M$4*'Conversion Factors'!$C$27,0)</f>
        <v>37.702559167162022</v>
      </c>
      <c r="Y33" s="55">
        <f>IF(MIN(Table1[[#This Row],[Electricity Emissions]:[Natural Gas Emissions ]])=0,MAX(Table1[[#This Row],[Electricity Emissions]:[Natural Gas Emissions ]]),MIN(Table1[[#This Row],[Electricity Emissions]:[Natural Gas Emissions ]]))</f>
        <v>37.702559167162022</v>
      </c>
      <c r="Z33" s="55">
        <f>IF(Table1[[#This Row],[Electricity or Natural Gas?2]]=Table1[[#This Row],[Natural Gas Emissions ]],-Table1[[#This Row],[Natural Gas Emissions ]],Table1[[#This Row],[Electricity Emissions]])</f>
        <v>-37.702559167162022</v>
      </c>
      <c r="AA33" s="55" t="str">
        <f>IF(Table1[[#This Row],[Fuel Selector (Cost)]]&lt;0,"NG","Elec")</f>
        <v>NG</v>
      </c>
      <c r="AB33" s="337"/>
      <c r="AC33" s="7">
        <v>2022</v>
      </c>
      <c r="AD33" s="7">
        <v>1</v>
      </c>
      <c r="AE33" s="7">
        <v>2</v>
      </c>
      <c r="AF33" s="8">
        <v>0.29166666666666669</v>
      </c>
      <c r="AG33" s="9">
        <v>-2.1</v>
      </c>
      <c r="AH33" s="10">
        <f t="shared" si="6"/>
        <v>-2</v>
      </c>
    </row>
    <row r="34" spans="1:34" ht="15.75" customHeight="1" x14ac:dyDescent="0.35">
      <c r="A34">
        <v>33</v>
      </c>
      <c r="B34" s="48">
        <f>IFERROR(IF(H34&lt;'HP Calcs'!$D$4,$K34-$M34,0),0)</f>
        <v>-11796.909657993605</v>
      </c>
      <c r="C34" s="48">
        <f t="shared" ref="C34:C65" si="7">K34-N34</f>
        <v>-19746.909657993605</v>
      </c>
      <c r="D34" s="48">
        <f t="shared" ref="D34:D65" si="8">IFERROR((K34/N34)*P34*G34,0)</f>
        <v>84.931197278239921</v>
      </c>
      <c r="E34" s="48">
        <f>IFERROR(IF(H34&gt;'HP Calcs'!$D$5,IF(AND(K34&gt;M34,K34&lt;N34,H34&gt;'HP Calcs'!$D$5),J34,0),IF(AND(K34&gt;M34,K34&lt;N34,H34&lt;'HP Calcs'!$D$4),J34,0)),0)</f>
        <v>0</v>
      </c>
      <c r="F34" s="48">
        <f>IFERROR(IF(H34&gt;'HP Calcs'!$D$5,IF(AND(K34&lt;M34,H34&gt;'HP Calcs'!$D$5),J34,0),IF(AND(K34&lt;M34,H34&lt;'HP Calcs'!$D$4),J34,0)),0)</f>
        <v>278</v>
      </c>
      <c r="G34" s="48">
        <f t="shared" si="4"/>
        <v>278</v>
      </c>
      <c r="H34" s="48">
        <v>0</v>
      </c>
      <c r="I34" s="49">
        <f>IFERROR(VLOOKUP(H34,'HP Calcs'!$D$26:$T$33,2),0)</f>
        <v>3</v>
      </c>
      <c r="J34" s="48">
        <f t="shared" ref="J34:J65" si="9">COUNTIF($AH$2:$AH$8761,H34)</f>
        <v>278</v>
      </c>
      <c r="K34" s="49">
        <f>IF(H34&lt;'HP Calcs'!$D$4,MAX(_xlfn.FORECAST.LINEAR(H34,'HP Calcs'!$E$3:$E$4,'HP Calcs'!$D$3:$D$4),0),MAX(_xlfn.FORECAST.LINEAR(H34,'HP Calcs'!$E$5:$E$6,'HP Calcs'!$D$5:$D$6),0))</f>
        <v>2853.0903420063951</v>
      </c>
      <c r="L34" s="48">
        <f t="shared" ref="L34:L65" si="10">J34*K34</f>
        <v>793159.11507777788</v>
      </c>
      <c r="M34" s="49">
        <f>IFERROR(IF(ISNUMBER(MATCH(H34,'HP Calcs'!$D$28:$D$33,0)),VLOOKUP(H34,'HP Calcs'!$D$28:$R$33,3,FALSE),INDEX('HP Calcs'!$F$28:$F$33,MATCH(I34,'HP Calcs'!$E$28:$E$33,0))+(INDEX('HP Calcs'!$G$28:$G$33,MATCH(I34,'HP Calcs'!$E$28:$E$33,0))*(H34-(INDEX('HP Calcs'!$D$28:$D$33,MATCH(I34,'HP Calcs'!$E$28:$E$33,0)))))),0)</f>
        <v>14650</v>
      </c>
      <c r="N34" s="49">
        <f>IFERROR(IF(ISNUMBER(MATCH(H34,'HP Calcs'!$D$28:$D$33,0)),VLOOKUP(H34,'HP Calcs'!$D$28:$R$33,5,FALSE),INDEX('HP Calcs'!$H$28:$H$33,MATCH(I34,'HP Calcs'!$E$28:$E$33,0))+(INDEX('HP Calcs'!$I$28:$I$33,MATCH(I34,'HP Calcs'!$E$28:$E$33,0))*(H34-(INDEX('HP Calcs'!$D$28:$D$33,MATCH(I34,'HP Calcs'!$E$28:$E$33,0)))))),0)</f>
        <v>22600</v>
      </c>
      <c r="O34" s="55">
        <f>IFERROR(IF(ISNUMBER(MATCH($H34,'HP Calcs'!$D$28:$D$33,0)),VLOOKUP($H34,'HP Calcs'!$D$28:$R$33,7,FALSE),INDEX('HP Calcs'!J$28:J$33,MATCH($I34,'HP Calcs'!$E$28:$E$33,0))+(INDEX('HP Calcs'!K$28:K$33,MATCH($I34,'HP Calcs'!$E$28:$E$33,0))*($H34-(INDEX('HP Calcs'!$D$28:$D$33,MATCH($I34,'HP Calcs'!$E$28:$E$33,0)))))),0)</f>
        <v>1.79</v>
      </c>
      <c r="P34" s="55">
        <f>IFERROR(IF(ISNUMBER(MATCH($H34,'HP Calcs'!$D$28:$D$33,0)),VLOOKUP($H34,'HP Calcs'!$D$28:$R$33,9,FALSE),INDEX('HP Calcs'!L$28:L$33,MATCH($I34,'HP Calcs'!$E$28:$E$33,0))+(INDEX('HP Calcs'!M$28:M$33,MATCH($I34,'HP Calcs'!$E$28:$E$33,0))*($H34-(INDEX('HP Calcs'!$D$28:$D$33,MATCH($I34,'HP Calcs'!$E$28:$E$33,0)))))),0)</f>
        <v>2.42</v>
      </c>
      <c r="Q34" s="331">
        <f>Table1[[#This Row],[kWh]]*'Conversion Factors'!$N$21</f>
        <v>25.479359183471974</v>
      </c>
      <c r="R34" s="334">
        <f>IF(Table1[[#This Row],[Temperature]]&lt;='HP Calcs'!$D$4,(Table1[[#This Row],[Annual Heating/Cooling Load (btu/year)]]*'Conversion Factors'!$M$4)/'HP Calcs'!$B$53*'Conversion Factors'!$N$20,"")</f>
        <v>17.254236205236296</v>
      </c>
      <c r="S34" s="334">
        <f>IF(MIN(Table1[[#This Row],[Cost of Electricity]:[Cost of Natural Gas]])=0,MAX(Table1[[#This Row],[Cost of Electricity]:[Cost of Natural Gas]]),MIN(Table1[[#This Row],[Cost of Electricity]:[Cost of Natural Gas]]))</f>
        <v>17.254236205236296</v>
      </c>
      <c r="T34" s="334">
        <f>IF(Table1[[#This Row],[Electricity or Natural Gas?]]=Table1[[#This Row],[Cost of Natural Gas]],-Table1[[#This Row],[Cost of Natural Gas]],Table1[[#This Row],[Cost of Electricity]])</f>
        <v>-17.254236205236296</v>
      </c>
      <c r="U3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0.86271181026181487</v>
      </c>
      <c r="V3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45.617586949310741</v>
      </c>
      <c r="W34" s="55">
        <f>Table1[[#This Row],[kWh]]*'Conversion Factors'!$D$6*'Conversion Factors'!$C$9</f>
        <v>50.10940639416156</v>
      </c>
      <c r="X34" s="55">
        <f>IF(Table1[[#This Row],[Temperature]]&lt;='HP Calcs'!$D$4,(Table1[[#This Row],[Annual Heating/Cooling Load (btu/year)]])/'HP Calcs'!$B$53*'Conversion Factors'!$M$4*'Conversion Factors'!$C$27,0)</f>
        <v>45.617586949310741</v>
      </c>
      <c r="Y34" s="55">
        <f>IF(MIN(Table1[[#This Row],[Electricity Emissions]:[Natural Gas Emissions ]])=0,MAX(Table1[[#This Row],[Electricity Emissions]:[Natural Gas Emissions ]]),MIN(Table1[[#This Row],[Electricity Emissions]:[Natural Gas Emissions ]]))</f>
        <v>45.617586949310741</v>
      </c>
      <c r="Z34" s="55">
        <f>IF(Table1[[#This Row],[Electricity or Natural Gas?2]]=Table1[[#This Row],[Natural Gas Emissions ]],-Table1[[#This Row],[Natural Gas Emissions ]],Table1[[#This Row],[Electricity Emissions]])</f>
        <v>-45.617586949310741</v>
      </c>
      <c r="AA34" s="55" t="str">
        <f>IF(Table1[[#This Row],[Fuel Selector (Cost)]]&lt;0,"NG","Elec")</f>
        <v>NG</v>
      </c>
      <c r="AB34" s="337"/>
      <c r="AC34" s="7">
        <v>2022</v>
      </c>
      <c r="AD34" s="7">
        <v>1</v>
      </c>
      <c r="AE34" s="7">
        <v>2</v>
      </c>
      <c r="AF34" s="8">
        <v>0.33333333333333331</v>
      </c>
      <c r="AG34" s="9">
        <v>-1.8</v>
      </c>
      <c r="AH34" s="10">
        <f t="shared" si="6"/>
        <v>-2</v>
      </c>
    </row>
    <row r="35" spans="1:34" ht="15.75" customHeight="1" x14ac:dyDescent="0.35">
      <c r="A35">
        <v>34</v>
      </c>
      <c r="B35" s="48">
        <f>IFERROR(IF(H35&lt;'HP Calcs'!$D$4,$K35-$M35,0),0)</f>
        <v>-10820.988501641041</v>
      </c>
      <c r="C35" s="48">
        <f t="shared" si="7"/>
        <v>-19764.738501641041</v>
      </c>
      <c r="D35" s="48">
        <f t="shared" si="8"/>
        <v>83.661594585759545</v>
      </c>
      <c r="E35" s="48">
        <f>IFERROR(IF(H35&gt;'HP Calcs'!$D$5,IF(AND(K35&gt;M35,K35&lt;N35,H35&gt;'HP Calcs'!$D$5),J35,0),IF(AND(K35&gt;M35,K35&lt;N35,H35&lt;'HP Calcs'!$D$4),J35,0)),0)</f>
        <v>0</v>
      </c>
      <c r="F35" s="48">
        <f>IFERROR(IF(H35&gt;'HP Calcs'!$D$5,IF(AND(K35&lt;M35,H35&gt;'HP Calcs'!$D$5),J35,0),IF(AND(K35&lt;M35,H35&lt;'HP Calcs'!$D$4),J35,0)),0)</f>
        <v>301</v>
      </c>
      <c r="G35" s="48">
        <f t="shared" si="4"/>
        <v>301</v>
      </c>
      <c r="H35" s="48">
        <v>1</v>
      </c>
      <c r="I35" s="49">
        <f>IFERROR(VLOOKUP(H35,'HP Calcs'!$D$26:$T$33,2),0)</f>
        <v>3</v>
      </c>
      <c r="J35" s="48">
        <f t="shared" si="9"/>
        <v>301</v>
      </c>
      <c r="K35" s="49">
        <f>IF(H35&lt;'HP Calcs'!$D$4,MAX(_xlfn.FORECAST.LINEAR(H35,'HP Calcs'!$E$3:$E$4,'HP Calcs'!$D$3:$D$4),0),MAX(_xlfn.FORECAST.LINEAR(H35,'HP Calcs'!$E$5:$E$6,'HP Calcs'!$D$5:$D$6),0))</f>
        <v>2685.2614983589601</v>
      </c>
      <c r="L35" s="48">
        <f t="shared" si="10"/>
        <v>808263.71100604697</v>
      </c>
      <c r="M35" s="49">
        <f>IFERROR(IF(ISNUMBER(MATCH(H35,'HP Calcs'!$D$28:$D$33,0)),VLOOKUP(H35,'HP Calcs'!$D$28:$R$33,3,FALSE),INDEX('HP Calcs'!$F$28:$F$33,MATCH(I35,'HP Calcs'!$E$28:$E$33,0))+(INDEX('HP Calcs'!$G$28:$G$33,MATCH(I35,'HP Calcs'!$E$28:$E$33,0))*(H35-(INDEX('HP Calcs'!$D$28:$D$33,MATCH(I35,'HP Calcs'!$E$28:$E$33,0)))))),0)</f>
        <v>13506.25</v>
      </c>
      <c r="N35" s="49">
        <f>IFERROR(IF(ISNUMBER(MATCH(H35,'HP Calcs'!$D$28:$D$33,0)),VLOOKUP(H35,'HP Calcs'!$D$28:$R$33,5,FALSE),INDEX('HP Calcs'!$H$28:$H$33,MATCH(I35,'HP Calcs'!$E$28:$E$33,0))+(INDEX('HP Calcs'!$I$28:$I$33,MATCH(I35,'HP Calcs'!$E$28:$E$33,0))*(H35-(INDEX('HP Calcs'!$D$28:$D$33,MATCH(I35,'HP Calcs'!$E$28:$E$33,0)))))),0)</f>
        <v>22450</v>
      </c>
      <c r="O35" s="55">
        <f>IFERROR(IF(ISNUMBER(MATCH($H35,'HP Calcs'!$D$28:$D$33,0)),VLOOKUP($H35,'HP Calcs'!$D$28:$R$33,7,FALSE),INDEX('HP Calcs'!J$28:J$33,MATCH($I35,'HP Calcs'!$E$28:$E$33,0))+(INDEX('HP Calcs'!K$28:K$33,MATCH($I35,'HP Calcs'!$E$28:$E$33,0))*($H35-(INDEX('HP Calcs'!$D$28:$D$33,MATCH($I35,'HP Calcs'!$E$28:$E$33,0)))))),0)</f>
        <v>1.615</v>
      </c>
      <c r="P35" s="55">
        <f>IFERROR(IF(ISNUMBER(MATCH($H35,'HP Calcs'!$D$28:$D$33,0)),VLOOKUP($H35,'HP Calcs'!$D$28:$R$33,9,FALSE),INDEX('HP Calcs'!L$28:L$33,MATCH($I35,'HP Calcs'!$E$28:$E$33,0))+(INDEX('HP Calcs'!M$28:M$33,MATCH($I35,'HP Calcs'!$E$28:$E$33,0))*($H35-(INDEX('HP Calcs'!$D$28:$D$33,MATCH($I35,'HP Calcs'!$E$28:$E$33,0)))))),0)</f>
        <v>2.32375</v>
      </c>
      <c r="Q35" s="331">
        <f>Table1[[#This Row],[kWh]]*'Conversion Factors'!$N$21</f>
        <v>25.098478375727861</v>
      </c>
      <c r="R35" s="334">
        <f>IF(Table1[[#This Row],[Temperature]]&lt;='HP Calcs'!$D$4,(Table1[[#This Row],[Annual Heating/Cooling Load (btu/year)]]*'Conversion Factors'!$M$4)/'HP Calcs'!$B$53*'Conversion Factors'!$N$20,"")</f>
        <v>17.582818782145154</v>
      </c>
      <c r="S35" s="334">
        <f>IF(MIN(Table1[[#This Row],[Cost of Electricity]:[Cost of Natural Gas]])=0,MAX(Table1[[#This Row],[Cost of Electricity]:[Cost of Natural Gas]]),MIN(Table1[[#This Row],[Cost of Electricity]:[Cost of Natural Gas]]))</f>
        <v>17.582818782145154</v>
      </c>
      <c r="T35" s="334">
        <f>IF(Table1[[#This Row],[Electricity or Natural Gas?]]=Table1[[#This Row],[Cost of Natural Gas]],-Table1[[#This Row],[Cost of Natural Gas]],Table1[[#This Row],[Cost of Electricity]])</f>
        <v>-17.582818782145154</v>
      </c>
      <c r="U3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0.87914093910725766</v>
      </c>
      <c r="V3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46.486309510766077</v>
      </c>
      <c r="W35" s="55">
        <f>Table1[[#This Row],[kWh]]*'Conversion Factors'!$D$6*'Conversion Factors'!$C$9</f>
        <v>49.360340805598142</v>
      </c>
      <c r="X35" s="55">
        <f>IF(Table1[[#This Row],[Temperature]]&lt;='HP Calcs'!$D$4,(Table1[[#This Row],[Annual Heating/Cooling Load (btu/year)]])/'HP Calcs'!$B$53*'Conversion Factors'!$M$4*'Conversion Factors'!$C$27,0)</f>
        <v>46.486309510766077</v>
      </c>
      <c r="Y35" s="55">
        <f>IF(MIN(Table1[[#This Row],[Electricity Emissions]:[Natural Gas Emissions ]])=0,MAX(Table1[[#This Row],[Electricity Emissions]:[Natural Gas Emissions ]]),MIN(Table1[[#This Row],[Electricity Emissions]:[Natural Gas Emissions ]]))</f>
        <v>46.486309510766077</v>
      </c>
      <c r="Z35" s="55">
        <f>IF(Table1[[#This Row],[Electricity or Natural Gas?2]]=Table1[[#This Row],[Natural Gas Emissions ]],-Table1[[#This Row],[Natural Gas Emissions ]],Table1[[#This Row],[Electricity Emissions]])</f>
        <v>-46.486309510766077</v>
      </c>
      <c r="AA35" s="55" t="str">
        <f>IF(Table1[[#This Row],[Fuel Selector (Cost)]]&lt;0,"NG","Elec")</f>
        <v>NG</v>
      </c>
      <c r="AB35" s="337"/>
      <c r="AC35" s="7">
        <v>2022</v>
      </c>
      <c r="AD35" s="7">
        <v>1</v>
      </c>
      <c r="AE35" s="7">
        <v>2</v>
      </c>
      <c r="AF35" s="8">
        <v>0.375</v>
      </c>
      <c r="AG35" s="9">
        <v>-0.7</v>
      </c>
      <c r="AH35" s="10">
        <f t="shared" si="6"/>
        <v>-1</v>
      </c>
    </row>
    <row r="36" spans="1:34" ht="15.75" customHeight="1" x14ac:dyDescent="0.35">
      <c r="A36">
        <v>35</v>
      </c>
      <c r="B36" s="48">
        <f>IFERROR(IF(H36&lt;'HP Calcs'!$D$4,$K36-$M36,0),0)</f>
        <v>-9845.0673452884748</v>
      </c>
      <c r="C36" s="48">
        <f t="shared" si="7"/>
        <v>-19782.567345288473</v>
      </c>
      <c r="D36" s="48">
        <f t="shared" si="8"/>
        <v>63.116721561921544</v>
      </c>
      <c r="E36" s="48">
        <f>IFERROR(IF(H36&gt;'HP Calcs'!$D$5,IF(AND(K36&gt;M36,K36&lt;N36,H36&gt;'HP Calcs'!$D$5),J36,0),IF(AND(K36&gt;M36,K36&lt;N36,H36&lt;'HP Calcs'!$D$4),J36,0)),0)</f>
        <v>0</v>
      </c>
      <c r="F36" s="48">
        <f>IFERROR(IF(H36&gt;'HP Calcs'!$D$5,IF(AND(K36&lt;M36,H36&gt;'HP Calcs'!$D$5),J36,0),IF(AND(K36&lt;M36,H36&lt;'HP Calcs'!$D$4),J36,0)),0)</f>
        <v>251</v>
      </c>
      <c r="G36" s="48">
        <f t="shared" si="4"/>
        <v>251</v>
      </c>
      <c r="H36" s="48">
        <v>2</v>
      </c>
      <c r="I36" s="49">
        <f>IFERROR(VLOOKUP(H36,'HP Calcs'!$D$26:$T$33,2),0)</f>
        <v>3</v>
      </c>
      <c r="J36" s="48">
        <f t="shared" si="9"/>
        <v>251</v>
      </c>
      <c r="K36" s="49">
        <f>IF(H36&lt;'HP Calcs'!$D$4,MAX(_xlfn.FORECAST.LINEAR(H36,'HP Calcs'!$E$3:$E$4,'HP Calcs'!$D$3:$D$4),0),MAX(_xlfn.FORECAST.LINEAR(H36,'HP Calcs'!$E$5:$E$6,'HP Calcs'!$D$5:$D$6),0))</f>
        <v>2517.4326547115252</v>
      </c>
      <c r="L36" s="48">
        <f t="shared" si="10"/>
        <v>631875.59633259277</v>
      </c>
      <c r="M36" s="49">
        <f>IFERROR(IF(ISNUMBER(MATCH(H36,'HP Calcs'!$D$28:$D$33,0)),VLOOKUP(H36,'HP Calcs'!$D$28:$R$33,3,FALSE),INDEX('HP Calcs'!$F$28:$F$33,MATCH(I36,'HP Calcs'!$E$28:$E$33,0))+(INDEX('HP Calcs'!$G$28:$G$33,MATCH(I36,'HP Calcs'!$E$28:$E$33,0))*(H36-(INDEX('HP Calcs'!$D$28:$D$33,MATCH(I36,'HP Calcs'!$E$28:$E$33,0)))))),0)</f>
        <v>12362.5</v>
      </c>
      <c r="N36" s="49">
        <f>IFERROR(IF(ISNUMBER(MATCH(H36,'HP Calcs'!$D$28:$D$33,0)),VLOOKUP(H36,'HP Calcs'!$D$28:$R$33,5,FALSE),INDEX('HP Calcs'!$H$28:$H$33,MATCH(I36,'HP Calcs'!$E$28:$E$33,0))+(INDEX('HP Calcs'!$I$28:$I$33,MATCH(I36,'HP Calcs'!$E$28:$E$33,0))*(H36-(INDEX('HP Calcs'!$D$28:$D$33,MATCH(I36,'HP Calcs'!$E$28:$E$33,0)))))),0)</f>
        <v>22300</v>
      </c>
      <c r="O36" s="55">
        <f>IFERROR(IF(ISNUMBER(MATCH($H36,'HP Calcs'!$D$28:$D$33,0)),VLOOKUP($H36,'HP Calcs'!$D$28:$R$33,7,FALSE),INDEX('HP Calcs'!J$28:J$33,MATCH($I36,'HP Calcs'!$E$28:$E$33,0))+(INDEX('HP Calcs'!K$28:K$33,MATCH($I36,'HP Calcs'!$E$28:$E$33,0))*($H36-(INDEX('HP Calcs'!$D$28:$D$33,MATCH($I36,'HP Calcs'!$E$28:$E$33,0)))))),0)</f>
        <v>1.44</v>
      </c>
      <c r="P36" s="55">
        <f>IFERROR(IF(ISNUMBER(MATCH($H36,'HP Calcs'!$D$28:$D$33,0)),VLOOKUP($H36,'HP Calcs'!$D$28:$R$33,9,FALSE),INDEX('HP Calcs'!L$28:L$33,MATCH($I36,'HP Calcs'!$E$28:$E$33,0))+(INDEX('HP Calcs'!M$28:M$33,MATCH($I36,'HP Calcs'!$E$28:$E$33,0))*($H36-(INDEX('HP Calcs'!$D$28:$D$33,MATCH($I36,'HP Calcs'!$E$28:$E$33,0)))))),0)</f>
        <v>2.2275</v>
      </c>
      <c r="Q36" s="331">
        <f>Table1[[#This Row],[kWh]]*'Conversion Factors'!$N$21</f>
        <v>18.935016468576464</v>
      </c>
      <c r="R36" s="334">
        <f>IF(Table1[[#This Row],[Temperature]]&lt;='HP Calcs'!$D$4,(Table1[[#This Row],[Annual Heating/Cooling Load (btu/year)]]*'Conversion Factors'!$M$4)/'HP Calcs'!$B$53*'Conversion Factors'!$N$20,"")</f>
        <v>13.745704467353923</v>
      </c>
      <c r="S36" s="334">
        <f>IF(MIN(Table1[[#This Row],[Cost of Electricity]:[Cost of Natural Gas]])=0,MAX(Table1[[#This Row],[Cost of Electricity]:[Cost of Natural Gas]]),MIN(Table1[[#This Row],[Cost of Electricity]:[Cost of Natural Gas]]))</f>
        <v>13.745704467353923</v>
      </c>
      <c r="T36" s="334">
        <f>IF(Table1[[#This Row],[Electricity or Natural Gas?]]=Table1[[#This Row],[Cost of Natural Gas]],-Table1[[#This Row],[Cost of Natural Gas]],Table1[[#This Row],[Cost of Electricity]])</f>
        <v>-13.745704467353923</v>
      </c>
      <c r="U3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0.68728522336769626</v>
      </c>
      <c r="V3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36.341560487548648</v>
      </c>
      <c r="W36" s="55">
        <f>Table1[[#This Row],[kWh]]*'Conversion Factors'!$D$6*'Conversion Factors'!$C$9</f>
        <v>37.23886572153372</v>
      </c>
      <c r="X36" s="55">
        <f>IF(Table1[[#This Row],[Temperature]]&lt;='HP Calcs'!$D$4,(Table1[[#This Row],[Annual Heating/Cooling Load (btu/year)]])/'HP Calcs'!$B$53*'Conversion Factors'!$M$4*'Conversion Factors'!$C$27,0)</f>
        <v>36.341560487548648</v>
      </c>
      <c r="Y36" s="55">
        <f>IF(MIN(Table1[[#This Row],[Electricity Emissions]:[Natural Gas Emissions ]])=0,MAX(Table1[[#This Row],[Electricity Emissions]:[Natural Gas Emissions ]]),MIN(Table1[[#This Row],[Electricity Emissions]:[Natural Gas Emissions ]]))</f>
        <v>36.341560487548648</v>
      </c>
      <c r="Z36" s="55">
        <f>IF(Table1[[#This Row],[Electricity or Natural Gas?2]]=Table1[[#This Row],[Natural Gas Emissions ]],-Table1[[#This Row],[Natural Gas Emissions ]],Table1[[#This Row],[Electricity Emissions]])</f>
        <v>-36.341560487548648</v>
      </c>
      <c r="AA36" s="55" t="str">
        <f>IF(Table1[[#This Row],[Fuel Selector (Cost)]]&lt;0,"NG","Elec")</f>
        <v>NG</v>
      </c>
      <c r="AB36" s="337"/>
      <c r="AC36" s="7">
        <v>2022</v>
      </c>
      <c r="AD36" s="7">
        <v>1</v>
      </c>
      <c r="AE36" s="7">
        <v>2</v>
      </c>
      <c r="AF36" s="8">
        <v>0.41666666666666669</v>
      </c>
      <c r="AG36" s="9">
        <v>-0.4</v>
      </c>
      <c r="AH36" s="10">
        <f t="shared" si="6"/>
        <v>0</v>
      </c>
    </row>
    <row r="37" spans="1:34" ht="15.75" customHeight="1" x14ac:dyDescent="0.35">
      <c r="A37">
        <v>36</v>
      </c>
      <c r="B37" s="48">
        <f>IFERROR(IF(H37&lt;'HP Calcs'!$D$4,$K37-$M37,0),0)</f>
        <v>-8869.1461889359089</v>
      </c>
      <c r="C37" s="48">
        <f t="shared" si="7"/>
        <v>-19800.396188935909</v>
      </c>
      <c r="D37" s="48">
        <f t="shared" si="8"/>
        <v>58.327721244299241</v>
      </c>
      <c r="E37" s="48">
        <f>IFERROR(IF(H37&gt;'HP Calcs'!$D$5,IF(AND(K37&gt;M37,K37&lt;N37,H37&gt;'HP Calcs'!$D$5),J37,0),IF(AND(K37&gt;M37,K37&lt;N37,H37&lt;'HP Calcs'!$D$4),J37,0)),0)</f>
        <v>0</v>
      </c>
      <c r="F37" s="48">
        <f>IFERROR(IF(H37&gt;'HP Calcs'!$D$5,IF(AND(K37&lt;M37,H37&gt;'HP Calcs'!$D$5),J37,0),IF(AND(K37&lt;M37,H37&lt;'HP Calcs'!$D$4),J37,0)),0)</f>
        <v>258</v>
      </c>
      <c r="G37" s="48">
        <f t="shared" si="4"/>
        <v>258</v>
      </c>
      <c r="H37" s="48">
        <v>3</v>
      </c>
      <c r="I37" s="49">
        <f>IFERROR(VLOOKUP(H37,'HP Calcs'!$D$26:$T$33,2),0)</f>
        <v>3</v>
      </c>
      <c r="J37" s="48">
        <f t="shared" si="9"/>
        <v>258</v>
      </c>
      <c r="K37" s="49">
        <f>IF(H37&lt;'HP Calcs'!$D$4,MAX(_xlfn.FORECAST.LINEAR(H37,'HP Calcs'!$E$3:$E$4,'HP Calcs'!$D$3:$D$4),0),MAX(_xlfn.FORECAST.LINEAR(H37,'HP Calcs'!$E$5:$E$6,'HP Calcs'!$D$5:$D$6),0))</f>
        <v>2349.6038110640902</v>
      </c>
      <c r="L37" s="48">
        <f t="shared" si="10"/>
        <v>606197.78325453529</v>
      </c>
      <c r="M37" s="49">
        <f>IFERROR(IF(ISNUMBER(MATCH(H37,'HP Calcs'!$D$28:$D$33,0)),VLOOKUP(H37,'HP Calcs'!$D$28:$R$33,3,FALSE),INDEX('HP Calcs'!$F$28:$F$33,MATCH(I37,'HP Calcs'!$E$28:$E$33,0))+(INDEX('HP Calcs'!$G$28:$G$33,MATCH(I37,'HP Calcs'!$E$28:$E$33,0))*(H37-(INDEX('HP Calcs'!$D$28:$D$33,MATCH(I37,'HP Calcs'!$E$28:$E$33,0)))))),0)</f>
        <v>11218.75</v>
      </c>
      <c r="N37" s="49">
        <f>IFERROR(IF(ISNUMBER(MATCH(H37,'HP Calcs'!$D$28:$D$33,0)),VLOOKUP(H37,'HP Calcs'!$D$28:$R$33,5,FALSE),INDEX('HP Calcs'!$H$28:$H$33,MATCH(I37,'HP Calcs'!$E$28:$E$33,0))+(INDEX('HP Calcs'!$I$28:$I$33,MATCH(I37,'HP Calcs'!$E$28:$E$33,0))*(H37-(INDEX('HP Calcs'!$D$28:$D$33,MATCH(I37,'HP Calcs'!$E$28:$E$33,0)))))),0)</f>
        <v>22150</v>
      </c>
      <c r="O37" s="55">
        <f>IFERROR(IF(ISNUMBER(MATCH($H37,'HP Calcs'!$D$28:$D$33,0)),VLOOKUP($H37,'HP Calcs'!$D$28:$R$33,7,FALSE),INDEX('HP Calcs'!J$28:J$33,MATCH($I37,'HP Calcs'!$E$28:$E$33,0))+(INDEX('HP Calcs'!K$28:K$33,MATCH($I37,'HP Calcs'!$E$28:$E$33,0))*($H37-(INDEX('HP Calcs'!$D$28:$D$33,MATCH($I37,'HP Calcs'!$E$28:$E$33,0)))))),0)</f>
        <v>1.2650000000000001</v>
      </c>
      <c r="P37" s="55">
        <f>IFERROR(IF(ISNUMBER(MATCH($H37,'HP Calcs'!$D$28:$D$33,0)),VLOOKUP($H37,'HP Calcs'!$D$28:$R$33,9,FALSE),INDEX('HP Calcs'!L$28:L$33,MATCH($I37,'HP Calcs'!$E$28:$E$33,0))+(INDEX('HP Calcs'!M$28:M$33,MATCH($I37,'HP Calcs'!$E$28:$E$33,0))*($H37-(INDEX('HP Calcs'!$D$28:$D$33,MATCH($I37,'HP Calcs'!$E$28:$E$33,0)))))),0)</f>
        <v>2.1312499999999996</v>
      </c>
      <c r="Q37" s="331">
        <f>Table1[[#This Row],[kWh]]*'Conversion Factors'!$N$21</f>
        <v>17.498316373289772</v>
      </c>
      <c r="R37" s="334">
        <f>IF(Table1[[#This Row],[Temperature]]&lt;='HP Calcs'!$D$4,(Table1[[#This Row],[Annual Heating/Cooling Load (btu/year)]]*'Conversion Factors'!$M$4)/'HP Calcs'!$B$53*'Conversion Factors'!$N$20,"")</f>
        <v>13.187114086608867</v>
      </c>
      <c r="S37" s="334">
        <f>IF(MIN(Table1[[#This Row],[Cost of Electricity]:[Cost of Natural Gas]])=0,MAX(Table1[[#This Row],[Cost of Electricity]:[Cost of Natural Gas]]),MIN(Table1[[#This Row],[Cost of Electricity]:[Cost of Natural Gas]]))</f>
        <v>13.187114086608867</v>
      </c>
      <c r="T37" s="334">
        <f>IF(Table1[[#This Row],[Electricity or Natural Gas?]]=Table1[[#This Row],[Cost of Natural Gas]],-Table1[[#This Row],[Cost of Natural Gas]],Table1[[#This Row],[Cost of Electricity]])</f>
        <v>-13.187114086608867</v>
      </c>
      <c r="U3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0.65935570433044333</v>
      </c>
      <c r="V3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34.864732133074561</v>
      </c>
      <c r="W37" s="55">
        <f>Table1[[#This Row],[kWh]]*'Conversion Factors'!$D$6*'Conversion Factors'!$C$9</f>
        <v>34.413355534136556</v>
      </c>
      <c r="X37" s="55">
        <f>IF(Table1[[#This Row],[Temperature]]&lt;='HP Calcs'!$D$4,(Table1[[#This Row],[Annual Heating/Cooling Load (btu/year)]])/'HP Calcs'!$B$53*'Conversion Factors'!$M$4*'Conversion Factors'!$C$27,0)</f>
        <v>34.864732133074561</v>
      </c>
      <c r="Y37" s="55">
        <f>IF(MIN(Table1[[#This Row],[Electricity Emissions]:[Natural Gas Emissions ]])=0,MAX(Table1[[#This Row],[Electricity Emissions]:[Natural Gas Emissions ]]),MIN(Table1[[#This Row],[Electricity Emissions]:[Natural Gas Emissions ]]))</f>
        <v>34.413355534136556</v>
      </c>
      <c r="Z37" s="55">
        <f>IF(Table1[[#This Row],[Electricity or Natural Gas?2]]=Table1[[#This Row],[Natural Gas Emissions ]],-Table1[[#This Row],[Natural Gas Emissions ]],Table1[[#This Row],[Electricity Emissions]])</f>
        <v>34.413355534136556</v>
      </c>
      <c r="AA37" s="55" t="str">
        <f>IF(Table1[[#This Row],[Fuel Selector (Cost)]]&lt;0,"NG","Elec")</f>
        <v>NG</v>
      </c>
      <c r="AB37" s="337"/>
      <c r="AC37" s="7">
        <v>2022</v>
      </c>
      <c r="AD37" s="7">
        <v>1</v>
      </c>
      <c r="AE37" s="7">
        <v>2</v>
      </c>
      <c r="AF37" s="8">
        <v>0.45833333333333331</v>
      </c>
      <c r="AG37" s="9">
        <v>0</v>
      </c>
      <c r="AH37" s="10">
        <f t="shared" si="6"/>
        <v>0</v>
      </c>
    </row>
    <row r="38" spans="1:34" ht="14.5" x14ac:dyDescent="0.35">
      <c r="A38">
        <v>37</v>
      </c>
      <c r="B38" s="48">
        <f>IFERROR(IF(H38&lt;'HP Calcs'!$D$4,$K38-$M38,0),0)</f>
        <v>-7893.2250325833447</v>
      </c>
      <c r="C38" s="48">
        <f t="shared" si="7"/>
        <v>-19818.225032583345</v>
      </c>
      <c r="D38" s="48">
        <f t="shared" si="8"/>
        <v>50.049917752538072</v>
      </c>
      <c r="E38" s="48">
        <f>IFERROR(IF(H38&gt;'HP Calcs'!$D$5,IF(AND(K38&gt;M38,K38&lt;N38,H38&gt;'HP Calcs'!$D$5),J38,0),IF(AND(K38&gt;M38,K38&lt;N38,H38&lt;'HP Calcs'!$D$4),J38,0)),0)</f>
        <v>0</v>
      </c>
      <c r="F38" s="48">
        <f>IFERROR(IF(H38&gt;'HP Calcs'!$D$5,IF(AND(K38&lt;M38,H38&gt;'HP Calcs'!$D$5),J38,0),IF(AND(K38&lt;M38,H38&lt;'HP Calcs'!$D$4),J38,0)),0)</f>
        <v>248</v>
      </c>
      <c r="G38" s="48">
        <f t="shared" si="4"/>
        <v>248</v>
      </c>
      <c r="H38" s="48">
        <v>4</v>
      </c>
      <c r="I38" s="49">
        <f>IFERROR(VLOOKUP(H38,'HP Calcs'!$D$26:$T$33,2),0)</f>
        <v>3</v>
      </c>
      <c r="J38" s="48">
        <f t="shared" si="9"/>
        <v>248</v>
      </c>
      <c r="K38" s="49">
        <f>IF(H38&lt;'HP Calcs'!$D$4,MAX(_xlfn.FORECAST.LINEAR(H38,'HP Calcs'!$E$3:$E$4,'HP Calcs'!$D$3:$D$4),0),MAX(_xlfn.FORECAST.LINEAR(H38,'HP Calcs'!$E$5:$E$6,'HP Calcs'!$D$5:$D$6),0))</f>
        <v>2181.7749674166548</v>
      </c>
      <c r="L38" s="48">
        <f t="shared" si="10"/>
        <v>541080.19191933039</v>
      </c>
      <c r="M38" s="49">
        <f>IFERROR(IF(ISNUMBER(MATCH(H38,'HP Calcs'!$D$28:$D$33,0)),VLOOKUP(H38,'HP Calcs'!$D$28:$R$33,3,FALSE),INDEX('HP Calcs'!$F$28:$F$33,MATCH(I38,'HP Calcs'!$E$28:$E$33,0))+(INDEX('HP Calcs'!$G$28:$G$33,MATCH(I38,'HP Calcs'!$E$28:$E$33,0))*(H38-(INDEX('HP Calcs'!$D$28:$D$33,MATCH(I38,'HP Calcs'!$E$28:$E$33,0)))))),0)</f>
        <v>10075</v>
      </c>
      <c r="N38" s="49">
        <f>IFERROR(IF(ISNUMBER(MATCH(H38,'HP Calcs'!$D$28:$D$33,0)),VLOOKUP(H38,'HP Calcs'!$D$28:$R$33,5,FALSE),INDEX('HP Calcs'!$H$28:$H$33,MATCH(I38,'HP Calcs'!$E$28:$E$33,0))+(INDEX('HP Calcs'!$I$28:$I$33,MATCH(I38,'HP Calcs'!$E$28:$E$33,0))*(H38-(INDEX('HP Calcs'!$D$28:$D$33,MATCH(I38,'HP Calcs'!$E$28:$E$33,0)))))),0)</f>
        <v>22000</v>
      </c>
      <c r="O38" s="55">
        <f>IFERROR(IF(ISNUMBER(MATCH($H38,'HP Calcs'!$D$28:$D$33,0)),VLOOKUP($H38,'HP Calcs'!$D$28:$R$33,7,FALSE),INDEX('HP Calcs'!J$28:J$33,MATCH($I38,'HP Calcs'!$E$28:$E$33,0))+(INDEX('HP Calcs'!K$28:K$33,MATCH($I38,'HP Calcs'!$E$28:$E$33,0))*($H38-(INDEX('HP Calcs'!$D$28:$D$33,MATCH($I38,'HP Calcs'!$E$28:$E$33,0)))))),0)</f>
        <v>1.0900000000000003</v>
      </c>
      <c r="P38" s="55">
        <f>IFERROR(IF(ISNUMBER(MATCH($H38,'HP Calcs'!$D$28:$D$33,0)),VLOOKUP($H38,'HP Calcs'!$D$28:$R$33,9,FALSE),INDEX('HP Calcs'!L$28:L$33,MATCH($I38,'HP Calcs'!$E$28:$E$33,0))+(INDEX('HP Calcs'!M$28:M$33,MATCH($I38,'HP Calcs'!$E$28:$E$33,0))*($H38-(INDEX('HP Calcs'!$D$28:$D$33,MATCH($I38,'HP Calcs'!$E$28:$E$33,0)))))),0)</f>
        <v>2.0350000000000001</v>
      </c>
      <c r="Q38" s="331">
        <f>Table1[[#This Row],[kWh]]*'Conversion Factors'!$N$21</f>
        <v>15.014975325761421</v>
      </c>
      <c r="R38" s="334">
        <f>IF(Table1[[#This Row],[Temperature]]&lt;='HP Calcs'!$D$4,(Table1[[#This Row],[Annual Heating/Cooling Load (btu/year)]]*'Conversion Factors'!$M$4)/'HP Calcs'!$B$53*'Conversion Factors'!$N$20,"")</f>
        <v>11.770558088379561</v>
      </c>
      <c r="S38" s="334">
        <f>IF(MIN(Table1[[#This Row],[Cost of Electricity]:[Cost of Natural Gas]])=0,MAX(Table1[[#This Row],[Cost of Electricity]:[Cost of Natural Gas]]),MIN(Table1[[#This Row],[Cost of Electricity]:[Cost of Natural Gas]]))</f>
        <v>11.770558088379561</v>
      </c>
      <c r="T38" s="334">
        <f>IF(Table1[[#This Row],[Electricity or Natural Gas?]]=Table1[[#This Row],[Cost of Natural Gas]],-Table1[[#This Row],[Cost of Natural Gas]],Table1[[#This Row],[Cost of Electricity]])</f>
        <v>-11.770558088379561</v>
      </c>
      <c r="U3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0.58852790441897807</v>
      </c>
      <c r="V3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31.119572645911507</v>
      </c>
      <c r="W38" s="55">
        <f>Table1[[#This Row],[kWh]]*'Conversion Factors'!$D$6*'Conversion Factors'!$C$9</f>
        <v>29.529451473997465</v>
      </c>
      <c r="X38" s="55">
        <f>IF(Table1[[#This Row],[Temperature]]&lt;='HP Calcs'!$D$4,(Table1[[#This Row],[Annual Heating/Cooling Load (btu/year)]])/'HP Calcs'!$B$53*'Conversion Factors'!$M$4*'Conversion Factors'!$C$27,0)</f>
        <v>31.119572645911507</v>
      </c>
      <c r="Y38" s="55">
        <f>IF(MIN(Table1[[#This Row],[Electricity Emissions]:[Natural Gas Emissions ]])=0,MAX(Table1[[#This Row],[Electricity Emissions]:[Natural Gas Emissions ]]),MIN(Table1[[#This Row],[Electricity Emissions]:[Natural Gas Emissions ]]))</f>
        <v>29.529451473997465</v>
      </c>
      <c r="Z38" s="55">
        <f>IF(Table1[[#This Row],[Electricity or Natural Gas?2]]=Table1[[#This Row],[Natural Gas Emissions ]],-Table1[[#This Row],[Natural Gas Emissions ]],Table1[[#This Row],[Electricity Emissions]])</f>
        <v>29.529451473997465</v>
      </c>
      <c r="AA38" s="55" t="str">
        <f>IF(Table1[[#This Row],[Fuel Selector (Cost)]]&lt;0,"NG","Elec")</f>
        <v>NG</v>
      </c>
      <c r="AB38" s="337"/>
      <c r="AC38" s="7">
        <v>2022</v>
      </c>
      <c r="AD38" s="7">
        <v>1</v>
      </c>
      <c r="AE38" s="7">
        <v>2</v>
      </c>
      <c r="AF38" s="8">
        <v>0.5</v>
      </c>
      <c r="AG38" s="9">
        <v>-0.7</v>
      </c>
      <c r="AH38" s="10">
        <f t="shared" si="6"/>
        <v>-1</v>
      </c>
    </row>
    <row r="39" spans="1:34" ht="14.5" x14ac:dyDescent="0.35">
      <c r="A39">
        <v>38</v>
      </c>
      <c r="B39" s="48">
        <f>IFERROR(IF(H39&lt;'HP Calcs'!$D$4,$K39-$M39,0),0)</f>
        <v>-6917.3038762307806</v>
      </c>
      <c r="C39" s="48">
        <f t="shared" si="7"/>
        <v>-19836.053876230781</v>
      </c>
      <c r="D39" s="48">
        <f t="shared" si="8"/>
        <v>48.605691025558826</v>
      </c>
      <c r="E39" s="48">
        <f>IFERROR(IF(H39&gt;'HP Calcs'!$D$5,IF(AND(K39&gt;M39,K39&lt;N39,H39&gt;'HP Calcs'!$D$5),J39,0),IF(AND(K39&gt;M39,K39&lt;N39,H39&lt;'HP Calcs'!$D$4),J39,0)),0)</f>
        <v>0</v>
      </c>
      <c r="F39" s="48">
        <f>IFERROR(IF(H39&gt;'HP Calcs'!$D$5,IF(AND(K39&lt;M39,H39&gt;'HP Calcs'!$D$5),J39,0),IF(AND(K39&lt;M39,H39&lt;'HP Calcs'!$D$4),J39,0)),0)</f>
        <v>272</v>
      </c>
      <c r="G39" s="48">
        <f t="shared" si="4"/>
        <v>272</v>
      </c>
      <c r="H39" s="48">
        <v>5</v>
      </c>
      <c r="I39" s="49">
        <f>IFERROR(VLOOKUP(H39,'HP Calcs'!$D$26:$T$33,2),0)</f>
        <v>3</v>
      </c>
      <c r="J39" s="48">
        <f t="shared" si="9"/>
        <v>272</v>
      </c>
      <c r="K39" s="49">
        <f>IF(H39&lt;'HP Calcs'!$D$4,MAX(_xlfn.FORECAST.LINEAR(H39,'HP Calcs'!$E$3:$E$4,'HP Calcs'!$D$3:$D$4),0),MAX(_xlfn.FORECAST.LINEAR(H39,'HP Calcs'!$E$5:$E$6,'HP Calcs'!$D$5:$D$6),0))</f>
        <v>2013.9461237692199</v>
      </c>
      <c r="L39" s="48">
        <f t="shared" si="10"/>
        <v>547793.34566522785</v>
      </c>
      <c r="M39" s="49">
        <f>IFERROR(IF(ISNUMBER(MATCH(H39,'HP Calcs'!$D$28:$D$33,0)),VLOOKUP(H39,'HP Calcs'!$D$28:$R$33,3,FALSE),INDEX('HP Calcs'!$F$28:$F$33,MATCH(I39,'HP Calcs'!$E$28:$E$33,0))+(INDEX('HP Calcs'!$G$28:$G$33,MATCH(I39,'HP Calcs'!$E$28:$E$33,0))*(H39-(INDEX('HP Calcs'!$D$28:$D$33,MATCH(I39,'HP Calcs'!$E$28:$E$33,0)))))),0)</f>
        <v>8931.25</v>
      </c>
      <c r="N39" s="49">
        <f>IFERROR(IF(ISNUMBER(MATCH(H39,'HP Calcs'!$D$28:$D$33,0)),VLOOKUP(H39,'HP Calcs'!$D$28:$R$33,5,FALSE),INDEX('HP Calcs'!$H$28:$H$33,MATCH(I39,'HP Calcs'!$E$28:$E$33,0))+(INDEX('HP Calcs'!$I$28:$I$33,MATCH(I39,'HP Calcs'!$E$28:$E$33,0))*(H39-(INDEX('HP Calcs'!$D$28:$D$33,MATCH(I39,'HP Calcs'!$E$28:$E$33,0)))))),0)</f>
        <v>21850</v>
      </c>
      <c r="O39" s="55">
        <f>IFERROR(IF(ISNUMBER(MATCH($H39,'HP Calcs'!$D$28:$D$33,0)),VLOOKUP($H39,'HP Calcs'!$D$28:$R$33,7,FALSE),INDEX('HP Calcs'!J$28:J$33,MATCH($I39,'HP Calcs'!$E$28:$E$33,0))+(INDEX('HP Calcs'!K$28:K$33,MATCH($I39,'HP Calcs'!$E$28:$E$33,0))*($H39-(INDEX('HP Calcs'!$D$28:$D$33,MATCH($I39,'HP Calcs'!$E$28:$E$33,0)))))),0)</f>
        <v>0.91500000000000004</v>
      </c>
      <c r="P39" s="55">
        <f>IFERROR(IF(ISNUMBER(MATCH($H39,'HP Calcs'!$D$28:$D$33,0)),VLOOKUP($H39,'HP Calcs'!$D$28:$R$33,9,FALSE),INDEX('HP Calcs'!L$28:L$33,MATCH($I39,'HP Calcs'!$E$28:$E$33,0))+(INDEX('HP Calcs'!M$28:M$33,MATCH($I39,'HP Calcs'!$E$28:$E$33,0))*($H39-(INDEX('HP Calcs'!$D$28:$D$33,MATCH($I39,'HP Calcs'!$E$28:$E$33,0)))))),0)</f>
        <v>1.93875</v>
      </c>
      <c r="Q39" s="331">
        <f>Table1[[#This Row],[kWh]]*'Conversion Factors'!$N$21</f>
        <v>14.581707307667648</v>
      </c>
      <c r="R39" s="334">
        <f>IF(Table1[[#This Row],[Temperature]]&lt;='HP Calcs'!$D$4,(Table1[[#This Row],[Annual Heating/Cooling Load (btu/year)]]*'Conversion Factors'!$M$4)/'HP Calcs'!$B$53*'Conversion Factors'!$N$20,"")</f>
        <v>11.916594789227945</v>
      </c>
      <c r="S39" s="334">
        <f>IF(MIN(Table1[[#This Row],[Cost of Electricity]:[Cost of Natural Gas]])=0,MAX(Table1[[#This Row],[Cost of Electricity]:[Cost of Natural Gas]]),MIN(Table1[[#This Row],[Cost of Electricity]:[Cost of Natural Gas]]))</f>
        <v>11.916594789227945</v>
      </c>
      <c r="T39" s="334">
        <f>IF(Table1[[#This Row],[Electricity or Natural Gas?]]=Table1[[#This Row],[Cost of Natural Gas]],-Table1[[#This Row],[Cost of Natural Gas]],Table1[[#This Row],[Cost of Electricity]])</f>
        <v>-11.916594789227945</v>
      </c>
      <c r="U3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0.59582973946139717</v>
      </c>
      <c r="V3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31.505671562113882</v>
      </c>
      <c r="W39" s="55">
        <f>Table1[[#This Row],[kWh]]*'Conversion Factors'!$D$6*'Conversion Factors'!$C$9</f>
        <v>28.677357705079711</v>
      </c>
      <c r="X39" s="55">
        <f>IF(Table1[[#This Row],[Temperature]]&lt;='HP Calcs'!$D$4,(Table1[[#This Row],[Annual Heating/Cooling Load (btu/year)]])/'HP Calcs'!$B$53*'Conversion Factors'!$M$4*'Conversion Factors'!$C$27,0)</f>
        <v>31.505671562113882</v>
      </c>
      <c r="Y39" s="55">
        <f>IF(MIN(Table1[[#This Row],[Electricity Emissions]:[Natural Gas Emissions ]])=0,MAX(Table1[[#This Row],[Electricity Emissions]:[Natural Gas Emissions ]]),MIN(Table1[[#This Row],[Electricity Emissions]:[Natural Gas Emissions ]]))</f>
        <v>28.677357705079711</v>
      </c>
      <c r="Z39" s="55">
        <f>IF(Table1[[#This Row],[Electricity or Natural Gas?2]]=Table1[[#This Row],[Natural Gas Emissions ]],-Table1[[#This Row],[Natural Gas Emissions ]],Table1[[#This Row],[Electricity Emissions]])</f>
        <v>28.677357705079711</v>
      </c>
      <c r="AA39" s="55" t="str">
        <f>IF(Table1[[#This Row],[Fuel Selector (Cost)]]&lt;0,"NG","Elec")</f>
        <v>NG</v>
      </c>
      <c r="AB39" s="337"/>
      <c r="AC39" s="7">
        <v>2022</v>
      </c>
      <c r="AD39" s="7">
        <v>1</v>
      </c>
      <c r="AE39" s="7">
        <v>2</v>
      </c>
      <c r="AF39" s="8">
        <v>0.54166666666666663</v>
      </c>
      <c r="AG39" s="9">
        <v>0.7</v>
      </c>
      <c r="AH39" s="10">
        <f t="shared" si="6"/>
        <v>1</v>
      </c>
    </row>
    <row r="40" spans="1:34" ht="14.5" x14ac:dyDescent="0.35">
      <c r="A40">
        <v>39</v>
      </c>
      <c r="B40" s="48">
        <f>IFERROR(IF(H40&lt;'HP Calcs'!$D$4,$K40-$M40,0),0)</f>
        <v>-5941.3827198782146</v>
      </c>
      <c r="C40" s="48">
        <f t="shared" si="7"/>
        <v>-19853.882719878216</v>
      </c>
      <c r="D40" s="48">
        <f t="shared" si="8"/>
        <v>36.052458543023469</v>
      </c>
      <c r="E40" s="48">
        <f>IFERROR(IF(H40&gt;'HP Calcs'!$D$5,IF(AND(K40&gt;M40,K40&lt;N40,H40&gt;'HP Calcs'!$D$5),J40,0),IF(AND(K40&gt;M40,K40&lt;N40,H40&lt;'HP Calcs'!$D$4),J40,0)),0)</f>
        <v>0</v>
      </c>
      <c r="F40" s="48">
        <f>IFERROR(IF(H40&gt;'HP Calcs'!$D$5,IF(AND(K40&lt;M40,H40&gt;'HP Calcs'!$D$5),J40,0),IF(AND(K40&lt;M40,H40&lt;'HP Calcs'!$D$4),J40,0)),0)</f>
        <v>230</v>
      </c>
      <c r="G40" s="48">
        <f t="shared" si="4"/>
        <v>230</v>
      </c>
      <c r="H40" s="48">
        <v>6</v>
      </c>
      <c r="I40" s="49">
        <f>IFERROR(VLOOKUP(H40,'HP Calcs'!$D$26:$T$33,2),0)</f>
        <v>3</v>
      </c>
      <c r="J40" s="48">
        <f t="shared" si="9"/>
        <v>230</v>
      </c>
      <c r="K40" s="49">
        <f>IF(H40&lt;'HP Calcs'!$D$4,MAX(_xlfn.FORECAST.LINEAR(H40,'HP Calcs'!$E$3:$E$4,'HP Calcs'!$D$3:$D$4),0),MAX(_xlfn.FORECAST.LINEAR(H40,'HP Calcs'!$E$5:$E$6,'HP Calcs'!$D$5:$D$6),0))</f>
        <v>1846.1172801217849</v>
      </c>
      <c r="L40" s="48">
        <f t="shared" si="10"/>
        <v>424606.97442801052</v>
      </c>
      <c r="M40" s="49">
        <f>IFERROR(IF(ISNUMBER(MATCH(H40,'HP Calcs'!$D$28:$D$33,0)),VLOOKUP(H40,'HP Calcs'!$D$28:$R$33,3,FALSE),INDEX('HP Calcs'!$F$28:$F$33,MATCH(I40,'HP Calcs'!$E$28:$E$33,0))+(INDEX('HP Calcs'!$G$28:$G$33,MATCH(I40,'HP Calcs'!$E$28:$E$33,0))*(H40-(INDEX('HP Calcs'!$D$28:$D$33,MATCH(I40,'HP Calcs'!$E$28:$E$33,0)))))),0)</f>
        <v>7787.5</v>
      </c>
      <c r="N40" s="49">
        <f>IFERROR(IF(ISNUMBER(MATCH(H40,'HP Calcs'!$D$28:$D$33,0)),VLOOKUP(H40,'HP Calcs'!$D$28:$R$33,5,FALSE),INDEX('HP Calcs'!$H$28:$H$33,MATCH(I40,'HP Calcs'!$E$28:$E$33,0))+(INDEX('HP Calcs'!$I$28:$I$33,MATCH(I40,'HP Calcs'!$E$28:$E$33,0))*(H40-(INDEX('HP Calcs'!$D$28:$D$33,MATCH(I40,'HP Calcs'!$E$28:$E$33,0)))))),0)</f>
        <v>21700</v>
      </c>
      <c r="O40" s="55">
        <f>IFERROR(IF(ISNUMBER(MATCH($H40,'HP Calcs'!$D$28:$D$33,0)),VLOOKUP($H40,'HP Calcs'!$D$28:$R$33,7,FALSE),INDEX('HP Calcs'!J$28:J$33,MATCH($I40,'HP Calcs'!$E$28:$E$33,0))+(INDEX('HP Calcs'!K$28:K$33,MATCH($I40,'HP Calcs'!$E$28:$E$33,0))*($H40-(INDEX('HP Calcs'!$D$28:$D$33,MATCH($I40,'HP Calcs'!$E$28:$E$33,0)))))),0)</f>
        <v>0.74000000000000021</v>
      </c>
      <c r="P40" s="55">
        <f>IFERROR(IF(ISNUMBER(MATCH($H40,'HP Calcs'!$D$28:$D$33,0)),VLOOKUP($H40,'HP Calcs'!$D$28:$R$33,9,FALSE),INDEX('HP Calcs'!L$28:L$33,MATCH($I40,'HP Calcs'!$E$28:$E$33,0))+(INDEX('HP Calcs'!M$28:M$33,MATCH($I40,'HP Calcs'!$E$28:$E$33,0))*($H40-(INDEX('HP Calcs'!$D$28:$D$33,MATCH($I40,'HP Calcs'!$E$28:$E$33,0)))))),0)</f>
        <v>1.8424999999999998</v>
      </c>
      <c r="Q40" s="331">
        <f>Table1[[#This Row],[kWh]]*'Conversion Factors'!$N$21</f>
        <v>10.81573756290704</v>
      </c>
      <c r="R40" s="334">
        <f>IF(Table1[[#This Row],[Temperature]]&lt;='HP Calcs'!$D$4,(Table1[[#This Row],[Annual Heating/Cooling Load (btu/year)]]*'Conversion Factors'!$M$4)/'HP Calcs'!$B$53*'Conversion Factors'!$N$20,"")</f>
        <v>9.2368213286601399</v>
      </c>
      <c r="S40" s="334">
        <f>IF(MIN(Table1[[#This Row],[Cost of Electricity]:[Cost of Natural Gas]])=0,MAX(Table1[[#This Row],[Cost of Electricity]:[Cost of Natural Gas]]),MIN(Table1[[#This Row],[Cost of Electricity]:[Cost of Natural Gas]]))</f>
        <v>9.2368213286601399</v>
      </c>
      <c r="T40" s="334">
        <f>IF(Table1[[#This Row],[Electricity or Natural Gas?]]=Table1[[#This Row],[Cost of Natural Gas]],-Table1[[#This Row],[Cost of Natural Gas]],Table1[[#This Row],[Cost of Electricity]])</f>
        <v>-9.2368213286601399</v>
      </c>
      <c r="U4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0.46184106643300699</v>
      </c>
      <c r="V4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24.420756449800283</v>
      </c>
      <c r="W40" s="55">
        <f>Table1[[#This Row],[kWh]]*'Conversion Factors'!$D$6*'Conversion Factors'!$C$9</f>
        <v>21.270950540383851</v>
      </c>
      <c r="X40" s="55">
        <f>IF(Table1[[#This Row],[Temperature]]&lt;='HP Calcs'!$D$4,(Table1[[#This Row],[Annual Heating/Cooling Load (btu/year)]])/'HP Calcs'!$B$53*'Conversion Factors'!$M$4*'Conversion Factors'!$C$27,0)</f>
        <v>24.420756449800283</v>
      </c>
      <c r="Y40" s="55">
        <f>IF(MIN(Table1[[#This Row],[Electricity Emissions]:[Natural Gas Emissions ]])=0,MAX(Table1[[#This Row],[Electricity Emissions]:[Natural Gas Emissions ]]),MIN(Table1[[#This Row],[Electricity Emissions]:[Natural Gas Emissions ]]))</f>
        <v>21.270950540383851</v>
      </c>
      <c r="Z40" s="55">
        <f>IF(Table1[[#This Row],[Electricity or Natural Gas?2]]=Table1[[#This Row],[Natural Gas Emissions ]],-Table1[[#This Row],[Natural Gas Emissions ]],Table1[[#This Row],[Electricity Emissions]])</f>
        <v>21.270950540383851</v>
      </c>
      <c r="AA40" s="55" t="str">
        <f>IF(Table1[[#This Row],[Fuel Selector (Cost)]]&lt;0,"NG","Elec")</f>
        <v>NG</v>
      </c>
      <c r="AB40" s="337"/>
      <c r="AC40" s="7">
        <v>2022</v>
      </c>
      <c r="AD40" s="7">
        <v>1</v>
      </c>
      <c r="AE40" s="7">
        <v>2</v>
      </c>
      <c r="AF40" s="8">
        <v>0.58333333333333337</v>
      </c>
      <c r="AG40" s="9">
        <v>-0.6</v>
      </c>
      <c r="AH40" s="10">
        <f t="shared" si="6"/>
        <v>-1</v>
      </c>
    </row>
    <row r="41" spans="1:34" ht="14.5" x14ac:dyDescent="0.35">
      <c r="A41">
        <v>40</v>
      </c>
      <c r="B41" s="48">
        <f>IFERROR(IF(H41&lt;'HP Calcs'!$D$4,$K41-$M41,0),0)</f>
        <v>-4965.4615635256505</v>
      </c>
      <c r="C41" s="48">
        <f t="shared" si="7"/>
        <v>-19871.711563525649</v>
      </c>
      <c r="D41" s="48">
        <f t="shared" si="8"/>
        <v>38.758825379354988</v>
      </c>
      <c r="E41" s="48">
        <f>IFERROR(IF(H41&gt;'HP Calcs'!$D$5,IF(AND(K41&gt;M41,K41&lt;N41,H41&gt;'HP Calcs'!$D$5),J41,0),IF(AND(K41&gt;M41,K41&lt;N41,H41&lt;'HP Calcs'!$D$4),J41,0)),0)</f>
        <v>0</v>
      </c>
      <c r="F41" s="48">
        <f>IFERROR(IF(H41&gt;'HP Calcs'!$D$5,IF(AND(K41&lt;M41,H41&gt;'HP Calcs'!$D$5),J41,0),IF(AND(K41&lt;M41,H41&lt;'HP Calcs'!$D$4),J41,0)),0)</f>
        <v>285</v>
      </c>
      <c r="G41" s="48">
        <f t="shared" si="4"/>
        <v>285</v>
      </c>
      <c r="H41" s="48">
        <v>7</v>
      </c>
      <c r="I41" s="49">
        <f>IFERROR(VLOOKUP(H41,'HP Calcs'!$D$26:$T$33,2),0)</f>
        <v>3</v>
      </c>
      <c r="J41" s="48">
        <f t="shared" si="9"/>
        <v>285</v>
      </c>
      <c r="K41" s="49">
        <f>IF(H41&lt;'HP Calcs'!$D$4,MAX(_xlfn.FORECAST.LINEAR(H41,'HP Calcs'!$E$3:$E$4,'HP Calcs'!$D$3:$D$4),0),MAX(_xlfn.FORECAST.LINEAR(H41,'HP Calcs'!$E$5:$E$6,'HP Calcs'!$D$5:$D$6),0))</f>
        <v>1678.2884364743497</v>
      </c>
      <c r="L41" s="48">
        <f t="shared" si="10"/>
        <v>478312.20439518965</v>
      </c>
      <c r="M41" s="49">
        <f>IFERROR(IF(ISNUMBER(MATCH(H41,'HP Calcs'!$D$28:$D$33,0)),VLOOKUP(H41,'HP Calcs'!$D$28:$R$33,3,FALSE),INDEX('HP Calcs'!$F$28:$F$33,MATCH(I41,'HP Calcs'!$E$28:$E$33,0))+(INDEX('HP Calcs'!$G$28:$G$33,MATCH(I41,'HP Calcs'!$E$28:$E$33,0))*(H41-(INDEX('HP Calcs'!$D$28:$D$33,MATCH(I41,'HP Calcs'!$E$28:$E$33,0)))))),0)</f>
        <v>6643.75</v>
      </c>
      <c r="N41" s="49">
        <f>IFERROR(IF(ISNUMBER(MATCH(H41,'HP Calcs'!$D$28:$D$33,0)),VLOOKUP(H41,'HP Calcs'!$D$28:$R$33,5,FALSE),INDEX('HP Calcs'!$H$28:$H$33,MATCH(I41,'HP Calcs'!$E$28:$E$33,0))+(INDEX('HP Calcs'!$I$28:$I$33,MATCH(I41,'HP Calcs'!$E$28:$E$33,0))*(H41-(INDEX('HP Calcs'!$D$28:$D$33,MATCH(I41,'HP Calcs'!$E$28:$E$33,0)))))),0)</f>
        <v>21550</v>
      </c>
      <c r="O41" s="55">
        <f>IFERROR(IF(ISNUMBER(MATCH($H41,'HP Calcs'!$D$28:$D$33,0)),VLOOKUP($H41,'HP Calcs'!$D$28:$R$33,7,FALSE),INDEX('HP Calcs'!J$28:J$33,MATCH($I41,'HP Calcs'!$E$28:$E$33,0))+(INDEX('HP Calcs'!K$28:K$33,MATCH($I41,'HP Calcs'!$E$28:$E$33,0))*($H41-(INDEX('HP Calcs'!$D$28:$D$33,MATCH($I41,'HP Calcs'!$E$28:$E$33,0)))))),0)</f>
        <v>0.56499999999999995</v>
      </c>
      <c r="P41" s="55">
        <f>IFERROR(IF(ISNUMBER(MATCH($H41,'HP Calcs'!$D$28:$D$33,0)),VLOOKUP($H41,'HP Calcs'!$D$28:$R$33,9,FALSE),INDEX('HP Calcs'!L$28:L$33,MATCH($I41,'HP Calcs'!$E$28:$E$33,0))+(INDEX('HP Calcs'!M$28:M$33,MATCH($I41,'HP Calcs'!$E$28:$E$33,0))*($H41-(INDEX('HP Calcs'!$D$28:$D$33,MATCH($I41,'HP Calcs'!$E$28:$E$33,0)))))),0)</f>
        <v>1.7462499999999999</v>
      </c>
      <c r="Q41" s="331">
        <f>Table1[[#This Row],[kWh]]*'Conversion Factors'!$N$21</f>
        <v>11.627647613806497</v>
      </c>
      <c r="R41" s="334">
        <f>IF(Table1[[#This Row],[Temperature]]&lt;='HP Calcs'!$D$4,(Table1[[#This Row],[Annual Heating/Cooling Load (btu/year)]]*'Conversion Factors'!$M$4)/'HP Calcs'!$B$53*'Conversion Factors'!$N$20,"")</f>
        <v>10.405114935447193</v>
      </c>
      <c r="S41" s="334">
        <f>IF(MIN(Table1[[#This Row],[Cost of Electricity]:[Cost of Natural Gas]])=0,MAX(Table1[[#This Row],[Cost of Electricity]:[Cost of Natural Gas]]),MIN(Table1[[#This Row],[Cost of Electricity]:[Cost of Natural Gas]]))</f>
        <v>10.405114935447193</v>
      </c>
      <c r="T41" s="334">
        <f>IF(Table1[[#This Row],[Electricity or Natural Gas?]]=Table1[[#This Row],[Cost of Natural Gas]],-Table1[[#This Row],[Cost of Natural Gas]],Table1[[#This Row],[Cost of Electricity]])</f>
        <v>-10.405114935447193</v>
      </c>
      <c r="U4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0.52025574677235964</v>
      </c>
      <c r="V4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27.50954777941929</v>
      </c>
      <c r="W41" s="55">
        <f>Table1[[#This Row],[kWh]]*'Conversion Factors'!$D$6*'Conversion Factors'!$C$9</f>
        <v>22.867706973819448</v>
      </c>
      <c r="X41" s="55">
        <f>IF(Table1[[#This Row],[Temperature]]&lt;='HP Calcs'!$D$4,(Table1[[#This Row],[Annual Heating/Cooling Load (btu/year)]])/'HP Calcs'!$B$53*'Conversion Factors'!$M$4*'Conversion Factors'!$C$27,0)</f>
        <v>27.50954777941929</v>
      </c>
      <c r="Y41" s="55">
        <f>IF(MIN(Table1[[#This Row],[Electricity Emissions]:[Natural Gas Emissions ]])=0,MAX(Table1[[#This Row],[Electricity Emissions]:[Natural Gas Emissions ]]),MIN(Table1[[#This Row],[Electricity Emissions]:[Natural Gas Emissions ]]))</f>
        <v>22.867706973819448</v>
      </c>
      <c r="Z41" s="55">
        <f>IF(Table1[[#This Row],[Electricity or Natural Gas?2]]=Table1[[#This Row],[Natural Gas Emissions ]],-Table1[[#This Row],[Natural Gas Emissions ]],Table1[[#This Row],[Electricity Emissions]])</f>
        <v>22.867706973819448</v>
      </c>
      <c r="AA41" s="55" t="str">
        <f>IF(Table1[[#This Row],[Fuel Selector (Cost)]]&lt;0,"NG","Elec")</f>
        <v>NG</v>
      </c>
      <c r="AB41" s="337"/>
      <c r="AC41" s="7">
        <v>2022</v>
      </c>
      <c r="AD41" s="7">
        <v>1</v>
      </c>
      <c r="AE41" s="7">
        <v>2</v>
      </c>
      <c r="AF41" s="8">
        <v>0.625</v>
      </c>
      <c r="AG41" s="9">
        <v>-1.1000000000000001</v>
      </c>
      <c r="AH41" s="10">
        <f t="shared" si="6"/>
        <v>-1</v>
      </c>
    </row>
    <row r="42" spans="1:34" ht="14.5" x14ac:dyDescent="0.35">
      <c r="A42">
        <v>41</v>
      </c>
      <c r="B42" s="48">
        <f>IFERROR(IF(H42&lt;'HP Calcs'!$D$4,$K42-$M42,0),0)</f>
        <v>-3989.5404071730854</v>
      </c>
      <c r="C42" s="48">
        <f t="shared" si="7"/>
        <v>-19889.540407173085</v>
      </c>
      <c r="D42" s="48">
        <f>IFERROR((K42/N42)*P42*G42,0)</f>
        <v>32.259605462688846</v>
      </c>
      <c r="E42" s="48">
        <f>IFERROR(IF(H42&gt;'HP Calcs'!$D$5,IF(AND(K42&gt;M42,K42&lt;N42,H42&gt;'HP Calcs'!$D$5),J42,0),IF(AND(K42&gt;M42,K42&lt;N42,H42&lt;'HP Calcs'!$D$4),J42,0)),0)</f>
        <v>0</v>
      </c>
      <c r="F42" s="48">
        <f>IFERROR(IF(H42&gt;'HP Calcs'!$D$5,IF(AND(K42&lt;M42,H42&gt;'HP Calcs'!$D$5),J42,0),IF(AND(K42&lt;M42,H42&lt;'HP Calcs'!$D$4),J42,0)),0)</f>
        <v>277</v>
      </c>
      <c r="G42" s="48">
        <f t="shared" si="4"/>
        <v>277</v>
      </c>
      <c r="H42" s="48">
        <v>8</v>
      </c>
      <c r="I42" s="49">
        <f>IFERROR(VLOOKUP(H42,'HP Calcs'!$D$26:$T$33,2),0)</f>
        <v>4</v>
      </c>
      <c r="J42" s="49">
        <f t="shared" si="9"/>
        <v>277</v>
      </c>
      <c r="K42" s="49">
        <f>IF(H42&lt;'HP Calcs'!$D$4,MAX(_xlfn.FORECAST.LINEAR(H42,'HP Calcs'!$E$3:$E$4,'HP Calcs'!$D$3:$D$4),0),MAX(_xlfn.FORECAST.LINEAR(H42,'HP Calcs'!$E$5:$E$6,'HP Calcs'!$D$5:$D$6),0))</f>
        <v>1510.4595928269148</v>
      </c>
      <c r="L42" s="48">
        <f t="shared" si="10"/>
        <v>418397.30721305538</v>
      </c>
      <c r="M42" s="49">
        <f>IFERROR(IF(ISNUMBER(MATCH(H42,'HP Calcs'!$D$28:$D$33,0)),VLOOKUP(H42,'HP Calcs'!$D$28:$R$33,3,FALSE),INDEX('HP Calcs'!$F$28:$F$33,MATCH(I42,'HP Calcs'!$E$28:$E$33,0))+(INDEX('HP Calcs'!$G$28:$G$33,MATCH(I42,'HP Calcs'!$E$28:$E$33,0))*(H42-(INDEX('HP Calcs'!$D$28:$D$33,MATCH(I42,'HP Calcs'!$E$28:$E$33,0)))))),0)</f>
        <v>5500</v>
      </c>
      <c r="N42" s="49">
        <f>IFERROR(IF(ISNUMBER(MATCH(H42,'HP Calcs'!$D$28:$D$33,0)),VLOOKUP(H42,'HP Calcs'!$D$28:$R$33,5,FALSE),INDEX('HP Calcs'!$H$28:$H$33,MATCH(I42,'HP Calcs'!$E$28:$E$33,0))+(INDEX('HP Calcs'!$I$28:$I$33,MATCH(I42,'HP Calcs'!$E$28:$E$33,0))*(H42-(INDEX('HP Calcs'!$D$28:$D$33,MATCH(I42,'HP Calcs'!$E$28:$E$33,0)))))),0)</f>
        <v>21400</v>
      </c>
      <c r="O42" s="55">
        <f>IFERROR(IF(ISNUMBER(MATCH($H42,'HP Calcs'!$D$28:$D$33,0)),VLOOKUP($H42,'HP Calcs'!$D$28:$R$33,7,FALSE),INDEX('HP Calcs'!J$28:J$33,MATCH($I42,'HP Calcs'!$E$28:$E$33,0))+(INDEX('HP Calcs'!K$28:K$33,MATCH($I42,'HP Calcs'!$E$28:$E$33,0))*($H42-(INDEX('HP Calcs'!$D$28:$D$33,MATCH($I42,'HP Calcs'!$E$28:$E$33,0)))))),0)</f>
        <v>0.39</v>
      </c>
      <c r="P42" s="55">
        <f>IFERROR(IF(ISNUMBER(MATCH($H42,'HP Calcs'!$D$28:$D$33,0)),VLOOKUP($H42,'HP Calcs'!$D$28:$R$33,9,FALSE),INDEX('HP Calcs'!L$28:L$33,MATCH($I42,'HP Calcs'!$E$28:$E$33,0))+(INDEX('HP Calcs'!M$28:M$33,MATCH($I42,'HP Calcs'!$E$28:$E$33,0))*($H42-(INDEX('HP Calcs'!$D$28:$D$33,MATCH($I42,'HP Calcs'!$E$28:$E$33,0)))))),0)</f>
        <v>1.65</v>
      </c>
      <c r="Q42" s="331">
        <f>Table1[[#This Row],[kWh]]*'Conversion Factors'!$N$21</f>
        <v>9.6778816388066531</v>
      </c>
      <c r="R42" s="334">
        <f>IF(Table1[[#This Row],[Temperature]]&lt;='HP Calcs'!$D$4,(Table1[[#This Row],[Annual Heating/Cooling Load (btu/year)]]*'Conversion Factors'!$M$4)/'HP Calcs'!$B$53*'Conversion Factors'!$N$20,"")</f>
        <v>9.1017373803753863</v>
      </c>
      <c r="S42" s="334">
        <f>IF(MIN(Table1[[#This Row],[Cost of Electricity]:[Cost of Natural Gas]])=0,MAX(Table1[[#This Row],[Cost of Electricity]:[Cost of Natural Gas]]),MIN(Table1[[#This Row],[Cost of Electricity]:[Cost of Natural Gas]]))</f>
        <v>9.1017373803753863</v>
      </c>
      <c r="T42" s="334">
        <f>IF(Table1[[#This Row],[Electricity or Natural Gas?]]=Table1[[#This Row],[Cost of Natural Gas]],-Table1[[#This Row],[Cost of Natural Gas]],Table1[[#This Row],[Cost of Electricity]])</f>
        <v>-9.1017373803753863</v>
      </c>
      <c r="U4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0.45508686901876927</v>
      </c>
      <c r="V4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24.063614952313081</v>
      </c>
      <c r="W42" s="55">
        <f>Table1[[#This Row],[kWh]]*'Conversion Factors'!$D$6*'Conversion Factors'!$C$9</f>
        <v>19.033167222986421</v>
      </c>
      <c r="X42" s="55">
        <f>IF(Table1[[#This Row],[Temperature]]&lt;='HP Calcs'!$D$4,(Table1[[#This Row],[Annual Heating/Cooling Load (btu/year)]])/'HP Calcs'!$B$53*'Conversion Factors'!$M$4*'Conversion Factors'!$C$27,0)</f>
        <v>24.063614952313081</v>
      </c>
      <c r="Y42" s="55">
        <f>IF(MIN(Table1[[#This Row],[Electricity Emissions]:[Natural Gas Emissions ]])=0,MAX(Table1[[#This Row],[Electricity Emissions]:[Natural Gas Emissions ]]),MIN(Table1[[#This Row],[Electricity Emissions]:[Natural Gas Emissions ]]))</f>
        <v>19.033167222986421</v>
      </c>
      <c r="Z42" s="55">
        <f>IF(Table1[[#This Row],[Electricity or Natural Gas?2]]=Table1[[#This Row],[Natural Gas Emissions ]],-Table1[[#This Row],[Natural Gas Emissions ]],Table1[[#This Row],[Electricity Emissions]])</f>
        <v>19.033167222986421</v>
      </c>
      <c r="AA42" s="55" t="str">
        <f>IF(Table1[[#This Row],[Fuel Selector (Cost)]]&lt;0,"NG","Elec")</f>
        <v>NG</v>
      </c>
      <c r="AB42" s="337"/>
      <c r="AC42" s="7">
        <v>2022</v>
      </c>
      <c r="AD42" s="7">
        <v>1</v>
      </c>
      <c r="AE42" s="7">
        <v>2</v>
      </c>
      <c r="AF42" s="8">
        <v>0.66666666666666663</v>
      </c>
      <c r="AG42" s="9">
        <v>-1.9</v>
      </c>
      <c r="AH42" s="10">
        <f t="shared" si="6"/>
        <v>-2</v>
      </c>
    </row>
    <row r="43" spans="1:34" ht="14.5" x14ac:dyDescent="0.35">
      <c r="A43">
        <v>42</v>
      </c>
      <c r="B43" s="48">
        <f>IFERROR(IF(H43&lt;'HP Calcs'!$D$4,$K43-$M43,0),0)</f>
        <v>-4247.3692508205204</v>
      </c>
      <c r="C43" s="48">
        <f t="shared" si="7"/>
        <v>-20187.36925082052</v>
      </c>
      <c r="D43" s="48">
        <f t="shared" si="8"/>
        <v>28.054933647973261</v>
      </c>
      <c r="E43" s="48">
        <f>IFERROR(IF(H43&gt;'HP Calcs'!$D$5,IF(AND(K43&gt;M43,K43&lt;N43,H43&gt;'HP Calcs'!$D$5),J43,0),IF(AND(K43&gt;M43,K43&lt;N43,H43&lt;'HP Calcs'!$D$4),J43,0)),0)</f>
        <v>0</v>
      </c>
      <c r="F43" s="48">
        <f>IFERROR(IF(H43&gt;'HP Calcs'!$D$5,IF(AND(K43&lt;M43,H43&gt;'HP Calcs'!$D$5),J43,0),IF(AND(K43&lt;M43,H43&lt;'HP Calcs'!$D$4),J43,0)),0)</f>
        <v>276</v>
      </c>
      <c r="G43" s="48">
        <f t="shared" si="4"/>
        <v>276</v>
      </c>
      <c r="H43" s="48">
        <v>9</v>
      </c>
      <c r="I43" s="49">
        <f>IFERROR(VLOOKUP(H43,'HP Calcs'!$D$26:$T$33,2),0)</f>
        <v>4</v>
      </c>
      <c r="J43" s="48">
        <f t="shared" si="9"/>
        <v>276</v>
      </c>
      <c r="K43" s="49">
        <f>IF(H43&lt;'HP Calcs'!$D$4,MAX(_xlfn.FORECAST.LINEAR(H43,'HP Calcs'!$E$3:$E$4,'HP Calcs'!$D$3:$D$4),0),MAX(_xlfn.FORECAST.LINEAR(H43,'HP Calcs'!$E$5:$E$6,'HP Calcs'!$D$5:$D$6),0))</f>
        <v>1342.6307491794798</v>
      </c>
      <c r="L43" s="48">
        <f t="shared" si="10"/>
        <v>370566.08677353646</v>
      </c>
      <c r="M43" s="49">
        <f>IFERROR(IF(ISNUMBER(MATCH(H43,'HP Calcs'!$D$28:$D$33,0)),VLOOKUP(H43,'HP Calcs'!$D$28:$R$33,3,FALSE),INDEX('HP Calcs'!$F$28:$F$33,MATCH(I43,'HP Calcs'!$E$28:$E$33,0))+(INDEX('HP Calcs'!$G$28:$G$33,MATCH(I43,'HP Calcs'!$E$28:$E$33,0))*(H43-(INDEX('HP Calcs'!$D$28:$D$33,MATCH(I43,'HP Calcs'!$E$28:$E$33,0)))))),0)</f>
        <v>5590</v>
      </c>
      <c r="N43" s="49">
        <f>IFERROR(IF(ISNUMBER(MATCH(H43,'HP Calcs'!$D$28:$D$33,0)),VLOOKUP(H43,'HP Calcs'!$D$28:$R$33,5,FALSE),INDEX('HP Calcs'!$H$28:$H$33,MATCH(I43,'HP Calcs'!$E$28:$E$33,0))+(INDEX('HP Calcs'!$I$28:$I$33,MATCH(I43,'HP Calcs'!$E$28:$E$33,0))*(H43-(INDEX('HP Calcs'!$D$28:$D$33,MATCH(I43,'HP Calcs'!$E$28:$E$33,0)))))),0)</f>
        <v>21530</v>
      </c>
      <c r="O43" s="55">
        <f>IFERROR(IF(ISNUMBER(MATCH($H43,'HP Calcs'!$D$28:$D$33,0)),VLOOKUP($H43,'HP Calcs'!$D$28:$R$33,7,FALSE),INDEX('HP Calcs'!J$28:J$33,MATCH($I43,'HP Calcs'!$E$28:$E$33,0))+(INDEX('HP Calcs'!K$28:K$33,MATCH($I43,'HP Calcs'!$E$28:$E$33,0))*($H43-(INDEX('HP Calcs'!$D$28:$D$33,MATCH($I43,'HP Calcs'!$E$28:$E$33,0)))))),0)</f>
        <v>0.38600000000000001</v>
      </c>
      <c r="P43" s="55">
        <f>IFERROR(IF(ISNUMBER(MATCH($H43,'HP Calcs'!$D$28:$D$33,0)),VLOOKUP($H43,'HP Calcs'!$D$28:$R$33,9,FALSE),INDEX('HP Calcs'!L$28:L$33,MATCH($I43,'HP Calcs'!$E$28:$E$33,0))+(INDEX('HP Calcs'!M$28:M$33,MATCH($I43,'HP Calcs'!$E$28:$E$33,0))*($H43-(INDEX('HP Calcs'!$D$28:$D$33,MATCH($I43,'HP Calcs'!$E$28:$E$33,0)))))),0)</f>
        <v>1.63</v>
      </c>
      <c r="Q43" s="331">
        <f>Table1[[#This Row],[kWh]]*'Conversion Factors'!$N$21</f>
        <v>8.4164800943919786</v>
      </c>
      <c r="R43" s="334">
        <f>IF(Table1[[#This Row],[Temperature]]&lt;='HP Calcs'!$D$4,(Table1[[#This Row],[Annual Heating/Cooling Load (btu/year)]]*'Conversion Factors'!$M$4)/'HP Calcs'!$B$53*'Conversion Factors'!$N$20,"")</f>
        <v>8.0612258868306679</v>
      </c>
      <c r="S43" s="334">
        <f>IF(MIN(Table1[[#This Row],[Cost of Electricity]:[Cost of Natural Gas]])=0,MAX(Table1[[#This Row],[Cost of Electricity]:[Cost of Natural Gas]]),MIN(Table1[[#This Row],[Cost of Electricity]:[Cost of Natural Gas]]))</f>
        <v>8.0612258868306679</v>
      </c>
      <c r="T43" s="334">
        <f>IF(Table1[[#This Row],[Electricity or Natural Gas?]]=Table1[[#This Row],[Cost of Natural Gas]],-Table1[[#This Row],[Cost of Natural Gas]],Table1[[#This Row],[Cost of Electricity]])</f>
        <v>-8.0612258868306679</v>
      </c>
      <c r="U4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0.40306129434153337</v>
      </c>
      <c r="V4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21.312660174371157</v>
      </c>
      <c r="W43" s="55">
        <f>Table1[[#This Row],[kWh]]*'Conversion Factors'!$D$6*'Conversion Factors'!$C$9</f>
        <v>16.552410852304227</v>
      </c>
      <c r="X43" s="55">
        <f>IF(Table1[[#This Row],[Temperature]]&lt;='HP Calcs'!$D$4,(Table1[[#This Row],[Annual Heating/Cooling Load (btu/year)]])/'HP Calcs'!$B$53*'Conversion Factors'!$M$4*'Conversion Factors'!$C$27,0)</f>
        <v>21.312660174371157</v>
      </c>
      <c r="Y43" s="55">
        <f>IF(MIN(Table1[[#This Row],[Electricity Emissions]:[Natural Gas Emissions ]])=0,MAX(Table1[[#This Row],[Electricity Emissions]:[Natural Gas Emissions ]]),MIN(Table1[[#This Row],[Electricity Emissions]:[Natural Gas Emissions ]]))</f>
        <v>16.552410852304227</v>
      </c>
      <c r="Z43" s="55">
        <f>IF(Table1[[#This Row],[Electricity or Natural Gas?2]]=Table1[[#This Row],[Natural Gas Emissions ]],-Table1[[#This Row],[Natural Gas Emissions ]],Table1[[#This Row],[Electricity Emissions]])</f>
        <v>16.552410852304227</v>
      </c>
      <c r="AA43" s="55" t="str">
        <f>IF(Table1[[#This Row],[Fuel Selector (Cost)]]&lt;0,"NG","Elec")</f>
        <v>NG</v>
      </c>
      <c r="AB43" s="337"/>
      <c r="AC43" s="7">
        <v>2022</v>
      </c>
      <c r="AD43" s="7">
        <v>1</v>
      </c>
      <c r="AE43" s="7">
        <v>2</v>
      </c>
      <c r="AF43" s="8">
        <v>0.70833333333333337</v>
      </c>
      <c r="AG43" s="9">
        <v>-5</v>
      </c>
      <c r="AH43" s="10">
        <f t="shared" si="6"/>
        <v>-5</v>
      </c>
    </row>
    <row r="44" spans="1:34" ht="14.5" x14ac:dyDescent="0.35">
      <c r="A44">
        <v>43</v>
      </c>
      <c r="B44" s="48">
        <f>IFERROR(IF(H44&lt;'HP Calcs'!$D$4,$K44-$M44,0),0)</f>
        <v>-4505.1980944679553</v>
      </c>
      <c r="C44" s="48">
        <f t="shared" si="7"/>
        <v>-20485.198094467956</v>
      </c>
      <c r="D44" s="48">
        <f t="shared" si="8"/>
        <v>24.887250893507787</v>
      </c>
      <c r="E44" s="48">
        <f>IFERROR(IF(H44&gt;'HP Calcs'!$D$5,IF(AND(K44&gt;M44,K44&lt;N44,H44&gt;'HP Calcs'!$D$5),J44,0),IF(AND(K44&gt;M44,K44&lt;N44,H44&lt;'HP Calcs'!$D$4),J44,0)),0)</f>
        <v>0</v>
      </c>
      <c r="F44" s="48">
        <f>IFERROR(IF(H44&gt;'HP Calcs'!$D$5,IF(AND(K44&lt;M44,H44&gt;'HP Calcs'!$D$5),J44,0),IF(AND(K44&lt;M44,H44&lt;'HP Calcs'!$D$4),J44,0)),0)</f>
        <v>285</v>
      </c>
      <c r="G44" s="48">
        <f t="shared" si="4"/>
        <v>285</v>
      </c>
      <c r="H44" s="48">
        <v>10</v>
      </c>
      <c r="I44" s="49">
        <f>IFERROR(VLOOKUP(H44,'HP Calcs'!$D$26:$T$33,2),0)</f>
        <v>4</v>
      </c>
      <c r="J44" s="48">
        <f t="shared" si="9"/>
        <v>285</v>
      </c>
      <c r="K44" s="49">
        <f>IF(H44&lt;'HP Calcs'!$D$4,MAX(_xlfn.FORECAST.LINEAR(H44,'HP Calcs'!$E$3:$E$4,'HP Calcs'!$D$3:$D$4),0),MAX(_xlfn.FORECAST.LINEAR(H44,'HP Calcs'!$E$5:$E$6,'HP Calcs'!$D$5:$D$6),0))</f>
        <v>1174.8019055320447</v>
      </c>
      <c r="L44" s="48">
        <f t="shared" si="10"/>
        <v>334818.54307663272</v>
      </c>
      <c r="M44" s="49">
        <f>IFERROR(IF(ISNUMBER(MATCH(H44,'HP Calcs'!$D$28:$D$33,0)),VLOOKUP(H44,'HP Calcs'!$D$28:$R$33,3,FALSE),INDEX('HP Calcs'!$F$28:$F$33,MATCH(I44,'HP Calcs'!$E$28:$E$33,0))+(INDEX('HP Calcs'!$G$28:$G$33,MATCH(I44,'HP Calcs'!$E$28:$E$33,0))*(H44-(INDEX('HP Calcs'!$D$28:$D$33,MATCH(I44,'HP Calcs'!$E$28:$E$33,0)))))),0)</f>
        <v>5680</v>
      </c>
      <c r="N44" s="49">
        <f>IFERROR(IF(ISNUMBER(MATCH(H44,'HP Calcs'!$D$28:$D$33,0)),VLOOKUP(H44,'HP Calcs'!$D$28:$R$33,5,FALSE),INDEX('HP Calcs'!$H$28:$H$33,MATCH(I44,'HP Calcs'!$E$28:$E$33,0))+(INDEX('HP Calcs'!$I$28:$I$33,MATCH(I44,'HP Calcs'!$E$28:$E$33,0))*(H44-(INDEX('HP Calcs'!$D$28:$D$33,MATCH(I44,'HP Calcs'!$E$28:$E$33,0)))))),0)</f>
        <v>21660</v>
      </c>
      <c r="O44" s="55">
        <f>IFERROR(IF(ISNUMBER(MATCH($H44,'HP Calcs'!$D$28:$D$33,0)),VLOOKUP($H44,'HP Calcs'!$D$28:$R$33,7,FALSE),INDEX('HP Calcs'!J$28:J$33,MATCH($I44,'HP Calcs'!$E$28:$E$33,0))+(INDEX('HP Calcs'!K$28:K$33,MATCH($I44,'HP Calcs'!$E$28:$E$33,0))*($H44-(INDEX('HP Calcs'!$D$28:$D$33,MATCH($I44,'HP Calcs'!$E$28:$E$33,0)))))),0)</f>
        <v>0.38200000000000001</v>
      </c>
      <c r="P44" s="55">
        <f>IFERROR(IF(ISNUMBER(MATCH($H44,'HP Calcs'!$D$28:$D$33,0)),VLOOKUP($H44,'HP Calcs'!$D$28:$R$33,9,FALSE),INDEX('HP Calcs'!L$28:L$33,MATCH($I44,'HP Calcs'!$E$28:$E$33,0))+(INDEX('HP Calcs'!M$28:M$33,MATCH($I44,'HP Calcs'!$E$28:$E$33,0))*($H44-(INDEX('HP Calcs'!$D$28:$D$33,MATCH($I44,'HP Calcs'!$E$28:$E$33,0)))))),0)</f>
        <v>1.6099999999999999</v>
      </c>
      <c r="Q44" s="331">
        <f>Table1[[#This Row],[kWh]]*'Conversion Factors'!$N$21</f>
        <v>7.4661752680523357</v>
      </c>
      <c r="R44" s="334">
        <f>IF(Table1[[#This Row],[Temperature]]&lt;='HP Calcs'!$D$4,(Table1[[#This Row],[Annual Heating/Cooling Load (btu/year)]]*'Conversion Factors'!$M$4)/'HP Calcs'!$B$53*'Conversion Factors'!$N$20,"")</f>
        <v>7.2835804548130332</v>
      </c>
      <c r="S44" s="334">
        <f>IF(MIN(Table1[[#This Row],[Cost of Electricity]:[Cost of Natural Gas]])=0,MAX(Table1[[#This Row],[Cost of Electricity]:[Cost of Natural Gas]]),MIN(Table1[[#This Row],[Cost of Electricity]:[Cost of Natural Gas]]))</f>
        <v>7.2835804548130332</v>
      </c>
      <c r="T44" s="334">
        <f>IF(Table1[[#This Row],[Electricity or Natural Gas?]]=Table1[[#This Row],[Cost of Natural Gas]],-Table1[[#This Row],[Cost of Natural Gas]],Table1[[#This Row],[Cost of Electricity]])</f>
        <v>-7.2835804548130332</v>
      </c>
      <c r="U4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0.36417902274065167</v>
      </c>
      <c r="V4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19.256683445593499</v>
      </c>
      <c r="W44" s="55">
        <f>Table1[[#This Row],[kWh]]*'Conversion Factors'!$D$6*'Conversion Factors'!$C$9</f>
        <v>14.683478027169595</v>
      </c>
      <c r="X44" s="55">
        <f>IF(Table1[[#This Row],[Temperature]]&lt;='HP Calcs'!$D$4,(Table1[[#This Row],[Annual Heating/Cooling Load (btu/year)]])/'HP Calcs'!$B$53*'Conversion Factors'!$M$4*'Conversion Factors'!$C$27,0)</f>
        <v>19.256683445593499</v>
      </c>
      <c r="Y44" s="55">
        <f>IF(MIN(Table1[[#This Row],[Electricity Emissions]:[Natural Gas Emissions ]])=0,MAX(Table1[[#This Row],[Electricity Emissions]:[Natural Gas Emissions ]]),MIN(Table1[[#This Row],[Electricity Emissions]:[Natural Gas Emissions ]]))</f>
        <v>14.683478027169595</v>
      </c>
      <c r="Z44" s="55">
        <f>IF(Table1[[#This Row],[Electricity or Natural Gas?2]]=Table1[[#This Row],[Natural Gas Emissions ]],-Table1[[#This Row],[Natural Gas Emissions ]],Table1[[#This Row],[Electricity Emissions]])</f>
        <v>14.683478027169595</v>
      </c>
      <c r="AA44" s="55" t="str">
        <f>IF(Table1[[#This Row],[Fuel Selector (Cost)]]&lt;0,"NG","Elec")</f>
        <v>NG</v>
      </c>
      <c r="AB44" s="337"/>
      <c r="AC44" s="7">
        <v>2022</v>
      </c>
      <c r="AD44" s="7">
        <v>1</v>
      </c>
      <c r="AE44" s="7">
        <v>2</v>
      </c>
      <c r="AF44" s="8">
        <v>0.75</v>
      </c>
      <c r="AG44" s="9">
        <v>-4.5</v>
      </c>
      <c r="AH44" s="10">
        <f t="shared" si="6"/>
        <v>-5</v>
      </c>
    </row>
    <row r="45" spans="1:34" ht="14.5" x14ac:dyDescent="0.35">
      <c r="A45">
        <v>44</v>
      </c>
      <c r="B45" s="48">
        <f>IFERROR(IF(H45&lt;'HP Calcs'!$D$4,$K45-$M45,0),0)</f>
        <v>-4763.0269381153903</v>
      </c>
      <c r="C45" s="48">
        <f t="shared" si="7"/>
        <v>-20783.026938115392</v>
      </c>
      <c r="D45" s="48">
        <f t="shared" si="8"/>
        <v>21.235162536328453</v>
      </c>
      <c r="E45" s="48">
        <f>IFERROR(IF(H45&gt;'HP Calcs'!$D$5,IF(AND(K45&gt;M45,K45&lt;N45,H45&gt;'HP Calcs'!$D$5),J45,0),IF(AND(K45&gt;M45,K45&lt;N45,H45&lt;'HP Calcs'!$D$4),J45,0)),0)</f>
        <v>0</v>
      </c>
      <c r="F45" s="48">
        <f>IFERROR(IF(H45&gt;'HP Calcs'!$D$5,IF(AND(K45&lt;M45,H45&gt;'HP Calcs'!$D$5),J45,0),IF(AND(K45&lt;M45,H45&lt;'HP Calcs'!$D$4),J45,0)),0)</f>
        <v>289</v>
      </c>
      <c r="G45" s="48">
        <f t="shared" si="4"/>
        <v>289</v>
      </c>
      <c r="H45" s="48">
        <v>11</v>
      </c>
      <c r="I45" s="49">
        <f>IFERROR(VLOOKUP(H45,'HP Calcs'!$D$26:$T$33,2),0)</f>
        <v>4</v>
      </c>
      <c r="J45" s="48">
        <f t="shared" si="9"/>
        <v>289</v>
      </c>
      <c r="K45" s="49">
        <f>IF(H45&lt;'HP Calcs'!$D$4,MAX(_xlfn.FORECAST.LINEAR(H45,'HP Calcs'!$E$3:$E$4,'HP Calcs'!$D$3:$D$4),0),MAX(_xlfn.FORECAST.LINEAR(H45,'HP Calcs'!$E$5:$E$6,'HP Calcs'!$D$5:$D$6),0))</f>
        <v>1006.9730618846097</v>
      </c>
      <c r="L45" s="48">
        <f t="shared" si="10"/>
        <v>291015.21488465223</v>
      </c>
      <c r="M45" s="49">
        <f>IFERROR(IF(ISNUMBER(MATCH(H45,'HP Calcs'!$D$28:$D$33,0)),VLOOKUP(H45,'HP Calcs'!$D$28:$R$33,3,FALSE),INDEX('HP Calcs'!$F$28:$F$33,MATCH(I45,'HP Calcs'!$E$28:$E$33,0))+(INDEX('HP Calcs'!$G$28:$G$33,MATCH(I45,'HP Calcs'!$E$28:$E$33,0))*(H45-(INDEX('HP Calcs'!$D$28:$D$33,MATCH(I45,'HP Calcs'!$E$28:$E$33,0)))))),0)</f>
        <v>5770</v>
      </c>
      <c r="N45" s="49">
        <f>IFERROR(IF(ISNUMBER(MATCH(H45,'HP Calcs'!$D$28:$D$33,0)),VLOOKUP(H45,'HP Calcs'!$D$28:$R$33,5,FALSE),INDEX('HP Calcs'!$H$28:$H$33,MATCH(I45,'HP Calcs'!$E$28:$E$33,0))+(INDEX('HP Calcs'!$I$28:$I$33,MATCH(I45,'HP Calcs'!$E$28:$E$33,0))*(H45-(INDEX('HP Calcs'!$D$28:$D$33,MATCH(I45,'HP Calcs'!$E$28:$E$33,0)))))),0)</f>
        <v>21790</v>
      </c>
      <c r="O45" s="55">
        <f>IFERROR(IF(ISNUMBER(MATCH($H45,'HP Calcs'!$D$28:$D$33,0)),VLOOKUP($H45,'HP Calcs'!$D$28:$R$33,7,FALSE),INDEX('HP Calcs'!J$28:J$33,MATCH($I45,'HP Calcs'!$E$28:$E$33,0))+(INDEX('HP Calcs'!K$28:K$33,MATCH($I45,'HP Calcs'!$E$28:$E$33,0))*($H45-(INDEX('HP Calcs'!$D$28:$D$33,MATCH($I45,'HP Calcs'!$E$28:$E$33,0)))))),0)</f>
        <v>0.378</v>
      </c>
      <c r="P45" s="55">
        <f>IFERROR(IF(ISNUMBER(MATCH($H45,'HP Calcs'!$D$28:$D$33,0)),VLOOKUP($H45,'HP Calcs'!$D$28:$R$33,9,FALSE),INDEX('HP Calcs'!L$28:L$33,MATCH($I45,'HP Calcs'!$E$28:$E$33,0))+(INDEX('HP Calcs'!M$28:M$33,MATCH($I45,'HP Calcs'!$E$28:$E$33,0))*($H45-(INDEX('HP Calcs'!$D$28:$D$33,MATCH($I45,'HP Calcs'!$E$28:$E$33,0)))))),0)</f>
        <v>1.5899999999999999</v>
      </c>
      <c r="Q45" s="331">
        <f>Table1[[#This Row],[kWh]]*'Conversion Factors'!$N$21</f>
        <v>6.3705487608985356</v>
      </c>
      <c r="R45" s="334">
        <f>IF(Table1[[#This Row],[Temperature]]&lt;='HP Calcs'!$D$4,(Table1[[#This Row],[Annual Heating/Cooling Load (btu/year)]]*'Conversion Factors'!$M$4)/'HP Calcs'!$B$53*'Conversion Factors'!$N$20,"")</f>
        <v>6.3306909817773436</v>
      </c>
      <c r="S45" s="334">
        <f>IF(MIN(Table1[[#This Row],[Cost of Electricity]:[Cost of Natural Gas]])=0,MAX(Table1[[#This Row],[Cost of Electricity]:[Cost of Natural Gas]]),MIN(Table1[[#This Row],[Cost of Electricity]:[Cost of Natural Gas]]))</f>
        <v>6.3306909817773436</v>
      </c>
      <c r="T45" s="334">
        <f>IF(Table1[[#This Row],[Electricity or Natural Gas?]]=Table1[[#This Row],[Cost of Natural Gas]],-Table1[[#This Row],[Cost of Natural Gas]],Table1[[#This Row],[Cost of Electricity]])</f>
        <v>-6.3306909817773436</v>
      </c>
      <c r="U4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0.31653454908886719</v>
      </c>
      <c r="V4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16.737388017372997</v>
      </c>
      <c r="W45" s="55">
        <f>Table1[[#This Row],[kWh]]*'Conversion Factors'!$D$6*'Conversion Factors'!$C$9</f>
        <v>12.528745896433788</v>
      </c>
      <c r="X45" s="55">
        <f>IF(Table1[[#This Row],[Temperature]]&lt;='HP Calcs'!$D$4,(Table1[[#This Row],[Annual Heating/Cooling Load (btu/year)]])/'HP Calcs'!$B$53*'Conversion Factors'!$M$4*'Conversion Factors'!$C$27,0)</f>
        <v>16.737388017372997</v>
      </c>
      <c r="Y45" s="55">
        <f>IF(MIN(Table1[[#This Row],[Electricity Emissions]:[Natural Gas Emissions ]])=0,MAX(Table1[[#This Row],[Electricity Emissions]:[Natural Gas Emissions ]]),MIN(Table1[[#This Row],[Electricity Emissions]:[Natural Gas Emissions ]]))</f>
        <v>12.528745896433788</v>
      </c>
      <c r="Z45" s="55">
        <f>IF(Table1[[#This Row],[Electricity or Natural Gas?2]]=Table1[[#This Row],[Natural Gas Emissions ]],-Table1[[#This Row],[Natural Gas Emissions ]],Table1[[#This Row],[Electricity Emissions]])</f>
        <v>12.528745896433788</v>
      </c>
      <c r="AA45" s="55" t="str">
        <f>IF(Table1[[#This Row],[Fuel Selector (Cost)]]&lt;0,"NG","Elec")</f>
        <v>NG</v>
      </c>
      <c r="AB45" s="337"/>
      <c r="AC45" s="7">
        <v>2022</v>
      </c>
      <c r="AD45" s="7">
        <v>1</v>
      </c>
      <c r="AE45" s="7">
        <v>2</v>
      </c>
      <c r="AF45" s="8">
        <v>0.79166666666666663</v>
      </c>
      <c r="AG45" s="9">
        <v>-9.6</v>
      </c>
      <c r="AH45" s="10">
        <f t="shared" si="6"/>
        <v>-10</v>
      </c>
    </row>
    <row r="46" spans="1:34" ht="14.5" x14ac:dyDescent="0.35">
      <c r="A46">
        <v>45</v>
      </c>
      <c r="B46" s="48">
        <f>IFERROR(IF(H46&lt;'HP Calcs'!$D$4,$K46-$M46,0),0)</f>
        <v>-5020.8557817628252</v>
      </c>
      <c r="C46" s="48">
        <f t="shared" si="7"/>
        <v>-21080.855781762824</v>
      </c>
      <c r="D46" s="48">
        <f t="shared" si="8"/>
        <v>17.30964642874639</v>
      </c>
      <c r="E46" s="48">
        <f>IFERROR(IF(H46&gt;'HP Calcs'!$D$5,IF(AND(K46&gt;M46,K46&lt;N46,H46&gt;'HP Calcs'!$D$5),J46,0),IF(AND(K46&gt;M46,K46&lt;N46,H46&lt;'HP Calcs'!$D$4),J46,0)),0)</f>
        <v>0</v>
      </c>
      <c r="F46" s="48">
        <f>IFERROR(IF(H46&gt;'HP Calcs'!$D$5,IF(AND(K46&lt;M46,H46&gt;'HP Calcs'!$D$5),J46,0),IF(AND(K46&lt;M46,H46&lt;'HP Calcs'!$D$4),J46,0)),0)</f>
        <v>288</v>
      </c>
      <c r="G46" s="48">
        <f t="shared" si="4"/>
        <v>288</v>
      </c>
      <c r="H46" s="48">
        <v>12</v>
      </c>
      <c r="I46" s="49">
        <f>IFERROR(VLOOKUP(H46,'HP Calcs'!$D$26:$T$33,2),0)</f>
        <v>4</v>
      </c>
      <c r="J46" s="48">
        <f t="shared" si="9"/>
        <v>288</v>
      </c>
      <c r="K46" s="49">
        <f>IF(H46&lt;'HP Calcs'!$D$4,MAX(_xlfn.FORECAST.LINEAR(H46,'HP Calcs'!$E$3:$E$4,'HP Calcs'!$D$3:$D$4),0),MAX(_xlfn.FORECAST.LINEAR(H46,'HP Calcs'!$E$5:$E$6,'HP Calcs'!$D$5:$D$6),0))</f>
        <v>839.14421823717475</v>
      </c>
      <c r="L46" s="48">
        <f t="shared" si="10"/>
        <v>241673.53485230633</v>
      </c>
      <c r="M46" s="49">
        <f>IFERROR(IF(ISNUMBER(MATCH(H46,'HP Calcs'!$D$28:$D$33,0)),VLOOKUP(H46,'HP Calcs'!$D$28:$R$33,3,FALSE),INDEX('HP Calcs'!$F$28:$F$33,MATCH(I46,'HP Calcs'!$E$28:$E$33,0))+(INDEX('HP Calcs'!$G$28:$G$33,MATCH(I46,'HP Calcs'!$E$28:$E$33,0))*(H46-(INDEX('HP Calcs'!$D$28:$D$33,MATCH(I46,'HP Calcs'!$E$28:$E$33,0)))))),0)</f>
        <v>5860</v>
      </c>
      <c r="N46" s="49">
        <f>IFERROR(IF(ISNUMBER(MATCH(H46,'HP Calcs'!$D$28:$D$33,0)),VLOOKUP(H46,'HP Calcs'!$D$28:$R$33,5,FALSE),INDEX('HP Calcs'!$H$28:$H$33,MATCH(I46,'HP Calcs'!$E$28:$E$33,0))+(INDEX('HP Calcs'!$I$28:$I$33,MATCH(I46,'HP Calcs'!$E$28:$E$33,0))*(H46-(INDEX('HP Calcs'!$D$28:$D$33,MATCH(I46,'HP Calcs'!$E$28:$E$33,0)))))),0)</f>
        <v>21920</v>
      </c>
      <c r="O46" s="55">
        <f>IFERROR(IF(ISNUMBER(MATCH($H46,'HP Calcs'!$D$28:$D$33,0)),VLOOKUP($H46,'HP Calcs'!$D$28:$R$33,7,FALSE),INDEX('HP Calcs'!J$28:J$33,MATCH($I46,'HP Calcs'!$E$28:$E$33,0))+(INDEX('HP Calcs'!K$28:K$33,MATCH($I46,'HP Calcs'!$E$28:$E$33,0))*($H46-(INDEX('HP Calcs'!$D$28:$D$33,MATCH($I46,'HP Calcs'!$E$28:$E$33,0)))))),0)</f>
        <v>0.374</v>
      </c>
      <c r="P46" s="55">
        <f>IFERROR(IF(ISNUMBER(MATCH($H46,'HP Calcs'!$D$28:$D$33,0)),VLOOKUP($H46,'HP Calcs'!$D$28:$R$33,9,FALSE),INDEX('HP Calcs'!L$28:L$33,MATCH($I46,'HP Calcs'!$E$28:$E$33,0))+(INDEX('HP Calcs'!M$28:M$33,MATCH($I46,'HP Calcs'!$E$28:$E$33,0))*($H46-(INDEX('HP Calcs'!$D$28:$D$33,MATCH($I46,'HP Calcs'!$E$28:$E$33,0)))))),0)</f>
        <v>1.5699999999999998</v>
      </c>
      <c r="Q46" s="331">
        <f>Table1[[#This Row],[kWh]]*'Conversion Factors'!$N$21</f>
        <v>5.1928939286239171</v>
      </c>
      <c r="R46" s="334">
        <f>IF(Table1[[#This Row],[Temperature]]&lt;='HP Calcs'!$D$4,(Table1[[#This Row],[Annual Heating/Cooling Load (btu/year)]]*'Conversion Factors'!$M$4)/'HP Calcs'!$B$53*'Conversion Factors'!$N$20,"")</f>
        <v>5.2573212305417396</v>
      </c>
      <c r="S46" s="334">
        <f>IF(MIN(Table1[[#This Row],[Cost of Electricity]:[Cost of Natural Gas]])=0,MAX(Table1[[#This Row],[Cost of Electricity]:[Cost of Natural Gas]]),MIN(Table1[[#This Row],[Cost of Electricity]:[Cost of Natural Gas]]))</f>
        <v>5.1928939286239171</v>
      </c>
      <c r="T46" s="334">
        <f>IF(Table1[[#This Row],[Electricity or Natural Gas?]]=Table1[[#This Row],[Cost of Natural Gas]],-Table1[[#This Row],[Cost of Natural Gas]],Table1[[#This Row],[Cost of Electricity]])</f>
        <v>5.1928939286239171</v>
      </c>
      <c r="U4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6.2314677291745169E-2</v>
      </c>
      <c r="V4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10.212683222813792</v>
      </c>
      <c r="W46" s="55">
        <f>Table1[[#This Row],[kWh]]*'Conversion Factors'!$D$6*'Conversion Factors'!$C$9</f>
        <v>10.212691392960371</v>
      </c>
      <c r="X46" s="55">
        <f>IF(Table1[[#This Row],[Temperature]]&lt;='HP Calcs'!$D$4,(Table1[[#This Row],[Annual Heating/Cooling Load (btu/year)]])/'HP Calcs'!$B$53*'Conversion Factors'!$M$4*'Conversion Factors'!$C$27,0)</f>
        <v>13.899560983285532</v>
      </c>
      <c r="Y46" s="55">
        <f>IF(MIN(Table1[[#This Row],[Electricity Emissions]:[Natural Gas Emissions ]])=0,MAX(Table1[[#This Row],[Electricity Emissions]:[Natural Gas Emissions ]]),MIN(Table1[[#This Row],[Electricity Emissions]:[Natural Gas Emissions ]]))</f>
        <v>10.212691392960371</v>
      </c>
      <c r="Z46" s="55">
        <f>IF(Table1[[#This Row],[Electricity or Natural Gas?2]]=Table1[[#This Row],[Natural Gas Emissions ]],-Table1[[#This Row],[Natural Gas Emissions ]],Table1[[#This Row],[Electricity Emissions]])</f>
        <v>10.212691392960371</v>
      </c>
      <c r="AA46" s="55" t="str">
        <f>IF(Table1[[#This Row],[Fuel Selector (Cost)]]&lt;0,"NG","Elec")</f>
        <v>Elec</v>
      </c>
      <c r="AB46" s="337"/>
      <c r="AC46" s="7">
        <v>2022</v>
      </c>
      <c r="AD46" s="7">
        <v>1</v>
      </c>
      <c r="AE46" s="7">
        <v>2</v>
      </c>
      <c r="AF46" s="8">
        <v>0.83333333333333337</v>
      </c>
      <c r="AG46" s="9">
        <v>-11.3</v>
      </c>
      <c r="AH46" s="10">
        <f t="shared" si="6"/>
        <v>-11</v>
      </c>
    </row>
    <row r="47" spans="1:34" ht="14.5" x14ac:dyDescent="0.35">
      <c r="A47">
        <v>46</v>
      </c>
      <c r="B47" s="48">
        <f>IFERROR(IF(H47&lt;'HP Calcs'!$D$4,$K47-$M47,0),0)</f>
        <v>-5278.6846254102602</v>
      </c>
      <c r="C47" s="48">
        <f t="shared" si="7"/>
        <v>-21378.68462541026</v>
      </c>
      <c r="D47" s="48">
        <f t="shared" si="8"/>
        <v>13.449141348073356</v>
      </c>
      <c r="E47" s="48">
        <f>IFERROR(IF(H47&gt;'HP Calcs'!$D$5,IF(AND(K47&gt;M47,K47&lt;N47,H47&gt;'HP Calcs'!$D$5),J47,0),IF(AND(K47&gt;M47,K47&lt;N47,H47&lt;'HP Calcs'!$D$4),J47,0)),0)</f>
        <v>0</v>
      </c>
      <c r="F47" s="48">
        <f>IFERROR(IF(H47&gt;'HP Calcs'!$D$5,IF(AND(K47&lt;M47,H47&gt;'HP Calcs'!$D$5),J47,0),IF(AND(K47&lt;M47,H47&lt;'HP Calcs'!$D$4),J47,0)),0)</f>
        <v>285</v>
      </c>
      <c r="G47" s="48">
        <f t="shared" si="4"/>
        <v>285</v>
      </c>
      <c r="H47" s="48">
        <v>13</v>
      </c>
      <c r="I47" s="49">
        <f>IFERROR(VLOOKUP(H47,'HP Calcs'!$D$26:$T$33,2),0)</f>
        <v>4</v>
      </c>
      <c r="J47" s="48">
        <f t="shared" si="9"/>
        <v>285</v>
      </c>
      <c r="K47" s="49">
        <f>IF(H47&lt;'HP Calcs'!$D$4,MAX(_xlfn.FORECAST.LINEAR(H47,'HP Calcs'!$E$3:$E$4,'HP Calcs'!$D$3:$D$4),0),MAX(_xlfn.FORECAST.LINEAR(H47,'HP Calcs'!$E$5:$E$6,'HP Calcs'!$D$5:$D$6),0))</f>
        <v>671.3153745897398</v>
      </c>
      <c r="L47" s="48">
        <f t="shared" si="10"/>
        <v>191324.88175807585</v>
      </c>
      <c r="M47" s="49">
        <f>IFERROR(IF(ISNUMBER(MATCH(H47,'HP Calcs'!$D$28:$D$33,0)),VLOOKUP(H47,'HP Calcs'!$D$28:$R$33,3,FALSE),INDEX('HP Calcs'!$F$28:$F$33,MATCH(I47,'HP Calcs'!$E$28:$E$33,0))+(INDEX('HP Calcs'!$G$28:$G$33,MATCH(I47,'HP Calcs'!$E$28:$E$33,0))*(H47-(INDEX('HP Calcs'!$D$28:$D$33,MATCH(I47,'HP Calcs'!$E$28:$E$33,0)))))),0)</f>
        <v>5950</v>
      </c>
      <c r="N47" s="49">
        <f>IFERROR(IF(ISNUMBER(MATCH(H47,'HP Calcs'!$D$28:$D$33,0)),VLOOKUP(H47,'HP Calcs'!$D$28:$R$33,5,FALSE),INDEX('HP Calcs'!$H$28:$H$33,MATCH(I47,'HP Calcs'!$E$28:$E$33,0))+(INDEX('HP Calcs'!$I$28:$I$33,MATCH(I47,'HP Calcs'!$E$28:$E$33,0))*(H47-(INDEX('HP Calcs'!$D$28:$D$33,MATCH(I47,'HP Calcs'!$E$28:$E$33,0)))))),0)</f>
        <v>22050</v>
      </c>
      <c r="O47" s="55">
        <f>IFERROR(IF(ISNUMBER(MATCH($H47,'HP Calcs'!$D$28:$D$33,0)),VLOOKUP($H47,'HP Calcs'!$D$28:$R$33,7,FALSE),INDEX('HP Calcs'!J$28:J$33,MATCH($I47,'HP Calcs'!$E$28:$E$33,0))+(INDEX('HP Calcs'!K$28:K$33,MATCH($I47,'HP Calcs'!$E$28:$E$33,0))*($H47-(INDEX('HP Calcs'!$D$28:$D$33,MATCH($I47,'HP Calcs'!$E$28:$E$33,0)))))),0)</f>
        <v>0.37</v>
      </c>
      <c r="P47" s="55">
        <f>IFERROR(IF(ISNUMBER(MATCH($H47,'HP Calcs'!$D$28:$D$33,0)),VLOOKUP($H47,'HP Calcs'!$D$28:$R$33,9,FALSE),INDEX('HP Calcs'!L$28:L$33,MATCH($I47,'HP Calcs'!$E$28:$E$33,0))+(INDEX('HP Calcs'!M$28:M$33,MATCH($I47,'HP Calcs'!$E$28:$E$33,0))*($H47-(INDEX('HP Calcs'!$D$28:$D$33,MATCH($I47,'HP Calcs'!$E$28:$E$33,0)))))),0)</f>
        <v>1.5499999999999998</v>
      </c>
      <c r="Q47" s="331">
        <f>Table1[[#This Row],[kWh]]*'Conversion Factors'!$N$21</f>
        <v>4.0347424044220066</v>
      </c>
      <c r="R47" s="334">
        <f>IF(Table1[[#This Row],[Temperature]]&lt;='HP Calcs'!$D$4,(Table1[[#This Row],[Annual Heating/Cooling Load (btu/year)]]*'Conversion Factors'!$M$4)/'HP Calcs'!$B$53*'Conversion Factors'!$N$20,"")</f>
        <v>4.1620459741788771</v>
      </c>
      <c r="S47" s="334">
        <f>IF(MIN(Table1[[#This Row],[Cost of Electricity]:[Cost of Natural Gas]])=0,MAX(Table1[[#This Row],[Cost of Electricity]:[Cost of Natural Gas]]),MIN(Table1[[#This Row],[Cost of Electricity]:[Cost of Natural Gas]]))</f>
        <v>4.0347424044220066</v>
      </c>
      <c r="T47" s="334">
        <f>IF(Table1[[#This Row],[Electricity or Natural Gas?]]=Table1[[#This Row],[Cost of Natural Gas]],-Table1[[#This Row],[Cost of Natural Gas]],Table1[[#This Row],[Cost of Electricity]])</f>
        <v>4.0347424044220066</v>
      </c>
      <c r="U4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4.8416870119567981E-2</v>
      </c>
      <c r="V4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7.9349870473736424</v>
      </c>
      <c r="W47" s="55">
        <f>Table1[[#This Row],[kWh]]*'Conversion Factors'!$D$6*'Conversion Factors'!$C$9</f>
        <v>7.9349933953632812</v>
      </c>
      <c r="X47" s="55">
        <f>IF(Table1[[#This Row],[Temperature]]&lt;='HP Calcs'!$D$4,(Table1[[#This Row],[Annual Heating/Cooling Load (btu/year)]])/'HP Calcs'!$B$53*'Conversion Factors'!$M$4*'Conversion Factors'!$C$27,0)</f>
        <v>11.003819111767713</v>
      </c>
      <c r="Y47" s="55">
        <f>IF(MIN(Table1[[#This Row],[Electricity Emissions]:[Natural Gas Emissions ]])=0,MAX(Table1[[#This Row],[Electricity Emissions]:[Natural Gas Emissions ]]),MIN(Table1[[#This Row],[Electricity Emissions]:[Natural Gas Emissions ]]))</f>
        <v>7.9349933953632812</v>
      </c>
      <c r="Z47" s="55">
        <f>IF(Table1[[#This Row],[Electricity or Natural Gas?2]]=Table1[[#This Row],[Natural Gas Emissions ]],-Table1[[#This Row],[Natural Gas Emissions ]],Table1[[#This Row],[Electricity Emissions]])</f>
        <v>7.9349933953632812</v>
      </c>
      <c r="AA47" s="55" t="str">
        <f>IF(Table1[[#This Row],[Fuel Selector (Cost)]]&lt;0,"NG","Elec")</f>
        <v>Elec</v>
      </c>
      <c r="AB47" s="337"/>
      <c r="AC47" s="7">
        <v>2022</v>
      </c>
      <c r="AD47" s="7">
        <v>1</v>
      </c>
      <c r="AE47" s="7">
        <v>2</v>
      </c>
      <c r="AF47" s="8">
        <v>0.875</v>
      </c>
      <c r="AG47" s="9">
        <v>-12.2</v>
      </c>
      <c r="AH47" s="10">
        <f t="shared" si="6"/>
        <v>-12</v>
      </c>
    </row>
    <row r="48" spans="1:34" ht="14.5" x14ac:dyDescent="0.35">
      <c r="A48">
        <v>47</v>
      </c>
      <c r="B48" s="48">
        <f>IFERROR(IF(H48&lt;'HP Calcs'!$D$4,$K48-$M48,0),0)</f>
        <v>-5536.5134690576961</v>
      </c>
      <c r="C48" s="48">
        <f t="shared" si="7"/>
        <v>-21676.513469057696</v>
      </c>
      <c r="D48" s="48">
        <f t="shared" si="8"/>
        <v>9.3079178154906455</v>
      </c>
      <c r="E48" s="48">
        <f>IFERROR(IF(H48&gt;'HP Calcs'!$D$5,IF(AND(K48&gt;M48,K48&lt;N48,H48&gt;'HP Calcs'!$D$5),J48,0),IF(AND(K48&gt;M48,K48&lt;N48,H48&lt;'HP Calcs'!$D$4),J48,0)),0)</f>
        <v>0</v>
      </c>
      <c r="F48" s="48">
        <f>IFERROR(IF(H48&gt;'HP Calcs'!$D$5,IF(AND(K48&lt;M48,H48&gt;'HP Calcs'!$D$5),J48,0),IF(AND(K48&lt;M48,H48&lt;'HP Calcs'!$D$4),J48,0)),0)</f>
        <v>268</v>
      </c>
      <c r="G48" s="48">
        <f t="shared" si="4"/>
        <v>268</v>
      </c>
      <c r="H48" s="48">
        <v>14</v>
      </c>
      <c r="I48" s="49">
        <f>IFERROR(VLOOKUP(H48,'HP Calcs'!$D$26:$T$33,2),0)</f>
        <v>4</v>
      </c>
      <c r="J48" s="48">
        <f t="shared" si="9"/>
        <v>268</v>
      </c>
      <c r="K48" s="49">
        <f>IF(H48&lt;'HP Calcs'!$D$4,MAX(_xlfn.FORECAST.LINEAR(H48,'HP Calcs'!$E$3:$E$4,'HP Calcs'!$D$3:$D$4),0),MAX(_xlfn.FORECAST.LINEAR(H48,'HP Calcs'!$E$5:$E$6,'HP Calcs'!$D$5:$D$6),0))</f>
        <v>503.4865309423044</v>
      </c>
      <c r="L48" s="48">
        <f t="shared" si="10"/>
        <v>134934.39029253757</v>
      </c>
      <c r="M48" s="49">
        <f>IFERROR(IF(ISNUMBER(MATCH(H48,'HP Calcs'!$D$28:$D$33,0)),VLOOKUP(H48,'HP Calcs'!$D$28:$R$33,3,FALSE),INDEX('HP Calcs'!$F$28:$F$33,MATCH(I48,'HP Calcs'!$E$28:$E$33,0))+(INDEX('HP Calcs'!$G$28:$G$33,MATCH(I48,'HP Calcs'!$E$28:$E$33,0))*(H48-(INDEX('HP Calcs'!$D$28:$D$33,MATCH(I48,'HP Calcs'!$E$28:$E$33,0)))))),0)</f>
        <v>6040</v>
      </c>
      <c r="N48" s="49">
        <f>IFERROR(IF(ISNUMBER(MATCH(H48,'HP Calcs'!$D$28:$D$33,0)),VLOOKUP(H48,'HP Calcs'!$D$28:$R$33,5,FALSE),INDEX('HP Calcs'!$H$28:$H$33,MATCH(I48,'HP Calcs'!$E$28:$E$33,0))+(INDEX('HP Calcs'!$I$28:$I$33,MATCH(I48,'HP Calcs'!$E$28:$E$33,0))*(H48-(INDEX('HP Calcs'!$D$28:$D$33,MATCH(I48,'HP Calcs'!$E$28:$E$33,0)))))),0)</f>
        <v>22180</v>
      </c>
      <c r="O48" s="55">
        <f>IFERROR(IF(ISNUMBER(MATCH($H48,'HP Calcs'!$D$28:$D$33,0)),VLOOKUP($H48,'HP Calcs'!$D$28:$R$33,7,FALSE),INDEX('HP Calcs'!J$28:J$33,MATCH($I48,'HP Calcs'!$E$28:$E$33,0))+(INDEX('HP Calcs'!K$28:K$33,MATCH($I48,'HP Calcs'!$E$28:$E$33,0))*($H48-(INDEX('HP Calcs'!$D$28:$D$33,MATCH($I48,'HP Calcs'!$E$28:$E$33,0)))))),0)</f>
        <v>0.36599999999999999</v>
      </c>
      <c r="P48" s="55">
        <f>IFERROR(IF(ISNUMBER(MATCH($H48,'HP Calcs'!$D$28:$D$33,0)),VLOOKUP($H48,'HP Calcs'!$D$28:$R$33,9,FALSE),INDEX('HP Calcs'!L$28:L$33,MATCH($I48,'HP Calcs'!$E$28:$E$33,0))+(INDEX('HP Calcs'!M$28:M$33,MATCH($I48,'HP Calcs'!$E$28:$E$33,0))*($H48-(INDEX('HP Calcs'!$D$28:$D$33,MATCH($I48,'HP Calcs'!$E$28:$E$33,0)))))),0)</f>
        <v>1.53</v>
      </c>
      <c r="Q48" s="331">
        <f>Table1[[#This Row],[kWh]]*'Conversion Factors'!$N$21</f>
        <v>2.7923753446471937</v>
      </c>
      <c r="R48" s="334">
        <f>IF(Table1[[#This Row],[Temperature]]&lt;='HP Calcs'!$D$4,(Table1[[#This Row],[Annual Heating/Cooling Load (btu/year)]]*'Conversion Factors'!$M$4)/'HP Calcs'!$B$53*'Conversion Factors'!$N$20,"")</f>
        <v>2.9353376870524679</v>
      </c>
      <c r="S48" s="334">
        <f>IF(MIN(Table1[[#This Row],[Cost of Electricity]:[Cost of Natural Gas]])=0,MAX(Table1[[#This Row],[Cost of Electricity]:[Cost of Natural Gas]]),MIN(Table1[[#This Row],[Cost of Electricity]:[Cost of Natural Gas]]))</f>
        <v>2.7923753446471937</v>
      </c>
      <c r="T48" s="334">
        <f>IF(Table1[[#This Row],[Electricity or Natural Gas?]]=Table1[[#This Row],[Cost of Natural Gas]],-Table1[[#This Row],[Cost of Natural Gas]],Table1[[#This Row],[Cost of Electricity]])</f>
        <v>2.7923753446471937</v>
      </c>
      <c r="U4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3.350847732898446E-2</v>
      </c>
      <c r="V4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5.491667117805787</v>
      </c>
      <c r="W48" s="55">
        <f>Table1[[#This Row],[kWh]]*'Conversion Factors'!$D$6*'Conversion Factors'!$C$9</f>
        <v>5.491671511139482</v>
      </c>
      <c r="X48" s="55">
        <f>IF(Table1[[#This Row],[Temperature]]&lt;='HP Calcs'!$D$4,(Table1[[#This Row],[Annual Heating/Cooling Load (btu/year)]])/'HP Calcs'!$B$53*'Conversion Factors'!$M$4*'Conversion Factors'!$C$27,0)</f>
        <v>7.7605882156677488</v>
      </c>
      <c r="Y48" s="55">
        <f>IF(MIN(Table1[[#This Row],[Electricity Emissions]:[Natural Gas Emissions ]])=0,MAX(Table1[[#This Row],[Electricity Emissions]:[Natural Gas Emissions ]]),MIN(Table1[[#This Row],[Electricity Emissions]:[Natural Gas Emissions ]]))</f>
        <v>5.491671511139482</v>
      </c>
      <c r="Z48" s="55">
        <f>IF(Table1[[#This Row],[Electricity or Natural Gas?2]]=Table1[[#This Row],[Natural Gas Emissions ]],-Table1[[#This Row],[Natural Gas Emissions ]],Table1[[#This Row],[Electricity Emissions]])</f>
        <v>5.491671511139482</v>
      </c>
      <c r="AA48" s="55" t="str">
        <f>IF(Table1[[#This Row],[Fuel Selector (Cost)]]&lt;0,"NG","Elec")</f>
        <v>Elec</v>
      </c>
      <c r="AB48" s="337"/>
      <c r="AC48" s="7">
        <v>2022</v>
      </c>
      <c r="AD48" s="7">
        <v>1</v>
      </c>
      <c r="AE48" s="7">
        <v>2</v>
      </c>
      <c r="AF48" s="8">
        <v>0.91666666666666663</v>
      </c>
      <c r="AG48" s="9">
        <v>-14</v>
      </c>
      <c r="AH48" s="10">
        <f t="shared" si="6"/>
        <v>-14</v>
      </c>
    </row>
    <row r="49" spans="1:34" ht="14.5" x14ac:dyDescent="0.35">
      <c r="A49">
        <v>48</v>
      </c>
      <c r="B49" s="48">
        <f>IFERROR(IF(H49&lt;'HP Calcs'!$D$4,$K49-$M49,0),0)</f>
        <v>-5794.3423127051301</v>
      </c>
      <c r="C49" s="48">
        <f t="shared" si="7"/>
        <v>-21974.342312705132</v>
      </c>
      <c r="D49" s="48">
        <f t="shared" si="8"/>
        <v>6.7473062761600229</v>
      </c>
      <c r="E49" s="48">
        <f>IFERROR(IF(H49&gt;'HP Calcs'!$D$5,IF(AND(K49&gt;M49,K49&lt;N49,H49&gt;'HP Calcs'!$D$5),J49,0),IF(AND(K49&gt;M49,K49&lt;N49,H49&lt;'HP Calcs'!$D$4),J49,0)),0)</f>
        <v>0</v>
      </c>
      <c r="F49" s="48">
        <f>IFERROR(IF(H49&gt;'HP Calcs'!$D$5,IF(AND(K49&lt;M49,H49&gt;'HP Calcs'!$D$5),J49,0),IF(AND(K49&lt;M49,H49&lt;'HP Calcs'!$D$4),J49,0)),0)</f>
        <v>297</v>
      </c>
      <c r="G49" s="48">
        <f t="shared" si="4"/>
        <v>297</v>
      </c>
      <c r="H49" s="48">
        <v>15</v>
      </c>
      <c r="I49" s="49">
        <f>IFERROR(VLOOKUP(H49,'HP Calcs'!$D$26:$T$33,2),0)</f>
        <v>4</v>
      </c>
      <c r="J49" s="48">
        <f t="shared" si="9"/>
        <v>297</v>
      </c>
      <c r="K49" s="49">
        <f>IF(H49&lt;'HP Calcs'!$D$4,MAX(_xlfn.FORECAST.LINEAR(H49,'HP Calcs'!$E$3:$E$4,'HP Calcs'!$D$3:$D$4),0),MAX(_xlfn.FORECAST.LINEAR(H49,'HP Calcs'!$E$5:$E$6,'HP Calcs'!$D$5:$D$6),0))</f>
        <v>335.65768729486945</v>
      </c>
      <c r="L49" s="48">
        <f t="shared" si="10"/>
        <v>99690.333126576224</v>
      </c>
      <c r="M49" s="49">
        <f>IFERROR(IF(ISNUMBER(MATCH(H49,'HP Calcs'!$D$28:$D$33,0)),VLOOKUP(H49,'HP Calcs'!$D$28:$R$33,3,FALSE),INDEX('HP Calcs'!$F$28:$F$33,MATCH(I49,'HP Calcs'!$E$28:$E$33,0))+(INDEX('HP Calcs'!$G$28:$G$33,MATCH(I49,'HP Calcs'!$E$28:$E$33,0))*(H49-(INDEX('HP Calcs'!$D$28:$D$33,MATCH(I49,'HP Calcs'!$E$28:$E$33,0)))))),0)</f>
        <v>6130</v>
      </c>
      <c r="N49" s="49">
        <f>IFERROR(IF(ISNUMBER(MATCH(H49,'HP Calcs'!$D$28:$D$33,0)),VLOOKUP(H49,'HP Calcs'!$D$28:$R$33,5,FALSE),INDEX('HP Calcs'!$H$28:$H$33,MATCH(I49,'HP Calcs'!$E$28:$E$33,0))+(INDEX('HP Calcs'!$I$28:$I$33,MATCH(I49,'HP Calcs'!$E$28:$E$33,0))*(H49-(INDEX('HP Calcs'!$D$28:$D$33,MATCH(I49,'HP Calcs'!$E$28:$E$33,0)))))),0)</f>
        <v>22310</v>
      </c>
      <c r="O49" s="55">
        <f>IFERROR(IF(ISNUMBER(MATCH($H49,'HP Calcs'!$D$28:$D$33,0)),VLOOKUP($H49,'HP Calcs'!$D$28:$R$33,7,FALSE),INDEX('HP Calcs'!J$28:J$33,MATCH($I49,'HP Calcs'!$E$28:$E$33,0))+(INDEX('HP Calcs'!K$28:K$33,MATCH($I49,'HP Calcs'!$E$28:$E$33,0))*($H49-(INDEX('HP Calcs'!$D$28:$D$33,MATCH($I49,'HP Calcs'!$E$28:$E$33,0)))))),0)</f>
        <v>0.36199999999999999</v>
      </c>
      <c r="P49" s="55">
        <f>IFERROR(IF(ISNUMBER(MATCH($H49,'HP Calcs'!$D$28:$D$33,0)),VLOOKUP($H49,'HP Calcs'!$D$28:$R$33,9,FALSE),INDEX('HP Calcs'!L$28:L$33,MATCH($I49,'HP Calcs'!$E$28:$E$33,0))+(INDEX('HP Calcs'!M$28:M$33,MATCH($I49,'HP Calcs'!$E$28:$E$33,0))*($H49-(INDEX('HP Calcs'!$D$28:$D$33,MATCH($I49,'HP Calcs'!$E$28:$E$33,0)))))),0)</f>
        <v>1.51</v>
      </c>
      <c r="Q49" s="331">
        <f>Table1[[#This Row],[kWh]]*'Conversion Factors'!$N$21</f>
        <v>2.0241918828480068</v>
      </c>
      <c r="R49" s="334">
        <f>IF(Table1[[#This Row],[Temperature]]&lt;='HP Calcs'!$D$4,(Table1[[#This Row],[Annual Heating/Cooling Load (btu/year)]]*'Conversion Factors'!$M$4)/'HP Calcs'!$B$53*'Conversion Factors'!$N$20,"")</f>
        <v>2.1686450075984642</v>
      </c>
      <c r="S49" s="334">
        <f>IF(MIN(Table1[[#This Row],[Cost of Electricity]:[Cost of Natural Gas]])=0,MAX(Table1[[#This Row],[Cost of Electricity]:[Cost of Natural Gas]]),MIN(Table1[[#This Row],[Cost of Electricity]:[Cost of Natural Gas]]))</f>
        <v>2.0241918828480068</v>
      </c>
      <c r="T49" s="334">
        <f>IF(Table1[[#This Row],[Electricity or Natural Gas?]]=Table1[[#This Row],[Cost of Natural Gas]],-Table1[[#This Row],[Cost of Natural Gas]],Table1[[#This Row],[Cost of Electricity]])</f>
        <v>2.0241918828480068</v>
      </c>
      <c r="U4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2.429028316194955E-2</v>
      </c>
      <c r="V4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3.9809075182083991</v>
      </c>
      <c r="W49" s="55">
        <f>Table1[[#This Row],[kWh]]*'Conversion Factors'!$D$6*'Conversion Factors'!$C$9</f>
        <v>3.9809107029344144</v>
      </c>
      <c r="X49" s="55">
        <f>IF(Table1[[#This Row],[Temperature]]&lt;='HP Calcs'!$D$4,(Table1[[#This Row],[Annual Heating/Cooling Load (btu/year)]])/'HP Calcs'!$B$53*'Conversion Factors'!$M$4*'Conversion Factors'!$C$27,0)</f>
        <v>5.7335689056052752</v>
      </c>
      <c r="Y49" s="55">
        <f>IF(MIN(Table1[[#This Row],[Electricity Emissions]:[Natural Gas Emissions ]])=0,MAX(Table1[[#This Row],[Electricity Emissions]:[Natural Gas Emissions ]]),MIN(Table1[[#This Row],[Electricity Emissions]:[Natural Gas Emissions ]]))</f>
        <v>3.9809107029344144</v>
      </c>
      <c r="Z49" s="55">
        <f>IF(Table1[[#This Row],[Electricity or Natural Gas?2]]=Table1[[#This Row],[Natural Gas Emissions ]],-Table1[[#This Row],[Natural Gas Emissions ]],Table1[[#This Row],[Electricity Emissions]])</f>
        <v>3.9809107029344144</v>
      </c>
      <c r="AA49" s="55" t="str">
        <f>IF(Table1[[#This Row],[Fuel Selector (Cost)]]&lt;0,"NG","Elec")</f>
        <v>Elec</v>
      </c>
      <c r="AB49" s="337"/>
      <c r="AC49" s="7">
        <v>2022</v>
      </c>
      <c r="AD49" s="7">
        <v>1</v>
      </c>
      <c r="AE49" s="7">
        <v>2</v>
      </c>
      <c r="AF49" s="8">
        <v>0.95833333333333337</v>
      </c>
      <c r="AG49" s="9">
        <v>-14.9</v>
      </c>
      <c r="AH49" s="10">
        <f t="shared" si="6"/>
        <v>-15</v>
      </c>
    </row>
    <row r="50" spans="1:34" ht="14.5" x14ac:dyDescent="0.35">
      <c r="A50">
        <v>49</v>
      </c>
      <c r="B50" s="48">
        <f>IFERROR(IF(H50&lt;'HP Calcs'!$D$4,$K50-$M50,0),0)</f>
        <v>-6052.171156352566</v>
      </c>
      <c r="C50" s="48">
        <f t="shared" si="7"/>
        <v>-22272.171156352564</v>
      </c>
      <c r="D50" s="48">
        <f t="shared" si="8"/>
        <v>2.9976594840609727</v>
      </c>
      <c r="E50" s="48">
        <f>IFERROR(IF(H50&gt;'HP Calcs'!$D$5,IF(AND(K50&gt;M50,K50&lt;N50,H50&gt;'HP Calcs'!$D$5),J50,0),IF(AND(K50&gt;M50,K50&lt;N50,H50&lt;'HP Calcs'!$D$4),J50,0)),0)</f>
        <v>0</v>
      </c>
      <c r="F50" s="48">
        <f>IFERROR(IF(H50&gt;'HP Calcs'!$D$5,IF(AND(K50&lt;M50,H50&gt;'HP Calcs'!$D$5),J50,0),IF(AND(K50&lt;M50,H50&lt;'HP Calcs'!$D$4),J50,0)),0)</f>
        <v>269</v>
      </c>
      <c r="G50" s="48">
        <f t="shared" si="4"/>
        <v>269</v>
      </c>
      <c r="H50" s="48">
        <v>16</v>
      </c>
      <c r="I50" s="49">
        <f>IFERROR(VLOOKUP(H50,'HP Calcs'!$D$26:$T$33,2),0)</f>
        <v>4</v>
      </c>
      <c r="J50" s="48">
        <f t="shared" si="9"/>
        <v>269</v>
      </c>
      <c r="K50" s="49">
        <f>IF(H50&lt;'HP Calcs'!$D$4,MAX(_xlfn.FORECAST.LINEAR(H50,'HP Calcs'!$E$3:$E$4,'HP Calcs'!$D$3:$D$4),0),MAX(_xlfn.FORECAST.LINEAR(H50,'HP Calcs'!$E$5:$E$6,'HP Calcs'!$D$5:$D$6),0))</f>
        <v>167.8288436474345</v>
      </c>
      <c r="L50" s="48">
        <f t="shared" si="10"/>
        <v>45145.958941159879</v>
      </c>
      <c r="M50" s="49">
        <f>IFERROR(IF(ISNUMBER(MATCH(H50,'HP Calcs'!$D$28:$D$33,0)),VLOOKUP(H50,'HP Calcs'!$D$28:$R$33,3,FALSE),INDEX('HP Calcs'!$F$28:$F$33,MATCH(I50,'HP Calcs'!$E$28:$E$33,0))+(INDEX('HP Calcs'!$G$28:$G$33,MATCH(I50,'HP Calcs'!$E$28:$E$33,0))*(H50-(INDEX('HP Calcs'!$D$28:$D$33,MATCH(I50,'HP Calcs'!$E$28:$E$33,0)))))),0)</f>
        <v>6220</v>
      </c>
      <c r="N50" s="49">
        <f>IFERROR(IF(ISNUMBER(MATCH(H50,'HP Calcs'!$D$28:$D$33,0)),VLOOKUP(H50,'HP Calcs'!$D$28:$R$33,5,FALSE),INDEX('HP Calcs'!$H$28:$H$33,MATCH(I50,'HP Calcs'!$E$28:$E$33,0))+(INDEX('HP Calcs'!$I$28:$I$33,MATCH(I50,'HP Calcs'!$E$28:$E$33,0))*(H50-(INDEX('HP Calcs'!$D$28:$D$33,MATCH(I50,'HP Calcs'!$E$28:$E$33,0)))))),0)</f>
        <v>22440</v>
      </c>
      <c r="O50" s="55">
        <f>IFERROR(IF(ISNUMBER(MATCH($H50,'HP Calcs'!$D$28:$D$33,0)),VLOOKUP($H50,'HP Calcs'!$D$28:$R$33,7,FALSE),INDEX('HP Calcs'!J$28:J$33,MATCH($I50,'HP Calcs'!$E$28:$E$33,0))+(INDEX('HP Calcs'!K$28:K$33,MATCH($I50,'HP Calcs'!$E$28:$E$33,0))*($H50-(INDEX('HP Calcs'!$D$28:$D$33,MATCH($I50,'HP Calcs'!$E$28:$E$33,0)))))),0)</f>
        <v>0.35799999999999998</v>
      </c>
      <c r="P50" s="55">
        <f>IFERROR(IF(ISNUMBER(MATCH($H50,'HP Calcs'!$D$28:$D$33,0)),VLOOKUP($H50,'HP Calcs'!$D$28:$R$33,9,FALSE),INDEX('HP Calcs'!L$28:L$33,MATCH($I50,'HP Calcs'!$E$28:$E$33,0))+(INDEX('HP Calcs'!M$28:M$33,MATCH($I50,'HP Calcs'!$E$28:$E$33,0))*($H50-(INDEX('HP Calcs'!$D$28:$D$33,MATCH($I50,'HP Calcs'!$E$28:$E$33,0)))))),0)</f>
        <v>1.49</v>
      </c>
      <c r="Q50" s="331">
        <f>Table1[[#This Row],[kWh]]*'Conversion Factors'!$N$21</f>
        <v>0.89929784521829181</v>
      </c>
      <c r="R50" s="334">
        <f>IF(Table1[[#This Row],[Temperature]]&lt;='HP Calcs'!$D$4,(Table1[[#This Row],[Annual Heating/Cooling Load (btu/year)]]*'Conversion Factors'!$M$4)/'HP Calcs'!$B$53*'Conversion Factors'!$N$20,"")</f>
        <v>0.98209681320536379</v>
      </c>
      <c r="S50" s="334">
        <f>IF(MIN(Table1[[#This Row],[Cost of Electricity]:[Cost of Natural Gas]])=0,MAX(Table1[[#This Row],[Cost of Electricity]:[Cost of Natural Gas]]),MIN(Table1[[#This Row],[Cost of Electricity]:[Cost of Natural Gas]]))</f>
        <v>0.89929784521829181</v>
      </c>
      <c r="T50" s="334">
        <f>IF(Table1[[#This Row],[Electricity or Natural Gas?]]=Table1[[#This Row],[Cost of Natural Gas]],-Table1[[#This Row],[Cost of Natural Gas]],Table1[[#This Row],[Cost of Electricity]])</f>
        <v>0.89929784521829181</v>
      </c>
      <c r="U5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1.0791565509367093E-2</v>
      </c>
      <c r="V5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1.7686176807018295</v>
      </c>
      <c r="W50" s="55">
        <f>Table1[[#This Row],[kWh]]*'Conversion Factors'!$D$6*'Conversion Factors'!$C$9</f>
        <v>1.7686190955959742</v>
      </c>
      <c r="X50" s="55">
        <f>IF(Table1[[#This Row],[Temperature]]&lt;='HP Calcs'!$D$4,(Table1[[#This Row],[Annual Heating/Cooling Load (btu/year)]])/'HP Calcs'!$B$53*'Conversion Factors'!$M$4*'Conversion Factors'!$C$27,0)</f>
        <v>2.5965152114609711</v>
      </c>
      <c r="Y50" s="55">
        <f>IF(MIN(Table1[[#This Row],[Electricity Emissions]:[Natural Gas Emissions ]])=0,MAX(Table1[[#This Row],[Electricity Emissions]:[Natural Gas Emissions ]]),MIN(Table1[[#This Row],[Electricity Emissions]:[Natural Gas Emissions ]]))</f>
        <v>1.7686190955959742</v>
      </c>
      <c r="Z50" s="55">
        <f>IF(Table1[[#This Row],[Electricity or Natural Gas?2]]=Table1[[#This Row],[Natural Gas Emissions ]],-Table1[[#This Row],[Natural Gas Emissions ]],Table1[[#This Row],[Electricity Emissions]])</f>
        <v>1.7686190955959742</v>
      </c>
      <c r="AA50" s="55" t="str">
        <f>IF(Table1[[#This Row],[Fuel Selector (Cost)]]&lt;0,"NG","Elec")</f>
        <v>Elec</v>
      </c>
      <c r="AB50" s="337"/>
      <c r="AC50" s="7">
        <v>2022</v>
      </c>
      <c r="AD50" s="7">
        <v>1</v>
      </c>
      <c r="AE50" s="7">
        <v>3</v>
      </c>
      <c r="AF50" s="8">
        <v>0</v>
      </c>
      <c r="AG50" s="9">
        <v>-15.6</v>
      </c>
      <c r="AH50" s="10">
        <f t="shared" si="6"/>
        <v>-16</v>
      </c>
    </row>
    <row r="51" spans="1:34" ht="14.5" x14ac:dyDescent="0.35">
      <c r="A51" s="217">
        <v>50</v>
      </c>
      <c r="B51" s="218">
        <f>IFERROR(IF(H51&lt;'HP Calcs'!$D$4,$K51-$M51,0),0)</f>
        <v>0</v>
      </c>
      <c r="C51" s="218">
        <f t="shared" si="7"/>
        <v>-22570</v>
      </c>
      <c r="D51" s="218">
        <f t="shared" si="8"/>
        <v>0</v>
      </c>
      <c r="E51" s="218">
        <f>IFERROR(IF(H51&gt;'HP Calcs'!$D$5,IF(AND(K51&gt;M51,K51&lt;N51,H51&gt;'HP Calcs'!$D$5),J51,0),IF(AND(K51&gt;M51,K51&lt;N51,H51&lt;'HP Calcs'!$D$4),J51,0)),0)</f>
        <v>0</v>
      </c>
      <c r="F51" s="218">
        <f>IFERROR(IF(H51&gt;'HP Calcs'!$D$5,IF(AND(K51&lt;M51,H51&gt;'HP Calcs'!$D$5),J51,0),IF(AND(K51&lt;M51,H51&lt;'HP Calcs'!$D$4),J51,0)),0)</f>
        <v>0</v>
      </c>
      <c r="G51" s="218">
        <f t="shared" si="4"/>
        <v>0</v>
      </c>
      <c r="H51" s="218">
        <v>17</v>
      </c>
      <c r="I51" s="219">
        <f>IFERROR(VLOOKUP(H51,'HP Calcs'!$D$26:$T$33,2),0)</f>
        <v>4</v>
      </c>
      <c r="J51" s="218">
        <f t="shared" si="9"/>
        <v>229</v>
      </c>
      <c r="K51" s="219">
        <f>IF(H51&lt;'HP Calcs'!$D$4,MAX(_xlfn.FORECAST.LINEAR(H51,'HP Calcs'!$E$3:$E$4,'HP Calcs'!$D$3:$D$4),0),MAX(_xlfn.FORECAST.LINEAR(H51,'HP Calcs'!$E$5:$E$6,'HP Calcs'!$D$5:$D$6),0))</f>
        <v>0</v>
      </c>
      <c r="L51" s="218">
        <f t="shared" si="10"/>
        <v>0</v>
      </c>
      <c r="M51" s="219">
        <f>IFERROR(IF(ISNUMBER(MATCH(H51,'HP Calcs'!$D$28:$D$33,0)),VLOOKUP(H51,'HP Calcs'!$D$28:$R$33,3,FALSE),INDEX('HP Calcs'!$F$28:$F$33,MATCH(I51,'HP Calcs'!$E$28:$E$33,0))+(INDEX('HP Calcs'!$G$28:$G$33,MATCH(I51,'HP Calcs'!$E$28:$E$33,0))*(H51-(INDEX('HP Calcs'!$D$28:$D$33,MATCH(I51,'HP Calcs'!$E$28:$E$33,0)))))),0)</f>
        <v>6310</v>
      </c>
      <c r="N51" s="219">
        <f>IFERROR(IF(ISNUMBER(MATCH(H51,'HP Calcs'!$D$28:$D$33,0)),VLOOKUP(H51,'HP Calcs'!$D$28:$R$33,5,FALSE),INDEX('HP Calcs'!$H$28:$H$33,MATCH(I51,'HP Calcs'!$E$28:$E$33,0))+(INDEX('HP Calcs'!$I$28:$I$33,MATCH(I51,'HP Calcs'!$E$28:$E$33,0))*(H51-(INDEX('HP Calcs'!$D$28:$D$33,MATCH(I51,'HP Calcs'!$E$28:$E$33,0)))))),0)</f>
        <v>22570</v>
      </c>
      <c r="O51" s="220">
        <f>IFERROR(IF(ISNUMBER(MATCH($H51,'HP Calcs'!$D$28:$D$33,0)),VLOOKUP($H51,'HP Calcs'!$D$28:$R$33,7,FALSE),INDEX('HP Calcs'!J$28:J$33,MATCH($I51,'HP Calcs'!$E$28:$E$33,0))+(INDEX('HP Calcs'!K$28:K$33,MATCH($I51,'HP Calcs'!$E$28:$E$33,0))*($H51-(INDEX('HP Calcs'!$D$28:$D$33,MATCH($I51,'HP Calcs'!$E$28:$E$33,0)))))),0)</f>
        <v>0.35399999999999998</v>
      </c>
      <c r="P51" s="220">
        <f>IFERROR(IF(ISNUMBER(MATCH($H51,'HP Calcs'!$D$28:$D$33,0)),VLOOKUP($H51,'HP Calcs'!$D$28:$R$33,9,FALSE),INDEX('HP Calcs'!L$28:L$33,MATCH($I51,'HP Calcs'!$E$28:$E$33,0))+(INDEX('HP Calcs'!M$28:M$33,MATCH($I51,'HP Calcs'!$E$28:$E$33,0))*($H51-(INDEX('HP Calcs'!$D$28:$D$33,MATCH($I51,'HP Calcs'!$E$28:$E$33,0)))))),0)</f>
        <v>1.47</v>
      </c>
      <c r="Q51" s="332">
        <f>Table1[[#This Row],[kWh]]*'Conversion Factors'!$N$21</f>
        <v>0</v>
      </c>
      <c r="R51" s="335">
        <f>IF(Table1[[#This Row],[Temperature]]&lt;='HP Calcs'!$D$4,(Table1[[#This Row],[Annual Heating/Cooling Load (btu/year)]]*'Conversion Factors'!$M$4)/'HP Calcs'!$B$53*'Conversion Factors'!$N$20,"")</f>
        <v>0</v>
      </c>
      <c r="S51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1" s="335">
        <f>IF(Table1[[#This Row],[Electricity or Natural Gas?]]=Table1[[#This Row],[Cost of Natural Gas]],-Table1[[#This Row],[Cost of Natural Gas]],Table1[[#This Row],[Cost of Electricity]])</f>
        <v>0</v>
      </c>
      <c r="U51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1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1" s="220">
        <f>Table1[[#This Row],[kWh]]*'Conversion Factors'!$D$6*'Conversion Factors'!$C$9</f>
        <v>0</v>
      </c>
      <c r="X51" s="220">
        <f>IF(Table1[[#This Row],[Temperature]]&lt;='HP Calcs'!$D$4,(Table1[[#This Row],[Annual Heating/Cooling Load (btu/year)]])/'HP Calcs'!$B$53*'Conversion Factors'!$M$4*'Conversion Factors'!$C$27,0)</f>
        <v>0</v>
      </c>
      <c r="Y51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1" s="220">
        <f>IF(Table1[[#This Row],[Electricity or Natural Gas?2]]=Table1[[#This Row],[Natural Gas Emissions ]],-Table1[[#This Row],[Natural Gas Emissions ]],Table1[[#This Row],[Electricity Emissions]])</f>
        <v>0</v>
      </c>
      <c r="AA51" s="220" t="str">
        <f>IF(Table1[[#This Row],[Fuel Selector (Cost)]]&lt;0,"NG","Elec")</f>
        <v>Elec</v>
      </c>
      <c r="AB51" s="338"/>
      <c r="AC51" s="7">
        <v>2022</v>
      </c>
      <c r="AD51" s="7">
        <v>1</v>
      </c>
      <c r="AE51" s="7">
        <v>3</v>
      </c>
      <c r="AF51" s="8">
        <v>4.1666666666666664E-2</v>
      </c>
      <c r="AG51" s="9">
        <v>-16.600000000000001</v>
      </c>
      <c r="AH51" s="10">
        <f t="shared" si="6"/>
        <v>-17</v>
      </c>
    </row>
    <row r="52" spans="1:34" ht="14.5" x14ac:dyDescent="0.35">
      <c r="A52" s="217">
        <v>51</v>
      </c>
      <c r="B52" s="218">
        <f>IFERROR(IF(H52&lt;'HP Calcs'!$D$4,$K52-$M52,0),0)</f>
        <v>0</v>
      </c>
      <c r="C52" s="218">
        <f t="shared" si="7"/>
        <v>-22700</v>
      </c>
      <c r="D52" s="218">
        <f t="shared" si="8"/>
        <v>0</v>
      </c>
      <c r="E52" s="218">
        <f>IFERROR(IF(H52&gt;'HP Calcs'!$D$5,IF(AND(K52&gt;M52,K52&lt;N52,H52&gt;'HP Calcs'!$D$5),J52,0),IF(AND(K52&gt;M52,K52&lt;N52,H52&lt;'HP Calcs'!$D$4),J52,0)),0)</f>
        <v>0</v>
      </c>
      <c r="F52" s="218">
        <f>IFERROR(IF(H52&gt;'HP Calcs'!$D$5,IF(AND(K52&lt;M52,H52&gt;'HP Calcs'!$D$5),J52,0),IF(AND(K52&lt;M52,H52&lt;'HP Calcs'!$D$4),J52,0)),0)</f>
        <v>0</v>
      </c>
      <c r="G52" s="218">
        <f>E52+F52</f>
        <v>0</v>
      </c>
      <c r="H52" s="218">
        <v>18</v>
      </c>
      <c r="I52" s="219">
        <f>IFERROR(VLOOKUP(H52,'HP Calcs'!$D$26:$T$33,2),0)</f>
        <v>4</v>
      </c>
      <c r="J52" s="218">
        <f t="shared" si="9"/>
        <v>178</v>
      </c>
      <c r="K52" s="219">
        <f>IF(H52&lt;'HP Calcs'!$D$4,MAX(_xlfn.FORECAST.LINEAR(H52,'HP Calcs'!$E$3:$E$4,'HP Calcs'!$D$3:$D$4),0),MAX(_xlfn.FORECAST.LINEAR(H52,'HP Calcs'!$E$5:$E$6,'HP Calcs'!$D$5:$D$6),0))</f>
        <v>0</v>
      </c>
      <c r="L52" s="218">
        <f t="shared" si="10"/>
        <v>0</v>
      </c>
      <c r="M52" s="219">
        <f>IFERROR(IF(ISNUMBER(MATCH(H52,'HP Calcs'!$D$28:$D$33,0)),VLOOKUP(H52,'HP Calcs'!$D$28:$R$33,3,FALSE),INDEX('HP Calcs'!$F$28:$F$33,MATCH(I52,'HP Calcs'!$E$28:$E$33,0))+(INDEX('HP Calcs'!$G$28:$G$33,MATCH(I52,'HP Calcs'!$E$28:$E$33,0))*(H52-(INDEX('HP Calcs'!$D$28:$D$33,MATCH(I52,'HP Calcs'!$E$28:$E$33,0)))))),0)</f>
        <v>6400</v>
      </c>
      <c r="N52" s="219">
        <f>IFERROR(IF(ISNUMBER(MATCH(H52,'HP Calcs'!$D$28:$D$33,0)),VLOOKUP(H52,'HP Calcs'!$D$28:$R$33,5,FALSE),INDEX('HP Calcs'!$H$28:$H$33,MATCH(I52,'HP Calcs'!$E$28:$E$33,0))+(INDEX('HP Calcs'!$I$28:$I$33,MATCH(I52,'HP Calcs'!$E$28:$E$33,0))*(H52-(INDEX('HP Calcs'!$D$28:$D$33,MATCH(I52,'HP Calcs'!$E$28:$E$33,0)))))),0)</f>
        <v>22700</v>
      </c>
      <c r="O52" s="220">
        <f>IFERROR(IF(ISNUMBER(MATCH($H52,'HP Calcs'!$D$28:$D$33,0)),VLOOKUP($H52,'HP Calcs'!$D$28:$R$33,7,FALSE),INDEX('HP Calcs'!J$28:J$33,MATCH($I52,'HP Calcs'!$E$28:$E$33,0))+(INDEX('HP Calcs'!K$28:K$33,MATCH($I52,'HP Calcs'!$E$28:$E$33,0))*($H52-(INDEX('HP Calcs'!$D$28:$D$33,MATCH($I52,'HP Calcs'!$E$28:$E$33,0)))))),0)</f>
        <v>0.35</v>
      </c>
      <c r="P52" s="220">
        <f>IFERROR(IF(ISNUMBER(MATCH($H52,'HP Calcs'!$D$28:$D$33,0)),VLOOKUP($H52,'HP Calcs'!$D$28:$R$33,9,FALSE),INDEX('HP Calcs'!L$28:L$33,MATCH($I52,'HP Calcs'!$E$28:$E$33,0))+(INDEX('HP Calcs'!M$28:M$33,MATCH($I52,'HP Calcs'!$E$28:$E$33,0))*($H52-(INDEX('HP Calcs'!$D$28:$D$33,MATCH($I52,'HP Calcs'!$E$28:$E$33,0)))))),0)</f>
        <v>1.45</v>
      </c>
      <c r="Q52" s="332">
        <f>Table1[[#This Row],[kWh]]*'Conversion Factors'!$N$21</f>
        <v>0</v>
      </c>
      <c r="R52" s="335" t="str">
        <f>IF(Table1[[#This Row],[Temperature]]&lt;='HP Calcs'!$D$4,(Table1[[#This Row],[Annual Heating/Cooling Load (btu/year)]]*'Conversion Factors'!$M$4)/'HP Calcs'!$B$53*'Conversion Factors'!$N$20,"")</f>
        <v/>
      </c>
      <c r="S52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2" s="335">
        <f>IF(Table1[[#This Row],[Electricity or Natural Gas?]]=Table1[[#This Row],[Cost of Natural Gas]],-Table1[[#This Row],[Cost of Natural Gas]],Table1[[#This Row],[Cost of Electricity]])</f>
        <v>0</v>
      </c>
      <c r="U52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2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2" s="220">
        <f>Table1[[#This Row],[kWh]]*'Conversion Factors'!$D$6*'Conversion Factors'!$C$9</f>
        <v>0</v>
      </c>
      <c r="X52" s="220">
        <f>IF(Table1[[#This Row],[Temperature]]&lt;='HP Calcs'!$D$4,(Table1[[#This Row],[Annual Heating/Cooling Load (btu/year)]])/'HP Calcs'!$B$53*'Conversion Factors'!$M$4*'Conversion Factors'!$C$27,0)</f>
        <v>0</v>
      </c>
      <c r="Y52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2" s="220">
        <f>IF(Table1[[#This Row],[Electricity or Natural Gas?2]]=Table1[[#This Row],[Natural Gas Emissions ]],-Table1[[#This Row],[Natural Gas Emissions ]],Table1[[#This Row],[Electricity Emissions]])</f>
        <v>0</v>
      </c>
      <c r="AA52" s="220" t="str">
        <f>IF(Table1[[#This Row],[Fuel Selector (Cost)]]&lt;0,"NG","Elec")</f>
        <v>Elec</v>
      </c>
      <c r="AB52" s="338"/>
      <c r="AC52" s="7">
        <v>2022</v>
      </c>
      <c r="AD52" s="7">
        <v>1</v>
      </c>
      <c r="AE52" s="7">
        <v>3</v>
      </c>
      <c r="AF52" s="8">
        <v>8.3333333333333329E-2</v>
      </c>
      <c r="AG52" s="9">
        <v>-18.100000000000001</v>
      </c>
      <c r="AH52" s="10">
        <f t="shared" si="6"/>
        <v>-18</v>
      </c>
    </row>
    <row r="53" spans="1:34" ht="14.5" x14ac:dyDescent="0.35">
      <c r="A53" s="217">
        <v>52</v>
      </c>
      <c r="B53" s="218">
        <f>IFERROR(IF(H53&lt;'HP Calcs'!$D$4,$K53-$M53,0),0)</f>
        <v>0</v>
      </c>
      <c r="C53" s="218">
        <f t="shared" si="7"/>
        <v>-22830</v>
      </c>
      <c r="D53" s="218">
        <f t="shared" si="8"/>
        <v>0</v>
      </c>
      <c r="E53" s="218">
        <f>IFERROR(IF(H53&gt;'HP Calcs'!$D$5,IF(AND(K53&gt;M53,K53&lt;N53,H53&gt;'HP Calcs'!$D$5),J53,0),IF(AND(K53&gt;M53,K53&lt;N53,H53&lt;'HP Calcs'!$D$4),J53,0)),0)</f>
        <v>0</v>
      </c>
      <c r="F53" s="218">
        <f>IFERROR(IF(H53&gt;'HP Calcs'!$D$5,IF(AND(K53&lt;M53,H53&gt;'HP Calcs'!$D$5),J53,0),IF(AND(K53&lt;M53,H53&lt;'HP Calcs'!$D$4),J53,0)),0)</f>
        <v>0</v>
      </c>
      <c r="G53" s="218">
        <f t="shared" si="4"/>
        <v>0</v>
      </c>
      <c r="H53" s="218">
        <v>19</v>
      </c>
      <c r="I53" s="219">
        <f>IFERROR(VLOOKUP(H53,'HP Calcs'!$D$26:$T$33,2),0)</f>
        <v>4</v>
      </c>
      <c r="J53" s="218">
        <f t="shared" si="9"/>
        <v>196</v>
      </c>
      <c r="K53" s="219">
        <f>IF(H53&lt;'HP Calcs'!$D$4,MAX(_xlfn.FORECAST.LINEAR(H53,'HP Calcs'!$E$3:$E$4,'HP Calcs'!$D$3:$D$4),0),MAX(_xlfn.FORECAST.LINEAR(H53,'HP Calcs'!$E$5:$E$6,'HP Calcs'!$D$5:$D$6),0))</f>
        <v>0</v>
      </c>
      <c r="L53" s="218">
        <f t="shared" si="10"/>
        <v>0</v>
      </c>
      <c r="M53" s="219">
        <f>IFERROR(IF(ISNUMBER(MATCH(H53,'HP Calcs'!$D$28:$D$33,0)),VLOOKUP(H53,'HP Calcs'!$D$28:$R$33,3,FALSE),INDEX('HP Calcs'!$F$28:$F$33,MATCH(I53,'HP Calcs'!$E$28:$E$33,0))+(INDEX('HP Calcs'!$G$28:$G$33,MATCH(I53,'HP Calcs'!$E$28:$E$33,0))*(H53-(INDEX('HP Calcs'!$D$28:$D$33,MATCH(I53,'HP Calcs'!$E$28:$E$33,0)))))),0)</f>
        <v>6490</v>
      </c>
      <c r="N53" s="219">
        <f>IFERROR(IF(ISNUMBER(MATCH(H53,'HP Calcs'!$D$28:$D$33,0)),VLOOKUP(H53,'HP Calcs'!$D$28:$R$33,5,FALSE),INDEX('HP Calcs'!$H$28:$H$33,MATCH(I53,'HP Calcs'!$E$28:$E$33,0))+(INDEX('HP Calcs'!$I$28:$I$33,MATCH(I53,'HP Calcs'!$E$28:$E$33,0))*(H53-(INDEX('HP Calcs'!$D$28:$D$33,MATCH(I53,'HP Calcs'!$E$28:$E$33,0)))))),0)</f>
        <v>22830</v>
      </c>
      <c r="O53" s="220">
        <f>IFERROR(IF(ISNUMBER(MATCH($H53,'HP Calcs'!$D$28:$D$33,0)),VLOOKUP($H53,'HP Calcs'!$D$28:$R$33,7,FALSE),INDEX('HP Calcs'!J$28:J$33,MATCH($I53,'HP Calcs'!$E$28:$E$33,0))+(INDEX('HP Calcs'!K$28:K$33,MATCH($I53,'HP Calcs'!$E$28:$E$33,0))*($H53-(INDEX('HP Calcs'!$D$28:$D$33,MATCH($I53,'HP Calcs'!$E$28:$E$33,0)))))),0)</f>
        <v>0.34599999999999997</v>
      </c>
      <c r="P53" s="220">
        <f>IFERROR(IF(ISNUMBER(MATCH($H53,'HP Calcs'!$D$28:$D$33,0)),VLOOKUP($H53,'HP Calcs'!$D$28:$R$33,9,FALSE),INDEX('HP Calcs'!L$28:L$33,MATCH($I53,'HP Calcs'!$E$28:$E$33,0))+(INDEX('HP Calcs'!M$28:M$33,MATCH($I53,'HP Calcs'!$E$28:$E$33,0))*($H53-(INDEX('HP Calcs'!$D$28:$D$33,MATCH($I53,'HP Calcs'!$E$28:$E$33,0)))))),0)</f>
        <v>1.43</v>
      </c>
      <c r="Q53" s="332">
        <f>Table1[[#This Row],[kWh]]*'Conversion Factors'!$N$21</f>
        <v>0</v>
      </c>
      <c r="R53" s="335" t="str">
        <f>IF(Table1[[#This Row],[Temperature]]&lt;='HP Calcs'!$D$4,(Table1[[#This Row],[Annual Heating/Cooling Load (btu/year)]]*'Conversion Factors'!$M$4)/'HP Calcs'!$B$53*'Conversion Factors'!$N$20,"")</f>
        <v/>
      </c>
      <c r="S53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3" s="335">
        <f>IF(Table1[[#This Row],[Electricity or Natural Gas?]]=Table1[[#This Row],[Cost of Natural Gas]],-Table1[[#This Row],[Cost of Natural Gas]],Table1[[#This Row],[Cost of Electricity]])</f>
        <v>0</v>
      </c>
      <c r="U53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3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3" s="220">
        <f>Table1[[#This Row],[kWh]]*'Conversion Factors'!$D$6*'Conversion Factors'!$C$9</f>
        <v>0</v>
      </c>
      <c r="X53" s="220">
        <f>IF(Table1[[#This Row],[Temperature]]&lt;='HP Calcs'!$D$4,(Table1[[#This Row],[Annual Heating/Cooling Load (btu/year)]])/'HP Calcs'!$B$53*'Conversion Factors'!$M$4*'Conversion Factors'!$C$27,0)</f>
        <v>0</v>
      </c>
      <c r="Y53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3" s="220">
        <f>IF(Table1[[#This Row],[Electricity or Natural Gas?2]]=Table1[[#This Row],[Natural Gas Emissions ]],-Table1[[#This Row],[Natural Gas Emissions ]],Table1[[#This Row],[Electricity Emissions]])</f>
        <v>0</v>
      </c>
      <c r="AA53" s="220" t="str">
        <f>IF(Table1[[#This Row],[Fuel Selector (Cost)]]&lt;0,"NG","Elec")</f>
        <v>Elec</v>
      </c>
      <c r="AB53" s="338"/>
      <c r="AC53" s="7">
        <v>2022</v>
      </c>
      <c r="AD53" s="7">
        <v>1</v>
      </c>
      <c r="AE53" s="7">
        <v>3</v>
      </c>
      <c r="AF53" s="8">
        <v>0.125</v>
      </c>
      <c r="AG53" s="9">
        <v>-19.2</v>
      </c>
      <c r="AH53" s="10">
        <f t="shared" si="6"/>
        <v>-19</v>
      </c>
    </row>
    <row r="54" spans="1:34" ht="14.5" x14ac:dyDescent="0.35">
      <c r="A54" s="217">
        <v>53</v>
      </c>
      <c r="B54" s="218">
        <f>IFERROR(IF(H54&lt;'HP Calcs'!$D$4,$K54-$M54,0),0)</f>
        <v>0</v>
      </c>
      <c r="C54" s="218">
        <f t="shared" si="7"/>
        <v>-22960</v>
      </c>
      <c r="D54" s="218">
        <f t="shared" si="8"/>
        <v>0</v>
      </c>
      <c r="E54" s="218">
        <f>IFERROR(IF(H54&gt;'HP Calcs'!$D$5,IF(AND(K54&gt;M54,K54&lt;N54,H54&gt;'HP Calcs'!$D$5),J54,0),IF(AND(K54&gt;M54,K54&lt;N54,H54&lt;'HP Calcs'!$D$4),J54,0)),0)</f>
        <v>0</v>
      </c>
      <c r="F54" s="218">
        <f>IFERROR(IF(H54&gt;'HP Calcs'!$D$5,IF(AND(K54&lt;M54,H54&gt;'HP Calcs'!$D$5),J54,0),IF(AND(K54&lt;M54,H54&lt;'HP Calcs'!$D$4),J54,0)),0)</f>
        <v>0</v>
      </c>
      <c r="G54" s="218">
        <f t="shared" si="4"/>
        <v>0</v>
      </c>
      <c r="H54" s="218">
        <v>20</v>
      </c>
      <c r="I54" s="219">
        <f>IFERROR(VLOOKUP(H54,'HP Calcs'!$D$26:$T$33,2),0)</f>
        <v>4</v>
      </c>
      <c r="J54" s="218">
        <f t="shared" si="9"/>
        <v>132</v>
      </c>
      <c r="K54" s="219">
        <f>IF(H54&lt;'HP Calcs'!$D$4,MAX(_xlfn.FORECAST.LINEAR(H54,'HP Calcs'!$E$3:$E$4,'HP Calcs'!$D$3:$D$4),0),MAX(_xlfn.FORECAST.LINEAR(H54,'HP Calcs'!$E$5:$E$6,'HP Calcs'!$D$5:$D$6),0))</f>
        <v>0</v>
      </c>
      <c r="L54" s="218">
        <f t="shared" si="10"/>
        <v>0</v>
      </c>
      <c r="M54" s="219">
        <f>IFERROR(IF(ISNUMBER(MATCH(H54,'HP Calcs'!$D$28:$D$33,0)),VLOOKUP(H54,'HP Calcs'!$D$28:$R$33,3,FALSE),INDEX('HP Calcs'!$F$28:$F$33,MATCH(I54,'HP Calcs'!$E$28:$E$33,0))+(INDEX('HP Calcs'!$G$28:$G$33,MATCH(I54,'HP Calcs'!$E$28:$E$33,0))*(H54-(INDEX('HP Calcs'!$D$28:$D$33,MATCH(I54,'HP Calcs'!$E$28:$E$33,0)))))),0)</f>
        <v>6580</v>
      </c>
      <c r="N54" s="219">
        <f>IFERROR(IF(ISNUMBER(MATCH(H54,'HP Calcs'!$D$28:$D$33,0)),VLOOKUP(H54,'HP Calcs'!$D$28:$R$33,5,FALSE),INDEX('HP Calcs'!$H$28:$H$33,MATCH(I54,'HP Calcs'!$E$28:$E$33,0))+(INDEX('HP Calcs'!$I$28:$I$33,MATCH(I54,'HP Calcs'!$E$28:$E$33,0))*(H54-(INDEX('HP Calcs'!$D$28:$D$33,MATCH(I54,'HP Calcs'!$E$28:$E$33,0)))))),0)</f>
        <v>22960</v>
      </c>
      <c r="O54" s="220">
        <f>IFERROR(IF(ISNUMBER(MATCH($H54,'HP Calcs'!$D$28:$D$33,0)),VLOOKUP($H54,'HP Calcs'!$D$28:$R$33,7,FALSE),INDEX('HP Calcs'!J$28:J$33,MATCH($I54,'HP Calcs'!$E$28:$E$33,0))+(INDEX('HP Calcs'!K$28:K$33,MATCH($I54,'HP Calcs'!$E$28:$E$33,0))*($H54-(INDEX('HP Calcs'!$D$28:$D$33,MATCH($I54,'HP Calcs'!$E$28:$E$33,0)))))),0)</f>
        <v>0.34199999999999997</v>
      </c>
      <c r="P54" s="220">
        <f>IFERROR(IF(ISNUMBER(MATCH($H54,'HP Calcs'!$D$28:$D$33,0)),VLOOKUP($H54,'HP Calcs'!$D$28:$R$33,9,FALSE),INDEX('HP Calcs'!L$28:L$33,MATCH($I54,'HP Calcs'!$E$28:$E$33,0))+(INDEX('HP Calcs'!M$28:M$33,MATCH($I54,'HP Calcs'!$E$28:$E$33,0))*($H54-(INDEX('HP Calcs'!$D$28:$D$33,MATCH($I54,'HP Calcs'!$E$28:$E$33,0)))))),0)</f>
        <v>1.41</v>
      </c>
      <c r="Q54" s="332">
        <f>Table1[[#This Row],[kWh]]*'Conversion Factors'!$N$21</f>
        <v>0</v>
      </c>
      <c r="R54" s="335" t="str">
        <f>IF(Table1[[#This Row],[Temperature]]&lt;='HP Calcs'!$D$4,(Table1[[#This Row],[Annual Heating/Cooling Load (btu/year)]]*'Conversion Factors'!$M$4)/'HP Calcs'!$B$53*'Conversion Factors'!$N$20,"")</f>
        <v/>
      </c>
      <c r="S54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4" s="335">
        <f>IF(Table1[[#This Row],[Electricity or Natural Gas?]]=Table1[[#This Row],[Cost of Natural Gas]],-Table1[[#This Row],[Cost of Natural Gas]],Table1[[#This Row],[Cost of Electricity]])</f>
        <v>0</v>
      </c>
      <c r="U54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4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4" s="220">
        <f>Table1[[#This Row],[kWh]]*'Conversion Factors'!$D$6*'Conversion Factors'!$C$9</f>
        <v>0</v>
      </c>
      <c r="X54" s="220">
        <f>IF(Table1[[#This Row],[Temperature]]&lt;='HP Calcs'!$D$4,(Table1[[#This Row],[Annual Heating/Cooling Load (btu/year)]])/'HP Calcs'!$B$53*'Conversion Factors'!$M$4*'Conversion Factors'!$C$27,0)</f>
        <v>0</v>
      </c>
      <c r="Y54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4" s="220">
        <f>IF(Table1[[#This Row],[Electricity or Natural Gas?2]]=Table1[[#This Row],[Natural Gas Emissions ]],-Table1[[#This Row],[Natural Gas Emissions ]],Table1[[#This Row],[Electricity Emissions]])</f>
        <v>0</v>
      </c>
      <c r="AA54" s="220" t="str">
        <f>IF(Table1[[#This Row],[Fuel Selector (Cost)]]&lt;0,"NG","Elec")</f>
        <v>Elec</v>
      </c>
      <c r="AB54" s="338"/>
      <c r="AC54" s="7">
        <v>2022</v>
      </c>
      <c r="AD54" s="7">
        <v>1</v>
      </c>
      <c r="AE54" s="7">
        <v>3</v>
      </c>
      <c r="AF54" s="8">
        <v>0.16666666666666666</v>
      </c>
      <c r="AG54" s="9">
        <v>-19.600000000000001</v>
      </c>
      <c r="AH54" s="10">
        <f t="shared" si="6"/>
        <v>-20</v>
      </c>
    </row>
    <row r="55" spans="1:34" ht="14.5" x14ac:dyDescent="0.35">
      <c r="A55" s="217">
        <v>54</v>
      </c>
      <c r="B55" s="218">
        <f>IFERROR(IF(H55&lt;'HP Calcs'!$D$4,$K55-$M55,0),0)</f>
        <v>0</v>
      </c>
      <c r="C55" s="218">
        <f t="shared" si="7"/>
        <v>-23090</v>
      </c>
      <c r="D55" s="218">
        <f t="shared" si="8"/>
        <v>0</v>
      </c>
      <c r="E55" s="218">
        <f>IFERROR(IF(H55&gt;'HP Calcs'!$D$5,IF(AND(K55&gt;M55,K55&lt;N55,H55&gt;'HP Calcs'!$D$5),J55,0),IF(AND(K55&gt;M55,K55&lt;N55,H55&lt;'HP Calcs'!$D$4),J55,0)),0)</f>
        <v>0</v>
      </c>
      <c r="F55" s="218">
        <f>IFERROR(IF(H55&gt;'HP Calcs'!$D$5,IF(AND(K55&lt;M55,H55&gt;'HP Calcs'!$D$5),J55,0),IF(AND(K55&lt;M55,H55&lt;'HP Calcs'!$D$4),J55,0)),0)</f>
        <v>0</v>
      </c>
      <c r="G55" s="218">
        <f t="shared" si="4"/>
        <v>0</v>
      </c>
      <c r="H55" s="218">
        <v>21</v>
      </c>
      <c r="I55" s="219">
        <f>IFERROR(VLOOKUP(H55,'HP Calcs'!$D$26:$T$33,2),0)</f>
        <v>4</v>
      </c>
      <c r="J55" s="218">
        <f t="shared" si="9"/>
        <v>144</v>
      </c>
      <c r="K55" s="219">
        <f>IF(H55&lt;'HP Calcs'!$D$4,MAX(_xlfn.FORECAST.LINEAR(H55,'HP Calcs'!$E$3:$E$4,'HP Calcs'!$D$3:$D$4),0),MAX(_xlfn.FORECAST.LINEAR(H55,'HP Calcs'!$E$5:$E$6,'HP Calcs'!$D$5:$D$6),0))</f>
        <v>0</v>
      </c>
      <c r="L55" s="218">
        <f t="shared" si="10"/>
        <v>0</v>
      </c>
      <c r="M55" s="219">
        <f>IFERROR(IF(ISNUMBER(MATCH(H55,'HP Calcs'!$D$28:$D$33,0)),VLOOKUP(H55,'HP Calcs'!$D$28:$R$33,3,FALSE),INDEX('HP Calcs'!$F$28:$F$33,MATCH(I55,'HP Calcs'!$E$28:$E$33,0))+(INDEX('HP Calcs'!$G$28:$G$33,MATCH(I55,'HP Calcs'!$E$28:$E$33,0))*(H55-(INDEX('HP Calcs'!$D$28:$D$33,MATCH(I55,'HP Calcs'!$E$28:$E$33,0)))))),0)</f>
        <v>6670</v>
      </c>
      <c r="N55" s="219">
        <f>IFERROR(IF(ISNUMBER(MATCH(H55,'HP Calcs'!$D$28:$D$33,0)),VLOOKUP(H55,'HP Calcs'!$D$28:$R$33,5,FALSE),INDEX('HP Calcs'!$H$28:$H$33,MATCH(I55,'HP Calcs'!$E$28:$E$33,0))+(INDEX('HP Calcs'!$I$28:$I$33,MATCH(I55,'HP Calcs'!$E$28:$E$33,0))*(H55-(INDEX('HP Calcs'!$D$28:$D$33,MATCH(I55,'HP Calcs'!$E$28:$E$33,0)))))),0)</f>
        <v>23090</v>
      </c>
      <c r="O55" s="220">
        <f>IFERROR(IF(ISNUMBER(MATCH($H55,'HP Calcs'!$D$28:$D$33,0)),VLOOKUP($H55,'HP Calcs'!$D$28:$R$33,7,FALSE),INDEX('HP Calcs'!J$28:J$33,MATCH($I55,'HP Calcs'!$E$28:$E$33,0))+(INDEX('HP Calcs'!K$28:K$33,MATCH($I55,'HP Calcs'!$E$28:$E$33,0))*($H55-(INDEX('HP Calcs'!$D$28:$D$33,MATCH($I55,'HP Calcs'!$E$28:$E$33,0)))))),0)</f>
        <v>0.33800000000000002</v>
      </c>
      <c r="P55" s="220">
        <f>IFERROR(IF(ISNUMBER(MATCH($H55,'HP Calcs'!$D$28:$D$33,0)),VLOOKUP($H55,'HP Calcs'!$D$28:$R$33,9,FALSE),INDEX('HP Calcs'!L$28:L$33,MATCH($I55,'HP Calcs'!$E$28:$E$33,0))+(INDEX('HP Calcs'!M$28:M$33,MATCH($I55,'HP Calcs'!$E$28:$E$33,0))*($H55-(INDEX('HP Calcs'!$D$28:$D$33,MATCH($I55,'HP Calcs'!$E$28:$E$33,0)))))),0)</f>
        <v>1.39</v>
      </c>
      <c r="Q55" s="332">
        <f>Table1[[#This Row],[kWh]]*'Conversion Factors'!$N$21</f>
        <v>0</v>
      </c>
      <c r="R55" s="335" t="str">
        <f>IF(Table1[[#This Row],[Temperature]]&lt;='HP Calcs'!$D$4,(Table1[[#This Row],[Annual Heating/Cooling Load (btu/year)]]*'Conversion Factors'!$M$4)/'HP Calcs'!$B$53*'Conversion Factors'!$N$20,"")</f>
        <v/>
      </c>
      <c r="S55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5" s="335">
        <f>IF(Table1[[#This Row],[Electricity or Natural Gas?]]=Table1[[#This Row],[Cost of Natural Gas]],-Table1[[#This Row],[Cost of Natural Gas]],Table1[[#This Row],[Cost of Electricity]])</f>
        <v>0</v>
      </c>
      <c r="U55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5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5" s="220">
        <f>Table1[[#This Row],[kWh]]*'Conversion Factors'!$D$6*'Conversion Factors'!$C$9</f>
        <v>0</v>
      </c>
      <c r="X55" s="220">
        <f>IF(Table1[[#This Row],[Temperature]]&lt;='HP Calcs'!$D$4,(Table1[[#This Row],[Annual Heating/Cooling Load (btu/year)]])/'HP Calcs'!$B$53*'Conversion Factors'!$M$4*'Conversion Factors'!$C$27,0)</f>
        <v>0</v>
      </c>
      <c r="Y55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5" s="220">
        <f>IF(Table1[[#This Row],[Electricity or Natural Gas?2]]=Table1[[#This Row],[Natural Gas Emissions ]],-Table1[[#This Row],[Natural Gas Emissions ]],Table1[[#This Row],[Electricity Emissions]])</f>
        <v>0</v>
      </c>
      <c r="AA55" s="220" t="str">
        <f>IF(Table1[[#This Row],[Fuel Selector (Cost)]]&lt;0,"NG","Elec")</f>
        <v>Elec</v>
      </c>
      <c r="AB55" s="338"/>
      <c r="AC55" s="7">
        <v>2022</v>
      </c>
      <c r="AD55" s="7">
        <v>1</v>
      </c>
      <c r="AE55" s="7">
        <v>3</v>
      </c>
      <c r="AF55" s="8">
        <v>0.20833333333333334</v>
      </c>
      <c r="AG55" s="9">
        <v>-20</v>
      </c>
      <c r="AH55" s="10">
        <f t="shared" si="6"/>
        <v>-20</v>
      </c>
    </row>
    <row r="56" spans="1:34" ht="14.5" x14ac:dyDescent="0.35">
      <c r="A56" s="217">
        <v>55</v>
      </c>
      <c r="B56" s="218">
        <f>IFERROR(IF(H56&lt;'HP Calcs'!$D$4,$K56-$M56,0),0)</f>
        <v>0</v>
      </c>
      <c r="C56" s="218">
        <f t="shared" si="7"/>
        <v>-23220</v>
      </c>
      <c r="D56" s="218">
        <f t="shared" si="8"/>
        <v>0</v>
      </c>
      <c r="E56" s="218">
        <f>IFERROR(IF(H56&gt;'HP Calcs'!$D$5,IF(AND(K56&gt;M56,K56&lt;N56,H56&gt;'HP Calcs'!$D$5),J56,0),IF(AND(K56&gt;M56,K56&lt;N56,H56&lt;'HP Calcs'!$D$4),J56,0)),0)</f>
        <v>0</v>
      </c>
      <c r="F56" s="218">
        <f>IFERROR(IF(H56&gt;'HP Calcs'!$D$5,IF(AND(K56&lt;M56,H56&gt;'HP Calcs'!$D$5),J56,0),IF(AND(K56&lt;M56,H56&lt;'HP Calcs'!$D$4),J56,0)),0)</f>
        <v>0</v>
      </c>
      <c r="G56" s="218">
        <f>E56+F56</f>
        <v>0</v>
      </c>
      <c r="H56" s="218">
        <v>22</v>
      </c>
      <c r="I56" s="219">
        <f>IFERROR(VLOOKUP(H56,'HP Calcs'!$D$26:$T$33,2),0)</f>
        <v>4</v>
      </c>
      <c r="J56" s="218">
        <f t="shared" si="9"/>
        <v>123</v>
      </c>
      <c r="K56" s="219">
        <f>IF(H56&lt;'HP Calcs'!$D$4,MAX(_xlfn.FORECAST.LINEAR(H56,'HP Calcs'!$E$3:$E$4,'HP Calcs'!$D$3:$D$4),0),MAX(_xlfn.FORECAST.LINEAR(H56,'HP Calcs'!$E$5:$E$6,'HP Calcs'!$D$5:$D$6),0))</f>
        <v>0</v>
      </c>
      <c r="L56" s="218">
        <f t="shared" si="10"/>
        <v>0</v>
      </c>
      <c r="M56" s="219">
        <f>IFERROR(IF(ISNUMBER(MATCH(H56,'HP Calcs'!$D$28:$D$33,0)),VLOOKUP(H56,'HP Calcs'!$D$28:$R$33,3,FALSE),INDEX('HP Calcs'!$F$28:$F$33,MATCH(I56,'HP Calcs'!$E$28:$E$33,0))+(INDEX('HP Calcs'!$G$28:$G$33,MATCH(I56,'HP Calcs'!$E$28:$E$33,0))*(H56-(INDEX('HP Calcs'!$D$28:$D$33,MATCH(I56,'HP Calcs'!$E$28:$E$33,0)))))),0)</f>
        <v>6760</v>
      </c>
      <c r="N56" s="219">
        <f>IFERROR(IF(ISNUMBER(MATCH(H56,'HP Calcs'!$D$28:$D$33,0)),VLOOKUP(H56,'HP Calcs'!$D$28:$R$33,5,FALSE),INDEX('HP Calcs'!$H$28:$H$33,MATCH(I56,'HP Calcs'!$E$28:$E$33,0))+(INDEX('HP Calcs'!$I$28:$I$33,MATCH(I56,'HP Calcs'!$E$28:$E$33,0))*(H56-(INDEX('HP Calcs'!$D$28:$D$33,MATCH(I56,'HP Calcs'!$E$28:$E$33,0)))))),0)</f>
        <v>23220</v>
      </c>
      <c r="O56" s="220">
        <f>IFERROR(IF(ISNUMBER(MATCH($H56,'HP Calcs'!$D$28:$D$33,0)),VLOOKUP($H56,'HP Calcs'!$D$28:$R$33,7,FALSE),INDEX('HP Calcs'!J$28:J$33,MATCH($I56,'HP Calcs'!$E$28:$E$33,0))+(INDEX('HP Calcs'!K$28:K$33,MATCH($I56,'HP Calcs'!$E$28:$E$33,0))*($H56-(INDEX('HP Calcs'!$D$28:$D$33,MATCH($I56,'HP Calcs'!$E$28:$E$33,0)))))),0)</f>
        <v>0.33400000000000002</v>
      </c>
      <c r="P56" s="220">
        <f>IFERROR(IF(ISNUMBER(MATCH($H56,'HP Calcs'!$D$28:$D$33,0)),VLOOKUP($H56,'HP Calcs'!$D$28:$R$33,9,FALSE),INDEX('HP Calcs'!L$28:L$33,MATCH($I56,'HP Calcs'!$E$28:$E$33,0))+(INDEX('HP Calcs'!M$28:M$33,MATCH($I56,'HP Calcs'!$E$28:$E$33,0))*($H56-(INDEX('HP Calcs'!$D$28:$D$33,MATCH($I56,'HP Calcs'!$E$28:$E$33,0)))))),0)</f>
        <v>1.3699999999999999</v>
      </c>
      <c r="Q56" s="332">
        <f>Table1[[#This Row],[kWh]]*'Conversion Factors'!$N$21</f>
        <v>0</v>
      </c>
      <c r="R56" s="335" t="str">
        <f>IF(Table1[[#This Row],[Temperature]]&lt;='HP Calcs'!$D$4,(Table1[[#This Row],[Annual Heating/Cooling Load (btu/year)]]*'Conversion Factors'!$M$4)/'HP Calcs'!$B$53*'Conversion Factors'!$N$20,"")</f>
        <v/>
      </c>
      <c r="S56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6" s="335">
        <f>IF(Table1[[#This Row],[Electricity or Natural Gas?]]=Table1[[#This Row],[Cost of Natural Gas]],-Table1[[#This Row],[Cost of Natural Gas]],Table1[[#This Row],[Cost of Electricity]])</f>
        <v>0</v>
      </c>
      <c r="U56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6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6" s="220">
        <f>Table1[[#This Row],[kWh]]*'Conversion Factors'!$D$6*'Conversion Factors'!$C$9</f>
        <v>0</v>
      </c>
      <c r="X56" s="220">
        <f>IF(Table1[[#This Row],[Temperature]]&lt;='HP Calcs'!$D$4,(Table1[[#This Row],[Annual Heating/Cooling Load (btu/year)]])/'HP Calcs'!$B$53*'Conversion Factors'!$M$4*'Conversion Factors'!$C$27,0)</f>
        <v>0</v>
      </c>
      <c r="Y56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6" s="220">
        <f>IF(Table1[[#This Row],[Electricity or Natural Gas?2]]=Table1[[#This Row],[Natural Gas Emissions ]],-Table1[[#This Row],[Natural Gas Emissions ]],Table1[[#This Row],[Electricity Emissions]])</f>
        <v>0</v>
      </c>
      <c r="AA56" s="220" t="str">
        <f>IF(Table1[[#This Row],[Fuel Selector (Cost)]]&lt;0,"NG","Elec")</f>
        <v>Elec</v>
      </c>
      <c r="AB56" s="338"/>
      <c r="AC56" s="7">
        <v>2022</v>
      </c>
      <c r="AD56" s="7">
        <v>1</v>
      </c>
      <c r="AE56" s="7">
        <v>3</v>
      </c>
      <c r="AF56" s="8">
        <v>0.25</v>
      </c>
      <c r="AG56" s="9">
        <v>-20.5</v>
      </c>
      <c r="AH56" s="10">
        <f t="shared" si="6"/>
        <v>-21</v>
      </c>
    </row>
    <row r="57" spans="1:34" ht="14.5" x14ac:dyDescent="0.35">
      <c r="A57" s="217">
        <v>56</v>
      </c>
      <c r="B57" s="218">
        <f>IFERROR(IF(H57&lt;'HP Calcs'!$D$4,$K57-$M57,0),0)</f>
        <v>0</v>
      </c>
      <c r="C57" s="218">
        <f t="shared" si="7"/>
        <v>-23350</v>
      </c>
      <c r="D57" s="218">
        <f t="shared" si="8"/>
        <v>0</v>
      </c>
      <c r="E57" s="218">
        <f>IFERROR(IF(H57&gt;'HP Calcs'!$D$5,IF(AND(K57&gt;M57,K57&lt;N57,H57&gt;'HP Calcs'!$D$5),J57,0),IF(AND(K57&gt;M57,K57&lt;N57,H57&lt;'HP Calcs'!$D$4),J57,0)),0)</f>
        <v>0</v>
      </c>
      <c r="F57" s="218">
        <f>IFERROR(IF(H57&gt;'HP Calcs'!$D$5,IF(AND(K57&lt;M57,H57&gt;'HP Calcs'!$D$5),J57,0),IF(AND(K57&lt;M57,H57&lt;'HP Calcs'!$D$4),J57,0)),0)</f>
        <v>0</v>
      </c>
      <c r="G57" s="218">
        <f t="shared" si="4"/>
        <v>0</v>
      </c>
      <c r="H57" s="218">
        <v>23</v>
      </c>
      <c r="I57" s="219">
        <f>IFERROR(VLOOKUP(H57,'HP Calcs'!$D$26:$T$33,2),0)</f>
        <v>4</v>
      </c>
      <c r="J57" s="218">
        <f t="shared" si="9"/>
        <v>108</v>
      </c>
      <c r="K57" s="219">
        <f>IF(H57&lt;'HP Calcs'!$D$4,MAX(_xlfn.FORECAST.LINEAR(H57,'HP Calcs'!$E$3:$E$4,'HP Calcs'!$D$3:$D$4),0),MAX(_xlfn.FORECAST.LINEAR(H57,'HP Calcs'!$E$5:$E$6,'HP Calcs'!$D$5:$D$6),0))</f>
        <v>0</v>
      </c>
      <c r="L57" s="218">
        <f t="shared" si="10"/>
        <v>0</v>
      </c>
      <c r="M57" s="219">
        <f>IFERROR(IF(ISNUMBER(MATCH(H57,'HP Calcs'!$D$28:$D$33,0)),VLOOKUP(H57,'HP Calcs'!$D$28:$R$33,3,FALSE),INDEX('HP Calcs'!$F$28:$F$33,MATCH(I57,'HP Calcs'!$E$28:$E$33,0))+(INDEX('HP Calcs'!$G$28:$G$33,MATCH(I57,'HP Calcs'!$E$28:$E$33,0))*(H57-(INDEX('HP Calcs'!$D$28:$D$33,MATCH(I57,'HP Calcs'!$E$28:$E$33,0)))))),0)</f>
        <v>6850</v>
      </c>
      <c r="N57" s="219">
        <f>IFERROR(IF(ISNUMBER(MATCH(H57,'HP Calcs'!$D$28:$D$33,0)),VLOOKUP(H57,'HP Calcs'!$D$28:$R$33,5,FALSE),INDEX('HP Calcs'!$H$28:$H$33,MATCH(I57,'HP Calcs'!$E$28:$E$33,0))+(INDEX('HP Calcs'!$I$28:$I$33,MATCH(I57,'HP Calcs'!$E$28:$E$33,0))*(H57-(INDEX('HP Calcs'!$D$28:$D$33,MATCH(I57,'HP Calcs'!$E$28:$E$33,0)))))),0)</f>
        <v>23350</v>
      </c>
      <c r="O57" s="220">
        <f>IFERROR(IF(ISNUMBER(MATCH($H57,'HP Calcs'!$D$28:$D$33,0)),VLOOKUP($H57,'HP Calcs'!$D$28:$R$33,7,FALSE),INDEX('HP Calcs'!J$28:J$33,MATCH($I57,'HP Calcs'!$E$28:$E$33,0))+(INDEX('HP Calcs'!K$28:K$33,MATCH($I57,'HP Calcs'!$E$28:$E$33,0))*($H57-(INDEX('HP Calcs'!$D$28:$D$33,MATCH($I57,'HP Calcs'!$E$28:$E$33,0)))))),0)</f>
        <v>0.33</v>
      </c>
      <c r="P57" s="220">
        <f>IFERROR(IF(ISNUMBER(MATCH($H57,'HP Calcs'!$D$28:$D$33,0)),VLOOKUP($H57,'HP Calcs'!$D$28:$R$33,9,FALSE),INDEX('HP Calcs'!L$28:L$33,MATCH($I57,'HP Calcs'!$E$28:$E$33,0))+(INDEX('HP Calcs'!M$28:M$33,MATCH($I57,'HP Calcs'!$E$28:$E$33,0))*($H57-(INDEX('HP Calcs'!$D$28:$D$33,MATCH($I57,'HP Calcs'!$E$28:$E$33,0)))))),0)</f>
        <v>1.35</v>
      </c>
      <c r="Q57" s="332">
        <f>Table1[[#This Row],[kWh]]*'Conversion Factors'!$N$21</f>
        <v>0</v>
      </c>
      <c r="R57" s="335" t="str">
        <f>IF(Table1[[#This Row],[Temperature]]&lt;='HP Calcs'!$D$4,(Table1[[#This Row],[Annual Heating/Cooling Load (btu/year)]]*'Conversion Factors'!$M$4)/'HP Calcs'!$B$53*'Conversion Factors'!$N$20,"")</f>
        <v/>
      </c>
      <c r="S57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7" s="335">
        <f>IF(Table1[[#This Row],[Electricity or Natural Gas?]]=Table1[[#This Row],[Cost of Natural Gas]],-Table1[[#This Row],[Cost of Natural Gas]],Table1[[#This Row],[Cost of Electricity]])</f>
        <v>0</v>
      </c>
      <c r="U57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7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7" s="220">
        <f>Table1[[#This Row],[kWh]]*'Conversion Factors'!$D$6*'Conversion Factors'!$C$9</f>
        <v>0</v>
      </c>
      <c r="X57" s="220">
        <f>IF(Table1[[#This Row],[Temperature]]&lt;='HP Calcs'!$D$4,(Table1[[#This Row],[Annual Heating/Cooling Load (btu/year)]])/'HP Calcs'!$B$53*'Conversion Factors'!$M$4*'Conversion Factors'!$C$27,0)</f>
        <v>0</v>
      </c>
      <c r="Y57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7" s="220">
        <f>IF(Table1[[#This Row],[Electricity or Natural Gas?2]]=Table1[[#This Row],[Natural Gas Emissions ]],-Table1[[#This Row],[Natural Gas Emissions ]],Table1[[#This Row],[Electricity Emissions]])</f>
        <v>0</v>
      </c>
      <c r="AA57" s="220" t="str">
        <f>IF(Table1[[#This Row],[Fuel Selector (Cost)]]&lt;0,"NG","Elec")</f>
        <v>Elec</v>
      </c>
      <c r="AB57" s="338"/>
      <c r="AC57" s="7">
        <v>2022</v>
      </c>
      <c r="AD57" s="7">
        <v>1</v>
      </c>
      <c r="AE57" s="7">
        <v>3</v>
      </c>
      <c r="AF57" s="8">
        <v>0.29166666666666669</v>
      </c>
      <c r="AG57" s="9">
        <v>-20.5</v>
      </c>
      <c r="AH57" s="10">
        <f t="shared" si="6"/>
        <v>-21</v>
      </c>
    </row>
    <row r="58" spans="1:34" ht="14.5" x14ac:dyDescent="0.35">
      <c r="A58" s="217">
        <v>57</v>
      </c>
      <c r="B58" s="218">
        <f>IFERROR(IF(H58&lt;'HP Calcs'!$D$4,$K58-$M58,0),0)</f>
        <v>0</v>
      </c>
      <c r="C58" s="218">
        <f t="shared" si="7"/>
        <v>-23480</v>
      </c>
      <c r="D58" s="218">
        <f t="shared" si="8"/>
        <v>0</v>
      </c>
      <c r="E58" s="218">
        <f>IFERROR(IF(H58&gt;'HP Calcs'!$D$5,IF(AND(K58&gt;M58,K58&lt;N58,H58&gt;'HP Calcs'!$D$5),J58,0),IF(AND(K58&gt;M58,K58&lt;N58,H58&lt;'HP Calcs'!$D$4),J58,0)),0)</f>
        <v>0</v>
      </c>
      <c r="F58" s="218">
        <f>IFERROR(IF(H58&gt;'HP Calcs'!$D$5,IF(AND(K58&lt;M58,H58&gt;'HP Calcs'!$D$5),J58,0),IF(AND(K58&lt;M58,H58&lt;'HP Calcs'!$D$4),J58,0)),0)</f>
        <v>0</v>
      </c>
      <c r="G58" s="218">
        <f t="shared" si="4"/>
        <v>0</v>
      </c>
      <c r="H58" s="218">
        <v>24</v>
      </c>
      <c r="I58" s="219">
        <f>IFERROR(VLOOKUP(H58,'HP Calcs'!$D$26:$T$33,2),0)</f>
        <v>4</v>
      </c>
      <c r="J58" s="218">
        <f t="shared" si="9"/>
        <v>86</v>
      </c>
      <c r="K58" s="219">
        <f>IF(H58&lt;'HP Calcs'!$D$4,MAX(_xlfn.FORECAST.LINEAR(H58,'HP Calcs'!$E$3:$E$4,'HP Calcs'!$D$3:$D$4),0),MAX(_xlfn.FORECAST.LINEAR(H58,'HP Calcs'!$E$5:$E$6,'HP Calcs'!$D$5:$D$6),0))</f>
        <v>0</v>
      </c>
      <c r="L58" s="218">
        <f t="shared" si="10"/>
        <v>0</v>
      </c>
      <c r="M58" s="219">
        <f>IFERROR(IF(ISNUMBER(MATCH(H58,'HP Calcs'!$D$28:$D$33,0)),VLOOKUP(H58,'HP Calcs'!$D$28:$R$33,3,FALSE),INDEX('HP Calcs'!$F$28:$F$33,MATCH(I58,'HP Calcs'!$E$28:$E$33,0))+(INDEX('HP Calcs'!$G$28:$G$33,MATCH(I58,'HP Calcs'!$E$28:$E$33,0))*(H58-(INDEX('HP Calcs'!$D$28:$D$33,MATCH(I58,'HP Calcs'!$E$28:$E$33,0)))))),0)</f>
        <v>6940</v>
      </c>
      <c r="N58" s="219">
        <f>IFERROR(IF(ISNUMBER(MATCH(H58,'HP Calcs'!$D$28:$D$33,0)),VLOOKUP(H58,'HP Calcs'!$D$28:$R$33,5,FALSE),INDEX('HP Calcs'!$H$28:$H$33,MATCH(I58,'HP Calcs'!$E$28:$E$33,0))+(INDEX('HP Calcs'!$I$28:$I$33,MATCH(I58,'HP Calcs'!$E$28:$E$33,0))*(H58-(INDEX('HP Calcs'!$D$28:$D$33,MATCH(I58,'HP Calcs'!$E$28:$E$33,0)))))),0)</f>
        <v>23480</v>
      </c>
      <c r="O58" s="220">
        <f>IFERROR(IF(ISNUMBER(MATCH($H58,'HP Calcs'!$D$28:$D$33,0)),VLOOKUP($H58,'HP Calcs'!$D$28:$R$33,7,FALSE),INDEX('HP Calcs'!J$28:J$33,MATCH($I58,'HP Calcs'!$E$28:$E$33,0))+(INDEX('HP Calcs'!K$28:K$33,MATCH($I58,'HP Calcs'!$E$28:$E$33,0))*($H58-(INDEX('HP Calcs'!$D$28:$D$33,MATCH($I58,'HP Calcs'!$E$28:$E$33,0)))))),0)</f>
        <v>0.32600000000000001</v>
      </c>
      <c r="P58" s="220">
        <f>IFERROR(IF(ISNUMBER(MATCH($H58,'HP Calcs'!$D$28:$D$33,0)),VLOOKUP($H58,'HP Calcs'!$D$28:$R$33,9,FALSE),INDEX('HP Calcs'!L$28:L$33,MATCH($I58,'HP Calcs'!$E$28:$E$33,0))+(INDEX('HP Calcs'!M$28:M$33,MATCH($I58,'HP Calcs'!$E$28:$E$33,0))*($H58-(INDEX('HP Calcs'!$D$28:$D$33,MATCH($I58,'HP Calcs'!$E$28:$E$33,0)))))),0)</f>
        <v>1.33</v>
      </c>
      <c r="Q58" s="332">
        <f>Table1[[#This Row],[kWh]]*'Conversion Factors'!$N$21</f>
        <v>0</v>
      </c>
      <c r="R58" s="335" t="str">
        <f>IF(Table1[[#This Row],[Temperature]]&lt;='HP Calcs'!$D$4,(Table1[[#This Row],[Annual Heating/Cooling Load (btu/year)]]*'Conversion Factors'!$M$4)/'HP Calcs'!$B$53*'Conversion Factors'!$N$20,"")</f>
        <v/>
      </c>
      <c r="S58" s="335">
        <f>IF(MIN(Table1[[#This Row],[Cost of Electricity]:[Cost of Natural Gas]])=0,MAX(Table1[[#This Row],[Cost of Electricity]:[Cost of Natural Gas]]),MIN(Table1[[#This Row],[Cost of Electricity]:[Cost of Natural Gas]]))</f>
        <v>0</v>
      </c>
      <c r="T58" s="335">
        <f>IF(Table1[[#This Row],[Electricity or Natural Gas?]]=Table1[[#This Row],[Cost of Natural Gas]],-Table1[[#This Row],[Cost of Natural Gas]],Table1[[#This Row],[Cost of Electricity]])</f>
        <v>0</v>
      </c>
      <c r="U58" s="373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58" s="373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58" s="220">
        <f>Table1[[#This Row],[kWh]]*'Conversion Factors'!$D$6*'Conversion Factors'!$C$9</f>
        <v>0</v>
      </c>
      <c r="X58" s="220">
        <f>IF(Table1[[#This Row],[Temperature]]&lt;='HP Calcs'!$D$4,(Table1[[#This Row],[Annual Heating/Cooling Load (btu/year)]])/'HP Calcs'!$B$53*'Conversion Factors'!$M$4*'Conversion Factors'!$C$27,0)</f>
        <v>0</v>
      </c>
      <c r="Y58" s="220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58" s="220">
        <f>IF(Table1[[#This Row],[Electricity or Natural Gas?2]]=Table1[[#This Row],[Natural Gas Emissions ]],-Table1[[#This Row],[Natural Gas Emissions ]],Table1[[#This Row],[Electricity Emissions]])</f>
        <v>0</v>
      </c>
      <c r="AA58" s="220" t="str">
        <f>IF(Table1[[#This Row],[Fuel Selector (Cost)]]&lt;0,"NG","Elec")</f>
        <v>Elec</v>
      </c>
      <c r="AB58" s="338"/>
      <c r="AC58" s="7">
        <v>2022</v>
      </c>
      <c r="AD58" s="7">
        <v>1</v>
      </c>
      <c r="AE58" s="7">
        <v>3</v>
      </c>
      <c r="AF58" s="8">
        <v>0.33333333333333331</v>
      </c>
      <c r="AG58" s="9">
        <v>-20.5</v>
      </c>
      <c r="AH58" s="10">
        <f t="shared" si="6"/>
        <v>-21</v>
      </c>
    </row>
    <row r="59" spans="1:34" ht="14.5" x14ac:dyDescent="0.35">
      <c r="A59">
        <v>58</v>
      </c>
      <c r="B59" s="48">
        <f>IFERROR(IF(H59&lt;'HP Calcs'!$D$4,$K59-$M59,0),0)</f>
        <v>0</v>
      </c>
      <c r="C59" s="48">
        <f t="shared" si="7"/>
        <v>-23003.230324733657</v>
      </c>
      <c r="D59" s="48">
        <f t="shared" si="8"/>
        <v>2.5249945190562566</v>
      </c>
      <c r="E59" s="48">
        <f>IFERROR(IF(H59&gt;'HP Calcs'!$D$5,IF(AND(K59&gt;M59,K59&lt;N59,H59&gt;'HP Calcs'!$D$5),J59,0),IF(AND(K59&gt;M59,K59&lt;N59,H59&lt;'HP Calcs'!$D$4),J59,0)),0)</f>
        <v>0</v>
      </c>
      <c r="F59" s="48">
        <f>IFERROR(IF(H59&gt;'HP Calcs'!$D$5,IF(AND(K59&lt;M59,H59&gt;'HP Calcs'!$D$5),J59,0),IF(AND(K59&lt;M59,H59&lt;'HP Calcs'!$D$4),J59,0)),0)</f>
        <v>75</v>
      </c>
      <c r="G59" s="48">
        <f t="shared" si="4"/>
        <v>75</v>
      </c>
      <c r="H59" s="48">
        <v>25</v>
      </c>
      <c r="I59" s="49">
        <f>IFERROR(VLOOKUP(H59,'HP Calcs'!$D$26:$T$33,2),0)</f>
        <v>4</v>
      </c>
      <c r="J59" s="48">
        <f t="shared" si="9"/>
        <v>75</v>
      </c>
      <c r="K59" s="49">
        <f>IF(H59&lt;'HP Calcs'!$D$4,MAX(_xlfn.FORECAST.LINEAR(H59,'HP Calcs'!$E$3:$E$4,'HP Calcs'!$D$3:$D$4),0),MAX(_xlfn.FORECAST.LINEAR(H59,'HP Calcs'!$E$5:$E$6,'HP Calcs'!$D$5:$D$6),0))</f>
        <v>606.76967526634326</v>
      </c>
      <c r="L59" s="48">
        <f t="shared" si="10"/>
        <v>45507.725644975741</v>
      </c>
      <c r="M59" s="49">
        <f>IFERROR(IF(ISNUMBER(MATCH(H59,'HP Calcs'!$D$28:$D$33,0)),VLOOKUP(H59,'HP Calcs'!$D$28:$R$33,3,FALSE),INDEX('HP Calcs'!$F$28:$F$33,MATCH(I59,'HP Calcs'!$E$28:$E$33,0))+(INDEX('HP Calcs'!$G$28:$G$33,MATCH(I59,'HP Calcs'!$E$28:$E$33,0))*(H59-(INDEX('HP Calcs'!$D$28:$D$33,MATCH(I59,'HP Calcs'!$E$28:$E$33,0)))))),0)</f>
        <v>7030</v>
      </c>
      <c r="N59" s="49">
        <f>IFERROR(IF(ISNUMBER(MATCH(H59,'HP Calcs'!$D$28:$D$33,0)),VLOOKUP(H59,'HP Calcs'!$D$28:$R$33,5,FALSE),INDEX('HP Calcs'!$H$28:$H$33,MATCH(I59,'HP Calcs'!$E$28:$E$33,0))+(INDEX('HP Calcs'!$I$28:$I$33,MATCH(I59,'HP Calcs'!$E$28:$E$33,0))*(H59-(INDEX('HP Calcs'!$D$28:$D$33,MATCH(I59,'HP Calcs'!$E$28:$E$33,0)))))),0)</f>
        <v>23610</v>
      </c>
      <c r="O59" s="55">
        <f>IFERROR(IF(ISNUMBER(MATCH($H59,'HP Calcs'!$D$28:$D$33,0)),VLOOKUP($H59,'HP Calcs'!$D$28:$R$33,7,FALSE),INDEX('HP Calcs'!J$28:J$33,MATCH($I59,'HP Calcs'!$E$28:$E$33,0))+(INDEX('HP Calcs'!K$28:K$33,MATCH($I59,'HP Calcs'!$E$28:$E$33,0))*($H59-(INDEX('HP Calcs'!$D$28:$D$33,MATCH($I59,'HP Calcs'!$E$28:$E$33,0)))))),0)</f>
        <v>0.32200000000000001</v>
      </c>
      <c r="P59" s="55">
        <f>IFERROR(IF(ISNUMBER(MATCH($H59,'HP Calcs'!$D$28:$D$33,0)),VLOOKUP($H59,'HP Calcs'!$D$28:$R$33,9,FALSE),INDEX('HP Calcs'!L$28:L$33,MATCH($I59,'HP Calcs'!$E$28:$E$33,0))+(INDEX('HP Calcs'!M$28:M$33,MATCH($I59,'HP Calcs'!$E$28:$E$33,0))*($H59-(INDEX('HP Calcs'!$D$28:$D$33,MATCH($I59,'HP Calcs'!$E$28:$E$33,0)))))),0)</f>
        <v>1.31</v>
      </c>
      <c r="Q59" s="331">
        <f>Table1[[#This Row],[kWh]]*'Conversion Factors'!$N$21</f>
        <v>0.75749835571687696</v>
      </c>
      <c r="R59" s="334" t="str">
        <f>IF(Table1[[#This Row],[Temperature]]&lt;='HP Calcs'!$D$4,(Table1[[#This Row],[Annual Heating/Cooling Load (btu/year)]]*'Conversion Factors'!$M$4)/'HP Calcs'!$B$53*'Conversion Factors'!$N$20,"")</f>
        <v/>
      </c>
      <c r="S59" s="334">
        <f>IF(MIN(Table1[[#This Row],[Cost of Electricity]:[Cost of Natural Gas]])=0,MAX(Table1[[#This Row],[Cost of Electricity]:[Cost of Natural Gas]]),MIN(Table1[[#This Row],[Cost of Electricity]:[Cost of Natural Gas]]))</f>
        <v>0.75749835571687696</v>
      </c>
      <c r="T59" s="334">
        <f>IF(Table1[[#This Row],[Electricity or Natural Gas?]]=Table1[[#This Row],[Cost of Natural Gas]],-Table1[[#This Row],[Cost of Natural Gas]],Table1[[#This Row],[Cost of Electricity]])</f>
        <v>0.75749835571687696</v>
      </c>
      <c r="U5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9.0899729966241252E-3</v>
      </c>
      <c r="V5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1.4897455744467318</v>
      </c>
      <c r="W59" s="55">
        <f>Table1[[#This Row],[kWh]]*'Conversion Factors'!$D$6*'Conversion Factors'!$C$9</f>
        <v>1.4897467662431916</v>
      </c>
      <c r="X59" s="55">
        <f>IF(Table1[[#This Row],[Temperature]]&lt;='HP Calcs'!$D$4,(Table1[[#This Row],[Annual Heating/Cooling Load (btu/year)]])/'HP Calcs'!$B$53*'Conversion Factors'!$M$4*'Conversion Factors'!$C$27,0)</f>
        <v>0</v>
      </c>
      <c r="Y59" s="55">
        <f>IF(MIN(Table1[[#This Row],[Electricity Emissions]:[Natural Gas Emissions ]])=0,MAX(Table1[[#This Row],[Electricity Emissions]:[Natural Gas Emissions ]]),MIN(Table1[[#This Row],[Electricity Emissions]:[Natural Gas Emissions ]]))</f>
        <v>1.4897467662431916</v>
      </c>
      <c r="Z59" s="55">
        <f>IF(Table1[[#This Row],[Electricity or Natural Gas?2]]=Table1[[#This Row],[Natural Gas Emissions ]],-Table1[[#This Row],[Natural Gas Emissions ]],Table1[[#This Row],[Electricity Emissions]])</f>
        <v>1.4897467662431916</v>
      </c>
      <c r="AA59" s="55" t="str">
        <f>IF(Table1[[#This Row],[Fuel Selector (Cost)]]&lt;0,"NG","Elec")</f>
        <v>Elec</v>
      </c>
      <c r="AB59" s="337"/>
      <c r="AC59" s="7">
        <v>2022</v>
      </c>
      <c r="AD59" s="7">
        <v>1</v>
      </c>
      <c r="AE59" s="7">
        <v>3</v>
      </c>
      <c r="AF59" s="8">
        <v>0.375</v>
      </c>
      <c r="AG59" s="9">
        <v>-20.7</v>
      </c>
      <c r="AH59" s="10">
        <f t="shared" si="6"/>
        <v>-21</v>
      </c>
    </row>
    <row r="60" spans="1:34" ht="14.5" x14ac:dyDescent="0.35">
      <c r="A60">
        <v>59</v>
      </c>
      <c r="B60" s="48">
        <f>IFERROR(IF(H60&lt;'HP Calcs'!$D$4,$K60-$M60,0),0)</f>
        <v>0</v>
      </c>
      <c r="C60" s="48">
        <f t="shared" si="7"/>
        <v>-22526.460649467313</v>
      </c>
      <c r="D60" s="48">
        <f t="shared" si="8"/>
        <v>4.7478321346872825</v>
      </c>
      <c r="E60" s="48">
        <f>IFERROR(IF(H60&gt;'HP Calcs'!$D$5,IF(AND(K60&gt;M60,K60&lt;N60,H60&gt;'HP Calcs'!$D$5),J60,0),IF(AND(K60&gt;M60,K60&lt;N60,H60&lt;'HP Calcs'!$D$4),J60,0)),0)</f>
        <v>0</v>
      </c>
      <c r="F60" s="48">
        <f>IFERROR(IF(H60&gt;'HP Calcs'!$D$5,IF(AND(K60&lt;M60,H60&gt;'HP Calcs'!$D$5),J60,0),IF(AND(K60&lt;M60,H60&lt;'HP Calcs'!$D$4),J60,0)),0)</f>
        <v>72</v>
      </c>
      <c r="G60" s="48">
        <f t="shared" si="4"/>
        <v>72</v>
      </c>
      <c r="H60" s="48">
        <v>26</v>
      </c>
      <c r="I60" s="49">
        <f>IFERROR(VLOOKUP(H60,'HP Calcs'!$D$26:$T$33,2),0)</f>
        <v>4</v>
      </c>
      <c r="J60" s="48">
        <f t="shared" si="9"/>
        <v>72</v>
      </c>
      <c r="K60" s="49">
        <f>IF(H60&lt;'HP Calcs'!$D$4,MAX(_xlfn.FORECAST.LINEAR(H60,'HP Calcs'!$E$3:$E$4,'HP Calcs'!$D$3:$D$4),0),MAX(_xlfn.FORECAST.LINEAR(H60,'HP Calcs'!$E$5:$E$6,'HP Calcs'!$D$5:$D$6),0))</f>
        <v>1213.5393505326883</v>
      </c>
      <c r="L60" s="48">
        <f t="shared" si="10"/>
        <v>87374.83323835356</v>
      </c>
      <c r="M60" s="49">
        <f>IFERROR(IF(ISNUMBER(MATCH(H60,'HP Calcs'!$D$28:$D$33,0)),VLOOKUP(H60,'HP Calcs'!$D$28:$R$33,3,FALSE),INDEX('HP Calcs'!$F$28:$F$33,MATCH(I60,'HP Calcs'!$E$28:$E$33,0))+(INDEX('HP Calcs'!$G$28:$G$33,MATCH(I60,'HP Calcs'!$E$28:$E$33,0))*(H60-(INDEX('HP Calcs'!$D$28:$D$33,MATCH(I60,'HP Calcs'!$E$28:$E$33,0)))))),0)</f>
        <v>7120</v>
      </c>
      <c r="N60" s="49">
        <f>IFERROR(IF(ISNUMBER(MATCH(H60,'HP Calcs'!$D$28:$D$33,0)),VLOOKUP(H60,'HP Calcs'!$D$28:$R$33,5,FALSE),INDEX('HP Calcs'!$H$28:$H$33,MATCH(I60,'HP Calcs'!$E$28:$E$33,0))+(INDEX('HP Calcs'!$I$28:$I$33,MATCH(I60,'HP Calcs'!$E$28:$E$33,0))*(H60-(INDEX('HP Calcs'!$D$28:$D$33,MATCH(I60,'HP Calcs'!$E$28:$E$33,0)))))),0)</f>
        <v>23740</v>
      </c>
      <c r="O60" s="55">
        <f>IFERROR(IF(ISNUMBER(MATCH($H60,'HP Calcs'!$D$28:$D$33,0)),VLOOKUP($H60,'HP Calcs'!$D$28:$R$33,7,FALSE),INDEX('HP Calcs'!J$28:J$33,MATCH($I60,'HP Calcs'!$E$28:$E$33,0))+(INDEX('HP Calcs'!K$28:K$33,MATCH($I60,'HP Calcs'!$E$28:$E$33,0))*($H60-(INDEX('HP Calcs'!$D$28:$D$33,MATCH($I60,'HP Calcs'!$E$28:$E$33,0)))))),0)</f>
        <v>0.318</v>
      </c>
      <c r="P60" s="55">
        <f>IFERROR(IF(ISNUMBER(MATCH($H60,'HP Calcs'!$D$28:$D$33,0)),VLOOKUP($H60,'HP Calcs'!$D$28:$R$33,9,FALSE),INDEX('HP Calcs'!L$28:L$33,MATCH($I60,'HP Calcs'!$E$28:$E$33,0))+(INDEX('HP Calcs'!M$28:M$33,MATCH($I60,'HP Calcs'!$E$28:$E$33,0))*($H60-(INDEX('HP Calcs'!$D$28:$D$33,MATCH($I60,'HP Calcs'!$E$28:$E$33,0)))))),0)</f>
        <v>1.29</v>
      </c>
      <c r="Q60" s="331">
        <f>Table1[[#This Row],[kWh]]*'Conversion Factors'!$N$21</f>
        <v>1.4243496404061846</v>
      </c>
      <c r="R60" s="334" t="str">
        <f>IF(Table1[[#This Row],[Temperature]]&lt;='HP Calcs'!$D$4,(Table1[[#This Row],[Annual Heating/Cooling Load (btu/year)]]*'Conversion Factors'!$M$4)/'HP Calcs'!$B$53*'Conversion Factors'!$N$20,"")</f>
        <v/>
      </c>
      <c r="S60" s="334">
        <f>IF(MIN(Table1[[#This Row],[Cost of Electricity]:[Cost of Natural Gas]])=0,MAX(Table1[[#This Row],[Cost of Electricity]:[Cost of Natural Gas]]),MIN(Table1[[#This Row],[Cost of Electricity]:[Cost of Natural Gas]]))</f>
        <v>1.4243496404061846</v>
      </c>
      <c r="T60" s="334">
        <f>IF(Table1[[#This Row],[Electricity or Natural Gas?]]=Table1[[#This Row],[Cost of Natural Gas]],-Table1[[#This Row],[Cost of Natural Gas]],Table1[[#This Row],[Cost of Electricity]])</f>
        <v>1.4243496404061846</v>
      </c>
      <c r="U6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1.7092182011128606E-2</v>
      </c>
      <c r="V6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2.8012187184905217</v>
      </c>
      <c r="W60" s="55">
        <f>Table1[[#This Row],[kWh]]*'Conversion Factors'!$D$6*'Conversion Factors'!$C$9</f>
        <v>2.8012209594654971</v>
      </c>
      <c r="X60" s="55">
        <f>IF(Table1[[#This Row],[Temperature]]&lt;='HP Calcs'!$D$4,(Table1[[#This Row],[Annual Heating/Cooling Load (btu/year)]])/'HP Calcs'!$B$53*'Conversion Factors'!$M$4*'Conversion Factors'!$C$27,0)</f>
        <v>0</v>
      </c>
      <c r="Y60" s="55">
        <f>IF(MIN(Table1[[#This Row],[Electricity Emissions]:[Natural Gas Emissions ]])=0,MAX(Table1[[#This Row],[Electricity Emissions]:[Natural Gas Emissions ]]),MIN(Table1[[#This Row],[Electricity Emissions]:[Natural Gas Emissions ]]))</f>
        <v>2.8012209594654971</v>
      </c>
      <c r="Z60" s="55">
        <f>IF(Table1[[#This Row],[Electricity or Natural Gas?2]]=Table1[[#This Row],[Natural Gas Emissions ]],-Table1[[#This Row],[Natural Gas Emissions ]],Table1[[#This Row],[Electricity Emissions]])</f>
        <v>2.8012209594654971</v>
      </c>
      <c r="AA60" s="55" t="str">
        <f>IF(Table1[[#This Row],[Fuel Selector (Cost)]]&lt;0,"NG","Elec")</f>
        <v>Elec</v>
      </c>
      <c r="AB60" s="337"/>
      <c r="AC60" s="7">
        <v>2022</v>
      </c>
      <c r="AD60" s="7">
        <v>1</v>
      </c>
      <c r="AE60" s="7">
        <v>3</v>
      </c>
      <c r="AF60" s="8">
        <v>0.41666666666666669</v>
      </c>
      <c r="AG60" s="9">
        <v>-20.5</v>
      </c>
      <c r="AH60" s="10">
        <f t="shared" si="6"/>
        <v>-21</v>
      </c>
    </row>
    <row r="61" spans="1:34" ht="14.5" x14ac:dyDescent="0.35">
      <c r="A61">
        <v>60</v>
      </c>
      <c r="B61" s="48">
        <f>IFERROR(IF(H61&lt;'HP Calcs'!$D$4,$K61-$M61,0),0)</f>
        <v>0</v>
      </c>
      <c r="C61" s="48">
        <f t="shared" si="7"/>
        <v>-22049.690974200967</v>
      </c>
      <c r="D61" s="48">
        <f t="shared" si="8"/>
        <v>6.0046557474409674</v>
      </c>
      <c r="E61" s="48">
        <f>IFERROR(IF(H61&gt;'HP Calcs'!$D$5,IF(AND(K61&gt;M61,K61&lt;N61,H61&gt;'HP Calcs'!$D$5),J61,0),IF(AND(K61&gt;M61,K61&lt;N61,H61&lt;'HP Calcs'!$D$4),J61,0)),0)</f>
        <v>0</v>
      </c>
      <c r="F61" s="48">
        <f>IFERROR(IF(H61&gt;'HP Calcs'!$D$5,IF(AND(K61&lt;M61,H61&gt;'HP Calcs'!$D$5),J61,0),IF(AND(K61&lt;M61,H61&lt;'HP Calcs'!$D$4),J61,0)),0)</f>
        <v>62</v>
      </c>
      <c r="G61" s="48">
        <f t="shared" si="4"/>
        <v>62</v>
      </c>
      <c r="H61" s="48">
        <v>27</v>
      </c>
      <c r="I61" s="49">
        <f>IFERROR(VLOOKUP(H61,'HP Calcs'!$D$26:$T$33,2),0)</f>
        <v>4</v>
      </c>
      <c r="J61" s="48">
        <f t="shared" si="9"/>
        <v>62</v>
      </c>
      <c r="K61" s="49">
        <f>IF(H61&lt;'HP Calcs'!$D$4,MAX(_xlfn.FORECAST.LINEAR(H61,'HP Calcs'!$E$3:$E$4,'HP Calcs'!$D$3:$D$4),0),MAX(_xlfn.FORECAST.LINEAR(H61,'HP Calcs'!$E$5:$E$6,'HP Calcs'!$D$5:$D$6),0))</f>
        <v>1820.3090257990334</v>
      </c>
      <c r="L61" s="48">
        <f t="shared" si="10"/>
        <v>112859.15959954007</v>
      </c>
      <c r="M61" s="49">
        <f>IFERROR(IF(ISNUMBER(MATCH(H61,'HP Calcs'!$D$28:$D$33,0)),VLOOKUP(H61,'HP Calcs'!$D$28:$R$33,3,FALSE),INDEX('HP Calcs'!$F$28:$F$33,MATCH(I61,'HP Calcs'!$E$28:$E$33,0))+(INDEX('HP Calcs'!$G$28:$G$33,MATCH(I61,'HP Calcs'!$E$28:$E$33,0))*(H61-(INDEX('HP Calcs'!$D$28:$D$33,MATCH(I61,'HP Calcs'!$E$28:$E$33,0)))))),0)</f>
        <v>7210</v>
      </c>
      <c r="N61" s="49">
        <f>IFERROR(IF(ISNUMBER(MATCH(H61,'HP Calcs'!$D$28:$D$33,0)),VLOOKUP(H61,'HP Calcs'!$D$28:$R$33,5,FALSE),INDEX('HP Calcs'!$H$28:$H$33,MATCH(I61,'HP Calcs'!$E$28:$E$33,0))+(INDEX('HP Calcs'!$I$28:$I$33,MATCH(I61,'HP Calcs'!$E$28:$E$33,0))*(H61-(INDEX('HP Calcs'!$D$28:$D$33,MATCH(I61,'HP Calcs'!$E$28:$E$33,0)))))),0)</f>
        <v>23870</v>
      </c>
      <c r="O61" s="55">
        <f>IFERROR(IF(ISNUMBER(MATCH($H61,'HP Calcs'!$D$28:$D$33,0)),VLOOKUP($H61,'HP Calcs'!$D$28:$R$33,7,FALSE),INDEX('HP Calcs'!J$28:J$33,MATCH($I61,'HP Calcs'!$E$28:$E$33,0))+(INDEX('HP Calcs'!K$28:K$33,MATCH($I61,'HP Calcs'!$E$28:$E$33,0))*($H61-(INDEX('HP Calcs'!$D$28:$D$33,MATCH($I61,'HP Calcs'!$E$28:$E$33,0)))))),0)</f>
        <v>0.314</v>
      </c>
      <c r="P61" s="55">
        <f>IFERROR(IF(ISNUMBER(MATCH($H61,'HP Calcs'!$D$28:$D$33,0)),VLOOKUP($H61,'HP Calcs'!$D$28:$R$33,9,FALSE),INDEX('HP Calcs'!L$28:L$33,MATCH($I61,'HP Calcs'!$E$28:$E$33,0))+(INDEX('HP Calcs'!M$28:M$33,MATCH($I61,'HP Calcs'!$E$28:$E$33,0))*($H61-(INDEX('HP Calcs'!$D$28:$D$33,MATCH($I61,'HP Calcs'!$E$28:$E$33,0)))))),0)</f>
        <v>1.27</v>
      </c>
      <c r="Q61" s="331">
        <f>Table1[[#This Row],[kWh]]*'Conversion Factors'!$N$21</f>
        <v>1.8013967242322901</v>
      </c>
      <c r="R61" s="334" t="str">
        <f>IF(Table1[[#This Row],[Temperature]]&lt;='HP Calcs'!$D$4,(Table1[[#This Row],[Annual Heating/Cooling Load (btu/year)]]*'Conversion Factors'!$M$4)/'HP Calcs'!$B$53*'Conversion Factors'!$N$20,"")</f>
        <v/>
      </c>
      <c r="S61" s="334">
        <f>IF(MIN(Table1[[#This Row],[Cost of Electricity]:[Cost of Natural Gas]])=0,MAX(Table1[[#This Row],[Cost of Electricity]:[Cost of Natural Gas]]),MIN(Table1[[#This Row],[Cost of Electricity]:[Cost of Natural Gas]]))</f>
        <v>1.8013967242322901</v>
      </c>
      <c r="T61" s="334">
        <f>IF(Table1[[#This Row],[Electricity or Natural Gas?]]=Table1[[#This Row],[Cost of Natural Gas]],-Table1[[#This Row],[Cost of Natural Gas]],Table1[[#This Row],[Cost of Electricity]])</f>
        <v>1.8013967242322901</v>
      </c>
      <c r="U6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2.1616743397392762E-2</v>
      </c>
      <c r="V6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3.5427440567949255</v>
      </c>
      <c r="W61" s="55">
        <f>Table1[[#This Row],[kWh]]*'Conversion Factors'!$D$6*'Conversion Factors'!$C$9</f>
        <v>3.5427468909901711</v>
      </c>
      <c r="X61" s="55">
        <f>IF(Table1[[#This Row],[Temperature]]&lt;='HP Calcs'!$D$4,(Table1[[#This Row],[Annual Heating/Cooling Load (btu/year)]])/'HP Calcs'!$B$53*'Conversion Factors'!$M$4*'Conversion Factors'!$C$27,0)</f>
        <v>0</v>
      </c>
      <c r="Y61" s="55">
        <f>IF(MIN(Table1[[#This Row],[Electricity Emissions]:[Natural Gas Emissions ]])=0,MAX(Table1[[#This Row],[Electricity Emissions]:[Natural Gas Emissions ]]),MIN(Table1[[#This Row],[Electricity Emissions]:[Natural Gas Emissions ]]))</f>
        <v>3.5427468909901711</v>
      </c>
      <c r="Z61" s="55">
        <f>IF(Table1[[#This Row],[Electricity or Natural Gas?2]]=Table1[[#This Row],[Natural Gas Emissions ]],-Table1[[#This Row],[Natural Gas Emissions ]],Table1[[#This Row],[Electricity Emissions]])</f>
        <v>3.5427468909901711</v>
      </c>
      <c r="AA61" s="55" t="str">
        <f>IF(Table1[[#This Row],[Fuel Selector (Cost)]]&lt;0,"NG","Elec")</f>
        <v>Elec</v>
      </c>
      <c r="AB61" s="337"/>
      <c r="AC61" s="7">
        <v>2022</v>
      </c>
      <c r="AD61" s="7">
        <v>1</v>
      </c>
      <c r="AE61" s="7">
        <v>3</v>
      </c>
      <c r="AF61" s="8">
        <v>0.45833333333333331</v>
      </c>
      <c r="AG61" s="9">
        <v>-21</v>
      </c>
      <c r="AH61" s="10">
        <f t="shared" si="6"/>
        <v>-21</v>
      </c>
    </row>
    <row r="62" spans="1:34" ht="14.5" x14ac:dyDescent="0.35">
      <c r="A62">
        <v>61</v>
      </c>
      <c r="B62" s="48">
        <f>IFERROR(IF(H62&lt;'HP Calcs'!$D$4,$K62-$M62,0),0)</f>
        <v>0</v>
      </c>
      <c r="C62" s="48">
        <f t="shared" si="7"/>
        <v>-21572.92129893462</v>
      </c>
      <c r="D62" s="48">
        <f t="shared" si="8"/>
        <v>4.6771829135114071</v>
      </c>
      <c r="E62" s="48">
        <f>IFERROR(IF(H62&gt;'HP Calcs'!$D$5,IF(AND(K62&gt;M62,K62&lt;N62,H62&gt;'HP Calcs'!$D$5),J62,0),IF(AND(K62&gt;M62,K62&lt;N62,H62&lt;'HP Calcs'!$D$4),J62,0)),0)</f>
        <v>0</v>
      </c>
      <c r="F62" s="48">
        <f>IFERROR(IF(H62&gt;'HP Calcs'!$D$5,IF(AND(K62&lt;M62,H62&gt;'HP Calcs'!$D$5),J62,0),IF(AND(K62&lt;M62,H62&lt;'HP Calcs'!$D$4),J62,0)),0)</f>
        <v>37</v>
      </c>
      <c r="G62" s="48">
        <f t="shared" si="4"/>
        <v>37</v>
      </c>
      <c r="H62" s="48">
        <v>28</v>
      </c>
      <c r="I62" s="49">
        <f>IFERROR(VLOOKUP(H62,'HP Calcs'!$D$26:$T$33,2),0)</f>
        <v>5</v>
      </c>
      <c r="J62" s="48">
        <f t="shared" si="9"/>
        <v>37</v>
      </c>
      <c r="K62" s="49">
        <f>IF(H62&lt;'HP Calcs'!$D$4,MAX(_xlfn.FORECAST.LINEAR(H62,'HP Calcs'!$E$3:$E$4,'HP Calcs'!$D$3:$D$4),0),MAX(_xlfn.FORECAST.LINEAR(H62,'HP Calcs'!$E$5:$E$6,'HP Calcs'!$D$5:$D$6),0))</f>
        <v>2427.0787010653785</v>
      </c>
      <c r="L62" s="48">
        <f t="shared" si="10"/>
        <v>89801.911939419006</v>
      </c>
      <c r="M62" s="49">
        <f>IFERROR(IF(ISNUMBER(MATCH(H62,'HP Calcs'!$D$28:$D$33,0)),VLOOKUP(H62,'HP Calcs'!$D$28:$R$33,3,FALSE),INDEX('HP Calcs'!$F$28:$F$33,MATCH(I62,'HP Calcs'!$E$28:$E$33,0))+(INDEX('HP Calcs'!$G$28:$G$33,MATCH(I62,'HP Calcs'!$E$28:$E$33,0))*(H62-(INDEX('HP Calcs'!$D$28:$D$33,MATCH(I62,'HP Calcs'!$E$28:$E$33,0)))))),0)</f>
        <v>7300</v>
      </c>
      <c r="N62" s="49">
        <f>IFERROR(IF(ISNUMBER(MATCH(H62,'HP Calcs'!$D$28:$D$33,0)),VLOOKUP(H62,'HP Calcs'!$D$28:$R$33,5,FALSE),INDEX('HP Calcs'!$H$28:$H$33,MATCH(I62,'HP Calcs'!$E$28:$E$33,0))+(INDEX('HP Calcs'!$I$28:$I$33,MATCH(I62,'HP Calcs'!$E$28:$E$33,0))*(H62-(INDEX('HP Calcs'!$D$28:$D$33,MATCH(I62,'HP Calcs'!$E$28:$E$33,0)))))),0)</f>
        <v>24000</v>
      </c>
      <c r="O62" s="55">
        <f>IFERROR(IF(ISNUMBER(MATCH($H62,'HP Calcs'!$D$28:$D$33,0)),VLOOKUP($H62,'HP Calcs'!$D$28:$R$33,7,FALSE),INDEX('HP Calcs'!J$28:J$33,MATCH($I62,'HP Calcs'!$E$28:$E$33,0))+(INDEX('HP Calcs'!K$28:K$33,MATCH($I62,'HP Calcs'!$E$28:$E$33,0))*($H62-(INDEX('HP Calcs'!$D$28:$D$33,MATCH($I62,'HP Calcs'!$E$28:$E$33,0)))))),0)</f>
        <v>0.31</v>
      </c>
      <c r="P62" s="55">
        <f>IFERROR(IF(ISNUMBER(MATCH($H62,'HP Calcs'!$D$28:$D$33,0)),VLOOKUP($H62,'HP Calcs'!$D$28:$R$33,9,FALSE),INDEX('HP Calcs'!L$28:L$33,MATCH($I62,'HP Calcs'!$E$28:$E$33,0))+(INDEX('HP Calcs'!M$28:M$33,MATCH($I62,'HP Calcs'!$E$28:$E$33,0))*($H62-(INDEX('HP Calcs'!$D$28:$D$33,MATCH($I62,'HP Calcs'!$E$28:$E$33,0)))))),0)</f>
        <v>1.25</v>
      </c>
      <c r="Q62" s="331">
        <f>Table1[[#This Row],[kWh]]*'Conversion Factors'!$N$21</f>
        <v>1.4031548740534221</v>
      </c>
      <c r="R62" s="334" t="str">
        <f>IF(Table1[[#This Row],[Temperature]]&lt;='HP Calcs'!$D$4,(Table1[[#This Row],[Annual Heating/Cooling Load (btu/year)]]*'Conversion Factors'!$M$4)/'HP Calcs'!$B$53*'Conversion Factors'!$N$20,"")</f>
        <v/>
      </c>
      <c r="S62" s="334">
        <f>IF(MIN(Table1[[#This Row],[Cost of Electricity]:[Cost of Natural Gas]])=0,MAX(Table1[[#This Row],[Cost of Electricity]:[Cost of Natural Gas]]),MIN(Table1[[#This Row],[Cost of Electricity]:[Cost of Natural Gas]]))</f>
        <v>1.4031548740534221</v>
      </c>
      <c r="T62" s="334">
        <f>IF(Table1[[#This Row],[Electricity or Natural Gas?]]=Table1[[#This Row],[Cost of Natural Gas]],-Table1[[#This Row],[Cost of Natural Gas]],Table1[[#This Row],[Cost of Electricity]])</f>
        <v>1.4031548740534221</v>
      </c>
      <c r="U6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1.683784501836505E-2</v>
      </c>
      <c r="V6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2.7595357113431613</v>
      </c>
      <c r="W62" s="55">
        <f>Table1[[#This Row],[kWh]]*'Conversion Factors'!$D$6*'Conversion Factors'!$C$9</f>
        <v>2.7595379189717306</v>
      </c>
      <c r="X62" s="55">
        <f>IF(Table1[[#This Row],[Temperature]]&lt;='HP Calcs'!$D$4,(Table1[[#This Row],[Annual Heating/Cooling Load (btu/year)]])/'HP Calcs'!$B$53*'Conversion Factors'!$M$4*'Conversion Factors'!$C$27,0)</f>
        <v>0</v>
      </c>
      <c r="Y62" s="55">
        <f>IF(MIN(Table1[[#This Row],[Electricity Emissions]:[Natural Gas Emissions ]])=0,MAX(Table1[[#This Row],[Electricity Emissions]:[Natural Gas Emissions ]]),MIN(Table1[[#This Row],[Electricity Emissions]:[Natural Gas Emissions ]]))</f>
        <v>2.7595379189717306</v>
      </c>
      <c r="Z62" s="55">
        <f>IF(Table1[[#This Row],[Electricity or Natural Gas?2]]=Table1[[#This Row],[Natural Gas Emissions ]],-Table1[[#This Row],[Natural Gas Emissions ]],Table1[[#This Row],[Electricity Emissions]])</f>
        <v>2.7595379189717306</v>
      </c>
      <c r="AA62" s="55" t="str">
        <f>IF(Table1[[#This Row],[Fuel Selector (Cost)]]&lt;0,"NG","Elec")</f>
        <v>Elec</v>
      </c>
      <c r="AB62" s="337"/>
      <c r="AC62" s="7">
        <v>2022</v>
      </c>
      <c r="AD62" s="7">
        <v>1</v>
      </c>
      <c r="AE62" s="7">
        <v>3</v>
      </c>
      <c r="AF62" s="8">
        <v>0.5</v>
      </c>
      <c r="AG62" s="9">
        <v>-21.2</v>
      </c>
      <c r="AH62" s="10">
        <f t="shared" si="6"/>
        <v>-21</v>
      </c>
    </row>
    <row r="63" spans="1:34" ht="14.5" x14ac:dyDescent="0.35">
      <c r="A63">
        <v>62</v>
      </c>
      <c r="B63" s="48">
        <f>IFERROR(IF(H63&lt;'HP Calcs'!$D$4,$K63-$M63,0),0)</f>
        <v>0</v>
      </c>
      <c r="C63" s="48">
        <f t="shared" si="7"/>
        <v>-20794.7230522397</v>
      </c>
      <c r="D63" s="48">
        <f t="shared" si="8"/>
        <v>6.6891991448652188</v>
      </c>
      <c r="E63" s="48">
        <f>IFERROR(IF(H63&gt;'HP Calcs'!$D$5,IF(AND(K63&gt;M63,K63&lt;N63,H63&gt;'HP Calcs'!$D$5),J63,0),IF(AND(K63&gt;M63,K63&lt;N63,H63&lt;'HP Calcs'!$D$4),J63,0)),0)</f>
        <v>0</v>
      </c>
      <c r="F63" s="48">
        <f>IFERROR(IF(H63&gt;'HP Calcs'!$D$5,IF(AND(K63&lt;M63,H63&gt;'HP Calcs'!$D$5),J63,0),IF(AND(K63&lt;M63,H63&lt;'HP Calcs'!$D$4),J63,0)),0)</f>
        <v>41</v>
      </c>
      <c r="G63" s="48">
        <f t="shared" si="4"/>
        <v>41</v>
      </c>
      <c r="H63" s="48">
        <v>29</v>
      </c>
      <c r="I63" s="49">
        <f>IFERROR(VLOOKUP(H63,'HP Calcs'!$D$26:$T$33,2),0)</f>
        <v>5</v>
      </c>
      <c r="J63" s="48">
        <f t="shared" si="9"/>
        <v>41</v>
      </c>
      <c r="K63" s="49">
        <f>IF(H63&lt;'HP Calcs'!$D$4,MAX(_xlfn.FORECAST.LINEAR(H63,'HP Calcs'!$E$3:$E$4,'HP Calcs'!$D$3:$D$4),0),MAX(_xlfn.FORECAST.LINEAR(H63,'HP Calcs'!$E$5:$E$6,'HP Calcs'!$D$5:$D$6),0))</f>
        <v>3033.8483763317254</v>
      </c>
      <c r="L63" s="48">
        <f t="shared" si="10"/>
        <v>124387.78342960073</v>
      </c>
      <c r="M63" s="49">
        <f>IFERROR(IF(ISNUMBER(MATCH(H63,'HP Calcs'!$D$28:$D$33,0)),VLOOKUP(H63,'HP Calcs'!$D$28:$R$33,3,FALSE),INDEX('HP Calcs'!$F$28:$F$33,MATCH(I63,'HP Calcs'!$E$28:$E$33,0))+(INDEX('HP Calcs'!$G$28:$G$33,MATCH(I63,'HP Calcs'!$E$28:$E$33,0))*(H63-(INDEX('HP Calcs'!$D$28:$D$33,MATCH(I63,'HP Calcs'!$E$28:$E$33,0)))))),0)</f>
        <v>7242.8571428571431</v>
      </c>
      <c r="N63" s="49">
        <f>IFERROR(IF(ISNUMBER(MATCH(H63,'HP Calcs'!$D$28:$D$33,0)),VLOOKUP(H63,'HP Calcs'!$D$28:$R$33,5,FALSE),INDEX('HP Calcs'!$H$28:$H$33,MATCH(I63,'HP Calcs'!$E$28:$E$33,0))+(INDEX('HP Calcs'!$I$28:$I$33,MATCH(I63,'HP Calcs'!$E$28:$E$33,0))*(H63-(INDEX('HP Calcs'!$D$28:$D$33,MATCH(I63,'HP Calcs'!$E$28:$E$33,0)))))),0)</f>
        <v>23828.571428571428</v>
      </c>
      <c r="O63" s="55">
        <f>IFERROR(IF(ISNUMBER(MATCH($H63,'HP Calcs'!$D$28:$D$33,0)),VLOOKUP($H63,'HP Calcs'!$D$28:$R$33,7,FALSE),INDEX('HP Calcs'!J$28:J$33,MATCH($I63,'HP Calcs'!$E$28:$E$33,0))+(INDEX('HP Calcs'!K$28:K$33,MATCH($I63,'HP Calcs'!$E$28:$E$33,0))*($H63-(INDEX('HP Calcs'!$D$28:$D$33,MATCH($I63,'HP Calcs'!$E$28:$E$33,0)))))),0)</f>
        <v>0.32142857142857145</v>
      </c>
      <c r="P63" s="55">
        <f>IFERROR(IF(ISNUMBER(MATCH($H63,'HP Calcs'!$D$28:$D$33,0)),VLOOKUP($H63,'HP Calcs'!$D$28:$R$33,9,FALSE),INDEX('HP Calcs'!L$28:L$33,MATCH($I63,'HP Calcs'!$E$28:$E$33,0))+(INDEX('HP Calcs'!M$28:M$33,MATCH($I63,'HP Calcs'!$E$28:$E$33,0))*($H63-(INDEX('HP Calcs'!$D$28:$D$33,MATCH($I63,'HP Calcs'!$E$28:$E$33,0)))))),0)</f>
        <v>1.2814285714285714</v>
      </c>
      <c r="Q63" s="331">
        <f>Table1[[#This Row],[kWh]]*'Conversion Factors'!$N$21</f>
        <v>2.0067597434595656</v>
      </c>
      <c r="R63" s="334" t="str">
        <f>IF(Table1[[#This Row],[Temperature]]&lt;='HP Calcs'!$D$4,(Table1[[#This Row],[Annual Heating/Cooling Load (btu/year)]]*'Conversion Factors'!$M$4)/'HP Calcs'!$B$53*'Conversion Factors'!$N$20,"")</f>
        <v/>
      </c>
      <c r="S63" s="334">
        <f>IF(MIN(Table1[[#This Row],[Cost of Electricity]:[Cost of Natural Gas]])=0,MAX(Table1[[#This Row],[Cost of Electricity]:[Cost of Natural Gas]]),MIN(Table1[[#This Row],[Cost of Electricity]:[Cost of Natural Gas]]))</f>
        <v>2.0067597434595656</v>
      </c>
      <c r="T63" s="334">
        <f>IF(Table1[[#This Row],[Electricity or Natural Gas?]]=Table1[[#This Row],[Cost of Natural Gas]],-Table1[[#This Row],[Cost of Natural Gas]],Table1[[#This Row],[Cost of Electricity]])</f>
        <v>2.0067597434595656</v>
      </c>
      <c r="U6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2.4081097656636661E-2</v>
      </c>
      <c r="V6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3.9466243381710089</v>
      </c>
      <c r="W63" s="55">
        <f>Table1[[#This Row],[kWh]]*'Conversion Factors'!$D$6*'Conversion Factors'!$C$9</f>
        <v>3.9466274954704796</v>
      </c>
      <c r="X63" s="55">
        <f>IF(Table1[[#This Row],[Temperature]]&lt;='HP Calcs'!$D$4,(Table1[[#This Row],[Annual Heating/Cooling Load (btu/year)]])/'HP Calcs'!$B$53*'Conversion Factors'!$M$4*'Conversion Factors'!$C$27,0)</f>
        <v>0</v>
      </c>
      <c r="Y63" s="55">
        <f>IF(MIN(Table1[[#This Row],[Electricity Emissions]:[Natural Gas Emissions ]])=0,MAX(Table1[[#This Row],[Electricity Emissions]:[Natural Gas Emissions ]]),MIN(Table1[[#This Row],[Electricity Emissions]:[Natural Gas Emissions ]]))</f>
        <v>3.9466274954704796</v>
      </c>
      <c r="Z63" s="55">
        <f>IF(Table1[[#This Row],[Electricity or Natural Gas?2]]=Table1[[#This Row],[Natural Gas Emissions ]],-Table1[[#This Row],[Natural Gas Emissions ]],Table1[[#This Row],[Electricity Emissions]])</f>
        <v>3.9466274954704796</v>
      </c>
      <c r="AA63" s="55" t="str">
        <f>IF(Table1[[#This Row],[Fuel Selector (Cost)]]&lt;0,"NG","Elec")</f>
        <v>Elec</v>
      </c>
      <c r="AB63" s="337"/>
      <c r="AC63" s="7">
        <v>2022</v>
      </c>
      <c r="AD63" s="7">
        <v>1</v>
      </c>
      <c r="AE63" s="7">
        <v>3</v>
      </c>
      <c r="AF63" s="8">
        <v>0.54166666666666663</v>
      </c>
      <c r="AG63" s="9">
        <v>-21.5</v>
      </c>
      <c r="AH63" s="10">
        <f t="shared" si="6"/>
        <v>-22</v>
      </c>
    </row>
    <row r="64" spans="1:34" ht="14.5" x14ac:dyDescent="0.35">
      <c r="A64">
        <v>63</v>
      </c>
      <c r="B64" s="48">
        <f>IFERROR(IF(H64&lt;'HP Calcs'!$D$4,$K64-$M64,0),0)</f>
        <v>0</v>
      </c>
      <c r="C64" s="48">
        <f t="shared" si="7"/>
        <v>-20016.524805544788</v>
      </c>
      <c r="D64" s="48">
        <f t="shared" si="8"/>
        <v>6.667211573116826</v>
      </c>
      <c r="E64" s="48">
        <f>IFERROR(IF(H64&gt;'HP Calcs'!$D$5,IF(AND(K64&gt;M64,K64&lt;N64,H64&gt;'HP Calcs'!$D$5),J64,0),IF(AND(K64&gt;M64,K64&lt;N64,H64&lt;'HP Calcs'!$D$4),J64,0)),0)</f>
        <v>0</v>
      </c>
      <c r="F64" s="48">
        <f>IFERROR(IF(H64&gt;'HP Calcs'!$D$5,IF(AND(K64&lt;M64,H64&gt;'HP Calcs'!$D$5),J64,0),IF(AND(K64&lt;M64,H64&lt;'HP Calcs'!$D$4),J64,0)),0)</f>
        <v>33</v>
      </c>
      <c r="G64" s="48">
        <f t="shared" si="4"/>
        <v>33</v>
      </c>
      <c r="H64" s="48">
        <v>30</v>
      </c>
      <c r="I64" s="49">
        <f>IFERROR(VLOOKUP(H64,'HP Calcs'!$D$26:$T$33,2),0)</f>
        <v>5</v>
      </c>
      <c r="J64" s="48">
        <f t="shared" si="9"/>
        <v>33</v>
      </c>
      <c r="K64" s="49">
        <f>IF(H64&lt;'HP Calcs'!$D$4,MAX(_xlfn.FORECAST.LINEAR(H64,'HP Calcs'!$E$3:$E$4,'HP Calcs'!$D$3:$D$4),0),MAX(_xlfn.FORECAST.LINEAR(H64,'HP Calcs'!$E$5:$E$6,'HP Calcs'!$D$5:$D$6),0))</f>
        <v>3640.6180515980686</v>
      </c>
      <c r="L64" s="48">
        <f t="shared" si="10"/>
        <v>120140.39570273626</v>
      </c>
      <c r="M64" s="49">
        <f>IFERROR(IF(ISNUMBER(MATCH(H64,'HP Calcs'!$D$28:$D$33,0)),VLOOKUP(H64,'HP Calcs'!$D$28:$R$33,3,FALSE),INDEX('HP Calcs'!$F$28:$F$33,MATCH(I64,'HP Calcs'!$E$28:$E$33,0))+(INDEX('HP Calcs'!$G$28:$G$33,MATCH(I64,'HP Calcs'!$E$28:$E$33,0))*(H64-(INDEX('HP Calcs'!$D$28:$D$33,MATCH(I64,'HP Calcs'!$E$28:$E$33,0)))))),0)</f>
        <v>7185.7142857142853</v>
      </c>
      <c r="N64" s="49">
        <f>IFERROR(IF(ISNUMBER(MATCH(H64,'HP Calcs'!$D$28:$D$33,0)),VLOOKUP(H64,'HP Calcs'!$D$28:$R$33,5,FALSE),INDEX('HP Calcs'!$H$28:$H$33,MATCH(I64,'HP Calcs'!$E$28:$E$33,0))+(INDEX('HP Calcs'!$I$28:$I$33,MATCH(I64,'HP Calcs'!$E$28:$E$33,0))*(H64-(INDEX('HP Calcs'!$D$28:$D$33,MATCH(I64,'HP Calcs'!$E$28:$E$33,0)))))),0)</f>
        <v>23657.142857142859</v>
      </c>
      <c r="O64" s="55">
        <f>IFERROR(IF(ISNUMBER(MATCH($H64,'HP Calcs'!$D$28:$D$33,0)),VLOOKUP($H64,'HP Calcs'!$D$28:$R$33,7,FALSE),INDEX('HP Calcs'!J$28:J$33,MATCH($I64,'HP Calcs'!$E$28:$E$33,0))+(INDEX('HP Calcs'!K$28:K$33,MATCH($I64,'HP Calcs'!$E$28:$E$33,0))*($H64-(INDEX('HP Calcs'!$D$28:$D$33,MATCH($I64,'HP Calcs'!$E$28:$E$33,0)))))),0)</f>
        <v>0.33285714285714285</v>
      </c>
      <c r="P64" s="55">
        <f>IFERROR(IF(ISNUMBER(MATCH($H64,'HP Calcs'!$D$28:$D$33,0)),VLOOKUP($H64,'HP Calcs'!$D$28:$R$33,9,FALSE),INDEX('HP Calcs'!L$28:L$33,MATCH($I64,'HP Calcs'!$E$28:$E$33,0))+(INDEX('HP Calcs'!M$28:M$33,MATCH($I64,'HP Calcs'!$E$28:$E$33,0))*($H64-(INDEX('HP Calcs'!$D$28:$D$33,MATCH($I64,'HP Calcs'!$E$28:$E$33,0)))))),0)</f>
        <v>1.3128571428571429</v>
      </c>
      <c r="Q64" s="331">
        <f>Table1[[#This Row],[kWh]]*'Conversion Factors'!$N$21</f>
        <v>2.0001634719350476</v>
      </c>
      <c r="R64" s="334" t="str">
        <f>IF(Table1[[#This Row],[Temperature]]&lt;='HP Calcs'!$D$4,(Table1[[#This Row],[Annual Heating/Cooling Load (btu/year)]]*'Conversion Factors'!$M$4)/'HP Calcs'!$B$53*'Conversion Factors'!$N$20,"")</f>
        <v/>
      </c>
      <c r="S64" s="334">
        <f>IF(MIN(Table1[[#This Row],[Cost of Electricity]:[Cost of Natural Gas]])=0,MAX(Table1[[#This Row],[Cost of Electricity]:[Cost of Natural Gas]]),MIN(Table1[[#This Row],[Cost of Electricity]:[Cost of Natural Gas]]))</f>
        <v>2.0001634719350476</v>
      </c>
      <c r="T64" s="334">
        <f>IF(Table1[[#This Row],[Electricity or Natural Gas?]]=Table1[[#This Row],[Cost of Natural Gas]],-Table1[[#This Row],[Cost of Natural Gas]],Table1[[#This Row],[Cost of Electricity]])</f>
        <v>2.0001634719350476</v>
      </c>
      <c r="U6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2.4001942461666603E-2</v>
      </c>
      <c r="V6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3.9336516812175826</v>
      </c>
      <c r="W64" s="55">
        <f>Table1[[#This Row],[kWh]]*'Conversion Factors'!$D$6*'Conversion Factors'!$C$9</f>
        <v>3.9336548281389279</v>
      </c>
      <c r="X64" s="55">
        <f>IF(Table1[[#This Row],[Temperature]]&lt;='HP Calcs'!$D$4,(Table1[[#This Row],[Annual Heating/Cooling Load (btu/year)]])/'HP Calcs'!$B$53*'Conversion Factors'!$M$4*'Conversion Factors'!$C$27,0)</f>
        <v>0</v>
      </c>
      <c r="Y64" s="55">
        <f>IF(MIN(Table1[[#This Row],[Electricity Emissions]:[Natural Gas Emissions ]])=0,MAX(Table1[[#This Row],[Electricity Emissions]:[Natural Gas Emissions ]]),MIN(Table1[[#This Row],[Electricity Emissions]:[Natural Gas Emissions ]]))</f>
        <v>3.9336548281389279</v>
      </c>
      <c r="Z64" s="55">
        <f>IF(Table1[[#This Row],[Electricity or Natural Gas?2]]=Table1[[#This Row],[Natural Gas Emissions ]],-Table1[[#This Row],[Natural Gas Emissions ]],Table1[[#This Row],[Electricity Emissions]])</f>
        <v>3.9336548281389279</v>
      </c>
      <c r="AA64" s="55" t="str">
        <f>IF(Table1[[#This Row],[Fuel Selector (Cost)]]&lt;0,"NG","Elec")</f>
        <v>Elec</v>
      </c>
      <c r="AB64" s="337"/>
      <c r="AC64" s="7">
        <v>2022</v>
      </c>
      <c r="AD64" s="7">
        <v>1</v>
      </c>
      <c r="AE64" s="7">
        <v>3</v>
      </c>
      <c r="AF64" s="8">
        <v>0.58333333333333337</v>
      </c>
      <c r="AG64" s="9">
        <v>-21.9</v>
      </c>
      <c r="AH64" s="10">
        <f t="shared" si="6"/>
        <v>-22</v>
      </c>
    </row>
    <row r="65" spans="1:34" ht="14.5" x14ac:dyDescent="0.35">
      <c r="A65">
        <v>64</v>
      </c>
      <c r="B65" s="48">
        <f>IFERROR(IF(H65&lt;'HP Calcs'!$D$4,$K65-$M65,0),0)</f>
        <v>0</v>
      </c>
      <c r="C65" s="48">
        <f t="shared" si="7"/>
        <v>-19238.326558849869</v>
      </c>
      <c r="D65" s="48">
        <f t="shared" si="8"/>
        <v>3.8898217527780194</v>
      </c>
      <c r="E65" s="48">
        <f>IFERROR(IF(H65&gt;'HP Calcs'!$D$5,IF(AND(K65&gt;M65,K65&lt;N65,H65&gt;'HP Calcs'!$D$5),J65,0),IF(AND(K65&gt;M65,K65&lt;N65,H65&lt;'HP Calcs'!$D$4),J65,0)),0)</f>
        <v>0</v>
      </c>
      <c r="F65" s="48">
        <f>IFERROR(IF(H65&gt;'HP Calcs'!$D$5,IF(AND(K65&lt;M65,H65&gt;'HP Calcs'!$D$5),J65,0),IF(AND(K65&lt;M65,H65&lt;'HP Calcs'!$D$4),J65,0)),0)</f>
        <v>16</v>
      </c>
      <c r="G65" s="48">
        <f t="shared" si="4"/>
        <v>16</v>
      </c>
      <c r="H65" s="48">
        <v>31</v>
      </c>
      <c r="I65" s="49">
        <f>IFERROR(VLOOKUP(H65,'HP Calcs'!$D$26:$T$33,2),0)</f>
        <v>5</v>
      </c>
      <c r="J65" s="48">
        <f t="shared" si="9"/>
        <v>16</v>
      </c>
      <c r="K65" s="49">
        <f>IF(H65&lt;'HP Calcs'!$D$4,MAX(_xlfn.FORECAST.LINEAR(H65,'HP Calcs'!$E$3:$E$4,'HP Calcs'!$D$3:$D$4),0),MAX(_xlfn.FORECAST.LINEAR(H65,'HP Calcs'!$E$5:$E$6,'HP Calcs'!$D$5:$D$6),0))</f>
        <v>4247.3877268644155</v>
      </c>
      <c r="L65" s="48">
        <f t="shared" si="10"/>
        <v>67958.203629830648</v>
      </c>
      <c r="M65" s="49">
        <f>IFERROR(IF(ISNUMBER(MATCH(H65,'HP Calcs'!$D$28:$D$33,0)),VLOOKUP(H65,'HP Calcs'!$D$28:$R$33,3,FALSE),INDEX('HP Calcs'!$F$28:$F$33,MATCH(I65,'HP Calcs'!$E$28:$E$33,0))+(INDEX('HP Calcs'!$G$28:$G$33,MATCH(I65,'HP Calcs'!$E$28:$E$33,0))*(H65-(INDEX('HP Calcs'!$D$28:$D$33,MATCH(I65,'HP Calcs'!$E$28:$E$33,0)))))),0)</f>
        <v>7128.5714285714284</v>
      </c>
      <c r="N65" s="49">
        <f>IFERROR(IF(ISNUMBER(MATCH(H65,'HP Calcs'!$D$28:$D$33,0)),VLOOKUP(H65,'HP Calcs'!$D$28:$R$33,5,FALSE),INDEX('HP Calcs'!$H$28:$H$33,MATCH(I65,'HP Calcs'!$E$28:$E$33,0))+(INDEX('HP Calcs'!$I$28:$I$33,MATCH(I65,'HP Calcs'!$E$28:$E$33,0))*(H65-(INDEX('HP Calcs'!$D$28:$D$33,MATCH(I65,'HP Calcs'!$E$28:$E$33,0)))))),0)</f>
        <v>23485.714285714286</v>
      </c>
      <c r="O65" s="55">
        <f>IFERROR(IF(ISNUMBER(MATCH($H65,'HP Calcs'!$D$28:$D$33,0)),VLOOKUP($H65,'HP Calcs'!$D$28:$R$33,7,FALSE),INDEX('HP Calcs'!J$28:J$33,MATCH($I65,'HP Calcs'!$E$28:$E$33,0))+(INDEX('HP Calcs'!K$28:K$33,MATCH($I65,'HP Calcs'!$E$28:$E$33,0))*($H65-(INDEX('HP Calcs'!$D$28:$D$33,MATCH($I65,'HP Calcs'!$E$28:$E$33,0)))))),0)</f>
        <v>0.34428571428571431</v>
      </c>
      <c r="P65" s="55">
        <f>IFERROR(IF(ISNUMBER(MATCH($H65,'HP Calcs'!$D$28:$D$33,0)),VLOOKUP($H65,'HP Calcs'!$D$28:$R$33,9,FALSE),INDEX('HP Calcs'!L$28:L$33,MATCH($I65,'HP Calcs'!$E$28:$E$33,0))+(INDEX('HP Calcs'!M$28:M$33,MATCH($I65,'HP Calcs'!$E$28:$E$33,0))*($H65-(INDEX('HP Calcs'!$D$28:$D$33,MATCH($I65,'HP Calcs'!$E$28:$E$33,0)))))),0)</f>
        <v>1.3442857142857143</v>
      </c>
      <c r="Q65" s="331">
        <f>Table1[[#This Row],[kWh]]*'Conversion Factors'!$N$21</f>
        <v>1.1669465258334057</v>
      </c>
      <c r="R65" s="334" t="str">
        <f>IF(Table1[[#This Row],[Temperature]]&lt;='HP Calcs'!$D$4,(Table1[[#This Row],[Annual Heating/Cooling Load (btu/year)]]*'Conversion Factors'!$M$4)/'HP Calcs'!$B$53*'Conversion Factors'!$N$20,"")</f>
        <v/>
      </c>
      <c r="S65" s="334">
        <f>IF(MIN(Table1[[#This Row],[Cost of Electricity]:[Cost of Natural Gas]])=0,MAX(Table1[[#This Row],[Cost of Electricity]:[Cost of Natural Gas]]),MIN(Table1[[#This Row],[Cost of Electricity]:[Cost of Natural Gas]]))</f>
        <v>1.1669465258334057</v>
      </c>
      <c r="T65" s="334">
        <f>IF(Table1[[#This Row],[Electricity or Natural Gas?]]=Table1[[#This Row],[Cost of Natural Gas]],-Table1[[#This Row],[Cost of Natural Gas]],Table1[[#This Row],[Cost of Electricity]])</f>
        <v>1.1669465258334057</v>
      </c>
      <c r="U65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1.4003347107323183E-2</v>
      </c>
      <c r="V65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2.2949929981446329</v>
      </c>
      <c r="W65" s="55">
        <f>Table1[[#This Row],[kWh]]*'Conversion Factors'!$D$6*'Conversion Factors'!$C$9</f>
        <v>2.2949948341390316</v>
      </c>
      <c r="X65" s="55">
        <f>IF(Table1[[#This Row],[Temperature]]&lt;='HP Calcs'!$D$4,(Table1[[#This Row],[Annual Heating/Cooling Load (btu/year)]])/'HP Calcs'!$B$53*'Conversion Factors'!$M$4*'Conversion Factors'!$C$27,0)</f>
        <v>0</v>
      </c>
      <c r="Y65" s="55">
        <f>IF(MIN(Table1[[#This Row],[Electricity Emissions]:[Natural Gas Emissions ]])=0,MAX(Table1[[#This Row],[Electricity Emissions]:[Natural Gas Emissions ]]),MIN(Table1[[#This Row],[Electricity Emissions]:[Natural Gas Emissions ]]))</f>
        <v>2.2949948341390316</v>
      </c>
      <c r="Z65" s="55">
        <f>IF(Table1[[#This Row],[Electricity or Natural Gas?2]]=Table1[[#This Row],[Natural Gas Emissions ]],-Table1[[#This Row],[Natural Gas Emissions ]],Table1[[#This Row],[Electricity Emissions]])</f>
        <v>2.2949948341390316</v>
      </c>
      <c r="AA65" s="55" t="str">
        <f>IF(Table1[[#This Row],[Fuel Selector (Cost)]]&lt;0,"NG","Elec")</f>
        <v>Elec</v>
      </c>
      <c r="AB65" s="337"/>
      <c r="AC65" s="7">
        <v>2022</v>
      </c>
      <c r="AD65" s="7">
        <v>1</v>
      </c>
      <c r="AE65" s="7">
        <v>3</v>
      </c>
      <c r="AF65" s="8">
        <v>0.625</v>
      </c>
      <c r="AG65" s="9">
        <v>-22.4</v>
      </c>
      <c r="AH65" s="10">
        <f t="shared" si="6"/>
        <v>-22</v>
      </c>
    </row>
    <row r="66" spans="1:34" ht="14.5" x14ac:dyDescent="0.35">
      <c r="A66">
        <v>65</v>
      </c>
      <c r="B66" s="48">
        <f>IFERROR(IF(H66&lt;'HP Calcs'!$D$4,$K66-$M66,0),0)</f>
        <v>0</v>
      </c>
      <c r="C66" s="48">
        <f t="shared" ref="C66:C74" si="11">K66-N66</f>
        <v>-18460.128312154957</v>
      </c>
      <c r="D66" s="48">
        <f t="shared" ref="D66:D74" si="12">IFERROR((K66/N66)*P66*G66,0)</f>
        <v>1.1457239162382158</v>
      </c>
      <c r="E66" s="48">
        <f>IFERROR(IF(H66&gt;'HP Calcs'!$D$5,IF(AND(K66&gt;M66,K66&lt;N66,H66&gt;'HP Calcs'!$D$5),J66,0),IF(AND(K66&gt;M66,K66&lt;N66,H66&lt;'HP Calcs'!$D$4),J66,0)),0)</f>
        <v>0</v>
      </c>
      <c r="F66" s="48">
        <f>IFERROR(IF(H66&gt;'HP Calcs'!$D$5,IF(AND(K66&lt;M66,H66&gt;'HP Calcs'!$D$5),J66,0),IF(AND(K66&lt;M66,H66&lt;'HP Calcs'!$D$4),J66,0)),0)</f>
        <v>4</v>
      </c>
      <c r="G66" s="48">
        <f t="shared" si="4"/>
        <v>4</v>
      </c>
      <c r="H66" s="48">
        <v>32</v>
      </c>
      <c r="I66" s="49">
        <f>IFERROR(VLOOKUP(H66,'HP Calcs'!$D$26:$T$33,2),0)</f>
        <v>5</v>
      </c>
      <c r="J66" s="48">
        <f t="shared" ref="J66:J74" si="13">COUNTIF($AH$2:$AH$8761,H66)</f>
        <v>4</v>
      </c>
      <c r="K66" s="49">
        <f>IF(H66&lt;'HP Calcs'!$D$4,MAX(_xlfn.FORECAST.LINEAR(H66,'HP Calcs'!$E$3:$E$4,'HP Calcs'!$D$3:$D$4),0),MAX(_xlfn.FORECAST.LINEAR(H66,'HP Calcs'!$E$5:$E$6,'HP Calcs'!$D$5:$D$6),0))</f>
        <v>4854.1574021307588</v>
      </c>
      <c r="L66" s="48">
        <f t="shared" ref="L66:L74" si="14">J66*K66</f>
        <v>19416.629608523035</v>
      </c>
      <c r="M66" s="49">
        <f>IFERROR(IF(ISNUMBER(MATCH(H66,'HP Calcs'!$D$28:$D$33,0)),VLOOKUP(H66,'HP Calcs'!$D$28:$R$33,3,FALSE),INDEX('HP Calcs'!$F$28:$F$33,MATCH(I66,'HP Calcs'!$E$28:$E$33,0))+(INDEX('HP Calcs'!$G$28:$G$33,MATCH(I66,'HP Calcs'!$E$28:$E$33,0))*(H66-(INDEX('HP Calcs'!$D$28:$D$33,MATCH(I66,'HP Calcs'!$E$28:$E$33,0)))))),0)</f>
        <v>7071.4285714285716</v>
      </c>
      <c r="N66" s="49">
        <f>IFERROR(IF(ISNUMBER(MATCH(H66,'HP Calcs'!$D$28:$D$33,0)),VLOOKUP(H66,'HP Calcs'!$D$28:$R$33,5,FALSE),INDEX('HP Calcs'!$H$28:$H$33,MATCH(I66,'HP Calcs'!$E$28:$E$33,0))+(INDEX('HP Calcs'!$I$28:$I$33,MATCH(I66,'HP Calcs'!$E$28:$E$33,0))*(H66-(INDEX('HP Calcs'!$D$28:$D$33,MATCH(I66,'HP Calcs'!$E$28:$E$33,0)))))),0)</f>
        <v>23314.285714285714</v>
      </c>
      <c r="O66" s="55">
        <f>IFERROR(IF(ISNUMBER(MATCH($H66,'HP Calcs'!$D$28:$D$33,0)),VLOOKUP($H66,'HP Calcs'!$D$28:$R$33,7,FALSE),INDEX('HP Calcs'!J$28:J$33,MATCH($I66,'HP Calcs'!$E$28:$E$33,0))+(INDEX('HP Calcs'!K$28:K$33,MATCH($I66,'HP Calcs'!$E$28:$E$33,0))*($H66-(INDEX('HP Calcs'!$D$28:$D$33,MATCH($I66,'HP Calcs'!$E$28:$E$33,0)))))),0)</f>
        <v>0.35571428571428571</v>
      </c>
      <c r="P66" s="55">
        <f>IFERROR(IF(ISNUMBER(MATCH($H66,'HP Calcs'!$D$28:$D$33,0)),VLOOKUP($H66,'HP Calcs'!$D$28:$R$33,9,FALSE),INDEX('HP Calcs'!L$28:L$33,MATCH($I66,'HP Calcs'!$E$28:$E$33,0))+(INDEX('HP Calcs'!M$28:M$33,MATCH($I66,'HP Calcs'!$E$28:$E$33,0))*($H66-(INDEX('HP Calcs'!$D$28:$D$33,MATCH($I66,'HP Calcs'!$E$28:$E$33,0)))))),0)</f>
        <v>1.3757142857142857</v>
      </c>
      <c r="Q66" s="331">
        <f>Table1[[#This Row],[kWh]]*'Conversion Factors'!$N$21</f>
        <v>0.34371717487146475</v>
      </c>
      <c r="R66" s="334" t="str">
        <f>IF(Table1[[#This Row],[Temperature]]&lt;='HP Calcs'!$D$4,(Table1[[#This Row],[Annual Heating/Cooling Load (btu/year)]]*'Conversion Factors'!$M$4)/'HP Calcs'!$B$53*'Conversion Factors'!$N$20,"")</f>
        <v/>
      </c>
      <c r="S66" s="334">
        <f>IF(MIN(Table1[[#This Row],[Cost of Electricity]:[Cost of Natural Gas]])=0,MAX(Table1[[#This Row],[Cost of Electricity]:[Cost of Natural Gas]]),MIN(Table1[[#This Row],[Cost of Electricity]:[Cost of Natural Gas]]))</f>
        <v>0.34371717487146475</v>
      </c>
      <c r="T66" s="334">
        <f>IF(Table1[[#This Row],[Electricity or Natural Gas?]]=Table1[[#This Row],[Cost of Natural Gas]],-Table1[[#This Row],[Cost of Natural Gas]],Table1[[#This Row],[Cost of Electricity]])</f>
        <v>0.34371717487146475</v>
      </c>
      <c r="U66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4.1246027987753373E-3</v>
      </c>
      <c r="V66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0.67597656979929155</v>
      </c>
      <c r="W66" s="55">
        <f>Table1[[#This Row],[kWh]]*'Conversion Factors'!$D$6*'Conversion Factors'!$C$9</f>
        <v>0.67597711058054732</v>
      </c>
      <c r="X66" s="55">
        <f>IF(Table1[[#This Row],[Temperature]]&lt;='HP Calcs'!$D$4,(Table1[[#This Row],[Annual Heating/Cooling Load (btu/year)]])/'HP Calcs'!$B$53*'Conversion Factors'!$M$4*'Conversion Factors'!$C$27,0)</f>
        <v>0</v>
      </c>
      <c r="Y66" s="55">
        <f>IF(MIN(Table1[[#This Row],[Electricity Emissions]:[Natural Gas Emissions ]])=0,MAX(Table1[[#This Row],[Electricity Emissions]:[Natural Gas Emissions ]]),MIN(Table1[[#This Row],[Electricity Emissions]:[Natural Gas Emissions ]]))</f>
        <v>0.67597711058054732</v>
      </c>
      <c r="Z66" s="55">
        <f>IF(Table1[[#This Row],[Electricity or Natural Gas?2]]=Table1[[#This Row],[Natural Gas Emissions ]],-Table1[[#This Row],[Natural Gas Emissions ]],Table1[[#This Row],[Electricity Emissions]])</f>
        <v>0.67597711058054732</v>
      </c>
      <c r="AA66" s="55" t="str">
        <f>IF(Table1[[#This Row],[Fuel Selector (Cost)]]&lt;0,"NG","Elec")</f>
        <v>Elec</v>
      </c>
      <c r="AB66" s="337"/>
      <c r="AC66" s="7">
        <v>2022</v>
      </c>
      <c r="AD66" s="7">
        <v>1</v>
      </c>
      <c r="AE66" s="7">
        <v>3</v>
      </c>
      <c r="AF66" s="8">
        <v>0.66666666666666663</v>
      </c>
      <c r="AG66" s="9">
        <v>-23.1</v>
      </c>
      <c r="AH66" s="10">
        <f t="shared" si="6"/>
        <v>-23</v>
      </c>
    </row>
    <row r="67" spans="1:34" ht="14.5" x14ac:dyDescent="0.35">
      <c r="A67">
        <v>66</v>
      </c>
      <c r="B67" s="48">
        <f>IFERROR(IF(H67&lt;'HP Calcs'!$D$4,$K67-$M67,0),0)</f>
        <v>0</v>
      </c>
      <c r="C67" s="48">
        <f t="shared" si="11"/>
        <v>-17681.930065460037</v>
      </c>
      <c r="D67" s="48">
        <f>IFERROR((K67/N67)*P67*G67,0)</f>
        <v>0.33203785007630526</v>
      </c>
      <c r="E67" s="48">
        <f>IFERROR(IF(H67&gt;'HP Calcs'!$D$5,IF(AND(K67&gt;M67,K67&lt;N67,H67&gt;'HP Calcs'!$D$5),J67,0),IF(AND(K67&gt;M67,K67&lt;N67,H67&lt;'HP Calcs'!$D$4),J67,0)),0)</f>
        <v>0</v>
      </c>
      <c r="F67" s="48">
        <f>IFERROR(IF(H67&gt;'HP Calcs'!$D$5,IF(AND(K67&lt;M67,H67&gt;'HP Calcs'!$D$5),J67,0),IF(AND(K67&lt;M67,H67&lt;'HP Calcs'!$D$4),J67,0)),0)</f>
        <v>1</v>
      </c>
      <c r="G67" s="48">
        <f t="shared" ref="G67:G74" si="15">E67+F67</f>
        <v>1</v>
      </c>
      <c r="H67" s="48">
        <v>33</v>
      </c>
      <c r="I67" s="49">
        <f>IFERROR(VLOOKUP(H67,'HP Calcs'!$D$26:$T$33,2),0)</f>
        <v>5</v>
      </c>
      <c r="J67" s="48">
        <f t="shared" si="13"/>
        <v>1</v>
      </c>
      <c r="K67" s="49">
        <f>IF(H67&lt;'HP Calcs'!$D$4,MAX(_xlfn.FORECAST.LINEAR(H67,'HP Calcs'!$E$3:$E$4,'HP Calcs'!$D$3:$D$4),0),MAX(_xlfn.FORECAST.LINEAR(H67,'HP Calcs'!$E$5:$E$6,'HP Calcs'!$D$5:$D$6),0))</f>
        <v>5460.927077397102</v>
      </c>
      <c r="L67" s="48">
        <f t="shared" si="14"/>
        <v>5460.927077397102</v>
      </c>
      <c r="M67" s="49">
        <f>IFERROR(IF(ISNUMBER(MATCH(H67,'HP Calcs'!$D$28:$D$33,0)),VLOOKUP(H67,'HP Calcs'!$D$28:$R$33,3,FALSE),INDEX('HP Calcs'!$F$28:$F$33,MATCH(I67,'HP Calcs'!$E$28:$E$33,0))+(INDEX('HP Calcs'!$G$28:$G$33,MATCH(I67,'HP Calcs'!$E$28:$E$33,0))*(H67-(INDEX('HP Calcs'!$D$28:$D$33,MATCH(I67,'HP Calcs'!$E$28:$E$33,0)))))),0)</f>
        <v>7014.2857142857147</v>
      </c>
      <c r="N67" s="49">
        <f>IFERROR(IF(ISNUMBER(MATCH(H67,'HP Calcs'!$D$28:$D$33,0)),VLOOKUP(H67,'HP Calcs'!$D$28:$R$33,5,FALSE),INDEX('HP Calcs'!$H$28:$H$33,MATCH(I67,'HP Calcs'!$E$28:$E$33,0))+(INDEX('HP Calcs'!$I$28:$I$33,MATCH(I67,'HP Calcs'!$E$28:$E$33,0))*(H67-(INDEX('HP Calcs'!$D$28:$D$33,MATCH(I67,'HP Calcs'!$E$28:$E$33,0)))))),0)</f>
        <v>23142.857142857141</v>
      </c>
      <c r="O67" s="55">
        <f>IFERROR(IF(ISNUMBER(MATCH($H67,'HP Calcs'!$D$28:$D$33,0)),VLOOKUP($H67,'HP Calcs'!$D$28:$R$33,7,FALSE),INDEX('HP Calcs'!J$28:J$33,MATCH($I67,'HP Calcs'!$E$28:$E$33,0))+(INDEX('HP Calcs'!K$28:K$33,MATCH($I67,'HP Calcs'!$E$28:$E$33,0))*($H67-(INDEX('HP Calcs'!$D$28:$D$33,MATCH($I67,'HP Calcs'!$E$28:$E$33,0)))))),0)</f>
        <v>0.36714285714285716</v>
      </c>
      <c r="P67" s="55">
        <f>IFERROR(IF(ISNUMBER(MATCH($H67,'HP Calcs'!$D$28:$D$33,0)),VLOOKUP($H67,'HP Calcs'!$D$28:$R$33,9,FALSE),INDEX('HP Calcs'!L$28:L$33,MATCH($I67,'HP Calcs'!$E$28:$E$33,0))+(INDEX('HP Calcs'!M$28:M$33,MATCH($I67,'HP Calcs'!$E$28:$E$33,0))*($H67-(INDEX('HP Calcs'!$D$28:$D$33,MATCH($I67,'HP Calcs'!$E$28:$E$33,0)))))),0)</f>
        <v>1.407142857142857</v>
      </c>
      <c r="Q67" s="331">
        <f>Table1[[#This Row],[kWh]]*'Conversion Factors'!$N$21</f>
        <v>9.9611355022891576E-2</v>
      </c>
      <c r="R67" s="334" t="str">
        <f>IF(Table1[[#This Row],[Temperature]]&lt;='HP Calcs'!$D$4,(Table1[[#This Row],[Annual Heating/Cooling Load (btu/year)]]*'Conversion Factors'!$M$4)/'HP Calcs'!$B$53*'Conversion Factors'!$N$20,"")</f>
        <v/>
      </c>
      <c r="S67" s="334">
        <f>IF(MIN(Table1[[#This Row],[Cost of Electricity]:[Cost of Natural Gas]])=0,MAX(Table1[[#This Row],[Cost of Electricity]:[Cost of Natural Gas]]),MIN(Table1[[#This Row],[Cost of Electricity]:[Cost of Natural Gas]]))</f>
        <v>9.9611355022891576E-2</v>
      </c>
      <c r="T67" s="334">
        <f>IF(Table1[[#This Row],[Electricity or Natural Gas?]]=Table1[[#This Row],[Cost of Natural Gas]],-Table1[[#This Row],[Cost of Natural Gas]],Table1[[#This Row],[Cost of Electricity]])</f>
        <v>9.9611355022891576E-2</v>
      </c>
      <c r="U67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1.1953353040064557E-3</v>
      </c>
      <c r="V67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0.19590217482328026</v>
      </c>
      <c r="W67" s="55">
        <f>Table1[[#This Row],[kWh]]*'Conversion Factors'!$D$6*'Conversion Factors'!$C$9</f>
        <v>0.19590233154502013</v>
      </c>
      <c r="X67" s="55">
        <f>IF(Table1[[#This Row],[Temperature]]&lt;='HP Calcs'!$D$4,(Table1[[#This Row],[Annual Heating/Cooling Load (btu/year)]])/'HP Calcs'!$B$53*'Conversion Factors'!$M$4*'Conversion Factors'!$C$27,0)</f>
        <v>0</v>
      </c>
      <c r="Y67" s="55">
        <f>IF(MIN(Table1[[#This Row],[Electricity Emissions]:[Natural Gas Emissions ]])=0,MAX(Table1[[#This Row],[Electricity Emissions]:[Natural Gas Emissions ]]),MIN(Table1[[#This Row],[Electricity Emissions]:[Natural Gas Emissions ]]))</f>
        <v>0.19590233154502013</v>
      </c>
      <c r="Z67" s="55">
        <f>IF(Table1[[#This Row],[Electricity or Natural Gas?2]]=Table1[[#This Row],[Natural Gas Emissions ]],-Table1[[#This Row],[Natural Gas Emissions ]],Table1[[#This Row],[Electricity Emissions]])</f>
        <v>0.19590233154502013</v>
      </c>
      <c r="AA67" s="55" t="str">
        <f>IF(Table1[[#This Row],[Fuel Selector (Cost)]]&lt;0,"NG","Elec")</f>
        <v>Elec</v>
      </c>
      <c r="AB67" s="337"/>
      <c r="AC67" s="7">
        <v>2022</v>
      </c>
      <c r="AD67" s="7">
        <v>1</v>
      </c>
      <c r="AE67" s="7">
        <v>3</v>
      </c>
      <c r="AF67" s="8">
        <v>0.70833333333333337</v>
      </c>
      <c r="AG67" s="9">
        <v>-23.6</v>
      </c>
      <c r="AH67" s="10">
        <f t="shared" si="6"/>
        <v>-24</v>
      </c>
    </row>
    <row r="68" spans="1:34" ht="14.5" x14ac:dyDescent="0.35">
      <c r="A68">
        <v>67</v>
      </c>
      <c r="B68" s="48">
        <f>IFERROR(IF(H68&lt;'HP Calcs'!$D$4,$K68-$M68,0),0)</f>
        <v>0</v>
      </c>
      <c r="C68" s="48">
        <f t="shared" si="11"/>
        <v>-16903.731818765125</v>
      </c>
      <c r="D68" s="48">
        <f t="shared" si="12"/>
        <v>0</v>
      </c>
      <c r="E68" s="48">
        <f>IFERROR(IF(H68&gt;'HP Calcs'!$D$5,IF(AND(K68&gt;M68,K68&lt;N68,H68&gt;'HP Calcs'!$D$5),J68,0),IF(AND(K68&gt;M68,K68&lt;N68,H68&lt;'HP Calcs'!$D$4),J68,0)),0)</f>
        <v>0</v>
      </c>
      <c r="F68" s="48">
        <f>IFERROR(IF(H68&gt;'HP Calcs'!$D$5,IF(AND(K68&lt;M68,H68&gt;'HP Calcs'!$D$5),J68,0),IF(AND(K68&lt;M68,H68&lt;'HP Calcs'!$D$4),J68,0)),0)</f>
        <v>0</v>
      </c>
      <c r="G68" s="48">
        <f t="shared" si="15"/>
        <v>0</v>
      </c>
      <c r="H68" s="48">
        <v>34</v>
      </c>
      <c r="I68" s="49">
        <f>IFERROR(VLOOKUP(H68,'HP Calcs'!$D$26:$T$33,2),0)</f>
        <v>5</v>
      </c>
      <c r="J68" s="48">
        <f t="shared" si="13"/>
        <v>0</v>
      </c>
      <c r="K68" s="49">
        <f>IF(H68&lt;'HP Calcs'!$D$4,MAX(_xlfn.FORECAST.LINEAR(H68,'HP Calcs'!$E$3:$E$4,'HP Calcs'!$D$3:$D$4),0),MAX(_xlfn.FORECAST.LINEAR(H68,'HP Calcs'!$E$5:$E$6,'HP Calcs'!$D$5:$D$6),0))</f>
        <v>6067.6967526634489</v>
      </c>
      <c r="L68" s="48">
        <f t="shared" si="14"/>
        <v>0</v>
      </c>
      <c r="M68" s="49">
        <f>IFERROR(IF(ISNUMBER(MATCH(H68,'HP Calcs'!$D$28:$D$33,0)),VLOOKUP(H68,'HP Calcs'!$D$28:$R$33,3,FALSE),INDEX('HP Calcs'!$F$28:$F$33,MATCH(I68,'HP Calcs'!$E$28:$E$33,0))+(INDEX('HP Calcs'!$G$28:$G$33,MATCH(I68,'HP Calcs'!$E$28:$E$33,0))*(H68-(INDEX('HP Calcs'!$D$28:$D$33,MATCH(I68,'HP Calcs'!$E$28:$E$33,0)))))),0)</f>
        <v>6957.1428571428569</v>
      </c>
      <c r="N68" s="49">
        <f>IFERROR(IF(ISNUMBER(MATCH(H68,'HP Calcs'!$D$28:$D$33,0)),VLOOKUP(H68,'HP Calcs'!$D$28:$R$33,5,FALSE),INDEX('HP Calcs'!$H$28:$H$33,MATCH(I68,'HP Calcs'!$E$28:$E$33,0))+(INDEX('HP Calcs'!$I$28:$I$33,MATCH(I68,'HP Calcs'!$E$28:$E$33,0))*(H68-(INDEX('HP Calcs'!$D$28:$D$33,MATCH(I68,'HP Calcs'!$E$28:$E$33,0)))))),0)</f>
        <v>22971.428571428572</v>
      </c>
      <c r="O68" s="55">
        <f>IFERROR(IF(ISNUMBER(MATCH($H68,'HP Calcs'!$D$28:$D$33,0)),VLOOKUP($H68,'HP Calcs'!$D$28:$R$33,7,FALSE),INDEX('HP Calcs'!J$28:J$33,MATCH($I68,'HP Calcs'!$E$28:$E$33,0))+(INDEX('HP Calcs'!K$28:K$33,MATCH($I68,'HP Calcs'!$E$28:$E$33,0))*($H68-(INDEX('HP Calcs'!$D$28:$D$33,MATCH($I68,'HP Calcs'!$E$28:$E$33,0)))))),0)</f>
        <v>0.37857142857142856</v>
      </c>
      <c r="P68" s="55">
        <f>IFERROR(IF(ISNUMBER(MATCH($H68,'HP Calcs'!$D$28:$D$33,0)),VLOOKUP($H68,'HP Calcs'!$D$28:$R$33,9,FALSE),INDEX('HP Calcs'!L$28:L$33,MATCH($I68,'HP Calcs'!$E$28:$E$33,0))+(INDEX('HP Calcs'!M$28:M$33,MATCH($I68,'HP Calcs'!$E$28:$E$33,0))*($H68-(INDEX('HP Calcs'!$D$28:$D$33,MATCH($I68,'HP Calcs'!$E$28:$E$33,0)))))),0)</f>
        <v>1.4385714285714286</v>
      </c>
      <c r="Q68" s="331">
        <f>Table1[[#This Row],[kWh]]*'Conversion Factors'!$N$21</f>
        <v>0</v>
      </c>
      <c r="R68" s="334" t="str">
        <f>IF(Table1[[#This Row],[Temperature]]&lt;='HP Calcs'!$D$4,(Table1[[#This Row],[Annual Heating/Cooling Load (btu/year)]]*'Conversion Factors'!$M$4)/'HP Calcs'!$B$53*'Conversion Factors'!$N$20,"")</f>
        <v/>
      </c>
      <c r="S68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68" s="334">
        <f>IF(Table1[[#This Row],[Electricity or Natural Gas?]]=Table1[[#This Row],[Cost of Natural Gas]],-Table1[[#This Row],[Cost of Natural Gas]],Table1[[#This Row],[Cost of Electricity]])</f>
        <v>0</v>
      </c>
      <c r="U68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68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68" s="55">
        <f>Table1[[#This Row],[kWh]]*'Conversion Factors'!$D$6*'Conversion Factors'!$C$9</f>
        <v>0</v>
      </c>
      <c r="X68" s="55">
        <f>IF(Table1[[#This Row],[Temperature]]&lt;='HP Calcs'!$D$4,(Table1[[#This Row],[Annual Heating/Cooling Load (btu/year)]])/'HP Calcs'!$B$53*'Conversion Factors'!$M$4*'Conversion Factors'!$C$27,0)</f>
        <v>0</v>
      </c>
      <c r="Y68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68" s="55">
        <f>IF(Table1[[#This Row],[Electricity or Natural Gas?2]]=Table1[[#This Row],[Natural Gas Emissions ]],-Table1[[#This Row],[Natural Gas Emissions ]],Table1[[#This Row],[Electricity Emissions]])</f>
        <v>0</v>
      </c>
      <c r="AA68" s="55" t="str">
        <f>IF(Table1[[#This Row],[Fuel Selector (Cost)]]&lt;0,"NG","Elec")</f>
        <v>Elec</v>
      </c>
      <c r="AB68" s="337"/>
      <c r="AC68" s="7">
        <v>2022</v>
      </c>
      <c r="AD68" s="7">
        <v>1</v>
      </c>
      <c r="AE68" s="7">
        <v>3</v>
      </c>
      <c r="AF68" s="8">
        <v>0.75</v>
      </c>
      <c r="AG68" s="9">
        <v>-24.2</v>
      </c>
      <c r="AH68" s="10">
        <f t="shared" si="6"/>
        <v>-24</v>
      </c>
    </row>
    <row r="69" spans="1:34" ht="14.5" x14ac:dyDescent="0.35">
      <c r="A69">
        <v>68</v>
      </c>
      <c r="B69" s="48">
        <f>IFERROR(IF(H69&lt;'HP Calcs'!$D$4,$K69-$M69,0),0)</f>
        <v>0</v>
      </c>
      <c r="C69" s="48">
        <f t="shared" si="11"/>
        <v>-16125.533572070208</v>
      </c>
      <c r="D69" s="48">
        <f t="shared" si="12"/>
        <v>0</v>
      </c>
      <c r="E69" s="48">
        <f>IFERROR(IF(H69&gt;'HP Calcs'!$D$5,IF(AND(K69&gt;M69,K69&lt;N69,H69&gt;'HP Calcs'!$D$5),J69,0),IF(AND(K69&gt;M69,K69&lt;N69,H69&lt;'HP Calcs'!$D$4),J69,0)),0)</f>
        <v>0</v>
      </c>
      <c r="F69" s="48">
        <f>IFERROR(IF(H69&gt;'HP Calcs'!$D$5,IF(AND(K69&lt;M69,H69&gt;'HP Calcs'!$D$5),J69,0),IF(AND(K69&lt;M69,H69&lt;'HP Calcs'!$D$4),J69,0)),0)</f>
        <v>0</v>
      </c>
      <c r="G69" s="48">
        <f t="shared" si="15"/>
        <v>0</v>
      </c>
      <c r="H69" s="48">
        <v>35</v>
      </c>
      <c r="I69" s="49">
        <f>IFERROR(VLOOKUP(H69,'HP Calcs'!$D$26:$T$33,2),0)</f>
        <v>6</v>
      </c>
      <c r="J69" s="48">
        <f t="shared" si="13"/>
        <v>0</v>
      </c>
      <c r="K69" s="49">
        <f>IF(H69&lt;'HP Calcs'!$D$4,MAX(_xlfn.FORECAST.LINEAR(H69,'HP Calcs'!$E$3:$E$4,'HP Calcs'!$D$3:$D$4),0),MAX(_xlfn.FORECAST.LINEAR(H69,'HP Calcs'!$E$5:$E$6,'HP Calcs'!$D$5:$D$6),0))</f>
        <v>6674.4664279297922</v>
      </c>
      <c r="L69" s="48">
        <f t="shared" si="14"/>
        <v>0</v>
      </c>
      <c r="M69" s="49">
        <f>IFERROR(IF(ISNUMBER(MATCH(H69,'HP Calcs'!$D$28:$D$33,0)),VLOOKUP(H69,'HP Calcs'!$D$28:$R$33,3,FALSE),INDEX('HP Calcs'!$F$28:$F$33,MATCH(I69,'HP Calcs'!$E$28:$E$33,0))+(INDEX('HP Calcs'!$G$28:$G$33,MATCH(I69,'HP Calcs'!$E$28:$E$33,0))*(H69-(INDEX('HP Calcs'!$D$28:$D$33,MATCH(I69,'HP Calcs'!$E$28:$E$33,0)))))),0)</f>
        <v>6900</v>
      </c>
      <c r="N69" s="49">
        <f>IFERROR(IF(ISNUMBER(MATCH(H69,'HP Calcs'!$D$28:$D$33,0)),VLOOKUP(H69,'HP Calcs'!$D$28:$R$33,5,FALSE),INDEX('HP Calcs'!$H$28:$H$33,MATCH(I69,'HP Calcs'!$E$28:$E$33,0))+(INDEX('HP Calcs'!$I$28:$I$33,MATCH(I69,'HP Calcs'!$E$28:$E$33,0))*(H69-(INDEX('HP Calcs'!$D$28:$D$33,MATCH(I69,'HP Calcs'!$E$28:$E$33,0)))))),0)</f>
        <v>22800</v>
      </c>
      <c r="O69" s="55">
        <f>IFERROR(IF(ISNUMBER(MATCH($H69,'HP Calcs'!$D$28:$D$33,0)),VLOOKUP($H69,'HP Calcs'!$D$28:$R$33,7,FALSE),INDEX('HP Calcs'!J$28:J$33,MATCH($I69,'HP Calcs'!$E$28:$E$33,0))+(INDEX('HP Calcs'!K$28:K$33,MATCH($I69,'HP Calcs'!$E$28:$E$33,0))*($H69-(INDEX('HP Calcs'!$D$28:$D$33,MATCH($I69,'HP Calcs'!$E$28:$E$33,0)))))),0)</f>
        <v>0.39</v>
      </c>
      <c r="P69" s="55">
        <f>IFERROR(IF(ISNUMBER(MATCH($H69,'HP Calcs'!$D$28:$D$33,0)),VLOOKUP($H69,'HP Calcs'!$D$28:$R$33,9,FALSE),INDEX('HP Calcs'!L$28:L$33,MATCH($I69,'HP Calcs'!$E$28:$E$33,0))+(INDEX('HP Calcs'!M$28:M$33,MATCH($I69,'HP Calcs'!$E$28:$E$33,0))*($H69-(INDEX('HP Calcs'!$D$28:$D$33,MATCH($I69,'HP Calcs'!$E$28:$E$33,0)))))),0)</f>
        <v>1.47</v>
      </c>
      <c r="Q69" s="331">
        <f>Table1[[#This Row],[kWh]]*'Conversion Factors'!$N$21</f>
        <v>0</v>
      </c>
      <c r="R69" s="334" t="str">
        <f>IF(Table1[[#This Row],[Temperature]]&lt;='HP Calcs'!$D$4,(Table1[[#This Row],[Annual Heating/Cooling Load (btu/year)]]*'Conversion Factors'!$M$4)/'HP Calcs'!$B$53*'Conversion Factors'!$N$20,"")</f>
        <v/>
      </c>
      <c r="S69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69" s="334">
        <f>IF(Table1[[#This Row],[Electricity or Natural Gas?]]=Table1[[#This Row],[Cost of Natural Gas]],-Table1[[#This Row],[Cost of Natural Gas]],Table1[[#This Row],[Cost of Electricity]])</f>
        <v>0</v>
      </c>
      <c r="U69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69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69" s="55">
        <f>Table1[[#This Row],[kWh]]*'Conversion Factors'!$D$6*'Conversion Factors'!$C$9</f>
        <v>0</v>
      </c>
      <c r="X69" s="55">
        <f>IF(Table1[[#This Row],[Temperature]]&lt;='HP Calcs'!$D$4,(Table1[[#This Row],[Annual Heating/Cooling Load (btu/year)]])/'HP Calcs'!$B$53*'Conversion Factors'!$M$4*'Conversion Factors'!$C$27,0)</f>
        <v>0</v>
      </c>
      <c r="Y69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69" s="55">
        <f>IF(Table1[[#This Row],[Electricity or Natural Gas?2]]=Table1[[#This Row],[Natural Gas Emissions ]],-Table1[[#This Row],[Natural Gas Emissions ]],Table1[[#This Row],[Electricity Emissions]])</f>
        <v>0</v>
      </c>
      <c r="AA69" s="55" t="str">
        <f>IF(Table1[[#This Row],[Fuel Selector (Cost)]]&lt;0,"NG","Elec")</f>
        <v>Elec</v>
      </c>
      <c r="AB69" s="337"/>
      <c r="AC69" s="7">
        <v>2022</v>
      </c>
      <c r="AD69" s="7">
        <v>1</v>
      </c>
      <c r="AE69" s="7">
        <v>3</v>
      </c>
      <c r="AF69" s="8">
        <v>0.79166666666666663</v>
      </c>
      <c r="AG69" s="9">
        <v>-24.2</v>
      </c>
      <c r="AH69" s="10">
        <f t="shared" si="6"/>
        <v>-24</v>
      </c>
    </row>
    <row r="70" spans="1:34" ht="14.5" x14ac:dyDescent="0.35">
      <c r="A70">
        <v>69</v>
      </c>
      <c r="B70" s="48">
        <f>IFERROR(IF(H70&lt;'HP Calcs'!$D$4,$K70-$M70,0),0)</f>
        <v>0</v>
      </c>
      <c r="C70" s="48">
        <f t="shared" si="11"/>
        <v>-16170.192468232433</v>
      </c>
      <c r="D70" s="48">
        <f t="shared" si="12"/>
        <v>0</v>
      </c>
      <c r="E70" s="48">
        <f>IFERROR(IF(H70&gt;'HP Calcs'!$D$5,IF(AND(K70&gt;M70,K70&lt;N70,H70&gt;'HP Calcs'!$D$5),J70,0),IF(AND(K70&gt;M70,K70&lt;N70,H70&lt;'HP Calcs'!$D$4),J70,0)),0)</f>
        <v>0</v>
      </c>
      <c r="F70" s="48">
        <f>IFERROR(IF(H70&gt;'HP Calcs'!$D$5,IF(AND(K70&lt;M70,H70&gt;'HP Calcs'!$D$5),J70,0),IF(AND(K70&lt;M70,H70&lt;'HP Calcs'!$D$4),J70,0)),0)</f>
        <v>0</v>
      </c>
      <c r="G70" s="48">
        <f t="shared" si="15"/>
        <v>0</v>
      </c>
      <c r="H70" s="48">
        <v>36</v>
      </c>
      <c r="I70" s="49">
        <f>IFERROR(VLOOKUP(H70,'HP Calcs'!$D$26:$T$33,2),0)</f>
        <v>6</v>
      </c>
      <c r="J70" s="48">
        <f t="shared" si="13"/>
        <v>0</v>
      </c>
      <c r="K70" s="49">
        <f>IF(H70&lt;'HP Calcs'!$D$4,MAX(_xlfn.FORECAST.LINEAR(H70,'HP Calcs'!$E$3:$E$4,'HP Calcs'!$D$3:$D$4),0),MAX(_xlfn.FORECAST.LINEAR(H70,'HP Calcs'!$E$5:$E$6,'HP Calcs'!$D$5:$D$6),0))</f>
        <v>7281.2361031961391</v>
      </c>
      <c r="L70" s="48">
        <f t="shared" si="14"/>
        <v>0</v>
      </c>
      <c r="M70" s="49">
        <f>IFERROR(IF(ISNUMBER(MATCH(H70,'HP Calcs'!$D$28:$D$33,0)),VLOOKUP(H70,'HP Calcs'!$D$28:$R$33,3,FALSE),INDEX('HP Calcs'!$F$28:$F$33,MATCH(I70,'HP Calcs'!$E$28:$E$33,0))+(INDEX('HP Calcs'!$G$28:$G$33,MATCH(I70,'HP Calcs'!$E$28:$E$33,0))*(H70-(INDEX('HP Calcs'!$D$28:$D$33,MATCH(I70,'HP Calcs'!$E$28:$E$33,0)))))),0)</f>
        <v>7097.1428571428569</v>
      </c>
      <c r="N70" s="49">
        <f>IFERROR(IF(ISNUMBER(MATCH(H70,'HP Calcs'!$D$28:$D$33,0)),VLOOKUP(H70,'HP Calcs'!$D$28:$R$33,5,FALSE),INDEX('HP Calcs'!$H$28:$H$33,MATCH(I70,'HP Calcs'!$E$28:$E$33,0))+(INDEX('HP Calcs'!$I$28:$I$33,MATCH(I70,'HP Calcs'!$E$28:$E$33,0))*(H70-(INDEX('HP Calcs'!$D$28:$D$33,MATCH(I70,'HP Calcs'!$E$28:$E$33,0)))))),0)</f>
        <v>23451.428571428572</v>
      </c>
      <c r="O70" s="55">
        <f>IFERROR(IF(ISNUMBER(MATCH($H70,'HP Calcs'!$D$28:$D$33,0)),VLOOKUP($H70,'HP Calcs'!$D$28:$R$33,7,FALSE),INDEX('HP Calcs'!J$28:J$33,MATCH($I70,'HP Calcs'!$E$28:$E$33,0))+(INDEX('HP Calcs'!K$28:K$33,MATCH($I70,'HP Calcs'!$E$28:$E$33,0))*($H70-(INDEX('HP Calcs'!$D$28:$D$33,MATCH($I70,'HP Calcs'!$E$28:$E$33,0)))))),0)</f>
        <v>0.40114285714285713</v>
      </c>
      <c r="P70" s="55">
        <f>IFERROR(IF(ISNUMBER(MATCH($H70,'HP Calcs'!$D$28:$D$33,0)),VLOOKUP($H70,'HP Calcs'!$D$28:$R$33,9,FALSE),INDEX('HP Calcs'!L$28:L$33,MATCH($I70,'HP Calcs'!$E$28:$E$33,0))+(INDEX('HP Calcs'!M$28:M$33,MATCH($I70,'HP Calcs'!$E$28:$E$33,0))*($H70-(INDEX('HP Calcs'!$D$28:$D$33,MATCH($I70,'HP Calcs'!$E$28:$E$33,0)))))),0)</f>
        <v>1.512</v>
      </c>
      <c r="Q70" s="331">
        <f>Table1[[#This Row],[kWh]]*'Conversion Factors'!$N$21</f>
        <v>0</v>
      </c>
      <c r="R70" s="334" t="str">
        <f>IF(Table1[[#This Row],[Temperature]]&lt;='HP Calcs'!$D$4,(Table1[[#This Row],[Annual Heating/Cooling Load (btu/year)]]*'Conversion Factors'!$M$4)/'HP Calcs'!$B$53*'Conversion Factors'!$N$20,"")</f>
        <v/>
      </c>
      <c r="S70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70" s="334">
        <f>IF(Table1[[#This Row],[Electricity or Natural Gas?]]=Table1[[#This Row],[Cost of Natural Gas]],-Table1[[#This Row],[Cost of Natural Gas]],Table1[[#This Row],[Cost of Electricity]])</f>
        <v>0</v>
      </c>
      <c r="U70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70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70" s="55">
        <f>Table1[[#This Row],[kWh]]*'Conversion Factors'!$D$6*'Conversion Factors'!$C$9</f>
        <v>0</v>
      </c>
      <c r="X70" s="55">
        <f>IF(Table1[[#This Row],[Temperature]]&lt;='HP Calcs'!$D$4,(Table1[[#This Row],[Annual Heating/Cooling Load (btu/year)]])/'HP Calcs'!$B$53*'Conversion Factors'!$M$4*'Conversion Factors'!$C$27,0)</f>
        <v>0</v>
      </c>
      <c r="Y70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70" s="55">
        <f>IF(Table1[[#This Row],[Electricity or Natural Gas?2]]=Table1[[#This Row],[Natural Gas Emissions ]],-Table1[[#This Row],[Natural Gas Emissions ]],Table1[[#This Row],[Electricity Emissions]])</f>
        <v>0</v>
      </c>
      <c r="AA70" s="55" t="str">
        <f>IF(Table1[[#This Row],[Fuel Selector (Cost)]]&lt;0,"NG","Elec")</f>
        <v>Elec</v>
      </c>
      <c r="AB70" s="337"/>
      <c r="AC70" s="7">
        <v>2022</v>
      </c>
      <c r="AD70" s="7">
        <v>1</v>
      </c>
      <c r="AE70" s="7">
        <v>3</v>
      </c>
      <c r="AF70" s="8">
        <v>0.83333333333333337</v>
      </c>
      <c r="AG70" s="9">
        <v>-24.3</v>
      </c>
      <c r="AH70" s="10">
        <f t="shared" si="6"/>
        <v>-24</v>
      </c>
    </row>
    <row r="71" spans="1:34" ht="14.5" x14ac:dyDescent="0.35">
      <c r="A71">
        <v>70</v>
      </c>
      <c r="B71" s="48">
        <f>IFERROR(IF(H71&lt;'HP Calcs'!$D$4,$K71-$M71,0),0)</f>
        <v>0</v>
      </c>
      <c r="C71" s="48">
        <f t="shared" si="11"/>
        <v>-16214.851364394659</v>
      </c>
      <c r="D71" s="48">
        <f t="shared" si="12"/>
        <v>0</v>
      </c>
      <c r="E71" s="48">
        <f>IFERROR(IF(H71&gt;'HP Calcs'!$D$5,IF(AND(K71&gt;M71,K71&lt;N71,H71&gt;'HP Calcs'!$D$5),J71,0),IF(AND(K71&gt;M71,K71&lt;N71,H71&lt;'HP Calcs'!$D$4),J71,0)),0)</f>
        <v>0</v>
      </c>
      <c r="F71" s="48">
        <f>IFERROR(IF(H71&gt;'HP Calcs'!$D$5,IF(AND(K71&lt;M71,H71&gt;'HP Calcs'!$D$5),J71,0),IF(AND(K71&lt;M71,H71&lt;'HP Calcs'!$D$4),J71,0)),0)</f>
        <v>0</v>
      </c>
      <c r="G71" s="48">
        <f t="shared" si="15"/>
        <v>0</v>
      </c>
      <c r="H71" s="48">
        <v>37</v>
      </c>
      <c r="I71" s="49">
        <f>IFERROR(VLOOKUP(H71,'HP Calcs'!$D$26:$T$33,2),0)</f>
        <v>6</v>
      </c>
      <c r="J71" s="48">
        <f t="shared" si="13"/>
        <v>0</v>
      </c>
      <c r="K71" s="49">
        <f>IF(H71&lt;'HP Calcs'!$D$4,MAX(_xlfn.FORECAST.LINEAR(H71,'HP Calcs'!$E$3:$E$4,'HP Calcs'!$D$3:$D$4),0),MAX(_xlfn.FORECAST.LINEAR(H71,'HP Calcs'!$E$5:$E$6,'HP Calcs'!$D$5:$D$6),0))</f>
        <v>7888.0057784624823</v>
      </c>
      <c r="L71" s="48">
        <f t="shared" si="14"/>
        <v>0</v>
      </c>
      <c r="M71" s="49">
        <f>IFERROR(IF(ISNUMBER(MATCH(H71,'HP Calcs'!$D$28:$D$33,0)),VLOOKUP(H71,'HP Calcs'!$D$28:$R$33,3,FALSE),INDEX('HP Calcs'!$F$28:$F$33,MATCH(I71,'HP Calcs'!$E$28:$E$33,0))+(INDEX('HP Calcs'!$G$28:$G$33,MATCH(I71,'HP Calcs'!$E$28:$E$33,0))*(H71-(INDEX('HP Calcs'!$D$28:$D$33,MATCH(I71,'HP Calcs'!$E$28:$E$33,0)))))),0)</f>
        <v>7294.2857142857147</v>
      </c>
      <c r="N71" s="49">
        <f>IFERROR(IF(ISNUMBER(MATCH(H71,'HP Calcs'!$D$28:$D$33,0)),VLOOKUP(H71,'HP Calcs'!$D$28:$R$33,5,FALSE),INDEX('HP Calcs'!$H$28:$H$33,MATCH(I71,'HP Calcs'!$E$28:$E$33,0))+(INDEX('HP Calcs'!$I$28:$I$33,MATCH(I71,'HP Calcs'!$E$28:$E$33,0))*(H71-(INDEX('HP Calcs'!$D$28:$D$33,MATCH(I71,'HP Calcs'!$E$28:$E$33,0)))))),0)</f>
        <v>24102.857142857141</v>
      </c>
      <c r="O71" s="55">
        <f>IFERROR(IF(ISNUMBER(MATCH($H71,'HP Calcs'!$D$28:$D$33,0)),VLOOKUP($H71,'HP Calcs'!$D$28:$R$33,7,FALSE),INDEX('HP Calcs'!J$28:J$33,MATCH($I71,'HP Calcs'!$E$28:$E$33,0))+(INDEX('HP Calcs'!K$28:K$33,MATCH($I71,'HP Calcs'!$E$28:$E$33,0))*($H71-(INDEX('HP Calcs'!$D$28:$D$33,MATCH($I71,'HP Calcs'!$E$28:$E$33,0)))))),0)</f>
        <v>0.41228571428571431</v>
      </c>
      <c r="P71" s="55">
        <f>IFERROR(IF(ISNUMBER(MATCH($H71,'HP Calcs'!$D$28:$D$33,0)),VLOOKUP($H71,'HP Calcs'!$D$28:$R$33,9,FALSE),INDEX('HP Calcs'!L$28:L$33,MATCH($I71,'HP Calcs'!$E$28:$E$33,0))+(INDEX('HP Calcs'!M$28:M$33,MATCH($I71,'HP Calcs'!$E$28:$E$33,0))*($H71-(INDEX('HP Calcs'!$D$28:$D$33,MATCH($I71,'HP Calcs'!$E$28:$E$33,0)))))),0)</f>
        <v>1.554</v>
      </c>
      <c r="Q71" s="331">
        <f>Table1[[#This Row],[kWh]]*'Conversion Factors'!$N$21</f>
        <v>0</v>
      </c>
      <c r="R71" s="334" t="str">
        <f>IF(Table1[[#This Row],[Temperature]]&lt;='HP Calcs'!$D$4,(Table1[[#This Row],[Annual Heating/Cooling Load (btu/year)]]*'Conversion Factors'!$M$4)/'HP Calcs'!$B$53*'Conversion Factors'!$N$20,"")</f>
        <v/>
      </c>
      <c r="S71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71" s="334">
        <f>IF(Table1[[#This Row],[Electricity or Natural Gas?]]=Table1[[#This Row],[Cost of Natural Gas]],-Table1[[#This Row],[Cost of Natural Gas]],Table1[[#This Row],[Cost of Electricity]])</f>
        <v>0</v>
      </c>
      <c r="U71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71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71" s="55">
        <f>Table1[[#This Row],[kWh]]*'Conversion Factors'!$D$6*'Conversion Factors'!$C$9</f>
        <v>0</v>
      </c>
      <c r="X71" s="55">
        <f>IF(Table1[[#This Row],[Temperature]]&lt;='HP Calcs'!$D$4,(Table1[[#This Row],[Annual Heating/Cooling Load (btu/year)]])/'HP Calcs'!$B$53*'Conversion Factors'!$M$4*'Conversion Factors'!$C$27,0)</f>
        <v>0</v>
      </c>
      <c r="Y71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71" s="55">
        <f>IF(Table1[[#This Row],[Electricity or Natural Gas?2]]=Table1[[#This Row],[Natural Gas Emissions ]],-Table1[[#This Row],[Natural Gas Emissions ]],Table1[[#This Row],[Electricity Emissions]])</f>
        <v>0</v>
      </c>
      <c r="AA71" s="55" t="str">
        <f>IF(Table1[[#This Row],[Fuel Selector (Cost)]]&lt;0,"NG","Elec")</f>
        <v>Elec</v>
      </c>
      <c r="AB71" s="337"/>
      <c r="AC71" s="7">
        <v>2022</v>
      </c>
      <c r="AD71" s="7">
        <v>1</v>
      </c>
      <c r="AE71" s="7">
        <v>3</v>
      </c>
      <c r="AF71" s="8">
        <v>0.875</v>
      </c>
      <c r="AG71" s="9">
        <v>-24.4</v>
      </c>
      <c r="AH71" s="10">
        <f t="shared" si="6"/>
        <v>-24</v>
      </c>
    </row>
    <row r="72" spans="1:34" ht="14.5" x14ac:dyDescent="0.35">
      <c r="A72">
        <v>71</v>
      </c>
      <c r="B72" s="48">
        <f>IFERROR(IF(H72&lt;'HP Calcs'!$D$4,$K72-$M72,0),0)</f>
        <v>0</v>
      </c>
      <c r="C72" s="48">
        <f t="shared" si="11"/>
        <v>-16259.510260556885</v>
      </c>
      <c r="D72" s="48">
        <f t="shared" si="12"/>
        <v>0</v>
      </c>
      <c r="E72" s="48">
        <f>IFERROR(IF(H72&gt;'HP Calcs'!$D$5,IF(AND(K72&gt;M72,K72&lt;N72,H72&gt;'HP Calcs'!$D$5),J72,0),IF(AND(K72&gt;M72,K72&lt;N72,H72&lt;'HP Calcs'!$D$4),J72,0)),0)</f>
        <v>0</v>
      </c>
      <c r="F72" s="48">
        <f>IFERROR(IF(H72&gt;'HP Calcs'!$D$5,IF(AND(K72&lt;M72,H72&gt;'HP Calcs'!$D$5),J72,0),IF(AND(K72&lt;M72,H72&lt;'HP Calcs'!$D$4),J72,0)),0)</f>
        <v>0</v>
      </c>
      <c r="G72" s="48">
        <f t="shared" si="15"/>
        <v>0</v>
      </c>
      <c r="H72" s="48">
        <v>38</v>
      </c>
      <c r="I72" s="49">
        <f>IFERROR(VLOOKUP(H72,'HP Calcs'!$D$26:$T$33,2),0)</f>
        <v>6</v>
      </c>
      <c r="J72" s="48">
        <f t="shared" si="13"/>
        <v>0</v>
      </c>
      <c r="K72" s="49">
        <f>IF(H72&lt;'HP Calcs'!$D$4,MAX(_xlfn.FORECAST.LINEAR(H72,'HP Calcs'!$E$3:$E$4,'HP Calcs'!$D$3:$D$4),0),MAX(_xlfn.FORECAST.LINEAR(H72,'HP Calcs'!$E$5:$E$6,'HP Calcs'!$D$5:$D$6),0))</f>
        <v>8494.7754537288292</v>
      </c>
      <c r="L72" s="48">
        <f t="shared" si="14"/>
        <v>0</v>
      </c>
      <c r="M72" s="49">
        <f>IFERROR(IF(ISNUMBER(MATCH(H72,'HP Calcs'!$D$28:$D$33,0)),VLOOKUP(H72,'HP Calcs'!$D$28:$R$33,3,FALSE),INDEX('HP Calcs'!$F$28:$F$33,MATCH(I72,'HP Calcs'!$E$28:$E$33,0))+(INDEX('HP Calcs'!$G$28:$G$33,MATCH(I72,'HP Calcs'!$E$28:$E$33,0))*(H72-(INDEX('HP Calcs'!$D$28:$D$33,MATCH(I72,'HP Calcs'!$E$28:$E$33,0)))))),0)</f>
        <v>7491.4285714285716</v>
      </c>
      <c r="N72" s="49">
        <f>IFERROR(IF(ISNUMBER(MATCH(H72,'HP Calcs'!$D$28:$D$33,0)),VLOOKUP(H72,'HP Calcs'!$D$28:$R$33,5,FALSE),INDEX('HP Calcs'!$H$28:$H$33,MATCH(I72,'HP Calcs'!$E$28:$E$33,0))+(INDEX('HP Calcs'!$I$28:$I$33,MATCH(I72,'HP Calcs'!$E$28:$E$33,0))*(H72-(INDEX('HP Calcs'!$D$28:$D$33,MATCH(I72,'HP Calcs'!$E$28:$E$33,0)))))),0)</f>
        <v>24754.285714285714</v>
      </c>
      <c r="O72" s="55">
        <f>IFERROR(IF(ISNUMBER(MATCH($H72,'HP Calcs'!$D$28:$D$33,0)),VLOOKUP($H72,'HP Calcs'!$D$28:$R$33,7,FALSE),INDEX('HP Calcs'!J$28:J$33,MATCH($I72,'HP Calcs'!$E$28:$E$33,0))+(INDEX('HP Calcs'!K$28:K$33,MATCH($I72,'HP Calcs'!$E$28:$E$33,0))*($H72-(INDEX('HP Calcs'!$D$28:$D$33,MATCH($I72,'HP Calcs'!$E$28:$E$33,0)))))),0)</f>
        <v>0.42342857142857143</v>
      </c>
      <c r="P72" s="55">
        <f>IFERROR(IF(ISNUMBER(MATCH($H72,'HP Calcs'!$D$28:$D$33,0)),VLOOKUP($H72,'HP Calcs'!$D$28:$R$33,9,FALSE),INDEX('HP Calcs'!L$28:L$33,MATCH($I72,'HP Calcs'!$E$28:$E$33,0))+(INDEX('HP Calcs'!M$28:M$33,MATCH($I72,'HP Calcs'!$E$28:$E$33,0))*($H72-(INDEX('HP Calcs'!$D$28:$D$33,MATCH($I72,'HP Calcs'!$E$28:$E$33,0)))))),0)</f>
        <v>1.5960000000000001</v>
      </c>
      <c r="Q72" s="331">
        <f>Table1[[#This Row],[kWh]]*'Conversion Factors'!$N$21</f>
        <v>0</v>
      </c>
      <c r="R72" s="334" t="str">
        <f>IF(Table1[[#This Row],[Temperature]]&lt;='HP Calcs'!$D$4,(Table1[[#This Row],[Annual Heating/Cooling Load (btu/year)]]*'Conversion Factors'!$M$4)/'HP Calcs'!$B$53*'Conversion Factors'!$N$20,"")</f>
        <v/>
      </c>
      <c r="S72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72" s="334">
        <f>IF(Table1[[#This Row],[Electricity or Natural Gas?]]=Table1[[#This Row],[Cost of Natural Gas]],-Table1[[#This Row],[Cost of Natural Gas]],Table1[[#This Row],[Cost of Electricity]])</f>
        <v>0</v>
      </c>
      <c r="U72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72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72" s="55">
        <f>Table1[[#This Row],[kWh]]*'Conversion Factors'!$D$6*'Conversion Factors'!$C$9</f>
        <v>0</v>
      </c>
      <c r="X72" s="55">
        <f>IF(Table1[[#This Row],[Temperature]]&lt;='HP Calcs'!$D$4,(Table1[[#This Row],[Annual Heating/Cooling Load (btu/year)]])/'HP Calcs'!$B$53*'Conversion Factors'!$M$4*'Conversion Factors'!$C$27,0)</f>
        <v>0</v>
      </c>
      <c r="Y72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72" s="55">
        <f>IF(Table1[[#This Row],[Electricity or Natural Gas?2]]=Table1[[#This Row],[Natural Gas Emissions ]],-Table1[[#This Row],[Natural Gas Emissions ]],Table1[[#This Row],[Electricity Emissions]])</f>
        <v>0</v>
      </c>
      <c r="AA72" s="55" t="str">
        <f>IF(Table1[[#This Row],[Fuel Selector (Cost)]]&lt;0,"NG","Elec")</f>
        <v>Elec</v>
      </c>
      <c r="AB72" s="337"/>
      <c r="AC72" s="7">
        <v>2022</v>
      </c>
      <c r="AD72" s="7">
        <v>1</v>
      </c>
      <c r="AE72" s="7">
        <v>3</v>
      </c>
      <c r="AF72" s="8">
        <v>0.91666666666666663</v>
      </c>
      <c r="AG72" s="9">
        <v>-25</v>
      </c>
      <c r="AH72" s="10">
        <f t="shared" si="6"/>
        <v>-25</v>
      </c>
    </row>
    <row r="73" spans="1:34" ht="14.5" x14ac:dyDescent="0.35">
      <c r="A73">
        <v>72</v>
      </c>
      <c r="B73" s="48">
        <f>IFERROR(IF(H73&lt;'HP Calcs'!$D$4,$K73-$M73,0),0)</f>
        <v>0</v>
      </c>
      <c r="C73" s="48">
        <f t="shared" si="11"/>
        <v>-16304.169156719114</v>
      </c>
      <c r="D73" s="48">
        <f t="shared" si="12"/>
        <v>0</v>
      </c>
      <c r="E73" s="48">
        <f>IFERROR(IF(H73&gt;'HP Calcs'!$D$5,IF(AND(K73&gt;M73,K73&lt;N73,H73&gt;'HP Calcs'!$D$5),J73,0),IF(AND(K73&gt;M73,K73&lt;N73,H73&lt;'HP Calcs'!$D$4),J73,0)),0)</f>
        <v>0</v>
      </c>
      <c r="F73" s="48">
        <f>IFERROR(IF(H73&gt;'HP Calcs'!$D$5,IF(AND(K73&lt;M73,H73&gt;'HP Calcs'!$D$5),J73,0),IF(AND(K73&lt;M73,H73&lt;'HP Calcs'!$D$4),J73,0)),0)</f>
        <v>0</v>
      </c>
      <c r="G73" s="48">
        <f t="shared" si="15"/>
        <v>0</v>
      </c>
      <c r="H73" s="48">
        <v>39</v>
      </c>
      <c r="I73" s="49">
        <f>IFERROR(VLOOKUP(H73,'HP Calcs'!$D$26:$T$33,2),0)</f>
        <v>6</v>
      </c>
      <c r="J73" s="48">
        <f t="shared" si="13"/>
        <v>0</v>
      </c>
      <c r="K73" s="49">
        <f>IF(H73&lt;'HP Calcs'!$D$4,MAX(_xlfn.FORECAST.LINEAR(H73,'HP Calcs'!$E$3:$E$4,'HP Calcs'!$D$3:$D$4),0),MAX(_xlfn.FORECAST.LINEAR(H73,'HP Calcs'!$E$5:$E$6,'HP Calcs'!$D$5:$D$6),0))</f>
        <v>9101.5451289951725</v>
      </c>
      <c r="L73" s="48">
        <f t="shared" si="14"/>
        <v>0</v>
      </c>
      <c r="M73" s="49">
        <f>IFERROR(IF(ISNUMBER(MATCH(H73,'HP Calcs'!$D$28:$D$33,0)),VLOOKUP(H73,'HP Calcs'!$D$28:$R$33,3,FALSE),INDEX('HP Calcs'!$F$28:$F$33,MATCH(I73,'HP Calcs'!$E$28:$E$33,0))+(INDEX('HP Calcs'!$G$28:$G$33,MATCH(I73,'HP Calcs'!$E$28:$E$33,0))*(H73-(INDEX('HP Calcs'!$D$28:$D$33,MATCH(I73,'HP Calcs'!$E$28:$E$33,0)))))),0)</f>
        <v>7688.5714285714284</v>
      </c>
      <c r="N73" s="49">
        <f>IFERROR(IF(ISNUMBER(MATCH(H73,'HP Calcs'!$D$28:$D$33,0)),VLOOKUP(H73,'HP Calcs'!$D$28:$R$33,5,FALSE),INDEX('HP Calcs'!$H$28:$H$33,MATCH(I73,'HP Calcs'!$E$28:$E$33,0))+(INDEX('HP Calcs'!$I$28:$I$33,MATCH(I73,'HP Calcs'!$E$28:$E$33,0))*(H73-(INDEX('HP Calcs'!$D$28:$D$33,MATCH(I73,'HP Calcs'!$E$28:$E$33,0)))))),0)</f>
        <v>25405.714285714286</v>
      </c>
      <c r="O73" s="55">
        <f>IFERROR(IF(ISNUMBER(MATCH($H73,'HP Calcs'!$D$28:$D$33,0)),VLOOKUP($H73,'HP Calcs'!$D$28:$R$33,7,FALSE),INDEX('HP Calcs'!J$28:J$33,MATCH($I73,'HP Calcs'!$E$28:$E$33,0))+(INDEX('HP Calcs'!K$28:K$33,MATCH($I73,'HP Calcs'!$E$28:$E$33,0))*($H73-(INDEX('HP Calcs'!$D$28:$D$33,MATCH($I73,'HP Calcs'!$E$28:$E$33,0)))))),0)</f>
        <v>0.43457142857142861</v>
      </c>
      <c r="P73" s="55">
        <f>IFERROR(IF(ISNUMBER(MATCH($H73,'HP Calcs'!$D$28:$D$33,0)),VLOOKUP($H73,'HP Calcs'!$D$28:$R$33,9,FALSE),INDEX('HP Calcs'!L$28:L$33,MATCH($I73,'HP Calcs'!$E$28:$E$33,0))+(INDEX('HP Calcs'!M$28:M$33,MATCH($I73,'HP Calcs'!$E$28:$E$33,0))*($H73-(INDEX('HP Calcs'!$D$28:$D$33,MATCH($I73,'HP Calcs'!$E$28:$E$33,0)))))),0)</f>
        <v>1.6379999999999999</v>
      </c>
      <c r="Q73" s="331">
        <f>Table1[[#This Row],[kWh]]*'Conversion Factors'!$N$21</f>
        <v>0</v>
      </c>
      <c r="R73" s="334" t="str">
        <f>IF(Table1[[#This Row],[Temperature]]&lt;='HP Calcs'!$D$4,(Table1[[#This Row],[Annual Heating/Cooling Load (btu/year)]]*'Conversion Factors'!$M$4)/'HP Calcs'!$B$53*'Conversion Factors'!$N$20,"")</f>
        <v/>
      </c>
      <c r="S73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73" s="334">
        <f>IF(Table1[[#This Row],[Electricity or Natural Gas?]]=Table1[[#This Row],[Cost of Natural Gas]],-Table1[[#This Row],[Cost of Natural Gas]],Table1[[#This Row],[Cost of Electricity]])</f>
        <v>0</v>
      </c>
      <c r="U73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73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73" s="55">
        <f>Table1[[#This Row],[kWh]]*'Conversion Factors'!$D$6*'Conversion Factors'!$C$9</f>
        <v>0</v>
      </c>
      <c r="X73" s="55">
        <f>IF(Table1[[#This Row],[Temperature]]&lt;='HP Calcs'!$D$4,(Table1[[#This Row],[Annual Heating/Cooling Load (btu/year)]])/'HP Calcs'!$B$53*'Conversion Factors'!$M$4*'Conversion Factors'!$C$27,0)</f>
        <v>0</v>
      </c>
      <c r="Y73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73" s="55">
        <f>IF(Table1[[#This Row],[Electricity or Natural Gas?2]]=Table1[[#This Row],[Natural Gas Emissions ]],-Table1[[#This Row],[Natural Gas Emissions ]],Table1[[#This Row],[Electricity Emissions]])</f>
        <v>0</v>
      </c>
      <c r="AA73" s="55" t="str">
        <f>IF(Table1[[#This Row],[Fuel Selector (Cost)]]&lt;0,"NG","Elec")</f>
        <v>Elec</v>
      </c>
      <c r="AB73" s="337"/>
      <c r="AC73" s="7">
        <v>2022</v>
      </c>
      <c r="AD73" s="7">
        <v>1</v>
      </c>
      <c r="AE73" s="7">
        <v>3</v>
      </c>
      <c r="AF73" s="8">
        <v>0.95833333333333337</v>
      </c>
      <c r="AG73" s="9">
        <v>-25.2</v>
      </c>
      <c r="AH73" s="10">
        <f t="shared" si="6"/>
        <v>-25</v>
      </c>
    </row>
    <row r="74" spans="1:34" ht="14.5" x14ac:dyDescent="0.35">
      <c r="A74">
        <v>73</v>
      </c>
      <c r="B74" s="48">
        <f>IFERROR(IF(H74&lt;'HP Calcs'!$D$4,$K74-$M74,0),0)</f>
        <v>0</v>
      </c>
      <c r="C74" s="48">
        <f t="shared" si="11"/>
        <v>-16348.828052881339</v>
      </c>
      <c r="D74" s="48">
        <f t="shared" si="12"/>
        <v>0</v>
      </c>
      <c r="E74" s="48">
        <f>IFERROR(IF(H74&gt;'HP Calcs'!$D$5,IF(AND(K74&gt;M74,K74&lt;N74,H74&gt;'HP Calcs'!$D$5),J74,0),IF(AND(K74&gt;M74,K74&lt;N74,H74&lt;'HP Calcs'!$D$4),J74,0)),0)</f>
        <v>0</v>
      </c>
      <c r="F74" s="48">
        <f>IFERROR(IF(H74&gt;'HP Calcs'!$D$5,IF(AND(K74&lt;M74,H74&gt;'HP Calcs'!$D$5),J74,0),IF(AND(K74&lt;M74,H74&lt;'HP Calcs'!$D$4),J74,0)),0)</f>
        <v>0</v>
      </c>
      <c r="G74" s="48">
        <f t="shared" si="15"/>
        <v>0</v>
      </c>
      <c r="H74" s="48">
        <v>40</v>
      </c>
      <c r="I74" s="49">
        <f>IFERROR(VLOOKUP(H74,'HP Calcs'!$D$26:$T$33,2),0)</f>
        <v>6</v>
      </c>
      <c r="J74" s="48">
        <f t="shared" si="13"/>
        <v>0</v>
      </c>
      <c r="K74" s="49">
        <f>IF(H74&lt;'HP Calcs'!$D$4,MAX(_xlfn.FORECAST.LINEAR(H74,'HP Calcs'!$E$3:$E$4,'HP Calcs'!$D$3:$D$4),0),MAX(_xlfn.FORECAST.LINEAR(H74,'HP Calcs'!$E$5:$E$6,'HP Calcs'!$D$5:$D$6),0))</f>
        <v>9708.3148042615194</v>
      </c>
      <c r="L74" s="48">
        <f t="shared" si="14"/>
        <v>0</v>
      </c>
      <c r="M74" s="49">
        <f>IFERROR(IF(ISNUMBER(MATCH(H74,'HP Calcs'!$D$28:$D$33,0)),VLOOKUP(H74,'HP Calcs'!$D$28:$R$33,3,FALSE),INDEX('HP Calcs'!$F$28:$F$33,MATCH(I74,'HP Calcs'!$E$28:$E$33,0))+(INDEX('HP Calcs'!$G$28:$G$33,MATCH(I74,'HP Calcs'!$E$28:$E$33,0))*(H74-(INDEX('HP Calcs'!$D$28:$D$33,MATCH(I74,'HP Calcs'!$E$28:$E$33,0)))))),0)</f>
        <v>7885.7142857142853</v>
      </c>
      <c r="N74" s="49">
        <f>IFERROR(IF(ISNUMBER(MATCH(H74,'HP Calcs'!$D$28:$D$33,0)),VLOOKUP(H74,'HP Calcs'!$D$28:$R$33,5,FALSE),INDEX('HP Calcs'!$H$28:$H$33,MATCH(I74,'HP Calcs'!$E$28:$E$33,0))+(INDEX('HP Calcs'!$I$28:$I$33,MATCH(I74,'HP Calcs'!$E$28:$E$33,0))*(H74-(INDEX('HP Calcs'!$D$28:$D$33,MATCH(I74,'HP Calcs'!$E$28:$E$33,0)))))),0)</f>
        <v>26057.142857142859</v>
      </c>
      <c r="O74" s="55">
        <f>IFERROR(IF(ISNUMBER(MATCH($H74,'HP Calcs'!$D$28:$D$33,0)),VLOOKUP($H74,'HP Calcs'!$D$28:$R$33,7,FALSE),INDEX('HP Calcs'!J$28:J$33,MATCH($I74,'HP Calcs'!$E$28:$E$33,0))+(INDEX('HP Calcs'!K$28:K$33,MATCH($I74,'HP Calcs'!$E$28:$E$33,0))*($H74-(INDEX('HP Calcs'!$D$28:$D$33,MATCH($I74,'HP Calcs'!$E$28:$E$33,0)))))),0)</f>
        <v>0.44571428571428573</v>
      </c>
      <c r="P74" s="55">
        <f>IFERROR(IF(ISNUMBER(MATCH($H74,'HP Calcs'!$D$28:$D$33,0)),VLOOKUP($H74,'HP Calcs'!$D$28:$R$33,9,FALSE),INDEX('HP Calcs'!L$28:L$33,MATCH($I74,'HP Calcs'!$E$28:$E$33,0))+(INDEX('HP Calcs'!M$28:M$33,MATCH($I74,'HP Calcs'!$E$28:$E$33,0))*($H74-(INDEX('HP Calcs'!$D$28:$D$33,MATCH($I74,'HP Calcs'!$E$28:$E$33,0)))))),0)</f>
        <v>1.68</v>
      </c>
      <c r="Q74" s="331">
        <f>Table1[[#This Row],[kWh]]*'Conversion Factors'!$N$21</f>
        <v>0</v>
      </c>
      <c r="R74" s="334" t="str">
        <f>IF(Table1[[#This Row],[Temperature]]&lt;='HP Calcs'!$D$4,(Table1[[#This Row],[Annual Heating/Cooling Load (btu/year)]]*'Conversion Factors'!$M$4)/'HP Calcs'!$B$53*'Conversion Factors'!$N$20,"")</f>
        <v/>
      </c>
      <c r="S74" s="334">
        <f>IF(MIN(Table1[[#This Row],[Cost of Electricity]:[Cost of Natural Gas]])=0,MAX(Table1[[#This Row],[Cost of Electricity]:[Cost of Natural Gas]]),MIN(Table1[[#This Row],[Cost of Electricity]:[Cost of Natural Gas]]))</f>
        <v>0</v>
      </c>
      <c r="T74" s="334">
        <f>IF(Table1[[#This Row],[Electricity or Natural Gas?]]=Table1[[#This Row],[Cost of Natural Gas]],-Table1[[#This Row],[Cost of Natural Gas]],Table1[[#This Row],[Cost of Electricity]])</f>
        <v>0</v>
      </c>
      <c r="U74" s="372">
        <f>IF(Table1[[#This Row],[Electricity or Natural Gas?]]=Table1[[#This Row],[Cost of Natural Gas]],Table1[[#This Row],[Annual Heating/Cooling Load (btu/year)]]/'HP Calcs'!$B$53*'Conversion Factors'!$M$4,Table1[[#This Row],[kWh]]/'Conversion Factors'!$M$5)</f>
        <v>0</v>
      </c>
      <c r="V74" s="372">
        <f>IF(Table1[[#This Row],[Electricity or Natural Gas?]]=Table1[[#This Row],[Cost of Natural Gas]],Table1[[#This Row],[Annual Heating/Cooling Load (btu/year)]]/'HP Calcs'!$B$53*'Conversion Factors'!$M$4*'Conversion Factors'!$C$27,Table1[[#This Row],[kWh]]/'Conversion Factors'!$M$5*'Conversion Factors'!$C$9)</f>
        <v>0</v>
      </c>
      <c r="W74" s="55">
        <f>Table1[[#This Row],[kWh]]*'Conversion Factors'!$D$6*'Conversion Factors'!$C$9</f>
        <v>0</v>
      </c>
      <c r="X74" s="55">
        <f>IF(Table1[[#This Row],[Temperature]]&lt;='HP Calcs'!$D$4,(Table1[[#This Row],[Annual Heating/Cooling Load (btu/year)]])/'HP Calcs'!$B$53*'Conversion Factors'!$M$4*'Conversion Factors'!$C$27,0)</f>
        <v>0</v>
      </c>
      <c r="Y74" s="55">
        <f>IF(MIN(Table1[[#This Row],[Electricity Emissions]:[Natural Gas Emissions ]])=0,MAX(Table1[[#This Row],[Electricity Emissions]:[Natural Gas Emissions ]]),MIN(Table1[[#This Row],[Electricity Emissions]:[Natural Gas Emissions ]]))</f>
        <v>0</v>
      </c>
      <c r="Z74" s="55">
        <f>IF(Table1[[#This Row],[Electricity or Natural Gas?2]]=Table1[[#This Row],[Natural Gas Emissions ]],-Table1[[#This Row],[Natural Gas Emissions ]],Table1[[#This Row],[Electricity Emissions]])</f>
        <v>0</v>
      </c>
      <c r="AA74" s="380" t="str">
        <f>IF(Table1[[#This Row],[Fuel Selector (Cost)]]&lt;0,"NG","Elec")</f>
        <v>Elec</v>
      </c>
      <c r="AB74" s="337"/>
      <c r="AC74" s="7">
        <v>2022</v>
      </c>
      <c r="AD74" s="7">
        <v>1</v>
      </c>
      <c r="AE74" s="7">
        <v>4</v>
      </c>
      <c r="AF74" s="8">
        <v>0</v>
      </c>
      <c r="AG74" s="9">
        <v>-25.4</v>
      </c>
      <c r="AH74" s="10">
        <f t="shared" si="6"/>
        <v>-25</v>
      </c>
    </row>
    <row r="75" spans="1:34" ht="14.5" x14ac:dyDescent="0.35">
      <c r="H75" s="1"/>
      <c r="I75" s="1"/>
      <c r="K75" s="4"/>
      <c r="AC75" s="7">
        <v>2022</v>
      </c>
      <c r="AD75" s="7">
        <v>1</v>
      </c>
      <c r="AE75" s="7">
        <v>4</v>
      </c>
      <c r="AF75" s="8">
        <v>4.1666666666666664E-2</v>
      </c>
      <c r="AG75" s="9">
        <v>-25.8</v>
      </c>
      <c r="AH75" s="10">
        <f t="shared" ref="AH75:AH138" si="16">ROUND(AG75,0)</f>
        <v>-26</v>
      </c>
    </row>
    <row r="76" spans="1:34" ht="14.5" x14ac:dyDescent="0.35">
      <c r="H76" s="1"/>
      <c r="I76" s="1"/>
      <c r="K76" s="4"/>
      <c r="L76" s="231"/>
      <c r="X76" s="78"/>
      <c r="AC76" s="7">
        <v>2022</v>
      </c>
      <c r="AD76" s="7">
        <v>1</v>
      </c>
      <c r="AE76" s="7">
        <v>4</v>
      </c>
      <c r="AF76" s="8">
        <v>8.3333333333333329E-2</v>
      </c>
      <c r="AG76" s="9">
        <v>-25.8</v>
      </c>
      <c r="AH76" s="10">
        <f t="shared" si="16"/>
        <v>-26</v>
      </c>
    </row>
    <row r="77" spans="1:34" ht="14.5" x14ac:dyDescent="0.35">
      <c r="H77" s="1"/>
      <c r="I77" s="1"/>
      <c r="K77" s="4"/>
      <c r="AC77" s="7">
        <v>2022</v>
      </c>
      <c r="AD77" s="7">
        <v>1</v>
      </c>
      <c r="AE77" s="7">
        <v>4</v>
      </c>
      <c r="AF77" s="8">
        <v>0.125</v>
      </c>
      <c r="AG77" s="9">
        <v>-25.8</v>
      </c>
      <c r="AH77" s="10">
        <f t="shared" si="16"/>
        <v>-26</v>
      </c>
    </row>
    <row r="78" spans="1:34" ht="14.5" x14ac:dyDescent="0.35">
      <c r="H78" s="1"/>
      <c r="I78" s="1"/>
      <c r="K78" s="4"/>
      <c r="AC78" s="7">
        <v>2022</v>
      </c>
      <c r="AD78" s="7">
        <v>1</v>
      </c>
      <c r="AE78" s="7">
        <v>4</v>
      </c>
      <c r="AF78" s="8">
        <v>0.16666666666666666</v>
      </c>
      <c r="AG78" s="9">
        <v>-26.2</v>
      </c>
      <c r="AH78" s="10">
        <f t="shared" si="16"/>
        <v>-26</v>
      </c>
    </row>
    <row r="79" spans="1:34" ht="14.5" x14ac:dyDescent="0.35">
      <c r="H79" s="1"/>
      <c r="I79" s="1"/>
      <c r="K79" s="4"/>
      <c r="AC79" s="7">
        <v>2022</v>
      </c>
      <c r="AD79" s="7">
        <v>1</v>
      </c>
      <c r="AE79" s="7">
        <v>4</v>
      </c>
      <c r="AF79" s="8">
        <v>0.20833333333333334</v>
      </c>
      <c r="AG79" s="9">
        <v>-26.2</v>
      </c>
      <c r="AH79" s="10">
        <f t="shared" si="16"/>
        <v>-26</v>
      </c>
    </row>
    <row r="80" spans="1:34" ht="14.5" x14ac:dyDescent="0.35">
      <c r="H80" s="1"/>
      <c r="I80" s="1"/>
      <c r="K80" s="4"/>
      <c r="AC80" s="7">
        <v>2022</v>
      </c>
      <c r="AD80" s="7">
        <v>1</v>
      </c>
      <c r="AE80" s="7">
        <v>4</v>
      </c>
      <c r="AF80" s="8">
        <v>0.25</v>
      </c>
      <c r="AG80" s="9">
        <v>-26.3</v>
      </c>
      <c r="AH80" s="10">
        <f t="shared" si="16"/>
        <v>-26</v>
      </c>
    </row>
    <row r="81" spans="8:34" ht="14.5" x14ac:dyDescent="0.35">
      <c r="H81" s="1"/>
      <c r="I81" s="1"/>
      <c r="K81" s="4"/>
      <c r="AC81" s="7">
        <v>2022</v>
      </c>
      <c r="AD81" s="7">
        <v>1</v>
      </c>
      <c r="AE81" s="7">
        <v>4</v>
      </c>
      <c r="AF81" s="8">
        <v>0.29166666666666669</v>
      </c>
      <c r="AG81" s="9">
        <v>-26.5</v>
      </c>
      <c r="AH81" s="10">
        <f t="shared" si="16"/>
        <v>-27</v>
      </c>
    </row>
    <row r="82" spans="8:34" ht="14.5" x14ac:dyDescent="0.35">
      <c r="H82" s="1"/>
      <c r="I82" s="1"/>
      <c r="K82" s="4"/>
      <c r="AC82" s="7">
        <v>2022</v>
      </c>
      <c r="AD82" s="7">
        <v>1</v>
      </c>
      <c r="AE82" s="7">
        <v>4</v>
      </c>
      <c r="AF82" s="8">
        <v>0.33333333333333331</v>
      </c>
      <c r="AG82" s="9">
        <v>-26.6</v>
      </c>
      <c r="AH82" s="10">
        <f t="shared" si="16"/>
        <v>-27</v>
      </c>
    </row>
    <row r="83" spans="8:34" ht="14.5" x14ac:dyDescent="0.35">
      <c r="H83" s="1"/>
      <c r="I83" s="1"/>
      <c r="K83" s="4"/>
      <c r="AC83" s="7">
        <v>2022</v>
      </c>
      <c r="AD83" s="7">
        <v>1</v>
      </c>
      <c r="AE83" s="7">
        <v>4</v>
      </c>
      <c r="AF83" s="8">
        <v>0.375</v>
      </c>
      <c r="AG83" s="9">
        <v>-26.8</v>
      </c>
      <c r="AH83" s="10">
        <f t="shared" si="16"/>
        <v>-27</v>
      </c>
    </row>
    <row r="84" spans="8:34" ht="14.5" x14ac:dyDescent="0.35">
      <c r="H84" s="1"/>
      <c r="I84" s="1"/>
      <c r="K84" s="4"/>
      <c r="AC84" s="7">
        <v>2022</v>
      </c>
      <c r="AD84" s="7">
        <v>1</v>
      </c>
      <c r="AE84" s="7">
        <v>4</v>
      </c>
      <c r="AF84" s="8">
        <v>0.41666666666666669</v>
      </c>
      <c r="AG84" s="9">
        <v>-27</v>
      </c>
      <c r="AH84" s="10">
        <f t="shared" si="16"/>
        <v>-27</v>
      </c>
    </row>
    <row r="85" spans="8:34" ht="14.5" x14ac:dyDescent="0.35">
      <c r="H85" s="1"/>
      <c r="I85" s="1"/>
      <c r="K85" s="4"/>
      <c r="AC85" s="7">
        <v>2022</v>
      </c>
      <c r="AD85" s="7">
        <v>1</v>
      </c>
      <c r="AE85" s="7">
        <v>4</v>
      </c>
      <c r="AF85" s="8">
        <v>0.45833333333333331</v>
      </c>
      <c r="AG85" s="9">
        <v>-26.7</v>
      </c>
      <c r="AH85" s="10">
        <f t="shared" si="16"/>
        <v>-27</v>
      </c>
    </row>
    <row r="86" spans="8:34" ht="14.5" x14ac:dyDescent="0.35">
      <c r="H86" s="1"/>
      <c r="I86" s="1"/>
      <c r="K86" s="4"/>
      <c r="AC86" s="7">
        <v>2022</v>
      </c>
      <c r="AD86" s="7">
        <v>1</v>
      </c>
      <c r="AE86" s="7">
        <v>4</v>
      </c>
      <c r="AF86" s="8">
        <v>0.5</v>
      </c>
      <c r="AG86" s="9">
        <v>-26.1</v>
      </c>
      <c r="AH86" s="10">
        <f t="shared" si="16"/>
        <v>-26</v>
      </c>
    </row>
    <row r="87" spans="8:34" ht="14.5" x14ac:dyDescent="0.35">
      <c r="H87" s="1"/>
      <c r="I87" s="1"/>
      <c r="K87" s="4"/>
      <c r="AC87" s="7">
        <v>2022</v>
      </c>
      <c r="AD87" s="7">
        <v>1</v>
      </c>
      <c r="AE87" s="7">
        <v>4</v>
      </c>
      <c r="AF87" s="8">
        <v>0.54166666666666663</v>
      </c>
      <c r="AG87" s="9">
        <v>-25.4</v>
      </c>
      <c r="AH87" s="10">
        <f t="shared" si="16"/>
        <v>-25</v>
      </c>
    </row>
    <row r="88" spans="8:34" ht="14.5" x14ac:dyDescent="0.35">
      <c r="H88" s="1"/>
      <c r="I88" s="1"/>
      <c r="K88" s="4"/>
      <c r="AC88" s="7">
        <v>2022</v>
      </c>
      <c r="AD88" s="7">
        <v>1</v>
      </c>
      <c r="AE88" s="7">
        <v>4</v>
      </c>
      <c r="AF88" s="8">
        <v>0.58333333333333337</v>
      </c>
      <c r="AG88" s="9">
        <v>-25.4</v>
      </c>
      <c r="AH88" s="10">
        <f t="shared" si="16"/>
        <v>-25</v>
      </c>
    </row>
    <row r="89" spans="8:34" ht="14.5" x14ac:dyDescent="0.35">
      <c r="H89" s="1"/>
      <c r="I89" s="1"/>
      <c r="K89" s="4"/>
      <c r="AC89" s="7">
        <v>2022</v>
      </c>
      <c r="AD89" s="7">
        <v>1</v>
      </c>
      <c r="AE89" s="7">
        <v>4</v>
      </c>
      <c r="AF89" s="8">
        <v>0.625</v>
      </c>
      <c r="AG89" s="9">
        <v>-25.1</v>
      </c>
      <c r="AH89" s="10">
        <f t="shared" si="16"/>
        <v>-25</v>
      </c>
    </row>
    <row r="90" spans="8:34" ht="14.5" x14ac:dyDescent="0.35">
      <c r="H90" s="1"/>
      <c r="I90" s="1"/>
      <c r="K90" s="4"/>
      <c r="AC90" s="7">
        <v>2022</v>
      </c>
      <c r="AD90" s="7">
        <v>1</v>
      </c>
      <c r="AE90" s="7">
        <v>4</v>
      </c>
      <c r="AF90" s="8">
        <v>0.66666666666666663</v>
      </c>
      <c r="AG90" s="9">
        <v>-25.3</v>
      </c>
      <c r="AH90" s="10">
        <f t="shared" si="16"/>
        <v>-25</v>
      </c>
    </row>
    <row r="91" spans="8:34" ht="14.5" x14ac:dyDescent="0.35">
      <c r="H91" s="1"/>
      <c r="I91" s="1"/>
      <c r="K91" s="4"/>
      <c r="AC91" s="7">
        <v>2022</v>
      </c>
      <c r="AD91" s="7">
        <v>1</v>
      </c>
      <c r="AE91" s="7">
        <v>4</v>
      </c>
      <c r="AF91" s="8">
        <v>0.70833333333333337</v>
      </c>
      <c r="AG91" s="9">
        <v>-26</v>
      </c>
      <c r="AH91" s="10">
        <f t="shared" si="16"/>
        <v>-26</v>
      </c>
    </row>
    <row r="92" spans="8:34" ht="14.5" x14ac:dyDescent="0.35">
      <c r="H92" s="1"/>
      <c r="I92" s="1"/>
      <c r="K92" s="4"/>
      <c r="AC92" s="7">
        <v>2022</v>
      </c>
      <c r="AD92" s="7">
        <v>1</v>
      </c>
      <c r="AE92" s="7">
        <v>4</v>
      </c>
      <c r="AF92" s="8">
        <v>0.75</v>
      </c>
      <c r="AG92" s="9">
        <v>-26.4</v>
      </c>
      <c r="AH92" s="10">
        <f t="shared" si="16"/>
        <v>-26</v>
      </c>
    </row>
    <row r="93" spans="8:34" ht="14.5" x14ac:dyDescent="0.35">
      <c r="H93" s="1"/>
      <c r="I93" s="1"/>
      <c r="K93" s="4"/>
      <c r="AC93" s="7">
        <v>2022</v>
      </c>
      <c r="AD93" s="7">
        <v>1</v>
      </c>
      <c r="AE93" s="7">
        <v>4</v>
      </c>
      <c r="AF93" s="8">
        <v>0.79166666666666663</v>
      </c>
      <c r="AG93" s="9">
        <v>-28.1</v>
      </c>
      <c r="AH93" s="10">
        <f t="shared" si="16"/>
        <v>-28</v>
      </c>
    </row>
    <row r="94" spans="8:34" ht="14.5" x14ac:dyDescent="0.35">
      <c r="H94" s="1"/>
      <c r="I94" s="1"/>
      <c r="K94" s="4"/>
      <c r="AC94" s="7">
        <v>2022</v>
      </c>
      <c r="AD94" s="7">
        <v>1</v>
      </c>
      <c r="AE94" s="7">
        <v>4</v>
      </c>
      <c r="AF94" s="8">
        <v>0.83333333333333337</v>
      </c>
      <c r="AG94" s="9">
        <v>-28.2</v>
      </c>
      <c r="AH94" s="10">
        <f t="shared" si="16"/>
        <v>-28</v>
      </c>
    </row>
    <row r="95" spans="8:34" ht="14.5" x14ac:dyDescent="0.35">
      <c r="H95" s="1"/>
      <c r="I95" s="1"/>
      <c r="K95" s="4"/>
      <c r="AC95" s="7">
        <v>2022</v>
      </c>
      <c r="AD95" s="7">
        <v>1</v>
      </c>
      <c r="AE95" s="7">
        <v>4</v>
      </c>
      <c r="AF95" s="8">
        <v>0.875</v>
      </c>
      <c r="AG95" s="9">
        <v>-29</v>
      </c>
      <c r="AH95" s="10">
        <f t="shared" si="16"/>
        <v>-29</v>
      </c>
    </row>
    <row r="96" spans="8:34" ht="14.5" x14ac:dyDescent="0.35">
      <c r="H96" s="1"/>
      <c r="I96" s="1"/>
      <c r="K96" s="4"/>
      <c r="AC96" s="7">
        <v>2022</v>
      </c>
      <c r="AD96" s="7">
        <v>1</v>
      </c>
      <c r="AE96" s="7">
        <v>4</v>
      </c>
      <c r="AF96" s="8">
        <v>0.91666666666666663</v>
      </c>
      <c r="AG96" s="9">
        <v>-27.8</v>
      </c>
      <c r="AH96" s="10">
        <f t="shared" si="16"/>
        <v>-28</v>
      </c>
    </row>
    <row r="97" spans="8:34" ht="14.5" x14ac:dyDescent="0.35">
      <c r="H97" s="1"/>
      <c r="I97" s="1"/>
      <c r="K97" s="4"/>
      <c r="AC97" s="7">
        <v>2022</v>
      </c>
      <c r="AD97" s="7">
        <v>1</v>
      </c>
      <c r="AE97" s="7">
        <v>4</v>
      </c>
      <c r="AF97" s="8">
        <v>0.95833333333333337</v>
      </c>
      <c r="AG97" s="9">
        <v>-27.3</v>
      </c>
      <c r="AH97" s="10">
        <f t="shared" si="16"/>
        <v>-27</v>
      </c>
    </row>
    <row r="98" spans="8:34" ht="14.5" x14ac:dyDescent="0.35">
      <c r="H98" s="1"/>
      <c r="I98" s="1"/>
      <c r="K98" s="4"/>
      <c r="AC98" s="7">
        <v>2022</v>
      </c>
      <c r="AD98" s="7">
        <v>1</v>
      </c>
      <c r="AE98" s="7">
        <v>5</v>
      </c>
      <c r="AF98" s="8">
        <v>0</v>
      </c>
      <c r="AG98" s="9">
        <v>-27.5</v>
      </c>
      <c r="AH98" s="10">
        <f t="shared" si="16"/>
        <v>-28</v>
      </c>
    </row>
    <row r="99" spans="8:34" ht="14.5" x14ac:dyDescent="0.35">
      <c r="H99" s="1"/>
      <c r="I99" s="1"/>
      <c r="K99" s="4"/>
      <c r="AC99" s="7">
        <v>2022</v>
      </c>
      <c r="AD99" s="7">
        <v>1</v>
      </c>
      <c r="AE99" s="7">
        <v>5</v>
      </c>
      <c r="AF99" s="8">
        <v>4.1666666666666664E-2</v>
      </c>
      <c r="AG99" s="9">
        <v>-27.4</v>
      </c>
      <c r="AH99" s="10">
        <f t="shared" si="16"/>
        <v>-27</v>
      </c>
    </row>
    <row r="100" spans="8:34" ht="14.5" x14ac:dyDescent="0.35">
      <c r="H100" s="1"/>
      <c r="I100" s="1"/>
      <c r="K100" s="4"/>
      <c r="AC100" s="7">
        <v>2022</v>
      </c>
      <c r="AD100" s="7">
        <v>1</v>
      </c>
      <c r="AE100" s="7">
        <v>5</v>
      </c>
      <c r="AF100" s="8">
        <v>8.3333333333333329E-2</v>
      </c>
      <c r="AG100" s="9">
        <v>-27</v>
      </c>
      <c r="AH100" s="10">
        <f t="shared" si="16"/>
        <v>-27</v>
      </c>
    </row>
    <row r="101" spans="8:34" ht="14.5" x14ac:dyDescent="0.35">
      <c r="H101" s="1"/>
      <c r="I101" s="1"/>
      <c r="K101" s="4"/>
      <c r="AC101" s="7">
        <v>2022</v>
      </c>
      <c r="AD101" s="7">
        <v>1</v>
      </c>
      <c r="AE101" s="7">
        <v>5</v>
      </c>
      <c r="AF101" s="8">
        <v>0.125</v>
      </c>
      <c r="AG101" s="9">
        <v>-27.1</v>
      </c>
      <c r="AH101" s="10">
        <f t="shared" si="16"/>
        <v>-27</v>
      </c>
    </row>
    <row r="102" spans="8:34" ht="14.5" x14ac:dyDescent="0.35">
      <c r="H102" s="1"/>
      <c r="I102" s="1"/>
      <c r="K102" s="4"/>
      <c r="AC102" s="7">
        <v>2022</v>
      </c>
      <c r="AD102" s="7">
        <v>1</v>
      </c>
      <c r="AE102" s="7">
        <v>5</v>
      </c>
      <c r="AF102" s="8">
        <v>0.16666666666666666</v>
      </c>
      <c r="AG102" s="9">
        <v>-27.8</v>
      </c>
      <c r="AH102" s="10">
        <f t="shared" si="16"/>
        <v>-28</v>
      </c>
    </row>
    <row r="103" spans="8:34" ht="14.5" x14ac:dyDescent="0.35">
      <c r="H103" s="1"/>
      <c r="I103" s="1"/>
      <c r="K103" s="4"/>
      <c r="AC103" s="7">
        <v>2022</v>
      </c>
      <c r="AD103" s="7">
        <v>1</v>
      </c>
      <c r="AE103" s="7">
        <v>5</v>
      </c>
      <c r="AF103" s="8">
        <v>0.20833333333333334</v>
      </c>
      <c r="AG103" s="9">
        <v>-27</v>
      </c>
      <c r="AH103" s="10">
        <f t="shared" si="16"/>
        <v>-27</v>
      </c>
    </row>
    <row r="104" spans="8:34" ht="14.5" x14ac:dyDescent="0.35">
      <c r="H104" s="1"/>
      <c r="I104" s="1"/>
      <c r="K104" s="4"/>
      <c r="AC104" s="7">
        <v>2022</v>
      </c>
      <c r="AD104" s="7">
        <v>1</v>
      </c>
      <c r="AE104" s="7">
        <v>5</v>
      </c>
      <c r="AF104" s="8">
        <v>0.25</v>
      </c>
      <c r="AG104" s="9">
        <v>-27.1</v>
      </c>
      <c r="AH104" s="10">
        <f t="shared" si="16"/>
        <v>-27</v>
      </c>
    </row>
    <row r="105" spans="8:34" ht="14.5" x14ac:dyDescent="0.35">
      <c r="H105" s="1"/>
      <c r="I105" s="1"/>
      <c r="K105" s="4"/>
      <c r="AC105" s="7">
        <v>2022</v>
      </c>
      <c r="AD105" s="7">
        <v>1</v>
      </c>
      <c r="AE105" s="7">
        <v>5</v>
      </c>
      <c r="AF105" s="8">
        <v>0.29166666666666669</v>
      </c>
      <c r="AG105" s="9">
        <v>-26.8</v>
      </c>
      <c r="AH105" s="10">
        <f t="shared" si="16"/>
        <v>-27</v>
      </c>
    </row>
    <row r="106" spans="8:34" ht="14.5" x14ac:dyDescent="0.35">
      <c r="H106" s="1"/>
      <c r="I106" s="1"/>
      <c r="K106" s="4"/>
      <c r="AC106" s="7">
        <v>2022</v>
      </c>
      <c r="AD106" s="7">
        <v>1</v>
      </c>
      <c r="AE106" s="7">
        <v>5</v>
      </c>
      <c r="AF106" s="8">
        <v>0.33333333333333331</v>
      </c>
      <c r="AG106" s="9">
        <v>-26.5</v>
      </c>
      <c r="AH106" s="10">
        <f t="shared" si="16"/>
        <v>-27</v>
      </c>
    </row>
    <row r="107" spans="8:34" ht="14.5" x14ac:dyDescent="0.35">
      <c r="H107" s="1"/>
      <c r="I107" s="1"/>
      <c r="K107" s="4"/>
      <c r="AC107" s="7">
        <v>2022</v>
      </c>
      <c r="AD107" s="7">
        <v>1</v>
      </c>
      <c r="AE107" s="7">
        <v>5</v>
      </c>
      <c r="AF107" s="8">
        <v>0.375</v>
      </c>
      <c r="AG107" s="9">
        <v>-26.3</v>
      </c>
      <c r="AH107" s="10">
        <f t="shared" si="16"/>
        <v>-26</v>
      </c>
    </row>
    <row r="108" spans="8:34" ht="14.5" x14ac:dyDescent="0.35">
      <c r="H108" s="1"/>
      <c r="I108" s="1"/>
      <c r="K108" s="4"/>
      <c r="AC108" s="7">
        <v>2022</v>
      </c>
      <c r="AD108" s="7">
        <v>1</v>
      </c>
      <c r="AE108" s="7">
        <v>5</v>
      </c>
      <c r="AF108" s="8">
        <v>0.41666666666666669</v>
      </c>
      <c r="AG108" s="9">
        <v>-26.1</v>
      </c>
      <c r="AH108" s="10">
        <f t="shared" si="16"/>
        <v>-26</v>
      </c>
    </row>
    <row r="109" spans="8:34" ht="14.5" x14ac:dyDescent="0.35">
      <c r="H109" s="1"/>
      <c r="I109" s="1"/>
      <c r="K109" s="4"/>
      <c r="AC109" s="7">
        <v>2022</v>
      </c>
      <c r="AD109" s="7">
        <v>1</v>
      </c>
      <c r="AE109" s="7">
        <v>5</v>
      </c>
      <c r="AF109" s="8">
        <v>0.45833333333333331</v>
      </c>
      <c r="AG109" s="9">
        <v>-25.6</v>
      </c>
      <c r="AH109" s="10">
        <f t="shared" si="16"/>
        <v>-26</v>
      </c>
    </row>
    <row r="110" spans="8:34" ht="14.5" x14ac:dyDescent="0.35">
      <c r="H110" s="1"/>
      <c r="I110" s="1"/>
      <c r="K110" s="4"/>
      <c r="AC110" s="7">
        <v>2022</v>
      </c>
      <c r="AD110" s="7">
        <v>1</v>
      </c>
      <c r="AE110" s="7">
        <v>5</v>
      </c>
      <c r="AF110" s="8">
        <v>0.5</v>
      </c>
      <c r="AG110" s="9">
        <v>-25.2</v>
      </c>
      <c r="AH110" s="10">
        <f t="shared" si="16"/>
        <v>-25</v>
      </c>
    </row>
    <row r="111" spans="8:34" ht="14.5" x14ac:dyDescent="0.35">
      <c r="H111" s="1"/>
      <c r="I111" s="1"/>
      <c r="K111" s="4"/>
      <c r="AC111" s="7">
        <v>2022</v>
      </c>
      <c r="AD111" s="7">
        <v>1</v>
      </c>
      <c r="AE111" s="7">
        <v>5</v>
      </c>
      <c r="AF111" s="8">
        <v>0.54166666666666663</v>
      </c>
      <c r="AG111" s="9">
        <v>-24.5</v>
      </c>
      <c r="AH111" s="10">
        <f t="shared" si="16"/>
        <v>-25</v>
      </c>
    </row>
    <row r="112" spans="8:34" ht="14.5" x14ac:dyDescent="0.35">
      <c r="H112" s="1"/>
      <c r="I112" s="1"/>
      <c r="K112" s="4"/>
      <c r="AC112" s="7">
        <v>2022</v>
      </c>
      <c r="AD112" s="7">
        <v>1</v>
      </c>
      <c r="AE112" s="7">
        <v>5</v>
      </c>
      <c r="AF112" s="8">
        <v>0.58333333333333337</v>
      </c>
      <c r="AG112" s="9">
        <v>-24.3</v>
      </c>
      <c r="AH112" s="10">
        <f t="shared" si="16"/>
        <v>-24</v>
      </c>
    </row>
    <row r="113" spans="8:34" ht="14.5" x14ac:dyDescent="0.35">
      <c r="H113" s="1"/>
      <c r="I113" s="1"/>
      <c r="K113" s="4"/>
      <c r="AC113" s="7">
        <v>2022</v>
      </c>
      <c r="AD113" s="7">
        <v>1</v>
      </c>
      <c r="AE113" s="7">
        <v>5</v>
      </c>
      <c r="AF113" s="8">
        <v>0.625</v>
      </c>
      <c r="AG113" s="9">
        <v>-24.8</v>
      </c>
      <c r="AH113" s="10">
        <f t="shared" si="16"/>
        <v>-25</v>
      </c>
    </row>
    <row r="114" spans="8:34" ht="14.5" x14ac:dyDescent="0.35">
      <c r="H114" s="1"/>
      <c r="I114" s="1"/>
      <c r="K114" s="4"/>
      <c r="AC114" s="7">
        <v>2022</v>
      </c>
      <c r="AD114" s="7">
        <v>1</v>
      </c>
      <c r="AE114" s="7">
        <v>5</v>
      </c>
      <c r="AF114" s="8">
        <v>0.66666666666666663</v>
      </c>
      <c r="AG114" s="9">
        <v>-25.4</v>
      </c>
      <c r="AH114" s="10">
        <f t="shared" si="16"/>
        <v>-25</v>
      </c>
    </row>
    <row r="115" spans="8:34" ht="14.5" x14ac:dyDescent="0.35">
      <c r="H115" s="1"/>
      <c r="I115" s="1"/>
      <c r="K115" s="4"/>
      <c r="AC115" s="7">
        <v>2022</v>
      </c>
      <c r="AD115" s="7">
        <v>1</v>
      </c>
      <c r="AE115" s="7">
        <v>5</v>
      </c>
      <c r="AF115" s="8">
        <v>0.70833333333333337</v>
      </c>
      <c r="AG115" s="9">
        <v>-26.8</v>
      </c>
      <c r="AH115" s="10">
        <f t="shared" si="16"/>
        <v>-27</v>
      </c>
    </row>
    <row r="116" spans="8:34" ht="14.5" x14ac:dyDescent="0.35">
      <c r="H116" s="1"/>
      <c r="I116" s="1"/>
      <c r="K116" s="4"/>
      <c r="AC116" s="7">
        <v>2022</v>
      </c>
      <c r="AD116" s="7">
        <v>1</v>
      </c>
      <c r="AE116" s="7">
        <v>5</v>
      </c>
      <c r="AF116" s="8">
        <v>0.75</v>
      </c>
      <c r="AG116" s="9">
        <v>-27.8</v>
      </c>
      <c r="AH116" s="10">
        <f t="shared" si="16"/>
        <v>-28</v>
      </c>
    </row>
    <row r="117" spans="8:34" ht="14.5" x14ac:dyDescent="0.35">
      <c r="H117" s="1"/>
      <c r="I117" s="1"/>
      <c r="K117" s="4"/>
      <c r="AC117" s="7">
        <v>2022</v>
      </c>
      <c r="AD117" s="7">
        <v>1</v>
      </c>
      <c r="AE117" s="7">
        <v>5</v>
      </c>
      <c r="AF117" s="8">
        <v>0.79166666666666663</v>
      </c>
      <c r="AG117" s="9">
        <v>-27.8</v>
      </c>
      <c r="AH117" s="10">
        <f t="shared" si="16"/>
        <v>-28</v>
      </c>
    </row>
    <row r="118" spans="8:34" ht="14.5" x14ac:dyDescent="0.35">
      <c r="H118" s="1"/>
      <c r="I118" s="1"/>
      <c r="K118" s="4"/>
      <c r="AC118" s="7">
        <v>2022</v>
      </c>
      <c r="AD118" s="7">
        <v>1</v>
      </c>
      <c r="AE118" s="7">
        <v>5</v>
      </c>
      <c r="AF118" s="8">
        <v>0.83333333333333337</v>
      </c>
      <c r="AG118" s="9">
        <v>-28.8</v>
      </c>
      <c r="AH118" s="10">
        <f t="shared" si="16"/>
        <v>-29</v>
      </c>
    </row>
    <row r="119" spans="8:34" ht="14.5" x14ac:dyDescent="0.35">
      <c r="H119" s="1"/>
      <c r="I119" s="1"/>
      <c r="K119" s="4"/>
      <c r="AC119" s="7">
        <v>2022</v>
      </c>
      <c r="AD119" s="7">
        <v>1</v>
      </c>
      <c r="AE119" s="7">
        <v>5</v>
      </c>
      <c r="AF119" s="8">
        <v>0.875</v>
      </c>
      <c r="AG119" s="9">
        <v>-28.3</v>
      </c>
      <c r="AH119" s="10">
        <f t="shared" si="16"/>
        <v>-28</v>
      </c>
    </row>
    <row r="120" spans="8:34" ht="14.5" x14ac:dyDescent="0.35">
      <c r="H120" s="1"/>
      <c r="I120" s="1"/>
      <c r="K120" s="4"/>
      <c r="AC120" s="7">
        <v>2022</v>
      </c>
      <c r="AD120" s="7">
        <v>1</v>
      </c>
      <c r="AE120" s="7">
        <v>5</v>
      </c>
      <c r="AF120" s="8">
        <v>0.91666666666666663</v>
      </c>
      <c r="AG120" s="9">
        <v>-29.4</v>
      </c>
      <c r="AH120" s="10">
        <f t="shared" si="16"/>
        <v>-29</v>
      </c>
    </row>
    <row r="121" spans="8:34" ht="14.5" x14ac:dyDescent="0.35">
      <c r="H121" s="1"/>
      <c r="I121" s="1"/>
      <c r="K121" s="4"/>
      <c r="AC121" s="7">
        <v>2022</v>
      </c>
      <c r="AD121" s="7">
        <v>1</v>
      </c>
      <c r="AE121" s="7">
        <v>5</v>
      </c>
      <c r="AF121" s="8">
        <v>0.95833333333333337</v>
      </c>
      <c r="AG121" s="9">
        <v>-29.2</v>
      </c>
      <c r="AH121" s="10">
        <f t="shared" si="16"/>
        <v>-29</v>
      </c>
    </row>
    <row r="122" spans="8:34" ht="14.5" x14ac:dyDescent="0.35">
      <c r="H122" s="1"/>
      <c r="I122" s="1"/>
      <c r="K122" s="4"/>
      <c r="AC122" s="7">
        <v>2022</v>
      </c>
      <c r="AD122" s="7">
        <v>1</v>
      </c>
      <c r="AE122" s="7">
        <v>6</v>
      </c>
      <c r="AF122" s="8">
        <v>0</v>
      </c>
      <c r="AG122" s="9">
        <v>-29.6</v>
      </c>
      <c r="AH122" s="10">
        <f t="shared" si="16"/>
        <v>-30</v>
      </c>
    </row>
    <row r="123" spans="8:34" ht="14.5" x14ac:dyDescent="0.35">
      <c r="H123" s="1"/>
      <c r="I123" s="1"/>
      <c r="K123" s="4"/>
      <c r="AC123" s="7">
        <v>2022</v>
      </c>
      <c r="AD123" s="7">
        <v>1</v>
      </c>
      <c r="AE123" s="7">
        <v>6</v>
      </c>
      <c r="AF123" s="8">
        <v>4.1666666666666664E-2</v>
      </c>
      <c r="AG123" s="9">
        <v>-29.8</v>
      </c>
      <c r="AH123" s="10">
        <f t="shared" si="16"/>
        <v>-30</v>
      </c>
    </row>
    <row r="124" spans="8:34" ht="14.5" x14ac:dyDescent="0.35">
      <c r="H124" s="1"/>
      <c r="I124" s="1"/>
      <c r="K124" s="4"/>
      <c r="AC124" s="7">
        <v>2022</v>
      </c>
      <c r="AD124" s="7">
        <v>1</v>
      </c>
      <c r="AE124" s="7">
        <v>6</v>
      </c>
      <c r="AF124" s="8">
        <v>8.3333333333333329E-2</v>
      </c>
      <c r="AG124" s="9">
        <v>-29.2</v>
      </c>
      <c r="AH124" s="10">
        <f t="shared" si="16"/>
        <v>-29</v>
      </c>
    </row>
    <row r="125" spans="8:34" ht="14.5" x14ac:dyDescent="0.35">
      <c r="H125" s="1"/>
      <c r="I125" s="1"/>
      <c r="K125" s="4"/>
      <c r="AC125" s="7">
        <v>2022</v>
      </c>
      <c r="AD125" s="7">
        <v>1</v>
      </c>
      <c r="AE125" s="7">
        <v>6</v>
      </c>
      <c r="AF125" s="8">
        <v>0.125</v>
      </c>
      <c r="AG125" s="9">
        <v>-28.6</v>
      </c>
      <c r="AH125" s="10">
        <f t="shared" si="16"/>
        <v>-29</v>
      </c>
    </row>
    <row r="126" spans="8:34" ht="14.5" x14ac:dyDescent="0.35">
      <c r="H126" s="1"/>
      <c r="I126" s="1"/>
      <c r="K126" s="4"/>
      <c r="AC126" s="7">
        <v>2022</v>
      </c>
      <c r="AD126" s="7">
        <v>1</v>
      </c>
      <c r="AE126" s="7">
        <v>6</v>
      </c>
      <c r="AF126" s="8">
        <v>0.16666666666666666</v>
      </c>
      <c r="AG126" s="9">
        <v>-28.6</v>
      </c>
      <c r="AH126" s="10">
        <f t="shared" si="16"/>
        <v>-29</v>
      </c>
    </row>
    <row r="127" spans="8:34" ht="14.5" x14ac:dyDescent="0.35">
      <c r="H127" s="1"/>
      <c r="I127" s="1"/>
      <c r="K127" s="4"/>
      <c r="AC127" s="7">
        <v>2022</v>
      </c>
      <c r="AD127" s="7">
        <v>1</v>
      </c>
      <c r="AE127" s="7">
        <v>6</v>
      </c>
      <c r="AF127" s="8">
        <v>0.20833333333333334</v>
      </c>
      <c r="AG127" s="9">
        <v>-27.8</v>
      </c>
      <c r="AH127" s="10">
        <f t="shared" si="16"/>
        <v>-28</v>
      </c>
    </row>
    <row r="128" spans="8:34" ht="14.5" x14ac:dyDescent="0.35">
      <c r="H128" s="1"/>
      <c r="I128" s="1"/>
      <c r="K128" s="4"/>
      <c r="AC128" s="7">
        <v>2022</v>
      </c>
      <c r="AD128" s="7">
        <v>1</v>
      </c>
      <c r="AE128" s="7">
        <v>6</v>
      </c>
      <c r="AF128" s="8">
        <v>0.25</v>
      </c>
      <c r="AG128" s="9">
        <v>-27.3</v>
      </c>
      <c r="AH128" s="10">
        <f t="shared" si="16"/>
        <v>-27</v>
      </c>
    </row>
    <row r="129" spans="8:34" ht="14.5" x14ac:dyDescent="0.35">
      <c r="H129" s="1"/>
      <c r="I129" s="1"/>
      <c r="K129" s="4"/>
      <c r="AC129" s="7">
        <v>2022</v>
      </c>
      <c r="AD129" s="7">
        <v>1</v>
      </c>
      <c r="AE129" s="7">
        <v>6</v>
      </c>
      <c r="AF129" s="8">
        <v>0.29166666666666669</v>
      </c>
      <c r="AG129" s="9">
        <v>-27.5</v>
      </c>
      <c r="AH129" s="10">
        <f t="shared" si="16"/>
        <v>-28</v>
      </c>
    </row>
    <row r="130" spans="8:34" ht="14.5" x14ac:dyDescent="0.35">
      <c r="H130" s="1"/>
      <c r="I130" s="1"/>
      <c r="K130" s="4"/>
      <c r="AC130" s="7">
        <v>2022</v>
      </c>
      <c r="AD130" s="7">
        <v>1</v>
      </c>
      <c r="AE130" s="7">
        <v>6</v>
      </c>
      <c r="AF130" s="8">
        <v>0.33333333333333331</v>
      </c>
      <c r="AG130" s="9">
        <v>-27.6</v>
      </c>
      <c r="AH130" s="10">
        <f t="shared" si="16"/>
        <v>-28</v>
      </c>
    </row>
    <row r="131" spans="8:34" ht="14.5" x14ac:dyDescent="0.35">
      <c r="H131" s="1"/>
      <c r="I131" s="1"/>
      <c r="K131" s="4"/>
      <c r="AC131" s="7">
        <v>2022</v>
      </c>
      <c r="AD131" s="7">
        <v>1</v>
      </c>
      <c r="AE131" s="7">
        <v>6</v>
      </c>
      <c r="AF131" s="8">
        <v>0.375</v>
      </c>
      <c r="AG131" s="9">
        <v>-27.3</v>
      </c>
      <c r="AH131" s="10">
        <f t="shared" si="16"/>
        <v>-27</v>
      </c>
    </row>
    <row r="132" spans="8:34" ht="14.5" x14ac:dyDescent="0.35">
      <c r="H132" s="1"/>
      <c r="I132" s="1"/>
      <c r="K132" s="4"/>
      <c r="AC132" s="7">
        <v>2022</v>
      </c>
      <c r="AD132" s="7">
        <v>1</v>
      </c>
      <c r="AE132" s="7">
        <v>6</v>
      </c>
      <c r="AF132" s="8">
        <v>0.41666666666666669</v>
      </c>
      <c r="AG132" s="9">
        <v>-27.4</v>
      </c>
      <c r="AH132" s="10">
        <f t="shared" si="16"/>
        <v>-27</v>
      </c>
    </row>
    <row r="133" spans="8:34" ht="14.5" x14ac:dyDescent="0.35">
      <c r="H133" s="1"/>
      <c r="I133" s="1"/>
      <c r="K133" s="4"/>
      <c r="AC133" s="7">
        <v>2022</v>
      </c>
      <c r="AD133" s="7">
        <v>1</v>
      </c>
      <c r="AE133" s="7">
        <v>6</v>
      </c>
      <c r="AF133" s="8">
        <v>0.45833333333333331</v>
      </c>
      <c r="AG133" s="9">
        <v>-27</v>
      </c>
      <c r="AH133" s="10">
        <f t="shared" si="16"/>
        <v>-27</v>
      </c>
    </row>
    <row r="134" spans="8:34" ht="14.5" x14ac:dyDescent="0.35">
      <c r="H134" s="1"/>
      <c r="I134" s="1"/>
      <c r="K134" s="4"/>
      <c r="AC134" s="7">
        <v>2022</v>
      </c>
      <c r="AD134" s="7">
        <v>1</v>
      </c>
      <c r="AE134" s="7">
        <v>6</v>
      </c>
      <c r="AF134" s="8">
        <v>0.5</v>
      </c>
      <c r="AG134" s="9">
        <v>-26.6</v>
      </c>
      <c r="AH134" s="10">
        <f t="shared" si="16"/>
        <v>-27</v>
      </c>
    </row>
    <row r="135" spans="8:34" ht="14.5" x14ac:dyDescent="0.35">
      <c r="H135" s="1"/>
      <c r="I135" s="1"/>
      <c r="K135" s="4"/>
      <c r="AC135" s="7">
        <v>2022</v>
      </c>
      <c r="AD135" s="7">
        <v>1</v>
      </c>
      <c r="AE135" s="7">
        <v>6</v>
      </c>
      <c r="AF135" s="8">
        <v>0.54166666666666663</v>
      </c>
      <c r="AG135" s="9">
        <v>-26.1</v>
      </c>
      <c r="AH135" s="10">
        <f t="shared" si="16"/>
        <v>-26</v>
      </c>
    </row>
    <row r="136" spans="8:34" ht="14.5" x14ac:dyDescent="0.35">
      <c r="H136" s="1"/>
      <c r="I136" s="1"/>
      <c r="K136" s="4"/>
      <c r="AC136" s="7">
        <v>2022</v>
      </c>
      <c r="AD136" s="7">
        <v>1</v>
      </c>
      <c r="AE136" s="7">
        <v>6</v>
      </c>
      <c r="AF136" s="8">
        <v>0.58333333333333337</v>
      </c>
      <c r="AG136" s="9">
        <v>-25.8</v>
      </c>
      <c r="AH136" s="10">
        <f t="shared" si="16"/>
        <v>-26</v>
      </c>
    </row>
    <row r="137" spans="8:34" ht="14.5" x14ac:dyDescent="0.35">
      <c r="H137" s="1"/>
      <c r="I137" s="1"/>
      <c r="K137" s="4"/>
      <c r="AC137" s="7">
        <v>2022</v>
      </c>
      <c r="AD137" s="7">
        <v>1</v>
      </c>
      <c r="AE137" s="7">
        <v>6</v>
      </c>
      <c r="AF137" s="8">
        <v>0.625</v>
      </c>
      <c r="AG137" s="9">
        <v>-25.3</v>
      </c>
      <c r="AH137" s="10">
        <f t="shared" si="16"/>
        <v>-25</v>
      </c>
    </row>
    <row r="138" spans="8:34" ht="14.5" x14ac:dyDescent="0.35">
      <c r="H138" s="1"/>
      <c r="I138" s="1"/>
      <c r="K138" s="4"/>
      <c r="AC138" s="7">
        <v>2022</v>
      </c>
      <c r="AD138" s="7">
        <v>1</v>
      </c>
      <c r="AE138" s="7">
        <v>6</v>
      </c>
      <c r="AF138" s="8">
        <v>0.66666666666666663</v>
      </c>
      <c r="AG138" s="9">
        <v>-24.9</v>
      </c>
      <c r="AH138" s="10">
        <f t="shared" si="16"/>
        <v>-25</v>
      </c>
    </row>
    <row r="139" spans="8:34" ht="14.5" x14ac:dyDescent="0.35">
      <c r="H139" s="1"/>
      <c r="I139" s="1"/>
      <c r="K139" s="4"/>
      <c r="AC139" s="7">
        <v>2022</v>
      </c>
      <c r="AD139" s="7">
        <v>1</v>
      </c>
      <c r="AE139" s="7">
        <v>6</v>
      </c>
      <c r="AF139" s="8">
        <v>0.70833333333333337</v>
      </c>
      <c r="AG139" s="9">
        <v>-24.4</v>
      </c>
      <c r="AH139" s="10">
        <f t="shared" ref="AH139:AH202" si="17">ROUND(AG139,0)</f>
        <v>-24</v>
      </c>
    </row>
    <row r="140" spans="8:34" ht="14.5" x14ac:dyDescent="0.35">
      <c r="H140" s="1"/>
      <c r="I140" s="1"/>
      <c r="K140" s="4"/>
      <c r="AC140" s="7">
        <v>2022</v>
      </c>
      <c r="AD140" s="7">
        <v>1</v>
      </c>
      <c r="AE140" s="7">
        <v>6</v>
      </c>
      <c r="AF140" s="8">
        <v>0.75</v>
      </c>
      <c r="AG140" s="9">
        <v>-24.4</v>
      </c>
      <c r="AH140" s="10">
        <f t="shared" si="17"/>
        <v>-24</v>
      </c>
    </row>
    <row r="141" spans="8:34" ht="14.5" x14ac:dyDescent="0.35">
      <c r="H141" s="1"/>
      <c r="I141" s="1"/>
      <c r="K141" s="4"/>
      <c r="AC141" s="7">
        <v>2022</v>
      </c>
      <c r="AD141" s="7">
        <v>1</v>
      </c>
      <c r="AE141" s="7">
        <v>6</v>
      </c>
      <c r="AF141" s="8">
        <v>0.79166666666666663</v>
      </c>
      <c r="AG141" s="9">
        <v>-24.4</v>
      </c>
      <c r="AH141" s="10">
        <f t="shared" si="17"/>
        <v>-24</v>
      </c>
    </row>
    <row r="142" spans="8:34" ht="14.5" x14ac:dyDescent="0.35">
      <c r="H142" s="1"/>
      <c r="I142" s="1"/>
      <c r="K142" s="4"/>
      <c r="AC142" s="7">
        <v>2022</v>
      </c>
      <c r="AD142" s="7">
        <v>1</v>
      </c>
      <c r="AE142" s="7">
        <v>6</v>
      </c>
      <c r="AF142" s="8">
        <v>0.83333333333333337</v>
      </c>
      <c r="AG142" s="9">
        <v>-24.5</v>
      </c>
      <c r="AH142" s="10">
        <f t="shared" si="17"/>
        <v>-25</v>
      </c>
    </row>
    <row r="143" spans="8:34" ht="14.5" x14ac:dyDescent="0.35">
      <c r="H143" s="1"/>
      <c r="I143" s="1"/>
      <c r="K143" s="4"/>
      <c r="AC143" s="7">
        <v>2022</v>
      </c>
      <c r="AD143" s="7">
        <v>1</v>
      </c>
      <c r="AE143" s="7">
        <v>6</v>
      </c>
      <c r="AF143" s="8">
        <v>0.875</v>
      </c>
      <c r="AG143" s="9">
        <v>-24</v>
      </c>
      <c r="AH143" s="10">
        <f t="shared" si="17"/>
        <v>-24</v>
      </c>
    </row>
    <row r="144" spans="8:34" ht="14.5" x14ac:dyDescent="0.35">
      <c r="H144" s="1"/>
      <c r="I144" s="1"/>
      <c r="K144" s="4"/>
      <c r="AC144" s="7">
        <v>2022</v>
      </c>
      <c r="AD144" s="7">
        <v>1</v>
      </c>
      <c r="AE144" s="7">
        <v>6</v>
      </c>
      <c r="AF144" s="8">
        <v>0.91666666666666663</v>
      </c>
      <c r="AG144" s="9">
        <v>-23.3</v>
      </c>
      <c r="AH144" s="10">
        <f t="shared" si="17"/>
        <v>-23</v>
      </c>
    </row>
    <row r="145" spans="8:34" ht="14.5" x14ac:dyDescent="0.35">
      <c r="H145" s="1"/>
      <c r="I145" s="1"/>
      <c r="K145" s="4"/>
      <c r="AC145" s="7">
        <v>2022</v>
      </c>
      <c r="AD145" s="7">
        <v>1</v>
      </c>
      <c r="AE145" s="7">
        <v>6</v>
      </c>
      <c r="AF145" s="8">
        <v>0.95833333333333337</v>
      </c>
      <c r="AG145" s="9">
        <v>-23.7</v>
      </c>
      <c r="AH145" s="10">
        <f t="shared" si="17"/>
        <v>-24</v>
      </c>
    </row>
    <row r="146" spans="8:34" ht="14.5" x14ac:dyDescent="0.35">
      <c r="H146" s="1"/>
      <c r="I146" s="1"/>
      <c r="K146" s="4"/>
      <c r="AC146" s="7">
        <v>2022</v>
      </c>
      <c r="AD146" s="7">
        <v>1</v>
      </c>
      <c r="AE146" s="7">
        <v>7</v>
      </c>
      <c r="AF146" s="8">
        <v>0</v>
      </c>
      <c r="AG146" s="9">
        <v>-23.6</v>
      </c>
      <c r="AH146" s="10">
        <f t="shared" si="17"/>
        <v>-24</v>
      </c>
    </row>
    <row r="147" spans="8:34" ht="14.5" x14ac:dyDescent="0.35">
      <c r="H147" s="1"/>
      <c r="I147" s="1"/>
      <c r="K147" s="4"/>
      <c r="AC147" s="7">
        <v>2022</v>
      </c>
      <c r="AD147" s="7">
        <v>1</v>
      </c>
      <c r="AE147" s="7">
        <v>7</v>
      </c>
      <c r="AF147" s="8">
        <v>4.1666666666666664E-2</v>
      </c>
      <c r="AG147" s="9">
        <v>-23.7</v>
      </c>
      <c r="AH147" s="10">
        <f t="shared" si="17"/>
        <v>-24</v>
      </c>
    </row>
    <row r="148" spans="8:34" ht="14.5" x14ac:dyDescent="0.35">
      <c r="H148" s="1"/>
      <c r="I148" s="1"/>
      <c r="K148" s="4"/>
      <c r="AC148" s="7">
        <v>2022</v>
      </c>
      <c r="AD148" s="7">
        <v>1</v>
      </c>
      <c r="AE148" s="7">
        <v>7</v>
      </c>
      <c r="AF148" s="8">
        <v>8.3333333333333329E-2</v>
      </c>
      <c r="AG148" s="9">
        <v>-23.9</v>
      </c>
      <c r="AH148" s="10">
        <f t="shared" si="17"/>
        <v>-24</v>
      </c>
    </row>
    <row r="149" spans="8:34" ht="14.5" x14ac:dyDescent="0.35">
      <c r="H149" s="1"/>
      <c r="I149" s="1"/>
      <c r="K149" s="4"/>
      <c r="AC149" s="7">
        <v>2022</v>
      </c>
      <c r="AD149" s="7">
        <v>1</v>
      </c>
      <c r="AE149" s="7">
        <v>7</v>
      </c>
      <c r="AF149" s="8">
        <v>0.125</v>
      </c>
      <c r="AG149" s="9">
        <v>-24</v>
      </c>
      <c r="AH149" s="10">
        <f t="shared" si="17"/>
        <v>-24</v>
      </c>
    </row>
    <row r="150" spans="8:34" ht="14.5" x14ac:dyDescent="0.35">
      <c r="H150" s="1"/>
      <c r="I150" s="1"/>
      <c r="K150" s="4"/>
      <c r="AC150" s="7">
        <v>2022</v>
      </c>
      <c r="AD150" s="7">
        <v>1</v>
      </c>
      <c r="AE150" s="7">
        <v>7</v>
      </c>
      <c r="AF150" s="8">
        <v>0.16666666666666666</v>
      </c>
      <c r="AG150" s="9">
        <v>-24.1</v>
      </c>
      <c r="AH150" s="10">
        <f t="shared" si="17"/>
        <v>-24</v>
      </c>
    </row>
    <row r="151" spans="8:34" ht="14.5" x14ac:dyDescent="0.35">
      <c r="H151" s="1"/>
      <c r="I151" s="1"/>
      <c r="K151" s="4"/>
      <c r="AC151" s="7">
        <v>2022</v>
      </c>
      <c r="AD151" s="7">
        <v>1</v>
      </c>
      <c r="AE151" s="7">
        <v>7</v>
      </c>
      <c r="AF151" s="8">
        <v>0.20833333333333334</v>
      </c>
      <c r="AG151" s="9">
        <v>-23.5</v>
      </c>
      <c r="AH151" s="10">
        <f t="shared" si="17"/>
        <v>-24</v>
      </c>
    </row>
    <row r="152" spans="8:34" ht="14.5" x14ac:dyDescent="0.35">
      <c r="H152" s="1"/>
      <c r="I152" s="1"/>
      <c r="K152" s="4"/>
      <c r="AC152" s="7">
        <v>2022</v>
      </c>
      <c r="AD152" s="7">
        <v>1</v>
      </c>
      <c r="AE152" s="7">
        <v>7</v>
      </c>
      <c r="AF152" s="8">
        <v>0.25</v>
      </c>
      <c r="AG152" s="9">
        <v>-22.9</v>
      </c>
      <c r="AH152" s="10">
        <f t="shared" si="17"/>
        <v>-23</v>
      </c>
    </row>
    <row r="153" spans="8:34" ht="14.5" x14ac:dyDescent="0.35">
      <c r="H153" s="1"/>
      <c r="I153" s="1"/>
      <c r="K153" s="4"/>
      <c r="AC153" s="7">
        <v>2022</v>
      </c>
      <c r="AD153" s="7">
        <v>1</v>
      </c>
      <c r="AE153" s="7">
        <v>7</v>
      </c>
      <c r="AF153" s="8">
        <v>0.29166666666666669</v>
      </c>
      <c r="AG153" s="9">
        <v>-22.8</v>
      </c>
      <c r="AH153" s="10">
        <f t="shared" si="17"/>
        <v>-23</v>
      </c>
    </row>
    <row r="154" spans="8:34" ht="14.5" x14ac:dyDescent="0.35">
      <c r="H154" s="1"/>
      <c r="I154" s="1"/>
      <c r="K154" s="4"/>
      <c r="AC154" s="7">
        <v>2022</v>
      </c>
      <c r="AD154" s="7">
        <v>1</v>
      </c>
      <c r="AE154" s="7">
        <v>7</v>
      </c>
      <c r="AF154" s="8">
        <v>0.33333333333333331</v>
      </c>
      <c r="AG154" s="9">
        <v>-23.5</v>
      </c>
      <c r="AH154" s="10">
        <f t="shared" si="17"/>
        <v>-24</v>
      </c>
    </row>
    <row r="155" spans="8:34" ht="14.5" x14ac:dyDescent="0.35">
      <c r="H155" s="1"/>
      <c r="I155" s="1"/>
      <c r="K155" s="4"/>
      <c r="AC155" s="7">
        <v>2022</v>
      </c>
      <c r="AD155" s="7">
        <v>1</v>
      </c>
      <c r="AE155" s="7">
        <v>7</v>
      </c>
      <c r="AF155" s="8">
        <v>0.375</v>
      </c>
      <c r="AG155" s="9">
        <v>-24</v>
      </c>
      <c r="AH155" s="10">
        <f t="shared" si="17"/>
        <v>-24</v>
      </c>
    </row>
    <row r="156" spans="8:34" ht="14.5" x14ac:dyDescent="0.35">
      <c r="H156" s="1"/>
      <c r="I156" s="1"/>
      <c r="K156" s="4"/>
      <c r="AC156" s="7">
        <v>2022</v>
      </c>
      <c r="AD156" s="7">
        <v>1</v>
      </c>
      <c r="AE156" s="7">
        <v>7</v>
      </c>
      <c r="AF156" s="8">
        <v>0.41666666666666669</v>
      </c>
      <c r="AG156" s="9">
        <v>-23.9</v>
      </c>
      <c r="AH156" s="10">
        <f t="shared" si="17"/>
        <v>-24</v>
      </c>
    </row>
    <row r="157" spans="8:34" ht="14.5" x14ac:dyDescent="0.35">
      <c r="H157" s="1"/>
      <c r="I157" s="1"/>
      <c r="K157" s="4"/>
      <c r="AC157" s="7">
        <v>2022</v>
      </c>
      <c r="AD157" s="7">
        <v>1</v>
      </c>
      <c r="AE157" s="7">
        <v>7</v>
      </c>
      <c r="AF157" s="8">
        <v>0.45833333333333331</v>
      </c>
      <c r="AG157" s="9">
        <v>-23.6</v>
      </c>
      <c r="AH157" s="10">
        <f t="shared" si="17"/>
        <v>-24</v>
      </c>
    </row>
    <row r="158" spans="8:34" ht="14.5" x14ac:dyDescent="0.35">
      <c r="H158" s="1"/>
      <c r="I158" s="1"/>
      <c r="K158" s="4"/>
      <c r="AC158" s="7">
        <v>2022</v>
      </c>
      <c r="AD158" s="7">
        <v>1</v>
      </c>
      <c r="AE158" s="7">
        <v>7</v>
      </c>
      <c r="AF158" s="8">
        <v>0.5</v>
      </c>
      <c r="AG158" s="9">
        <v>-23.6</v>
      </c>
      <c r="AH158" s="10">
        <f t="shared" si="17"/>
        <v>-24</v>
      </c>
    </row>
    <row r="159" spans="8:34" ht="14.5" x14ac:dyDescent="0.35">
      <c r="H159" s="1"/>
      <c r="I159" s="1"/>
      <c r="K159" s="4"/>
      <c r="AC159" s="7">
        <v>2022</v>
      </c>
      <c r="AD159" s="7">
        <v>1</v>
      </c>
      <c r="AE159" s="7">
        <v>7</v>
      </c>
      <c r="AF159" s="8">
        <v>0.54166666666666663</v>
      </c>
      <c r="AG159" s="9">
        <v>-23.1</v>
      </c>
      <c r="AH159" s="10">
        <f t="shared" si="17"/>
        <v>-23</v>
      </c>
    </row>
    <row r="160" spans="8:34" ht="14.5" x14ac:dyDescent="0.35">
      <c r="H160" s="1"/>
      <c r="I160" s="1"/>
      <c r="K160" s="4"/>
      <c r="AC160" s="7">
        <v>2022</v>
      </c>
      <c r="AD160" s="7">
        <v>1</v>
      </c>
      <c r="AE160" s="7">
        <v>7</v>
      </c>
      <c r="AF160" s="8">
        <v>0.58333333333333337</v>
      </c>
      <c r="AG160" s="9">
        <v>-22.7</v>
      </c>
      <c r="AH160" s="10">
        <f t="shared" si="17"/>
        <v>-23</v>
      </c>
    </row>
    <row r="161" spans="8:34" ht="14.5" x14ac:dyDescent="0.35">
      <c r="H161" s="1"/>
      <c r="I161" s="1"/>
      <c r="K161" s="4"/>
      <c r="AC161" s="7">
        <v>2022</v>
      </c>
      <c r="AD161" s="7">
        <v>1</v>
      </c>
      <c r="AE161" s="7">
        <v>7</v>
      </c>
      <c r="AF161" s="8">
        <v>0.625</v>
      </c>
      <c r="AG161" s="9">
        <v>-22.6</v>
      </c>
      <c r="AH161" s="10">
        <f t="shared" si="17"/>
        <v>-23</v>
      </c>
    </row>
    <row r="162" spans="8:34" ht="14.5" x14ac:dyDescent="0.35">
      <c r="H162" s="1"/>
      <c r="I162" s="1"/>
      <c r="K162" s="4"/>
      <c r="AC162" s="7">
        <v>2022</v>
      </c>
      <c r="AD162" s="7">
        <v>1</v>
      </c>
      <c r="AE162" s="7">
        <v>7</v>
      </c>
      <c r="AF162" s="8">
        <v>0.66666666666666663</v>
      </c>
      <c r="AG162" s="9">
        <v>-22.9</v>
      </c>
      <c r="AH162" s="10">
        <f t="shared" si="17"/>
        <v>-23</v>
      </c>
    </row>
    <row r="163" spans="8:34" ht="14.5" x14ac:dyDescent="0.35">
      <c r="H163" s="1"/>
      <c r="I163" s="1"/>
      <c r="K163" s="4"/>
      <c r="AC163" s="7">
        <v>2022</v>
      </c>
      <c r="AD163" s="7">
        <v>1</v>
      </c>
      <c r="AE163" s="7">
        <v>7</v>
      </c>
      <c r="AF163" s="8">
        <v>0.70833333333333337</v>
      </c>
      <c r="AG163" s="9">
        <v>-22.9</v>
      </c>
      <c r="AH163" s="10">
        <f t="shared" si="17"/>
        <v>-23</v>
      </c>
    </row>
    <row r="164" spans="8:34" ht="14.5" x14ac:dyDescent="0.35">
      <c r="H164" s="1"/>
      <c r="I164" s="1"/>
      <c r="K164" s="4"/>
      <c r="AC164" s="7">
        <v>2022</v>
      </c>
      <c r="AD164" s="7">
        <v>1</v>
      </c>
      <c r="AE164" s="7">
        <v>7</v>
      </c>
      <c r="AF164" s="8">
        <v>0.75</v>
      </c>
      <c r="AG164" s="9">
        <v>-22.9</v>
      </c>
      <c r="AH164" s="10">
        <f t="shared" si="17"/>
        <v>-23</v>
      </c>
    </row>
    <row r="165" spans="8:34" ht="14.5" x14ac:dyDescent="0.35">
      <c r="H165" s="1"/>
      <c r="I165" s="1"/>
      <c r="K165" s="4"/>
      <c r="AC165" s="7">
        <v>2022</v>
      </c>
      <c r="AD165" s="7">
        <v>1</v>
      </c>
      <c r="AE165" s="7">
        <v>7</v>
      </c>
      <c r="AF165" s="8">
        <v>0.79166666666666663</v>
      </c>
      <c r="AG165" s="9">
        <v>-23</v>
      </c>
      <c r="AH165" s="10">
        <f t="shared" si="17"/>
        <v>-23</v>
      </c>
    </row>
    <row r="166" spans="8:34" ht="14.5" x14ac:dyDescent="0.35">
      <c r="H166" s="1"/>
      <c r="I166" s="1"/>
      <c r="K166" s="4"/>
      <c r="AC166" s="7">
        <v>2022</v>
      </c>
      <c r="AD166" s="7">
        <v>1</v>
      </c>
      <c r="AE166" s="7">
        <v>7</v>
      </c>
      <c r="AF166" s="8">
        <v>0.83333333333333337</v>
      </c>
      <c r="AG166" s="9">
        <v>-23</v>
      </c>
      <c r="AH166" s="10">
        <f t="shared" si="17"/>
        <v>-23</v>
      </c>
    </row>
    <row r="167" spans="8:34" ht="14.5" x14ac:dyDescent="0.35">
      <c r="H167" s="1"/>
      <c r="I167" s="1"/>
      <c r="K167" s="4"/>
      <c r="AC167" s="7">
        <v>2022</v>
      </c>
      <c r="AD167" s="7">
        <v>1</v>
      </c>
      <c r="AE167" s="7">
        <v>7</v>
      </c>
      <c r="AF167" s="8">
        <v>0.875</v>
      </c>
      <c r="AG167" s="9">
        <v>-23.3</v>
      </c>
      <c r="AH167" s="10">
        <f t="shared" si="17"/>
        <v>-23</v>
      </c>
    </row>
    <row r="168" spans="8:34" ht="14.5" x14ac:dyDescent="0.35">
      <c r="H168" s="1"/>
      <c r="I168" s="1"/>
      <c r="K168" s="4"/>
      <c r="AC168" s="7">
        <v>2022</v>
      </c>
      <c r="AD168" s="7">
        <v>1</v>
      </c>
      <c r="AE168" s="7">
        <v>7</v>
      </c>
      <c r="AF168" s="8">
        <v>0.91666666666666663</v>
      </c>
      <c r="AG168" s="9">
        <v>-23.6</v>
      </c>
      <c r="AH168" s="10">
        <f t="shared" si="17"/>
        <v>-24</v>
      </c>
    </row>
    <row r="169" spans="8:34" ht="14.5" x14ac:dyDescent="0.35">
      <c r="H169" s="1"/>
      <c r="I169" s="1"/>
      <c r="K169" s="4"/>
      <c r="AC169" s="7">
        <v>2022</v>
      </c>
      <c r="AD169" s="7">
        <v>1</v>
      </c>
      <c r="AE169" s="7">
        <v>7</v>
      </c>
      <c r="AF169" s="8">
        <v>0.95833333333333337</v>
      </c>
      <c r="AG169" s="9">
        <v>-23.3</v>
      </c>
      <c r="AH169" s="10">
        <f t="shared" si="17"/>
        <v>-23</v>
      </c>
    </row>
    <row r="170" spans="8:34" ht="14.5" x14ac:dyDescent="0.35">
      <c r="H170" s="1"/>
      <c r="I170" s="1"/>
      <c r="K170" s="4"/>
      <c r="AC170" s="7">
        <v>2022</v>
      </c>
      <c r="AD170" s="7">
        <v>1</v>
      </c>
      <c r="AE170" s="7">
        <v>8</v>
      </c>
      <c r="AF170" s="8">
        <v>0</v>
      </c>
      <c r="AG170" s="9">
        <v>-23.4</v>
      </c>
      <c r="AH170" s="10">
        <f t="shared" si="17"/>
        <v>-23</v>
      </c>
    </row>
    <row r="171" spans="8:34" ht="14.5" x14ac:dyDescent="0.35">
      <c r="H171" s="1"/>
      <c r="I171" s="1"/>
      <c r="K171" s="4"/>
      <c r="AC171" s="7">
        <v>2022</v>
      </c>
      <c r="AD171" s="7">
        <v>1</v>
      </c>
      <c r="AE171" s="7">
        <v>8</v>
      </c>
      <c r="AF171" s="8">
        <v>4.1666666666666664E-2</v>
      </c>
      <c r="AG171" s="9">
        <v>-23.9</v>
      </c>
      <c r="AH171" s="10">
        <f t="shared" si="17"/>
        <v>-24</v>
      </c>
    </row>
    <row r="172" spans="8:34" ht="14.5" x14ac:dyDescent="0.35">
      <c r="H172" s="1"/>
      <c r="I172" s="1"/>
      <c r="K172" s="4"/>
      <c r="AC172" s="7">
        <v>2022</v>
      </c>
      <c r="AD172" s="7">
        <v>1</v>
      </c>
      <c r="AE172" s="7">
        <v>8</v>
      </c>
      <c r="AF172" s="8">
        <v>8.3333333333333329E-2</v>
      </c>
      <c r="AG172" s="9">
        <v>-24</v>
      </c>
      <c r="AH172" s="10">
        <f t="shared" si="17"/>
        <v>-24</v>
      </c>
    </row>
    <row r="173" spans="8:34" ht="14.5" x14ac:dyDescent="0.35">
      <c r="H173" s="1"/>
      <c r="I173" s="1"/>
      <c r="K173" s="4"/>
      <c r="AC173" s="7">
        <v>2022</v>
      </c>
      <c r="AD173" s="7">
        <v>1</v>
      </c>
      <c r="AE173" s="7">
        <v>8</v>
      </c>
      <c r="AF173" s="8">
        <v>0.125</v>
      </c>
      <c r="AG173" s="9">
        <v>-23.7</v>
      </c>
      <c r="AH173" s="10">
        <f t="shared" si="17"/>
        <v>-24</v>
      </c>
    </row>
    <row r="174" spans="8:34" ht="14.5" x14ac:dyDescent="0.35">
      <c r="H174" s="1"/>
      <c r="I174" s="1"/>
      <c r="K174" s="4"/>
      <c r="AC174" s="7">
        <v>2022</v>
      </c>
      <c r="AD174" s="7">
        <v>1</v>
      </c>
      <c r="AE174" s="7">
        <v>8</v>
      </c>
      <c r="AF174" s="8">
        <v>0.16666666666666666</v>
      </c>
      <c r="AG174" s="9">
        <v>-23.3</v>
      </c>
      <c r="AH174" s="10">
        <f t="shared" si="17"/>
        <v>-23</v>
      </c>
    </row>
    <row r="175" spans="8:34" ht="14.5" x14ac:dyDescent="0.35">
      <c r="H175" s="1"/>
      <c r="I175" s="1"/>
      <c r="K175" s="4"/>
      <c r="AC175" s="7">
        <v>2022</v>
      </c>
      <c r="AD175" s="7">
        <v>1</v>
      </c>
      <c r="AE175" s="7">
        <v>8</v>
      </c>
      <c r="AF175" s="8">
        <v>0.20833333333333334</v>
      </c>
      <c r="AG175" s="9">
        <v>-23.4</v>
      </c>
      <c r="AH175" s="10">
        <f t="shared" si="17"/>
        <v>-23</v>
      </c>
    </row>
    <row r="176" spans="8:34" ht="14.5" x14ac:dyDescent="0.35">
      <c r="H176" s="1"/>
      <c r="I176" s="1"/>
      <c r="K176" s="4"/>
      <c r="AC176" s="7">
        <v>2022</v>
      </c>
      <c r="AD176" s="7">
        <v>1</v>
      </c>
      <c r="AE176" s="7">
        <v>8</v>
      </c>
      <c r="AF176" s="8">
        <v>0.25</v>
      </c>
      <c r="AG176" s="9">
        <v>-23.8</v>
      </c>
      <c r="AH176" s="10">
        <f t="shared" si="17"/>
        <v>-24</v>
      </c>
    </row>
    <row r="177" spans="8:34" ht="14.5" x14ac:dyDescent="0.35">
      <c r="H177" s="1"/>
      <c r="I177" s="1"/>
      <c r="K177" s="4"/>
      <c r="AC177" s="7">
        <v>2022</v>
      </c>
      <c r="AD177" s="7">
        <v>1</v>
      </c>
      <c r="AE177" s="7">
        <v>8</v>
      </c>
      <c r="AF177" s="8">
        <v>0.29166666666666669</v>
      </c>
      <c r="AG177" s="9">
        <v>-24</v>
      </c>
      <c r="AH177" s="10">
        <f t="shared" si="17"/>
        <v>-24</v>
      </c>
    </row>
    <row r="178" spans="8:34" ht="14.5" x14ac:dyDescent="0.35">
      <c r="H178" s="1"/>
      <c r="I178" s="1"/>
      <c r="K178" s="4"/>
      <c r="AC178" s="7">
        <v>2022</v>
      </c>
      <c r="AD178" s="7">
        <v>1</v>
      </c>
      <c r="AE178" s="7">
        <v>8</v>
      </c>
      <c r="AF178" s="8">
        <v>0.33333333333333331</v>
      </c>
      <c r="AG178" s="9">
        <v>-24.1</v>
      </c>
      <c r="AH178" s="10">
        <f t="shared" si="17"/>
        <v>-24</v>
      </c>
    </row>
    <row r="179" spans="8:34" ht="14.5" x14ac:dyDescent="0.35">
      <c r="H179" s="1"/>
      <c r="I179" s="1"/>
      <c r="K179" s="4"/>
      <c r="AC179" s="7">
        <v>2022</v>
      </c>
      <c r="AD179" s="7">
        <v>1</v>
      </c>
      <c r="AE179" s="7">
        <v>8</v>
      </c>
      <c r="AF179" s="8">
        <v>0.375</v>
      </c>
      <c r="AG179" s="9">
        <v>-23.5</v>
      </c>
      <c r="AH179" s="10">
        <f t="shared" si="17"/>
        <v>-24</v>
      </c>
    </row>
    <row r="180" spans="8:34" ht="14.5" x14ac:dyDescent="0.35">
      <c r="H180" s="1"/>
      <c r="I180" s="1"/>
      <c r="K180" s="4"/>
      <c r="AC180" s="7">
        <v>2022</v>
      </c>
      <c r="AD180" s="7">
        <v>1</v>
      </c>
      <c r="AE180" s="7">
        <v>8</v>
      </c>
      <c r="AF180" s="8">
        <v>0.41666666666666669</v>
      </c>
      <c r="AG180" s="9">
        <v>-21.8</v>
      </c>
      <c r="AH180" s="10">
        <f t="shared" si="17"/>
        <v>-22</v>
      </c>
    </row>
    <row r="181" spans="8:34" ht="14.5" x14ac:dyDescent="0.35">
      <c r="K181" s="4"/>
      <c r="AC181" s="7">
        <v>2022</v>
      </c>
      <c r="AD181" s="7">
        <v>1</v>
      </c>
      <c r="AE181" s="7">
        <v>8</v>
      </c>
      <c r="AF181" s="8">
        <v>0.45833333333333331</v>
      </c>
      <c r="AG181" s="9">
        <v>-21</v>
      </c>
      <c r="AH181" s="10">
        <f t="shared" si="17"/>
        <v>-21</v>
      </c>
    </row>
    <row r="182" spans="8:34" ht="14.5" x14ac:dyDescent="0.35">
      <c r="K182" s="4"/>
      <c r="AC182" s="7">
        <v>2022</v>
      </c>
      <c r="AD182" s="7">
        <v>1</v>
      </c>
      <c r="AE182" s="7">
        <v>8</v>
      </c>
      <c r="AF182" s="8">
        <v>0.5</v>
      </c>
      <c r="AG182" s="9">
        <v>-19</v>
      </c>
      <c r="AH182" s="10">
        <f t="shared" si="17"/>
        <v>-19</v>
      </c>
    </row>
    <row r="183" spans="8:34" ht="14.5" x14ac:dyDescent="0.35">
      <c r="K183" s="4"/>
      <c r="AC183" s="7">
        <v>2022</v>
      </c>
      <c r="AD183" s="7">
        <v>1</v>
      </c>
      <c r="AE183" s="7">
        <v>8</v>
      </c>
      <c r="AF183" s="8">
        <v>0.54166666666666663</v>
      </c>
      <c r="AG183" s="9">
        <v>-17.3</v>
      </c>
      <c r="AH183" s="10">
        <f t="shared" si="17"/>
        <v>-17</v>
      </c>
    </row>
    <row r="184" spans="8:34" ht="14.5" x14ac:dyDescent="0.35">
      <c r="K184" s="4"/>
      <c r="AC184" s="7">
        <v>2022</v>
      </c>
      <c r="AD184" s="7">
        <v>1</v>
      </c>
      <c r="AE184" s="7">
        <v>8</v>
      </c>
      <c r="AF184" s="8">
        <v>0.58333333333333337</v>
      </c>
      <c r="AG184" s="9">
        <v>-17.100000000000001</v>
      </c>
      <c r="AH184" s="10">
        <f t="shared" si="17"/>
        <v>-17</v>
      </c>
    </row>
    <row r="185" spans="8:34" ht="14.5" x14ac:dyDescent="0.35">
      <c r="K185" s="4"/>
      <c r="AC185" s="7">
        <v>2022</v>
      </c>
      <c r="AD185" s="7">
        <v>1</v>
      </c>
      <c r="AE185" s="7">
        <v>8</v>
      </c>
      <c r="AF185" s="8">
        <v>0.625</v>
      </c>
      <c r="AG185" s="9">
        <v>-18.2</v>
      </c>
      <c r="AH185" s="10">
        <f t="shared" si="17"/>
        <v>-18</v>
      </c>
    </row>
    <row r="186" spans="8:34" ht="14.5" x14ac:dyDescent="0.35">
      <c r="K186" s="4"/>
      <c r="AC186" s="7">
        <v>2022</v>
      </c>
      <c r="AD186" s="7">
        <v>1</v>
      </c>
      <c r="AE186" s="7">
        <v>8</v>
      </c>
      <c r="AF186" s="8">
        <v>0.66666666666666663</v>
      </c>
      <c r="AG186" s="9">
        <v>-18.2</v>
      </c>
      <c r="AH186" s="10">
        <f t="shared" si="17"/>
        <v>-18</v>
      </c>
    </row>
    <row r="187" spans="8:34" ht="14.5" x14ac:dyDescent="0.35">
      <c r="K187" s="4"/>
      <c r="AC187" s="7">
        <v>2022</v>
      </c>
      <c r="AD187" s="7">
        <v>1</v>
      </c>
      <c r="AE187" s="7">
        <v>8</v>
      </c>
      <c r="AF187" s="8">
        <v>0.70833333333333337</v>
      </c>
      <c r="AG187" s="9">
        <v>-18.600000000000001</v>
      </c>
      <c r="AH187" s="10">
        <f t="shared" si="17"/>
        <v>-19</v>
      </c>
    </row>
    <row r="188" spans="8:34" ht="14.5" x14ac:dyDescent="0.35">
      <c r="K188" s="4"/>
      <c r="AC188" s="7">
        <v>2022</v>
      </c>
      <c r="AD188" s="7">
        <v>1</v>
      </c>
      <c r="AE188" s="7">
        <v>8</v>
      </c>
      <c r="AF188" s="8">
        <v>0.75</v>
      </c>
      <c r="AG188" s="9">
        <v>-18.899999999999999</v>
      </c>
      <c r="AH188" s="10">
        <f t="shared" si="17"/>
        <v>-19</v>
      </c>
    </row>
    <row r="189" spans="8:34" ht="14.5" x14ac:dyDescent="0.35">
      <c r="K189" s="4"/>
      <c r="AC189" s="7">
        <v>2022</v>
      </c>
      <c r="AD189" s="7">
        <v>1</v>
      </c>
      <c r="AE189" s="7">
        <v>8</v>
      </c>
      <c r="AF189" s="8">
        <v>0.79166666666666663</v>
      </c>
      <c r="AG189" s="9">
        <v>-17.8</v>
      </c>
      <c r="AH189" s="10">
        <f t="shared" si="17"/>
        <v>-18</v>
      </c>
    </row>
    <row r="190" spans="8:34" ht="14.5" x14ac:dyDescent="0.35">
      <c r="K190" s="4"/>
      <c r="AC190" s="7">
        <v>2022</v>
      </c>
      <c r="AD190" s="7">
        <v>1</v>
      </c>
      <c r="AE190" s="7">
        <v>8</v>
      </c>
      <c r="AF190" s="8">
        <v>0.83333333333333337</v>
      </c>
      <c r="AG190" s="9">
        <v>-15.9</v>
      </c>
      <c r="AH190" s="10">
        <f t="shared" si="17"/>
        <v>-16</v>
      </c>
    </row>
    <row r="191" spans="8:34" ht="14.5" x14ac:dyDescent="0.35">
      <c r="K191" s="4"/>
      <c r="AC191" s="7">
        <v>2022</v>
      </c>
      <c r="AD191" s="7">
        <v>1</v>
      </c>
      <c r="AE191" s="7">
        <v>8</v>
      </c>
      <c r="AF191" s="8">
        <v>0.875</v>
      </c>
      <c r="AG191" s="9">
        <v>-17.8</v>
      </c>
      <c r="AH191" s="10">
        <f t="shared" si="17"/>
        <v>-18</v>
      </c>
    </row>
    <row r="192" spans="8:34" ht="14.5" x14ac:dyDescent="0.35">
      <c r="K192" s="4"/>
      <c r="AC192" s="7">
        <v>2022</v>
      </c>
      <c r="AD192" s="7">
        <v>1</v>
      </c>
      <c r="AE192" s="7">
        <v>8</v>
      </c>
      <c r="AF192" s="8">
        <v>0.91666666666666663</v>
      </c>
      <c r="AG192" s="9">
        <v>-15.9</v>
      </c>
      <c r="AH192" s="10">
        <f t="shared" si="17"/>
        <v>-16</v>
      </c>
    </row>
    <row r="193" spans="11:34" ht="14.5" x14ac:dyDescent="0.35">
      <c r="K193" s="4"/>
      <c r="AC193" s="7">
        <v>2022</v>
      </c>
      <c r="AD193" s="7">
        <v>1</v>
      </c>
      <c r="AE193" s="7">
        <v>8</v>
      </c>
      <c r="AF193" s="8">
        <v>0.95833333333333337</v>
      </c>
      <c r="AG193" s="9">
        <v>-15.9</v>
      </c>
      <c r="AH193" s="10">
        <f t="shared" si="17"/>
        <v>-16</v>
      </c>
    </row>
    <row r="194" spans="11:34" ht="14.5" x14ac:dyDescent="0.35">
      <c r="K194" s="4"/>
      <c r="AC194" s="7">
        <v>2022</v>
      </c>
      <c r="AD194" s="7">
        <v>1</v>
      </c>
      <c r="AE194" s="7">
        <v>9</v>
      </c>
      <c r="AF194" s="8">
        <v>0</v>
      </c>
      <c r="AG194" s="9">
        <v>-14.9</v>
      </c>
      <c r="AH194" s="10">
        <f t="shared" si="17"/>
        <v>-15</v>
      </c>
    </row>
    <row r="195" spans="11:34" ht="14.5" x14ac:dyDescent="0.35">
      <c r="K195" s="4"/>
      <c r="AC195" s="7">
        <v>2022</v>
      </c>
      <c r="AD195" s="7">
        <v>1</v>
      </c>
      <c r="AE195" s="7">
        <v>9</v>
      </c>
      <c r="AF195" s="8">
        <v>4.1666666666666664E-2</v>
      </c>
      <c r="AG195" s="9">
        <v>-16.8</v>
      </c>
      <c r="AH195" s="10">
        <f t="shared" si="17"/>
        <v>-17</v>
      </c>
    </row>
    <row r="196" spans="11:34" ht="14.5" x14ac:dyDescent="0.35">
      <c r="K196" s="4"/>
      <c r="AC196" s="7">
        <v>2022</v>
      </c>
      <c r="AD196" s="7">
        <v>1</v>
      </c>
      <c r="AE196" s="7">
        <v>9</v>
      </c>
      <c r="AF196" s="8">
        <v>8.3333333333333329E-2</v>
      </c>
      <c r="AG196" s="9">
        <v>-18</v>
      </c>
      <c r="AH196" s="10">
        <f t="shared" si="17"/>
        <v>-18</v>
      </c>
    </row>
    <row r="197" spans="11:34" ht="14.5" x14ac:dyDescent="0.35">
      <c r="K197" s="4"/>
      <c r="AC197" s="7">
        <v>2022</v>
      </c>
      <c r="AD197" s="7">
        <v>1</v>
      </c>
      <c r="AE197" s="7">
        <v>9</v>
      </c>
      <c r="AF197" s="8">
        <v>0.125</v>
      </c>
      <c r="AG197" s="9">
        <v>-17</v>
      </c>
      <c r="AH197" s="10">
        <f t="shared" si="17"/>
        <v>-17</v>
      </c>
    </row>
    <row r="198" spans="11:34" ht="14.5" x14ac:dyDescent="0.35">
      <c r="K198" s="4"/>
      <c r="AC198" s="7">
        <v>2022</v>
      </c>
      <c r="AD198" s="7">
        <v>1</v>
      </c>
      <c r="AE198" s="7">
        <v>9</v>
      </c>
      <c r="AF198" s="8">
        <v>0.16666666666666666</v>
      </c>
      <c r="AG198" s="9">
        <v>-22.8</v>
      </c>
      <c r="AH198" s="10">
        <f t="shared" si="17"/>
        <v>-23</v>
      </c>
    </row>
    <row r="199" spans="11:34" ht="14.5" x14ac:dyDescent="0.35">
      <c r="K199" s="4"/>
      <c r="AC199" s="7">
        <v>2022</v>
      </c>
      <c r="AD199" s="7">
        <v>1</v>
      </c>
      <c r="AE199" s="7">
        <v>9</v>
      </c>
      <c r="AF199" s="8">
        <v>0.20833333333333334</v>
      </c>
      <c r="AG199" s="9">
        <v>-23.9</v>
      </c>
      <c r="AH199" s="10">
        <f t="shared" si="17"/>
        <v>-24</v>
      </c>
    </row>
    <row r="200" spans="11:34" ht="14.5" x14ac:dyDescent="0.35">
      <c r="K200" s="4"/>
      <c r="AC200" s="7">
        <v>2022</v>
      </c>
      <c r="AD200" s="7">
        <v>1</v>
      </c>
      <c r="AE200" s="7">
        <v>9</v>
      </c>
      <c r="AF200" s="8">
        <v>0.25</v>
      </c>
      <c r="AG200" s="9">
        <v>-24.1</v>
      </c>
      <c r="AH200" s="10">
        <f t="shared" si="17"/>
        <v>-24</v>
      </c>
    </row>
    <row r="201" spans="11:34" ht="14.5" x14ac:dyDescent="0.35">
      <c r="K201" s="4"/>
      <c r="AC201" s="7">
        <v>2022</v>
      </c>
      <c r="AD201" s="7">
        <v>1</v>
      </c>
      <c r="AE201" s="7">
        <v>9</v>
      </c>
      <c r="AF201" s="8">
        <v>0.29166666666666669</v>
      </c>
      <c r="AG201" s="9">
        <v>-23.8</v>
      </c>
      <c r="AH201" s="10">
        <f t="shared" si="17"/>
        <v>-24</v>
      </c>
    </row>
    <row r="202" spans="11:34" ht="14.5" x14ac:dyDescent="0.35">
      <c r="K202" s="4"/>
      <c r="AC202" s="7">
        <v>2022</v>
      </c>
      <c r="AD202" s="7">
        <v>1</v>
      </c>
      <c r="AE202" s="7">
        <v>9</v>
      </c>
      <c r="AF202" s="8">
        <v>0.33333333333333331</v>
      </c>
      <c r="AG202" s="9">
        <v>-24.1</v>
      </c>
      <c r="AH202" s="10">
        <f t="shared" si="17"/>
        <v>-24</v>
      </c>
    </row>
    <row r="203" spans="11:34" ht="14.5" x14ac:dyDescent="0.35">
      <c r="K203" s="4"/>
      <c r="AC203" s="7">
        <v>2022</v>
      </c>
      <c r="AD203" s="7">
        <v>1</v>
      </c>
      <c r="AE203" s="7">
        <v>9</v>
      </c>
      <c r="AF203" s="8">
        <v>0.375</v>
      </c>
      <c r="AG203" s="9">
        <v>-23.2</v>
      </c>
      <c r="AH203" s="10">
        <f t="shared" ref="AH203:AH266" si="18">ROUND(AG203,0)</f>
        <v>-23</v>
      </c>
    </row>
    <row r="204" spans="11:34" ht="14.5" x14ac:dyDescent="0.35">
      <c r="K204" s="4"/>
      <c r="AC204" s="7">
        <v>2022</v>
      </c>
      <c r="AD204" s="7">
        <v>1</v>
      </c>
      <c r="AE204" s="7">
        <v>9</v>
      </c>
      <c r="AF204" s="8">
        <v>0.41666666666666669</v>
      </c>
      <c r="AG204" s="9">
        <v>-21.5</v>
      </c>
      <c r="AH204" s="10">
        <f t="shared" si="18"/>
        <v>-22</v>
      </c>
    </row>
    <row r="205" spans="11:34" ht="14.5" x14ac:dyDescent="0.35">
      <c r="K205" s="4"/>
      <c r="AC205" s="7">
        <v>2022</v>
      </c>
      <c r="AD205" s="7">
        <v>1</v>
      </c>
      <c r="AE205" s="7">
        <v>9</v>
      </c>
      <c r="AF205" s="8">
        <v>0.45833333333333331</v>
      </c>
      <c r="AG205" s="9">
        <v>-19.600000000000001</v>
      </c>
      <c r="AH205" s="10">
        <f t="shared" si="18"/>
        <v>-20</v>
      </c>
    </row>
    <row r="206" spans="11:34" ht="14.5" x14ac:dyDescent="0.35">
      <c r="K206" s="4"/>
      <c r="AC206" s="7">
        <v>2022</v>
      </c>
      <c r="AD206" s="7">
        <v>1</v>
      </c>
      <c r="AE206" s="7">
        <v>9</v>
      </c>
      <c r="AF206" s="8">
        <v>0.5</v>
      </c>
      <c r="AG206" s="9">
        <v>-17.3</v>
      </c>
      <c r="AH206" s="10">
        <f t="shared" si="18"/>
        <v>-17</v>
      </c>
    </row>
    <row r="207" spans="11:34" ht="14.5" x14ac:dyDescent="0.35">
      <c r="K207" s="4"/>
      <c r="AC207" s="7">
        <v>2022</v>
      </c>
      <c r="AD207" s="7">
        <v>1</v>
      </c>
      <c r="AE207" s="7">
        <v>9</v>
      </c>
      <c r="AF207" s="8">
        <v>0.54166666666666663</v>
      </c>
      <c r="AG207" s="9">
        <v>-15.3</v>
      </c>
      <c r="AH207" s="10">
        <f t="shared" si="18"/>
        <v>-15</v>
      </c>
    </row>
    <row r="208" spans="11:34" ht="14.5" x14ac:dyDescent="0.35">
      <c r="K208" s="4"/>
      <c r="AC208" s="7">
        <v>2022</v>
      </c>
      <c r="AD208" s="7">
        <v>1</v>
      </c>
      <c r="AE208" s="7">
        <v>9</v>
      </c>
      <c r="AF208" s="8">
        <v>0.58333333333333337</v>
      </c>
      <c r="AG208" s="9">
        <v>-15.2</v>
      </c>
      <c r="AH208" s="10">
        <f t="shared" si="18"/>
        <v>-15</v>
      </c>
    </row>
    <row r="209" spans="11:34" ht="14.5" x14ac:dyDescent="0.35">
      <c r="K209" s="4"/>
      <c r="AC209" s="7">
        <v>2022</v>
      </c>
      <c r="AD209" s="7">
        <v>1</v>
      </c>
      <c r="AE209" s="7">
        <v>9</v>
      </c>
      <c r="AF209" s="8">
        <v>0.625</v>
      </c>
      <c r="AG209" s="9">
        <v>-14.3</v>
      </c>
      <c r="AH209" s="10">
        <f t="shared" si="18"/>
        <v>-14</v>
      </c>
    </row>
    <row r="210" spans="11:34" ht="14.5" x14ac:dyDescent="0.35">
      <c r="K210" s="4"/>
      <c r="AC210" s="7">
        <v>2022</v>
      </c>
      <c r="AD210" s="7">
        <v>1</v>
      </c>
      <c r="AE210" s="7">
        <v>9</v>
      </c>
      <c r="AF210" s="8">
        <v>0.66666666666666663</v>
      </c>
      <c r="AG210" s="9">
        <v>-13.9</v>
      </c>
      <c r="AH210" s="10">
        <f t="shared" si="18"/>
        <v>-14</v>
      </c>
    </row>
    <row r="211" spans="11:34" ht="14.5" x14ac:dyDescent="0.35">
      <c r="K211" s="4"/>
      <c r="AC211" s="7">
        <v>2022</v>
      </c>
      <c r="AD211" s="7">
        <v>1</v>
      </c>
      <c r="AE211" s="7">
        <v>9</v>
      </c>
      <c r="AF211" s="8">
        <v>0.70833333333333337</v>
      </c>
      <c r="AG211" s="9">
        <v>-14.5</v>
      </c>
      <c r="AH211" s="10">
        <f t="shared" si="18"/>
        <v>-15</v>
      </c>
    </row>
    <row r="212" spans="11:34" ht="14.5" x14ac:dyDescent="0.35">
      <c r="K212" s="4"/>
      <c r="AC212" s="7">
        <v>2022</v>
      </c>
      <c r="AD212" s="7">
        <v>1</v>
      </c>
      <c r="AE212" s="7">
        <v>9</v>
      </c>
      <c r="AF212" s="8">
        <v>0.75</v>
      </c>
      <c r="AG212" s="9">
        <v>-14.7</v>
      </c>
      <c r="AH212" s="10">
        <f t="shared" si="18"/>
        <v>-15</v>
      </c>
    </row>
    <row r="213" spans="11:34" ht="14.5" x14ac:dyDescent="0.35">
      <c r="K213" s="4"/>
      <c r="AC213" s="7">
        <v>2022</v>
      </c>
      <c r="AD213" s="7">
        <v>1</v>
      </c>
      <c r="AE213" s="7">
        <v>9</v>
      </c>
      <c r="AF213" s="8">
        <v>0.79166666666666663</v>
      </c>
      <c r="AG213" s="9">
        <v>-16.2</v>
      </c>
      <c r="AH213" s="10">
        <f t="shared" si="18"/>
        <v>-16</v>
      </c>
    </row>
    <row r="214" spans="11:34" ht="14.5" x14ac:dyDescent="0.35">
      <c r="K214" s="4"/>
      <c r="AC214" s="7">
        <v>2022</v>
      </c>
      <c r="AD214" s="7">
        <v>1</v>
      </c>
      <c r="AE214" s="7">
        <v>9</v>
      </c>
      <c r="AF214" s="8">
        <v>0.83333333333333337</v>
      </c>
      <c r="AG214" s="9">
        <v>-11.9</v>
      </c>
      <c r="AH214" s="10">
        <f t="shared" si="18"/>
        <v>-12</v>
      </c>
    </row>
    <row r="215" spans="11:34" ht="14.5" x14ac:dyDescent="0.35">
      <c r="K215" s="4"/>
      <c r="AC215" s="7">
        <v>2022</v>
      </c>
      <c r="AD215" s="7">
        <v>1</v>
      </c>
      <c r="AE215" s="7">
        <v>9</v>
      </c>
      <c r="AF215" s="8">
        <v>0.875</v>
      </c>
      <c r="AG215" s="9">
        <v>-1.7</v>
      </c>
      <c r="AH215" s="10">
        <f t="shared" si="18"/>
        <v>-2</v>
      </c>
    </row>
    <row r="216" spans="11:34" ht="14.5" x14ac:dyDescent="0.35">
      <c r="K216" s="4"/>
      <c r="AC216" s="7">
        <v>2022</v>
      </c>
      <c r="AD216" s="7">
        <v>1</v>
      </c>
      <c r="AE216" s="7">
        <v>9</v>
      </c>
      <c r="AF216" s="8">
        <v>0.91666666666666663</v>
      </c>
      <c r="AG216" s="9">
        <v>-0.3</v>
      </c>
      <c r="AH216" s="10">
        <f t="shared" si="18"/>
        <v>0</v>
      </c>
    </row>
    <row r="217" spans="11:34" ht="14.5" x14ac:dyDescent="0.35">
      <c r="K217" s="4"/>
      <c r="AC217" s="7">
        <v>2022</v>
      </c>
      <c r="AD217" s="7">
        <v>1</v>
      </c>
      <c r="AE217" s="7">
        <v>9</v>
      </c>
      <c r="AF217" s="8">
        <v>0.95833333333333337</v>
      </c>
      <c r="AG217" s="9">
        <v>-0.3</v>
      </c>
      <c r="AH217" s="10">
        <f t="shared" si="18"/>
        <v>0</v>
      </c>
    </row>
    <row r="218" spans="11:34" ht="14.5" x14ac:dyDescent="0.35">
      <c r="K218" s="4"/>
      <c r="AC218" s="7">
        <v>2022</v>
      </c>
      <c r="AD218" s="7">
        <v>1</v>
      </c>
      <c r="AE218" s="7">
        <v>10</v>
      </c>
      <c r="AF218" s="8">
        <v>0</v>
      </c>
      <c r="AG218" s="9">
        <v>-2.5</v>
      </c>
      <c r="AH218" s="10">
        <f t="shared" si="18"/>
        <v>-3</v>
      </c>
    </row>
    <row r="219" spans="11:34" ht="14.5" x14ac:dyDescent="0.35">
      <c r="K219" s="4"/>
      <c r="AC219" s="7">
        <v>2022</v>
      </c>
      <c r="AD219" s="7">
        <v>1</v>
      </c>
      <c r="AE219" s="7">
        <v>10</v>
      </c>
      <c r="AF219" s="8">
        <v>4.1666666666666664E-2</v>
      </c>
      <c r="AG219" s="9">
        <v>-3.5</v>
      </c>
      <c r="AH219" s="10">
        <f t="shared" si="18"/>
        <v>-4</v>
      </c>
    </row>
    <row r="220" spans="11:34" ht="14.5" x14ac:dyDescent="0.35">
      <c r="K220" s="4"/>
      <c r="AC220" s="7">
        <v>2022</v>
      </c>
      <c r="AD220" s="7">
        <v>1</v>
      </c>
      <c r="AE220" s="7">
        <v>10</v>
      </c>
      <c r="AF220" s="8">
        <v>8.3333333333333329E-2</v>
      </c>
      <c r="AG220" s="9">
        <v>-3.5</v>
      </c>
      <c r="AH220" s="10">
        <f t="shared" si="18"/>
        <v>-4</v>
      </c>
    </row>
    <row r="221" spans="11:34" ht="14.5" x14ac:dyDescent="0.35">
      <c r="K221" s="4"/>
      <c r="AC221" s="7">
        <v>2022</v>
      </c>
      <c r="AD221" s="7">
        <v>1</v>
      </c>
      <c r="AE221" s="7">
        <v>10</v>
      </c>
      <c r="AF221" s="8">
        <v>0.125</v>
      </c>
      <c r="AG221" s="9">
        <v>-3.3</v>
      </c>
      <c r="AH221" s="10">
        <f t="shared" si="18"/>
        <v>-3</v>
      </c>
    </row>
    <row r="222" spans="11:34" ht="14.5" x14ac:dyDescent="0.35">
      <c r="K222" s="4"/>
      <c r="AC222" s="7">
        <v>2022</v>
      </c>
      <c r="AD222" s="7">
        <v>1</v>
      </c>
      <c r="AE222" s="7">
        <v>10</v>
      </c>
      <c r="AF222" s="8">
        <v>0.16666666666666666</v>
      </c>
      <c r="AG222" s="9">
        <v>-6</v>
      </c>
      <c r="AH222" s="10">
        <f t="shared" si="18"/>
        <v>-6</v>
      </c>
    </row>
    <row r="223" spans="11:34" ht="14.5" x14ac:dyDescent="0.35">
      <c r="K223" s="4"/>
      <c r="AC223" s="7">
        <v>2022</v>
      </c>
      <c r="AD223" s="7">
        <v>1</v>
      </c>
      <c r="AE223" s="7">
        <v>10</v>
      </c>
      <c r="AF223" s="8">
        <v>0.20833333333333334</v>
      </c>
      <c r="AG223" s="9">
        <v>-3.2</v>
      </c>
      <c r="AH223" s="10">
        <f t="shared" si="18"/>
        <v>-3</v>
      </c>
    </row>
    <row r="224" spans="11:34" ht="14.5" x14ac:dyDescent="0.35">
      <c r="K224" s="4"/>
      <c r="AC224" s="7">
        <v>2022</v>
      </c>
      <c r="AD224" s="7">
        <v>1</v>
      </c>
      <c r="AE224" s="7">
        <v>10</v>
      </c>
      <c r="AF224" s="8">
        <v>0.25</v>
      </c>
      <c r="AG224" s="9">
        <v>-2.2999999999999998</v>
      </c>
      <c r="AH224" s="10">
        <f t="shared" si="18"/>
        <v>-2</v>
      </c>
    </row>
    <row r="225" spans="11:34" ht="14.5" x14ac:dyDescent="0.35">
      <c r="K225" s="4"/>
      <c r="AC225" s="7">
        <v>2022</v>
      </c>
      <c r="AD225" s="7">
        <v>1</v>
      </c>
      <c r="AE225" s="7">
        <v>10</v>
      </c>
      <c r="AF225" s="8">
        <v>0.29166666666666669</v>
      </c>
      <c r="AG225" s="9">
        <v>1.5</v>
      </c>
      <c r="AH225" s="10">
        <f t="shared" si="18"/>
        <v>2</v>
      </c>
    </row>
    <row r="226" spans="11:34" ht="14.5" x14ac:dyDescent="0.35">
      <c r="K226" s="4"/>
      <c r="AC226" s="7">
        <v>2022</v>
      </c>
      <c r="AD226" s="7">
        <v>1</v>
      </c>
      <c r="AE226" s="7">
        <v>10</v>
      </c>
      <c r="AF226" s="8">
        <v>0.33333333333333331</v>
      </c>
      <c r="AG226" s="9">
        <v>0.8</v>
      </c>
      <c r="AH226" s="10">
        <f t="shared" si="18"/>
        <v>1</v>
      </c>
    </row>
    <row r="227" spans="11:34" ht="14.5" x14ac:dyDescent="0.35">
      <c r="K227" s="4"/>
      <c r="AC227" s="7">
        <v>2022</v>
      </c>
      <c r="AD227" s="7">
        <v>1</v>
      </c>
      <c r="AE227" s="7">
        <v>10</v>
      </c>
      <c r="AF227" s="8">
        <v>0.375</v>
      </c>
      <c r="AG227" s="9">
        <v>5.9</v>
      </c>
      <c r="AH227" s="10">
        <f t="shared" si="18"/>
        <v>6</v>
      </c>
    </row>
    <row r="228" spans="11:34" ht="14.5" x14ac:dyDescent="0.35">
      <c r="K228" s="4"/>
      <c r="AC228" s="7">
        <v>2022</v>
      </c>
      <c r="AD228" s="7">
        <v>1</v>
      </c>
      <c r="AE228" s="7">
        <v>10</v>
      </c>
      <c r="AF228" s="8">
        <v>0.41666666666666669</v>
      </c>
      <c r="AG228" s="9">
        <v>4.3</v>
      </c>
      <c r="AH228" s="10">
        <f t="shared" si="18"/>
        <v>4</v>
      </c>
    </row>
    <row r="229" spans="11:34" ht="14.5" x14ac:dyDescent="0.35">
      <c r="K229" s="4"/>
      <c r="AC229" s="7">
        <v>2022</v>
      </c>
      <c r="AD229" s="7">
        <v>1</v>
      </c>
      <c r="AE229" s="7">
        <v>10</v>
      </c>
      <c r="AF229" s="8">
        <v>0.45833333333333331</v>
      </c>
      <c r="AG229" s="9">
        <v>4.3</v>
      </c>
      <c r="AH229" s="10">
        <f t="shared" si="18"/>
        <v>4</v>
      </c>
    </row>
    <row r="230" spans="11:34" ht="14.5" x14ac:dyDescent="0.35">
      <c r="K230" s="4"/>
      <c r="AC230" s="7">
        <v>2022</v>
      </c>
      <c r="AD230" s="7">
        <v>1</v>
      </c>
      <c r="AE230" s="7">
        <v>10</v>
      </c>
      <c r="AF230" s="8">
        <v>0.5</v>
      </c>
      <c r="AG230" s="9">
        <v>7.1</v>
      </c>
      <c r="AH230" s="10">
        <f t="shared" si="18"/>
        <v>7</v>
      </c>
    </row>
    <row r="231" spans="11:34" ht="14.5" x14ac:dyDescent="0.35">
      <c r="K231" s="4"/>
      <c r="AC231" s="7">
        <v>2022</v>
      </c>
      <c r="AD231" s="7">
        <v>1</v>
      </c>
      <c r="AE231" s="7">
        <v>10</v>
      </c>
      <c r="AF231" s="8">
        <v>0.54166666666666663</v>
      </c>
      <c r="AG231" s="9">
        <v>7.1</v>
      </c>
      <c r="AH231" s="10">
        <f t="shared" si="18"/>
        <v>7</v>
      </c>
    </row>
    <row r="232" spans="11:34" ht="14.5" x14ac:dyDescent="0.35">
      <c r="K232" s="4"/>
      <c r="AC232" s="7">
        <v>2022</v>
      </c>
      <c r="AD232" s="7">
        <v>1</v>
      </c>
      <c r="AE232" s="7">
        <v>10</v>
      </c>
      <c r="AF232" s="8">
        <v>0.58333333333333337</v>
      </c>
      <c r="AG232" s="9">
        <v>7.1</v>
      </c>
      <c r="AH232" s="10">
        <f t="shared" si="18"/>
        <v>7</v>
      </c>
    </row>
    <row r="233" spans="11:34" ht="14.5" x14ac:dyDescent="0.35">
      <c r="K233" s="4"/>
      <c r="AC233" s="7">
        <v>2022</v>
      </c>
      <c r="AD233" s="7">
        <v>1</v>
      </c>
      <c r="AE233" s="7">
        <v>10</v>
      </c>
      <c r="AF233" s="8">
        <v>0.625</v>
      </c>
      <c r="AG233" s="9">
        <v>7.5</v>
      </c>
      <c r="AH233" s="10">
        <f t="shared" si="18"/>
        <v>8</v>
      </c>
    </row>
    <row r="234" spans="11:34" ht="14.5" x14ac:dyDescent="0.35">
      <c r="K234" s="4"/>
      <c r="AC234" s="7">
        <v>2022</v>
      </c>
      <c r="AD234" s="7">
        <v>1</v>
      </c>
      <c r="AE234" s="7">
        <v>10</v>
      </c>
      <c r="AF234" s="8">
        <v>0.66666666666666663</v>
      </c>
      <c r="AG234" s="9">
        <v>7.4</v>
      </c>
      <c r="AH234" s="10">
        <f t="shared" si="18"/>
        <v>7</v>
      </c>
    </row>
    <row r="235" spans="11:34" ht="14.5" x14ac:dyDescent="0.35">
      <c r="K235" s="4"/>
      <c r="AC235" s="7">
        <v>2022</v>
      </c>
      <c r="AD235" s="7">
        <v>1</v>
      </c>
      <c r="AE235" s="7">
        <v>10</v>
      </c>
      <c r="AF235" s="8">
        <v>0.70833333333333337</v>
      </c>
      <c r="AG235" s="9">
        <v>7.1</v>
      </c>
      <c r="AH235" s="10">
        <f t="shared" si="18"/>
        <v>7</v>
      </c>
    </row>
    <row r="236" spans="11:34" ht="14.5" x14ac:dyDescent="0.35">
      <c r="K236" s="4"/>
      <c r="AC236" s="7">
        <v>2022</v>
      </c>
      <c r="AD236" s="7">
        <v>1</v>
      </c>
      <c r="AE236" s="7">
        <v>10</v>
      </c>
      <c r="AF236" s="8">
        <v>0.75</v>
      </c>
      <c r="AG236" s="9">
        <v>5.9</v>
      </c>
      <c r="AH236" s="10">
        <f t="shared" si="18"/>
        <v>6</v>
      </c>
    </row>
    <row r="237" spans="11:34" ht="14.5" x14ac:dyDescent="0.35">
      <c r="K237" s="4"/>
      <c r="AC237" s="7">
        <v>2022</v>
      </c>
      <c r="AD237" s="7">
        <v>1</v>
      </c>
      <c r="AE237" s="7">
        <v>10</v>
      </c>
      <c r="AF237" s="8">
        <v>0.79166666666666663</v>
      </c>
      <c r="AG237" s="9">
        <v>5</v>
      </c>
      <c r="AH237" s="10">
        <f t="shared" si="18"/>
        <v>5</v>
      </c>
    </row>
    <row r="238" spans="11:34" ht="14.5" x14ac:dyDescent="0.35">
      <c r="K238" s="4"/>
      <c r="AC238" s="7">
        <v>2022</v>
      </c>
      <c r="AD238" s="7">
        <v>1</v>
      </c>
      <c r="AE238" s="7">
        <v>10</v>
      </c>
      <c r="AF238" s="8">
        <v>0.83333333333333337</v>
      </c>
      <c r="AG238" s="9">
        <v>4.2</v>
      </c>
      <c r="AH238" s="10">
        <f t="shared" si="18"/>
        <v>4</v>
      </c>
    </row>
    <row r="239" spans="11:34" ht="14.5" x14ac:dyDescent="0.35">
      <c r="K239" s="4"/>
      <c r="AC239" s="7">
        <v>2022</v>
      </c>
      <c r="AD239" s="7">
        <v>1</v>
      </c>
      <c r="AE239" s="7">
        <v>10</v>
      </c>
      <c r="AF239" s="8">
        <v>0.875</v>
      </c>
      <c r="AG239" s="9">
        <v>4.5999999999999996</v>
      </c>
      <c r="AH239" s="10">
        <f t="shared" si="18"/>
        <v>5</v>
      </c>
    </row>
    <row r="240" spans="11:34" ht="14.5" x14ac:dyDescent="0.35">
      <c r="K240" s="4"/>
      <c r="AC240" s="7">
        <v>2022</v>
      </c>
      <c r="AD240" s="7">
        <v>1</v>
      </c>
      <c r="AE240" s="7">
        <v>10</v>
      </c>
      <c r="AF240" s="8">
        <v>0.91666666666666663</v>
      </c>
      <c r="AG240" s="9">
        <v>2.6</v>
      </c>
      <c r="AH240" s="10">
        <f t="shared" si="18"/>
        <v>3</v>
      </c>
    </row>
    <row r="241" spans="11:34" ht="14.5" x14ac:dyDescent="0.35">
      <c r="K241" s="4"/>
      <c r="AC241" s="7">
        <v>2022</v>
      </c>
      <c r="AD241" s="7">
        <v>1</v>
      </c>
      <c r="AE241" s="7">
        <v>10</v>
      </c>
      <c r="AF241" s="8">
        <v>0.95833333333333337</v>
      </c>
      <c r="AG241" s="9">
        <v>1.8</v>
      </c>
      <c r="AH241" s="10">
        <f t="shared" si="18"/>
        <v>2</v>
      </c>
    </row>
    <row r="242" spans="11:34" ht="14.5" x14ac:dyDescent="0.35">
      <c r="K242" s="4"/>
      <c r="AC242" s="7">
        <v>2022</v>
      </c>
      <c r="AD242" s="7">
        <v>1</v>
      </c>
      <c r="AE242" s="7">
        <v>11</v>
      </c>
      <c r="AF242" s="8">
        <v>0</v>
      </c>
      <c r="AG242" s="9">
        <v>2.2000000000000002</v>
      </c>
      <c r="AH242" s="10">
        <f t="shared" si="18"/>
        <v>2</v>
      </c>
    </row>
    <row r="243" spans="11:34" ht="14.5" x14ac:dyDescent="0.35">
      <c r="K243" s="4"/>
      <c r="AC243" s="7">
        <v>2022</v>
      </c>
      <c r="AD243" s="7">
        <v>1</v>
      </c>
      <c r="AE243" s="7">
        <v>11</v>
      </c>
      <c r="AF243" s="8">
        <v>4.1666666666666664E-2</v>
      </c>
      <c r="AG243" s="9">
        <v>2.6</v>
      </c>
      <c r="AH243" s="10">
        <f t="shared" si="18"/>
        <v>3</v>
      </c>
    </row>
    <row r="244" spans="11:34" ht="14.5" x14ac:dyDescent="0.35">
      <c r="K244" s="4"/>
      <c r="AC244" s="7">
        <v>2022</v>
      </c>
      <c r="AD244" s="7">
        <v>1</v>
      </c>
      <c r="AE244" s="7">
        <v>11</v>
      </c>
      <c r="AF244" s="8">
        <v>8.3333333333333329E-2</v>
      </c>
      <c r="AG244" s="9">
        <v>5.3</v>
      </c>
      <c r="AH244" s="10">
        <f t="shared" si="18"/>
        <v>5</v>
      </c>
    </row>
    <row r="245" spans="11:34" ht="14.5" x14ac:dyDescent="0.35">
      <c r="K245" s="4"/>
      <c r="AC245" s="7">
        <v>2022</v>
      </c>
      <c r="AD245" s="7">
        <v>1</v>
      </c>
      <c r="AE245" s="7">
        <v>11</v>
      </c>
      <c r="AF245" s="8">
        <v>0.125</v>
      </c>
      <c r="AG245" s="9">
        <v>4.8</v>
      </c>
      <c r="AH245" s="10">
        <f t="shared" si="18"/>
        <v>5</v>
      </c>
    </row>
    <row r="246" spans="11:34" ht="14.5" x14ac:dyDescent="0.35">
      <c r="K246" s="4"/>
      <c r="AC246" s="7">
        <v>2022</v>
      </c>
      <c r="AD246" s="7">
        <v>1</v>
      </c>
      <c r="AE246" s="7">
        <v>11</v>
      </c>
      <c r="AF246" s="8">
        <v>0.16666666666666666</v>
      </c>
      <c r="AG246" s="9">
        <v>3.7</v>
      </c>
      <c r="AH246" s="10">
        <f t="shared" si="18"/>
        <v>4</v>
      </c>
    </row>
    <row r="247" spans="11:34" ht="14.5" x14ac:dyDescent="0.35">
      <c r="K247" s="4"/>
      <c r="AC247" s="7">
        <v>2022</v>
      </c>
      <c r="AD247" s="7">
        <v>1</v>
      </c>
      <c r="AE247" s="7">
        <v>11</v>
      </c>
      <c r="AF247" s="8">
        <v>0.20833333333333334</v>
      </c>
      <c r="AG247" s="9">
        <v>0.6</v>
      </c>
      <c r="AH247" s="10">
        <f t="shared" si="18"/>
        <v>1</v>
      </c>
    </row>
    <row r="248" spans="11:34" ht="14.5" x14ac:dyDescent="0.35">
      <c r="K248" s="4"/>
      <c r="AC248" s="7">
        <v>2022</v>
      </c>
      <c r="AD248" s="7">
        <v>1</v>
      </c>
      <c r="AE248" s="7">
        <v>11</v>
      </c>
      <c r="AF248" s="8">
        <v>0.25</v>
      </c>
      <c r="AG248" s="9">
        <v>0.7</v>
      </c>
      <c r="AH248" s="10">
        <f t="shared" si="18"/>
        <v>1</v>
      </c>
    </row>
    <row r="249" spans="11:34" ht="14.5" x14ac:dyDescent="0.35">
      <c r="K249" s="4"/>
      <c r="AC249" s="7">
        <v>2022</v>
      </c>
      <c r="AD249" s="7">
        <v>1</v>
      </c>
      <c r="AE249" s="7">
        <v>11</v>
      </c>
      <c r="AF249" s="8">
        <v>0.29166666666666669</v>
      </c>
      <c r="AG249" s="9">
        <v>0.2</v>
      </c>
      <c r="AH249" s="10">
        <f t="shared" si="18"/>
        <v>0</v>
      </c>
    </row>
    <row r="250" spans="11:34" ht="14.5" x14ac:dyDescent="0.35">
      <c r="K250" s="4"/>
      <c r="AC250" s="7">
        <v>2022</v>
      </c>
      <c r="AD250" s="7">
        <v>1</v>
      </c>
      <c r="AE250" s="7">
        <v>11</v>
      </c>
      <c r="AF250" s="8">
        <v>0.33333333333333331</v>
      </c>
      <c r="AG250" s="9">
        <v>-4.5</v>
      </c>
      <c r="AH250" s="10">
        <f t="shared" si="18"/>
        <v>-5</v>
      </c>
    </row>
    <row r="251" spans="11:34" ht="14.5" x14ac:dyDescent="0.35">
      <c r="K251" s="4"/>
      <c r="AC251" s="7">
        <v>2022</v>
      </c>
      <c r="AD251" s="7">
        <v>1</v>
      </c>
      <c r="AE251" s="7">
        <v>11</v>
      </c>
      <c r="AF251" s="8">
        <v>0.375</v>
      </c>
      <c r="AG251" s="9">
        <v>-4.5</v>
      </c>
      <c r="AH251" s="10">
        <f t="shared" si="18"/>
        <v>-5</v>
      </c>
    </row>
    <row r="252" spans="11:34" ht="14.5" x14ac:dyDescent="0.35">
      <c r="K252" s="4"/>
      <c r="AC252" s="7">
        <v>2022</v>
      </c>
      <c r="AD252" s="7">
        <v>1</v>
      </c>
      <c r="AE252" s="7">
        <v>11</v>
      </c>
      <c r="AF252" s="8">
        <v>0.41666666666666669</v>
      </c>
      <c r="AG252" s="9">
        <v>0</v>
      </c>
      <c r="AH252" s="10">
        <f t="shared" si="18"/>
        <v>0</v>
      </c>
    </row>
    <row r="253" spans="11:34" ht="14.5" x14ac:dyDescent="0.35">
      <c r="K253" s="4"/>
      <c r="AC253" s="7">
        <v>2022</v>
      </c>
      <c r="AD253" s="7">
        <v>1</v>
      </c>
      <c r="AE253" s="7">
        <v>11</v>
      </c>
      <c r="AF253" s="8">
        <v>0.45833333333333331</v>
      </c>
      <c r="AG253" s="9">
        <v>4.8</v>
      </c>
      <c r="AH253" s="10">
        <f t="shared" si="18"/>
        <v>5</v>
      </c>
    </row>
    <row r="254" spans="11:34" ht="14.5" x14ac:dyDescent="0.35">
      <c r="K254" s="4"/>
      <c r="AC254" s="7">
        <v>2022</v>
      </c>
      <c r="AD254" s="7">
        <v>1</v>
      </c>
      <c r="AE254" s="7">
        <v>11</v>
      </c>
      <c r="AF254" s="8">
        <v>0.5</v>
      </c>
      <c r="AG254" s="9">
        <v>7.6</v>
      </c>
      <c r="AH254" s="10">
        <f t="shared" si="18"/>
        <v>8</v>
      </c>
    </row>
    <row r="255" spans="11:34" ht="14.5" x14ac:dyDescent="0.35">
      <c r="K255" s="4"/>
      <c r="AC255" s="7">
        <v>2022</v>
      </c>
      <c r="AD255" s="7">
        <v>1</v>
      </c>
      <c r="AE255" s="7">
        <v>11</v>
      </c>
      <c r="AF255" s="8">
        <v>0.54166666666666663</v>
      </c>
      <c r="AG255" s="9">
        <v>8.1</v>
      </c>
      <c r="AH255" s="10">
        <f t="shared" si="18"/>
        <v>8</v>
      </c>
    </row>
    <row r="256" spans="11:34" ht="14.5" x14ac:dyDescent="0.35">
      <c r="K256" s="4"/>
      <c r="AC256" s="7">
        <v>2022</v>
      </c>
      <c r="AD256" s="7">
        <v>1</v>
      </c>
      <c r="AE256" s="7">
        <v>11</v>
      </c>
      <c r="AF256" s="8">
        <v>0.58333333333333337</v>
      </c>
      <c r="AG256" s="9">
        <v>7.8</v>
      </c>
      <c r="AH256" s="10">
        <f t="shared" si="18"/>
        <v>8</v>
      </c>
    </row>
    <row r="257" spans="11:34" ht="14.5" x14ac:dyDescent="0.35">
      <c r="K257" s="4"/>
      <c r="AC257" s="7">
        <v>2022</v>
      </c>
      <c r="AD257" s="7">
        <v>1</v>
      </c>
      <c r="AE257" s="7">
        <v>11</v>
      </c>
      <c r="AF257" s="8">
        <v>0.625</v>
      </c>
      <c r="AG257" s="9">
        <v>7.3</v>
      </c>
      <c r="AH257" s="10">
        <f t="shared" si="18"/>
        <v>7</v>
      </c>
    </row>
    <row r="258" spans="11:34" ht="14.5" x14ac:dyDescent="0.35">
      <c r="K258" s="4"/>
      <c r="AC258" s="7">
        <v>2022</v>
      </c>
      <c r="AD258" s="7">
        <v>1</v>
      </c>
      <c r="AE258" s="7">
        <v>11</v>
      </c>
      <c r="AF258" s="8">
        <v>0.66666666666666663</v>
      </c>
      <c r="AG258" s="9">
        <v>7.5</v>
      </c>
      <c r="AH258" s="10">
        <f t="shared" si="18"/>
        <v>8</v>
      </c>
    </row>
    <row r="259" spans="11:34" ht="14.5" x14ac:dyDescent="0.35">
      <c r="K259" s="4"/>
      <c r="AC259" s="7">
        <v>2022</v>
      </c>
      <c r="AD259" s="7">
        <v>1</v>
      </c>
      <c r="AE259" s="7">
        <v>11</v>
      </c>
      <c r="AF259" s="8">
        <v>0.70833333333333337</v>
      </c>
      <c r="AG259" s="9">
        <v>6</v>
      </c>
      <c r="AH259" s="10">
        <f t="shared" si="18"/>
        <v>6</v>
      </c>
    </row>
    <row r="260" spans="11:34" ht="14.5" x14ac:dyDescent="0.35">
      <c r="K260" s="4"/>
      <c r="AC260" s="7">
        <v>2022</v>
      </c>
      <c r="AD260" s="7">
        <v>1</v>
      </c>
      <c r="AE260" s="7">
        <v>11</v>
      </c>
      <c r="AF260" s="8">
        <v>0.75</v>
      </c>
      <c r="AG260" s="9">
        <v>5.3</v>
      </c>
      <c r="AH260" s="10">
        <f t="shared" si="18"/>
        <v>5</v>
      </c>
    </row>
    <row r="261" spans="11:34" ht="14.5" x14ac:dyDescent="0.35">
      <c r="K261" s="4"/>
      <c r="AC261" s="7">
        <v>2022</v>
      </c>
      <c r="AD261" s="7">
        <v>1</v>
      </c>
      <c r="AE261" s="7">
        <v>11</v>
      </c>
      <c r="AF261" s="8">
        <v>0.79166666666666663</v>
      </c>
      <c r="AG261" s="9">
        <v>3.6</v>
      </c>
      <c r="AH261" s="10">
        <f t="shared" si="18"/>
        <v>4</v>
      </c>
    </row>
    <row r="262" spans="11:34" ht="14.5" x14ac:dyDescent="0.35">
      <c r="K262" s="4"/>
      <c r="AC262" s="7">
        <v>2022</v>
      </c>
      <c r="AD262" s="7">
        <v>1</v>
      </c>
      <c r="AE262" s="7">
        <v>11</v>
      </c>
      <c r="AF262" s="8">
        <v>0.83333333333333337</v>
      </c>
      <c r="AG262" s="9">
        <v>3.4</v>
      </c>
      <c r="AH262" s="10">
        <f t="shared" si="18"/>
        <v>3</v>
      </c>
    </row>
    <row r="263" spans="11:34" ht="14.5" x14ac:dyDescent="0.35">
      <c r="K263" s="4"/>
      <c r="AC263" s="7">
        <v>2022</v>
      </c>
      <c r="AD263" s="7">
        <v>1</v>
      </c>
      <c r="AE263" s="7">
        <v>11</v>
      </c>
      <c r="AF263" s="8">
        <v>0.875</v>
      </c>
      <c r="AG263" s="9">
        <v>4.8</v>
      </c>
      <c r="AH263" s="10">
        <f t="shared" si="18"/>
        <v>5</v>
      </c>
    </row>
    <row r="264" spans="11:34" ht="14.5" x14ac:dyDescent="0.35">
      <c r="K264" s="4"/>
      <c r="AC264" s="7">
        <v>2022</v>
      </c>
      <c r="AD264" s="7">
        <v>1</v>
      </c>
      <c r="AE264" s="7">
        <v>11</v>
      </c>
      <c r="AF264" s="8">
        <v>0.91666666666666663</v>
      </c>
      <c r="AG264" s="9">
        <v>5</v>
      </c>
      <c r="AH264" s="10">
        <f t="shared" si="18"/>
        <v>5</v>
      </c>
    </row>
    <row r="265" spans="11:34" ht="14.5" x14ac:dyDescent="0.35">
      <c r="K265" s="4"/>
      <c r="AC265" s="7">
        <v>2022</v>
      </c>
      <c r="AD265" s="7">
        <v>1</v>
      </c>
      <c r="AE265" s="7">
        <v>11</v>
      </c>
      <c r="AF265" s="8">
        <v>0.95833333333333337</v>
      </c>
      <c r="AG265" s="9">
        <v>3.4</v>
      </c>
      <c r="AH265" s="10">
        <f t="shared" si="18"/>
        <v>3</v>
      </c>
    </row>
    <row r="266" spans="11:34" ht="14.5" x14ac:dyDescent="0.35">
      <c r="K266" s="4"/>
      <c r="AC266" s="7">
        <v>2022</v>
      </c>
      <c r="AD266" s="7">
        <v>1</v>
      </c>
      <c r="AE266" s="7">
        <v>12</v>
      </c>
      <c r="AF266" s="8">
        <v>0</v>
      </c>
      <c r="AG266" s="9">
        <v>6.1</v>
      </c>
      <c r="AH266" s="10">
        <f t="shared" si="18"/>
        <v>6</v>
      </c>
    </row>
    <row r="267" spans="11:34" ht="14.5" x14ac:dyDescent="0.35">
      <c r="K267" s="4"/>
      <c r="AC267" s="7">
        <v>2022</v>
      </c>
      <c r="AD267" s="7">
        <v>1</v>
      </c>
      <c r="AE267" s="7">
        <v>12</v>
      </c>
      <c r="AF267" s="8">
        <v>4.1666666666666664E-2</v>
      </c>
      <c r="AG267" s="9">
        <v>3.6</v>
      </c>
      <c r="AH267" s="10">
        <f t="shared" ref="AH267:AH330" si="19">ROUND(AG267,0)</f>
        <v>4</v>
      </c>
    </row>
    <row r="268" spans="11:34" ht="14.5" x14ac:dyDescent="0.35">
      <c r="K268" s="4"/>
      <c r="AC268" s="7">
        <v>2022</v>
      </c>
      <c r="AD268" s="7">
        <v>1</v>
      </c>
      <c r="AE268" s="7">
        <v>12</v>
      </c>
      <c r="AF268" s="8">
        <v>8.3333333333333329E-2</v>
      </c>
      <c r="AG268" s="9">
        <v>4.5</v>
      </c>
      <c r="AH268" s="10">
        <f t="shared" si="19"/>
        <v>5</v>
      </c>
    </row>
    <row r="269" spans="11:34" ht="14.5" x14ac:dyDescent="0.35">
      <c r="K269" s="4"/>
      <c r="AC269" s="7">
        <v>2022</v>
      </c>
      <c r="AD269" s="7">
        <v>1</v>
      </c>
      <c r="AE269" s="7">
        <v>12</v>
      </c>
      <c r="AF269" s="8">
        <v>0.125</v>
      </c>
      <c r="AG269" s="9">
        <v>0.7</v>
      </c>
      <c r="AH269" s="10">
        <f t="shared" si="19"/>
        <v>1</v>
      </c>
    </row>
    <row r="270" spans="11:34" ht="14.5" x14ac:dyDescent="0.35">
      <c r="K270" s="4"/>
      <c r="AC270" s="7">
        <v>2022</v>
      </c>
      <c r="AD270" s="7">
        <v>1</v>
      </c>
      <c r="AE270" s="7">
        <v>12</v>
      </c>
      <c r="AF270" s="8">
        <v>0.16666666666666666</v>
      </c>
      <c r="AG270" s="9">
        <v>0.5</v>
      </c>
      <c r="AH270" s="10">
        <f t="shared" si="19"/>
        <v>1</v>
      </c>
    </row>
    <row r="271" spans="11:34" ht="14.5" x14ac:dyDescent="0.35">
      <c r="K271" s="4"/>
      <c r="AC271" s="7">
        <v>2022</v>
      </c>
      <c r="AD271" s="7">
        <v>1</v>
      </c>
      <c r="AE271" s="7">
        <v>12</v>
      </c>
      <c r="AF271" s="8">
        <v>0.20833333333333334</v>
      </c>
      <c r="AG271" s="9">
        <v>-0.2</v>
      </c>
      <c r="AH271" s="10">
        <f t="shared" si="19"/>
        <v>0</v>
      </c>
    </row>
    <row r="272" spans="11:34" ht="14.5" x14ac:dyDescent="0.35">
      <c r="K272" s="4"/>
      <c r="AC272" s="7">
        <v>2022</v>
      </c>
      <c r="AD272" s="7">
        <v>1</v>
      </c>
      <c r="AE272" s="7">
        <v>12</v>
      </c>
      <c r="AF272" s="8">
        <v>0.25</v>
      </c>
      <c r="AG272" s="9">
        <v>1.2</v>
      </c>
      <c r="AH272" s="10">
        <f t="shared" si="19"/>
        <v>1</v>
      </c>
    </row>
    <row r="273" spans="11:34" ht="14.5" x14ac:dyDescent="0.35">
      <c r="K273" s="4"/>
      <c r="AC273" s="7">
        <v>2022</v>
      </c>
      <c r="AD273" s="7">
        <v>1</v>
      </c>
      <c r="AE273" s="7">
        <v>12</v>
      </c>
      <c r="AF273" s="8">
        <v>0.29166666666666669</v>
      </c>
      <c r="AG273" s="9">
        <v>2.4</v>
      </c>
      <c r="AH273" s="10">
        <f t="shared" si="19"/>
        <v>2</v>
      </c>
    </row>
    <row r="274" spans="11:34" ht="14.5" x14ac:dyDescent="0.35">
      <c r="K274" s="4"/>
      <c r="AC274" s="7">
        <v>2022</v>
      </c>
      <c r="AD274" s="7">
        <v>1</v>
      </c>
      <c r="AE274" s="7">
        <v>12</v>
      </c>
      <c r="AF274" s="8">
        <v>0.33333333333333331</v>
      </c>
      <c r="AG274" s="9">
        <v>6.3</v>
      </c>
      <c r="AH274" s="10">
        <f t="shared" si="19"/>
        <v>6</v>
      </c>
    </row>
    <row r="275" spans="11:34" ht="14.5" x14ac:dyDescent="0.35">
      <c r="K275" s="4"/>
      <c r="AC275" s="7">
        <v>2022</v>
      </c>
      <c r="AD275" s="7">
        <v>1</v>
      </c>
      <c r="AE275" s="7">
        <v>12</v>
      </c>
      <c r="AF275" s="8">
        <v>0.375</v>
      </c>
      <c r="AG275" s="9">
        <v>7.5</v>
      </c>
      <c r="AH275" s="10">
        <f t="shared" si="19"/>
        <v>8</v>
      </c>
    </row>
    <row r="276" spans="11:34" ht="14.5" x14ac:dyDescent="0.35">
      <c r="K276" s="4"/>
      <c r="AC276" s="7">
        <v>2022</v>
      </c>
      <c r="AD276" s="7">
        <v>1</v>
      </c>
      <c r="AE276" s="7">
        <v>12</v>
      </c>
      <c r="AF276" s="8">
        <v>0.41666666666666669</v>
      </c>
      <c r="AG276" s="9">
        <v>7.3</v>
      </c>
      <c r="AH276" s="10">
        <f t="shared" si="19"/>
        <v>7</v>
      </c>
    </row>
    <row r="277" spans="11:34" ht="14.5" x14ac:dyDescent="0.35">
      <c r="K277" s="4"/>
      <c r="AC277" s="7">
        <v>2022</v>
      </c>
      <c r="AD277" s="7">
        <v>1</v>
      </c>
      <c r="AE277" s="7">
        <v>12</v>
      </c>
      <c r="AF277" s="8">
        <v>0.45833333333333331</v>
      </c>
      <c r="AG277" s="9">
        <v>7.6</v>
      </c>
      <c r="AH277" s="10">
        <f t="shared" si="19"/>
        <v>8</v>
      </c>
    </row>
    <row r="278" spans="11:34" ht="14.5" x14ac:dyDescent="0.35">
      <c r="K278" s="4"/>
      <c r="AC278" s="7">
        <v>2022</v>
      </c>
      <c r="AD278" s="7">
        <v>1</v>
      </c>
      <c r="AE278" s="7">
        <v>12</v>
      </c>
      <c r="AF278" s="8">
        <v>0.5</v>
      </c>
      <c r="AG278" s="9">
        <v>7.7</v>
      </c>
      <c r="AH278" s="10">
        <f t="shared" si="19"/>
        <v>8</v>
      </c>
    </row>
    <row r="279" spans="11:34" ht="14.5" x14ac:dyDescent="0.35">
      <c r="K279" s="4"/>
      <c r="AC279" s="7">
        <v>2022</v>
      </c>
      <c r="AD279" s="7">
        <v>1</v>
      </c>
      <c r="AE279" s="7">
        <v>12</v>
      </c>
      <c r="AF279" s="8">
        <v>0.54166666666666663</v>
      </c>
      <c r="AG279" s="9">
        <v>7.3</v>
      </c>
      <c r="AH279" s="10">
        <f t="shared" si="19"/>
        <v>7</v>
      </c>
    </row>
    <row r="280" spans="11:34" ht="14.5" x14ac:dyDescent="0.35">
      <c r="K280" s="4"/>
      <c r="AC280" s="7">
        <v>2022</v>
      </c>
      <c r="AD280" s="7">
        <v>1</v>
      </c>
      <c r="AE280" s="7">
        <v>12</v>
      </c>
      <c r="AF280" s="8">
        <v>0.58333333333333337</v>
      </c>
      <c r="AG280" s="9">
        <v>7.5</v>
      </c>
      <c r="AH280" s="10">
        <f t="shared" si="19"/>
        <v>8</v>
      </c>
    </row>
    <row r="281" spans="11:34" ht="14.5" x14ac:dyDescent="0.35">
      <c r="K281" s="4"/>
      <c r="AC281" s="7">
        <v>2022</v>
      </c>
      <c r="AD281" s="7">
        <v>1</v>
      </c>
      <c r="AE281" s="7">
        <v>12</v>
      </c>
      <c r="AF281" s="8">
        <v>0.625</v>
      </c>
      <c r="AG281" s="9">
        <v>8</v>
      </c>
      <c r="AH281" s="10">
        <f t="shared" si="19"/>
        <v>8</v>
      </c>
    </row>
    <row r="282" spans="11:34" ht="14.5" x14ac:dyDescent="0.35">
      <c r="K282" s="4"/>
      <c r="AC282" s="7">
        <v>2022</v>
      </c>
      <c r="AD282" s="7">
        <v>1</v>
      </c>
      <c r="AE282" s="7">
        <v>12</v>
      </c>
      <c r="AF282" s="8">
        <v>0.66666666666666663</v>
      </c>
      <c r="AG282" s="9">
        <v>7.8</v>
      </c>
      <c r="AH282" s="10">
        <f t="shared" si="19"/>
        <v>8</v>
      </c>
    </row>
    <row r="283" spans="11:34" ht="14.5" x14ac:dyDescent="0.35">
      <c r="K283" s="4"/>
      <c r="AC283" s="7">
        <v>2022</v>
      </c>
      <c r="AD283" s="7">
        <v>1</v>
      </c>
      <c r="AE283" s="7">
        <v>12</v>
      </c>
      <c r="AF283" s="8">
        <v>0.70833333333333337</v>
      </c>
      <c r="AG283" s="9">
        <v>8</v>
      </c>
      <c r="AH283" s="10">
        <f t="shared" si="19"/>
        <v>8</v>
      </c>
    </row>
    <row r="284" spans="11:34" ht="14.5" x14ac:dyDescent="0.35">
      <c r="K284" s="4"/>
      <c r="AC284" s="7">
        <v>2022</v>
      </c>
      <c r="AD284" s="7">
        <v>1</v>
      </c>
      <c r="AE284" s="7">
        <v>12</v>
      </c>
      <c r="AF284" s="8">
        <v>0.75</v>
      </c>
      <c r="AG284" s="9">
        <v>8.1</v>
      </c>
      <c r="AH284" s="10">
        <f t="shared" si="19"/>
        <v>8</v>
      </c>
    </row>
    <row r="285" spans="11:34" ht="14.5" x14ac:dyDescent="0.35">
      <c r="K285" s="4"/>
      <c r="AC285" s="7">
        <v>2022</v>
      </c>
      <c r="AD285" s="7">
        <v>1</v>
      </c>
      <c r="AE285" s="7">
        <v>12</v>
      </c>
      <c r="AF285" s="8">
        <v>0.79166666666666663</v>
      </c>
      <c r="AG285" s="9">
        <v>3</v>
      </c>
      <c r="AH285" s="10">
        <f t="shared" si="19"/>
        <v>3</v>
      </c>
    </row>
    <row r="286" spans="11:34" ht="14.5" x14ac:dyDescent="0.35">
      <c r="K286" s="4"/>
      <c r="AC286" s="7">
        <v>2022</v>
      </c>
      <c r="AD286" s="7">
        <v>1</v>
      </c>
      <c r="AE286" s="7">
        <v>12</v>
      </c>
      <c r="AF286" s="8">
        <v>0.83333333333333337</v>
      </c>
      <c r="AG286" s="9">
        <v>2.2999999999999998</v>
      </c>
      <c r="AH286" s="10">
        <f t="shared" si="19"/>
        <v>2</v>
      </c>
    </row>
    <row r="287" spans="11:34" ht="14.5" x14ac:dyDescent="0.35">
      <c r="K287" s="4"/>
      <c r="AC287" s="7">
        <v>2022</v>
      </c>
      <c r="AD287" s="7">
        <v>1</v>
      </c>
      <c r="AE287" s="7">
        <v>12</v>
      </c>
      <c r="AF287" s="8">
        <v>0.875</v>
      </c>
      <c r="AG287" s="9">
        <v>2.5</v>
      </c>
      <c r="AH287" s="10">
        <f t="shared" si="19"/>
        <v>3</v>
      </c>
    </row>
    <row r="288" spans="11:34" ht="14.5" x14ac:dyDescent="0.35">
      <c r="K288" s="4"/>
      <c r="AC288" s="7">
        <v>2022</v>
      </c>
      <c r="AD288" s="7">
        <v>1</v>
      </c>
      <c r="AE288" s="7">
        <v>12</v>
      </c>
      <c r="AF288" s="8">
        <v>0.91666666666666663</v>
      </c>
      <c r="AG288" s="9">
        <v>2.1</v>
      </c>
      <c r="AH288" s="10">
        <f t="shared" si="19"/>
        <v>2</v>
      </c>
    </row>
    <row r="289" spans="11:34" ht="14.5" x14ac:dyDescent="0.35">
      <c r="K289" s="4"/>
      <c r="AC289" s="7">
        <v>2022</v>
      </c>
      <c r="AD289" s="7">
        <v>1</v>
      </c>
      <c r="AE289" s="7">
        <v>12</v>
      </c>
      <c r="AF289" s="8">
        <v>0.95833333333333337</v>
      </c>
      <c r="AG289" s="9">
        <v>2.2000000000000002</v>
      </c>
      <c r="AH289" s="10">
        <f t="shared" si="19"/>
        <v>2</v>
      </c>
    </row>
    <row r="290" spans="11:34" ht="14.5" x14ac:dyDescent="0.35">
      <c r="K290" s="4"/>
      <c r="AC290" s="7">
        <v>2022</v>
      </c>
      <c r="AD290" s="7">
        <v>1</v>
      </c>
      <c r="AE290" s="7">
        <v>13</v>
      </c>
      <c r="AF290" s="8">
        <v>0</v>
      </c>
      <c r="AG290" s="9">
        <v>2</v>
      </c>
      <c r="AH290" s="10">
        <f t="shared" si="19"/>
        <v>2</v>
      </c>
    </row>
    <row r="291" spans="11:34" ht="14.5" x14ac:dyDescent="0.35">
      <c r="K291" s="4"/>
      <c r="AC291" s="7">
        <v>2022</v>
      </c>
      <c r="AD291" s="7">
        <v>1</v>
      </c>
      <c r="AE291" s="7">
        <v>13</v>
      </c>
      <c r="AF291" s="8">
        <v>4.1666666666666664E-2</v>
      </c>
      <c r="AG291" s="9">
        <v>1.7</v>
      </c>
      <c r="AH291" s="10">
        <f t="shared" si="19"/>
        <v>2</v>
      </c>
    </row>
    <row r="292" spans="11:34" ht="14.5" x14ac:dyDescent="0.35">
      <c r="K292" s="4"/>
      <c r="AC292" s="7">
        <v>2022</v>
      </c>
      <c r="AD292" s="7">
        <v>1</v>
      </c>
      <c r="AE292" s="7">
        <v>13</v>
      </c>
      <c r="AF292" s="8">
        <v>8.3333333333333329E-2</v>
      </c>
      <c r="AG292" s="9">
        <v>-0.9</v>
      </c>
      <c r="AH292" s="10">
        <f t="shared" si="19"/>
        <v>-1</v>
      </c>
    </row>
    <row r="293" spans="11:34" ht="14.5" x14ac:dyDescent="0.35">
      <c r="K293" s="4"/>
      <c r="AC293" s="7">
        <v>2022</v>
      </c>
      <c r="AD293" s="7">
        <v>1</v>
      </c>
      <c r="AE293" s="7">
        <v>13</v>
      </c>
      <c r="AF293" s="8">
        <v>0.125</v>
      </c>
      <c r="AG293" s="9">
        <v>-2</v>
      </c>
      <c r="AH293" s="10">
        <f t="shared" si="19"/>
        <v>-2</v>
      </c>
    </row>
    <row r="294" spans="11:34" ht="14.5" x14ac:dyDescent="0.35">
      <c r="K294" s="4"/>
      <c r="AC294" s="7">
        <v>2022</v>
      </c>
      <c r="AD294" s="7">
        <v>1</v>
      </c>
      <c r="AE294" s="7">
        <v>13</v>
      </c>
      <c r="AF294" s="8">
        <v>0.16666666666666666</v>
      </c>
      <c r="AG294" s="9">
        <v>-1.9</v>
      </c>
      <c r="AH294" s="10">
        <f t="shared" si="19"/>
        <v>-2</v>
      </c>
    </row>
    <row r="295" spans="11:34" ht="14.5" x14ac:dyDescent="0.35">
      <c r="K295" s="4"/>
      <c r="AC295" s="7">
        <v>2022</v>
      </c>
      <c r="AD295" s="7">
        <v>1</v>
      </c>
      <c r="AE295" s="7">
        <v>13</v>
      </c>
      <c r="AF295" s="8">
        <v>0.20833333333333334</v>
      </c>
      <c r="AG295" s="9">
        <v>-1.9</v>
      </c>
      <c r="AH295" s="10">
        <f t="shared" si="19"/>
        <v>-2</v>
      </c>
    </row>
    <row r="296" spans="11:34" ht="14.5" x14ac:dyDescent="0.35">
      <c r="K296" s="4"/>
      <c r="AC296" s="7">
        <v>2022</v>
      </c>
      <c r="AD296" s="7">
        <v>1</v>
      </c>
      <c r="AE296" s="7">
        <v>13</v>
      </c>
      <c r="AF296" s="8">
        <v>0.25</v>
      </c>
      <c r="AG296" s="9">
        <v>-1</v>
      </c>
      <c r="AH296" s="10">
        <f t="shared" si="19"/>
        <v>-1</v>
      </c>
    </row>
    <row r="297" spans="11:34" ht="14.5" x14ac:dyDescent="0.35">
      <c r="K297" s="4"/>
      <c r="AC297" s="7">
        <v>2022</v>
      </c>
      <c r="AD297" s="7">
        <v>1</v>
      </c>
      <c r="AE297" s="7">
        <v>13</v>
      </c>
      <c r="AF297" s="8">
        <v>0.29166666666666669</v>
      </c>
      <c r="AG297" s="9">
        <v>-1.9</v>
      </c>
      <c r="AH297" s="10">
        <f t="shared" si="19"/>
        <v>-2</v>
      </c>
    </row>
    <row r="298" spans="11:34" ht="14.5" x14ac:dyDescent="0.35">
      <c r="K298" s="4"/>
      <c r="AC298" s="7">
        <v>2022</v>
      </c>
      <c r="AD298" s="7">
        <v>1</v>
      </c>
      <c r="AE298" s="7">
        <v>13</v>
      </c>
      <c r="AF298" s="8">
        <v>0.33333333333333331</v>
      </c>
      <c r="AG298" s="9">
        <v>2.2000000000000002</v>
      </c>
      <c r="AH298" s="10">
        <f t="shared" si="19"/>
        <v>2</v>
      </c>
    </row>
    <row r="299" spans="11:34" ht="14.5" x14ac:dyDescent="0.35">
      <c r="K299" s="4"/>
      <c r="AC299" s="7">
        <v>2022</v>
      </c>
      <c r="AD299" s="7">
        <v>1</v>
      </c>
      <c r="AE299" s="7">
        <v>13</v>
      </c>
      <c r="AF299" s="8">
        <v>0.375</v>
      </c>
      <c r="AG299" s="9">
        <v>3</v>
      </c>
      <c r="AH299" s="10">
        <f t="shared" si="19"/>
        <v>3</v>
      </c>
    </row>
    <row r="300" spans="11:34" ht="14.5" x14ac:dyDescent="0.35">
      <c r="K300" s="4"/>
      <c r="AC300" s="7">
        <v>2022</v>
      </c>
      <c r="AD300" s="7">
        <v>1</v>
      </c>
      <c r="AE300" s="7">
        <v>13</v>
      </c>
      <c r="AF300" s="8">
        <v>0.41666666666666669</v>
      </c>
      <c r="AG300" s="9">
        <v>8.6999999999999993</v>
      </c>
      <c r="AH300" s="10">
        <f t="shared" si="19"/>
        <v>9</v>
      </c>
    </row>
    <row r="301" spans="11:34" ht="14.5" x14ac:dyDescent="0.35">
      <c r="K301" s="4"/>
      <c r="AC301" s="7">
        <v>2022</v>
      </c>
      <c r="AD301" s="7">
        <v>1</v>
      </c>
      <c r="AE301" s="7">
        <v>13</v>
      </c>
      <c r="AF301" s="8">
        <v>0.45833333333333331</v>
      </c>
      <c r="AG301" s="9">
        <v>3.4</v>
      </c>
      <c r="AH301" s="10">
        <f t="shared" si="19"/>
        <v>3</v>
      </c>
    </row>
    <row r="302" spans="11:34" ht="14.5" x14ac:dyDescent="0.35">
      <c r="K302" s="4"/>
      <c r="AC302" s="7">
        <v>2022</v>
      </c>
      <c r="AD302" s="7">
        <v>1</v>
      </c>
      <c r="AE302" s="7">
        <v>13</v>
      </c>
      <c r="AF302" s="8">
        <v>0.5</v>
      </c>
      <c r="AG302" s="9">
        <v>3.1</v>
      </c>
      <c r="AH302" s="10">
        <f t="shared" si="19"/>
        <v>3</v>
      </c>
    </row>
    <row r="303" spans="11:34" ht="14.5" x14ac:dyDescent="0.35">
      <c r="K303" s="4"/>
      <c r="AC303" s="7">
        <v>2022</v>
      </c>
      <c r="AD303" s="7">
        <v>1</v>
      </c>
      <c r="AE303" s="7">
        <v>13</v>
      </c>
      <c r="AF303" s="8">
        <v>0.54166666666666663</v>
      </c>
      <c r="AG303" s="9">
        <v>3.2</v>
      </c>
      <c r="AH303" s="10">
        <f t="shared" si="19"/>
        <v>3</v>
      </c>
    </row>
    <row r="304" spans="11:34" ht="14.5" x14ac:dyDescent="0.35">
      <c r="K304" s="4"/>
      <c r="AC304" s="7">
        <v>2022</v>
      </c>
      <c r="AD304" s="7">
        <v>1</v>
      </c>
      <c r="AE304" s="7">
        <v>13</v>
      </c>
      <c r="AF304" s="8">
        <v>0.58333333333333337</v>
      </c>
      <c r="AG304" s="9">
        <v>2.1</v>
      </c>
      <c r="AH304" s="10">
        <f t="shared" si="19"/>
        <v>2</v>
      </c>
    </row>
    <row r="305" spans="11:34" ht="14.5" x14ac:dyDescent="0.35">
      <c r="K305" s="4"/>
      <c r="AC305" s="7">
        <v>2022</v>
      </c>
      <c r="AD305" s="7">
        <v>1</v>
      </c>
      <c r="AE305" s="7">
        <v>13</v>
      </c>
      <c r="AF305" s="8">
        <v>0.625</v>
      </c>
      <c r="AG305" s="9">
        <v>1.4</v>
      </c>
      <c r="AH305" s="10">
        <f t="shared" si="19"/>
        <v>1</v>
      </c>
    </row>
    <row r="306" spans="11:34" ht="14.5" x14ac:dyDescent="0.35">
      <c r="K306" s="4"/>
      <c r="AC306" s="7">
        <v>2022</v>
      </c>
      <c r="AD306" s="7">
        <v>1</v>
      </c>
      <c r="AE306" s="7">
        <v>13</v>
      </c>
      <c r="AF306" s="8">
        <v>0.66666666666666663</v>
      </c>
      <c r="AG306" s="9">
        <v>1.2</v>
      </c>
      <c r="AH306" s="10">
        <f t="shared" si="19"/>
        <v>1</v>
      </c>
    </row>
    <row r="307" spans="11:34" ht="14.5" x14ac:dyDescent="0.35">
      <c r="K307" s="4"/>
      <c r="AC307" s="7">
        <v>2022</v>
      </c>
      <c r="AD307" s="7">
        <v>1</v>
      </c>
      <c r="AE307" s="7">
        <v>13</v>
      </c>
      <c r="AF307" s="8">
        <v>0.70833333333333337</v>
      </c>
      <c r="AG307" s="9">
        <v>1</v>
      </c>
      <c r="AH307" s="10">
        <f t="shared" si="19"/>
        <v>1</v>
      </c>
    </row>
    <row r="308" spans="11:34" ht="14.5" x14ac:dyDescent="0.35">
      <c r="K308" s="4"/>
      <c r="AC308" s="7">
        <v>2022</v>
      </c>
      <c r="AD308" s="7">
        <v>1</v>
      </c>
      <c r="AE308" s="7">
        <v>13</v>
      </c>
      <c r="AF308" s="8">
        <v>0.75</v>
      </c>
      <c r="AG308" s="9">
        <v>1.2</v>
      </c>
      <c r="AH308" s="10">
        <f t="shared" si="19"/>
        <v>1</v>
      </c>
    </row>
    <row r="309" spans="11:34" ht="14.5" x14ac:dyDescent="0.35">
      <c r="K309" s="4"/>
      <c r="AC309" s="7">
        <v>2022</v>
      </c>
      <c r="AD309" s="7">
        <v>1</v>
      </c>
      <c r="AE309" s="7">
        <v>13</v>
      </c>
      <c r="AF309" s="8">
        <v>0.79166666666666663</v>
      </c>
      <c r="AG309" s="9">
        <v>1.1000000000000001</v>
      </c>
      <c r="AH309" s="10">
        <f t="shared" si="19"/>
        <v>1</v>
      </c>
    </row>
    <row r="310" spans="11:34" ht="14.5" x14ac:dyDescent="0.35">
      <c r="K310" s="4"/>
      <c r="AC310" s="7">
        <v>2022</v>
      </c>
      <c r="AD310" s="7">
        <v>1</v>
      </c>
      <c r="AE310" s="7">
        <v>13</v>
      </c>
      <c r="AF310" s="8">
        <v>0.83333333333333337</v>
      </c>
      <c r="AG310" s="9">
        <v>0.9</v>
      </c>
      <c r="AH310" s="10">
        <f t="shared" si="19"/>
        <v>1</v>
      </c>
    </row>
    <row r="311" spans="11:34" ht="14.5" x14ac:dyDescent="0.35">
      <c r="K311" s="4"/>
      <c r="AC311" s="7">
        <v>2022</v>
      </c>
      <c r="AD311" s="7">
        <v>1</v>
      </c>
      <c r="AE311" s="7">
        <v>13</v>
      </c>
      <c r="AF311" s="8">
        <v>0.875</v>
      </c>
      <c r="AG311" s="9">
        <v>1.2</v>
      </c>
      <c r="AH311" s="10">
        <f t="shared" si="19"/>
        <v>1</v>
      </c>
    </row>
    <row r="312" spans="11:34" ht="14.5" x14ac:dyDescent="0.35">
      <c r="K312" s="4"/>
      <c r="AC312" s="7">
        <v>2022</v>
      </c>
      <c r="AD312" s="7">
        <v>1</v>
      </c>
      <c r="AE312" s="7">
        <v>13</v>
      </c>
      <c r="AF312" s="8">
        <v>0.91666666666666663</v>
      </c>
      <c r="AG312" s="9">
        <v>1.2</v>
      </c>
      <c r="AH312" s="10">
        <f t="shared" si="19"/>
        <v>1</v>
      </c>
    </row>
    <row r="313" spans="11:34" ht="14.5" x14ac:dyDescent="0.35">
      <c r="K313" s="4"/>
      <c r="AC313" s="7">
        <v>2022</v>
      </c>
      <c r="AD313" s="7">
        <v>1</v>
      </c>
      <c r="AE313" s="7">
        <v>13</v>
      </c>
      <c r="AF313" s="8">
        <v>0.95833333333333337</v>
      </c>
      <c r="AG313" s="9">
        <v>0.9</v>
      </c>
      <c r="AH313" s="10">
        <f t="shared" si="19"/>
        <v>1</v>
      </c>
    </row>
    <row r="314" spans="11:34" ht="14.5" x14ac:dyDescent="0.35">
      <c r="K314" s="4"/>
      <c r="AC314" s="7">
        <v>2022</v>
      </c>
      <c r="AD314" s="7">
        <v>1</v>
      </c>
      <c r="AE314" s="7">
        <v>14</v>
      </c>
      <c r="AF314" s="8">
        <v>0</v>
      </c>
      <c r="AG314" s="9">
        <v>1</v>
      </c>
      <c r="AH314" s="10">
        <f t="shared" si="19"/>
        <v>1</v>
      </c>
    </row>
    <row r="315" spans="11:34" ht="14.5" x14ac:dyDescent="0.35">
      <c r="K315" s="4"/>
      <c r="AC315" s="7">
        <v>2022</v>
      </c>
      <c r="AD315" s="7">
        <v>1</v>
      </c>
      <c r="AE315" s="7">
        <v>14</v>
      </c>
      <c r="AF315" s="8">
        <v>4.1666666666666664E-2</v>
      </c>
      <c r="AG315" s="9">
        <v>0.6</v>
      </c>
      <c r="AH315" s="10">
        <f t="shared" si="19"/>
        <v>1</v>
      </c>
    </row>
    <row r="316" spans="11:34" ht="14.5" x14ac:dyDescent="0.35">
      <c r="K316" s="4"/>
      <c r="AC316" s="7">
        <v>2022</v>
      </c>
      <c r="AD316" s="7">
        <v>1</v>
      </c>
      <c r="AE316" s="7">
        <v>14</v>
      </c>
      <c r="AF316" s="8">
        <v>8.3333333333333329E-2</v>
      </c>
      <c r="AG316" s="9">
        <v>0.5</v>
      </c>
      <c r="AH316" s="10">
        <f t="shared" si="19"/>
        <v>1</v>
      </c>
    </row>
    <row r="317" spans="11:34" ht="14.5" x14ac:dyDescent="0.35">
      <c r="K317" s="4"/>
      <c r="AC317" s="7">
        <v>2022</v>
      </c>
      <c r="AD317" s="7">
        <v>1</v>
      </c>
      <c r="AE317" s="7">
        <v>14</v>
      </c>
      <c r="AF317" s="8">
        <v>0.125</v>
      </c>
      <c r="AG317" s="9">
        <v>0.4</v>
      </c>
      <c r="AH317" s="10">
        <f t="shared" si="19"/>
        <v>0</v>
      </c>
    </row>
    <row r="318" spans="11:34" ht="14.5" x14ac:dyDescent="0.35">
      <c r="K318" s="4"/>
      <c r="AC318" s="7">
        <v>2022</v>
      </c>
      <c r="AD318" s="7">
        <v>1</v>
      </c>
      <c r="AE318" s="7">
        <v>14</v>
      </c>
      <c r="AF318" s="8">
        <v>0.16666666666666666</v>
      </c>
      <c r="AG318" s="9">
        <v>0.3</v>
      </c>
      <c r="AH318" s="10">
        <f t="shared" si="19"/>
        <v>0</v>
      </c>
    </row>
    <row r="319" spans="11:34" ht="14.5" x14ac:dyDescent="0.35">
      <c r="K319" s="4"/>
      <c r="AC319" s="7">
        <v>2022</v>
      </c>
      <c r="AD319" s="7">
        <v>1</v>
      </c>
      <c r="AE319" s="7">
        <v>14</v>
      </c>
      <c r="AF319" s="8">
        <v>0.20833333333333334</v>
      </c>
      <c r="AG319" s="9">
        <v>0</v>
      </c>
      <c r="AH319" s="10">
        <f t="shared" si="19"/>
        <v>0</v>
      </c>
    </row>
    <row r="320" spans="11:34" ht="14.5" x14ac:dyDescent="0.35">
      <c r="K320" s="4"/>
      <c r="AC320" s="7">
        <v>2022</v>
      </c>
      <c r="AD320" s="7">
        <v>1</v>
      </c>
      <c r="AE320" s="7">
        <v>14</v>
      </c>
      <c r="AF320" s="8">
        <v>0.25</v>
      </c>
      <c r="AG320" s="9">
        <v>-0.1</v>
      </c>
      <c r="AH320" s="10">
        <f t="shared" si="19"/>
        <v>0</v>
      </c>
    </row>
    <row r="321" spans="11:34" ht="14.5" x14ac:dyDescent="0.35">
      <c r="K321" s="4"/>
      <c r="AC321" s="7">
        <v>2022</v>
      </c>
      <c r="AD321" s="7">
        <v>1</v>
      </c>
      <c r="AE321" s="7">
        <v>14</v>
      </c>
      <c r="AF321" s="8">
        <v>0.29166666666666669</v>
      </c>
      <c r="AG321" s="9">
        <v>-0.8</v>
      </c>
      <c r="AH321" s="10">
        <f t="shared" si="19"/>
        <v>-1</v>
      </c>
    </row>
    <row r="322" spans="11:34" ht="14.5" x14ac:dyDescent="0.35">
      <c r="K322" s="4"/>
      <c r="AC322" s="7">
        <v>2022</v>
      </c>
      <c r="AD322" s="7">
        <v>1</v>
      </c>
      <c r="AE322" s="7">
        <v>14</v>
      </c>
      <c r="AF322" s="8">
        <v>0.33333333333333331</v>
      </c>
      <c r="AG322" s="9">
        <v>-0.3</v>
      </c>
      <c r="AH322" s="10">
        <f t="shared" si="19"/>
        <v>0</v>
      </c>
    </row>
    <row r="323" spans="11:34" ht="14.5" x14ac:dyDescent="0.35">
      <c r="K323" s="4"/>
      <c r="AC323" s="7">
        <v>2022</v>
      </c>
      <c r="AD323" s="7">
        <v>1</v>
      </c>
      <c r="AE323" s="7">
        <v>14</v>
      </c>
      <c r="AF323" s="8">
        <v>0.375</v>
      </c>
      <c r="AG323" s="9">
        <v>-1.4</v>
      </c>
      <c r="AH323" s="10">
        <f t="shared" si="19"/>
        <v>-1</v>
      </c>
    </row>
    <row r="324" spans="11:34" ht="14.5" x14ac:dyDescent="0.35">
      <c r="K324" s="4"/>
      <c r="AC324" s="7">
        <v>2022</v>
      </c>
      <c r="AD324" s="7">
        <v>1</v>
      </c>
      <c r="AE324" s="7">
        <v>14</v>
      </c>
      <c r="AF324" s="8">
        <v>0.41666666666666669</v>
      </c>
      <c r="AG324" s="9">
        <v>-1.1000000000000001</v>
      </c>
      <c r="AH324" s="10">
        <f t="shared" si="19"/>
        <v>-1</v>
      </c>
    </row>
    <row r="325" spans="11:34" ht="14.5" x14ac:dyDescent="0.35">
      <c r="K325" s="4"/>
      <c r="AC325" s="7">
        <v>2022</v>
      </c>
      <c r="AD325" s="7">
        <v>1</v>
      </c>
      <c r="AE325" s="7">
        <v>14</v>
      </c>
      <c r="AF325" s="8">
        <v>0.45833333333333331</v>
      </c>
      <c r="AG325" s="9">
        <v>0</v>
      </c>
      <c r="AH325" s="10">
        <f t="shared" si="19"/>
        <v>0</v>
      </c>
    </row>
    <row r="326" spans="11:34" ht="14.5" x14ac:dyDescent="0.35">
      <c r="K326" s="4"/>
      <c r="AC326" s="7">
        <v>2022</v>
      </c>
      <c r="AD326" s="7">
        <v>1</v>
      </c>
      <c r="AE326" s="7">
        <v>14</v>
      </c>
      <c r="AF326" s="8">
        <v>0.5</v>
      </c>
      <c r="AG326" s="9">
        <v>0.2</v>
      </c>
      <c r="AH326" s="10">
        <f t="shared" si="19"/>
        <v>0</v>
      </c>
    </row>
    <row r="327" spans="11:34" ht="14.5" x14ac:dyDescent="0.35">
      <c r="K327" s="4"/>
      <c r="AC327" s="7">
        <v>2022</v>
      </c>
      <c r="AD327" s="7">
        <v>1</v>
      </c>
      <c r="AE327" s="7">
        <v>14</v>
      </c>
      <c r="AF327" s="8">
        <v>0.54166666666666663</v>
      </c>
      <c r="AG327" s="9">
        <v>0.2</v>
      </c>
      <c r="AH327" s="10">
        <f t="shared" si="19"/>
        <v>0</v>
      </c>
    </row>
    <row r="328" spans="11:34" ht="14.5" x14ac:dyDescent="0.35">
      <c r="K328" s="4"/>
      <c r="AC328" s="7">
        <v>2022</v>
      </c>
      <c r="AD328" s="7">
        <v>1</v>
      </c>
      <c r="AE328" s="7">
        <v>14</v>
      </c>
      <c r="AF328" s="8">
        <v>0.58333333333333337</v>
      </c>
      <c r="AG328" s="9">
        <v>0</v>
      </c>
      <c r="AH328" s="10">
        <f t="shared" si="19"/>
        <v>0</v>
      </c>
    </row>
    <row r="329" spans="11:34" ht="14.5" x14ac:dyDescent="0.35">
      <c r="K329" s="4"/>
      <c r="AC329" s="7">
        <v>2022</v>
      </c>
      <c r="AD329" s="7">
        <v>1</v>
      </c>
      <c r="AE329" s="7">
        <v>14</v>
      </c>
      <c r="AF329" s="8">
        <v>0.625</v>
      </c>
      <c r="AG329" s="9">
        <v>0.4</v>
      </c>
      <c r="AH329" s="10">
        <f t="shared" si="19"/>
        <v>0</v>
      </c>
    </row>
    <row r="330" spans="11:34" ht="14.5" x14ac:dyDescent="0.35">
      <c r="K330" s="4"/>
      <c r="AC330" s="7">
        <v>2022</v>
      </c>
      <c r="AD330" s="7">
        <v>1</v>
      </c>
      <c r="AE330" s="7">
        <v>14</v>
      </c>
      <c r="AF330" s="8">
        <v>0.66666666666666663</v>
      </c>
      <c r="AG330" s="9">
        <v>0.2</v>
      </c>
      <c r="AH330" s="10">
        <f t="shared" si="19"/>
        <v>0</v>
      </c>
    </row>
    <row r="331" spans="11:34" ht="14.5" x14ac:dyDescent="0.35">
      <c r="K331" s="4"/>
      <c r="AC331" s="7">
        <v>2022</v>
      </c>
      <c r="AD331" s="7">
        <v>1</v>
      </c>
      <c r="AE331" s="7">
        <v>14</v>
      </c>
      <c r="AF331" s="8">
        <v>0.70833333333333337</v>
      </c>
      <c r="AG331" s="9">
        <v>-0.2</v>
      </c>
      <c r="AH331" s="10">
        <f t="shared" ref="AH331:AH394" si="20">ROUND(AG331,0)</f>
        <v>0</v>
      </c>
    </row>
    <row r="332" spans="11:34" ht="14.5" x14ac:dyDescent="0.35">
      <c r="K332" s="4"/>
      <c r="AC332" s="7">
        <v>2022</v>
      </c>
      <c r="AD332" s="7">
        <v>1</v>
      </c>
      <c r="AE332" s="7">
        <v>14</v>
      </c>
      <c r="AF332" s="8">
        <v>0.75</v>
      </c>
      <c r="AG332" s="9">
        <v>-0.2</v>
      </c>
      <c r="AH332" s="10">
        <f t="shared" si="20"/>
        <v>0</v>
      </c>
    </row>
    <row r="333" spans="11:34" ht="14.5" x14ac:dyDescent="0.35">
      <c r="K333" s="4"/>
      <c r="AC333" s="7">
        <v>2022</v>
      </c>
      <c r="AD333" s="7">
        <v>1</v>
      </c>
      <c r="AE333" s="7">
        <v>14</v>
      </c>
      <c r="AF333" s="8">
        <v>0.79166666666666663</v>
      </c>
      <c r="AG333" s="9">
        <v>-0.5</v>
      </c>
      <c r="AH333" s="10">
        <f t="shared" si="20"/>
        <v>-1</v>
      </c>
    </row>
    <row r="334" spans="11:34" ht="14.5" x14ac:dyDescent="0.35">
      <c r="K334" s="4"/>
      <c r="AC334" s="7">
        <v>2022</v>
      </c>
      <c r="AD334" s="7">
        <v>1</v>
      </c>
      <c r="AE334" s="7">
        <v>14</v>
      </c>
      <c r="AF334" s="8">
        <v>0.83333333333333337</v>
      </c>
      <c r="AG334" s="9">
        <v>-1.2</v>
      </c>
      <c r="AH334" s="10">
        <f t="shared" si="20"/>
        <v>-1</v>
      </c>
    </row>
    <row r="335" spans="11:34" ht="14.5" x14ac:dyDescent="0.35">
      <c r="K335" s="4"/>
      <c r="AC335" s="7">
        <v>2022</v>
      </c>
      <c r="AD335" s="7">
        <v>1</v>
      </c>
      <c r="AE335" s="7">
        <v>14</v>
      </c>
      <c r="AF335" s="8">
        <v>0.875</v>
      </c>
      <c r="AG335" s="9">
        <v>-1.1000000000000001</v>
      </c>
      <c r="AH335" s="10">
        <f t="shared" si="20"/>
        <v>-1</v>
      </c>
    </row>
    <row r="336" spans="11:34" ht="14.5" x14ac:dyDescent="0.35">
      <c r="K336" s="4"/>
      <c r="AC336" s="7">
        <v>2022</v>
      </c>
      <c r="AD336" s="7">
        <v>1</v>
      </c>
      <c r="AE336" s="7">
        <v>14</v>
      </c>
      <c r="AF336" s="8">
        <v>0.91666666666666663</v>
      </c>
      <c r="AG336" s="9">
        <v>4.7</v>
      </c>
      <c r="AH336" s="10">
        <f t="shared" si="20"/>
        <v>5</v>
      </c>
    </row>
    <row r="337" spans="11:34" ht="14.5" x14ac:dyDescent="0.35">
      <c r="K337" s="4"/>
      <c r="AC337" s="7">
        <v>2022</v>
      </c>
      <c r="AD337" s="7">
        <v>1</v>
      </c>
      <c r="AE337" s="7">
        <v>14</v>
      </c>
      <c r="AF337" s="8">
        <v>0.95833333333333337</v>
      </c>
      <c r="AG337" s="9">
        <v>7.8</v>
      </c>
      <c r="AH337" s="10">
        <f t="shared" si="20"/>
        <v>8</v>
      </c>
    </row>
    <row r="338" spans="11:34" ht="14.5" x14ac:dyDescent="0.35">
      <c r="K338" s="4"/>
      <c r="AC338" s="7">
        <v>2022</v>
      </c>
      <c r="AD338" s="7">
        <v>1</v>
      </c>
      <c r="AE338" s="7">
        <v>15</v>
      </c>
      <c r="AF338" s="8">
        <v>0</v>
      </c>
      <c r="AG338" s="9">
        <v>7.6</v>
      </c>
      <c r="AH338" s="10">
        <f t="shared" si="20"/>
        <v>8</v>
      </c>
    </row>
    <row r="339" spans="11:34" ht="14.5" x14ac:dyDescent="0.35">
      <c r="K339" s="4"/>
      <c r="AC339" s="7">
        <v>2022</v>
      </c>
      <c r="AD339" s="7">
        <v>1</v>
      </c>
      <c r="AE339" s="7">
        <v>15</v>
      </c>
      <c r="AF339" s="8">
        <v>4.1666666666666664E-2</v>
      </c>
      <c r="AG339" s="9">
        <v>7.8</v>
      </c>
      <c r="AH339" s="10">
        <f t="shared" si="20"/>
        <v>8</v>
      </c>
    </row>
    <row r="340" spans="11:34" ht="14.5" x14ac:dyDescent="0.35">
      <c r="K340" s="4"/>
      <c r="AC340" s="7">
        <v>2022</v>
      </c>
      <c r="AD340" s="7">
        <v>1</v>
      </c>
      <c r="AE340" s="7">
        <v>15</v>
      </c>
      <c r="AF340" s="8">
        <v>8.3333333333333329E-2</v>
      </c>
      <c r="AG340" s="9">
        <v>7.2</v>
      </c>
      <c r="AH340" s="10">
        <f t="shared" si="20"/>
        <v>7</v>
      </c>
    </row>
    <row r="341" spans="11:34" ht="14.5" x14ac:dyDescent="0.35">
      <c r="K341" s="4"/>
      <c r="AC341" s="7">
        <v>2022</v>
      </c>
      <c r="AD341" s="7">
        <v>1</v>
      </c>
      <c r="AE341" s="7">
        <v>15</v>
      </c>
      <c r="AF341" s="8">
        <v>0.125</v>
      </c>
      <c r="AG341" s="9">
        <v>7.8</v>
      </c>
      <c r="AH341" s="10">
        <f t="shared" si="20"/>
        <v>8</v>
      </c>
    </row>
    <row r="342" spans="11:34" ht="14.5" x14ac:dyDescent="0.35">
      <c r="K342" s="4"/>
      <c r="AC342" s="7">
        <v>2022</v>
      </c>
      <c r="AD342" s="7">
        <v>1</v>
      </c>
      <c r="AE342" s="7">
        <v>15</v>
      </c>
      <c r="AF342" s="8">
        <v>0.16666666666666666</v>
      </c>
      <c r="AG342" s="9">
        <v>6.1</v>
      </c>
      <c r="AH342" s="10">
        <f t="shared" si="20"/>
        <v>6</v>
      </c>
    </row>
    <row r="343" spans="11:34" ht="14.5" x14ac:dyDescent="0.35">
      <c r="K343" s="4"/>
      <c r="AC343" s="7">
        <v>2022</v>
      </c>
      <c r="AD343" s="7">
        <v>1</v>
      </c>
      <c r="AE343" s="7">
        <v>15</v>
      </c>
      <c r="AF343" s="8">
        <v>0.20833333333333334</v>
      </c>
      <c r="AG343" s="9">
        <v>4.3</v>
      </c>
      <c r="AH343" s="10">
        <f t="shared" si="20"/>
        <v>4</v>
      </c>
    </row>
    <row r="344" spans="11:34" ht="14.5" x14ac:dyDescent="0.35">
      <c r="K344" s="4"/>
      <c r="AC344" s="7">
        <v>2022</v>
      </c>
      <c r="AD344" s="7">
        <v>1</v>
      </c>
      <c r="AE344" s="7">
        <v>15</v>
      </c>
      <c r="AF344" s="8">
        <v>0.25</v>
      </c>
      <c r="AG344" s="9">
        <v>5</v>
      </c>
      <c r="AH344" s="10">
        <f t="shared" si="20"/>
        <v>5</v>
      </c>
    </row>
    <row r="345" spans="11:34" ht="14.5" x14ac:dyDescent="0.35">
      <c r="K345" s="4"/>
      <c r="AC345" s="7">
        <v>2022</v>
      </c>
      <c r="AD345" s="7">
        <v>1</v>
      </c>
      <c r="AE345" s="7">
        <v>15</v>
      </c>
      <c r="AF345" s="8">
        <v>0.29166666666666669</v>
      </c>
      <c r="AG345" s="9">
        <v>6</v>
      </c>
      <c r="AH345" s="10">
        <f t="shared" si="20"/>
        <v>6</v>
      </c>
    </row>
    <row r="346" spans="11:34" ht="14.5" x14ac:dyDescent="0.35">
      <c r="K346" s="4"/>
      <c r="AC346" s="7">
        <v>2022</v>
      </c>
      <c r="AD346" s="7">
        <v>1</v>
      </c>
      <c r="AE346" s="7">
        <v>15</v>
      </c>
      <c r="AF346" s="8">
        <v>0.33333333333333331</v>
      </c>
      <c r="AG346" s="9">
        <v>6</v>
      </c>
      <c r="AH346" s="10">
        <f t="shared" si="20"/>
        <v>6</v>
      </c>
    </row>
    <row r="347" spans="11:34" ht="14.5" x14ac:dyDescent="0.35">
      <c r="K347" s="4"/>
      <c r="AC347" s="7">
        <v>2022</v>
      </c>
      <c r="AD347" s="7">
        <v>1</v>
      </c>
      <c r="AE347" s="7">
        <v>15</v>
      </c>
      <c r="AF347" s="8">
        <v>0.375</v>
      </c>
      <c r="AG347" s="9">
        <v>6.4</v>
      </c>
      <c r="AH347" s="10">
        <f t="shared" si="20"/>
        <v>6</v>
      </c>
    </row>
    <row r="348" spans="11:34" ht="14.5" x14ac:dyDescent="0.35">
      <c r="K348" s="4"/>
      <c r="AC348" s="7">
        <v>2022</v>
      </c>
      <c r="AD348" s="7">
        <v>1</v>
      </c>
      <c r="AE348" s="7">
        <v>15</v>
      </c>
      <c r="AF348" s="8">
        <v>0.41666666666666669</v>
      </c>
      <c r="AG348" s="9">
        <v>6.8</v>
      </c>
      <c r="AH348" s="10">
        <f t="shared" si="20"/>
        <v>7</v>
      </c>
    </row>
    <row r="349" spans="11:34" ht="14.5" x14ac:dyDescent="0.35">
      <c r="K349" s="4"/>
      <c r="AC349" s="7">
        <v>2022</v>
      </c>
      <c r="AD349" s="7">
        <v>1</v>
      </c>
      <c r="AE349" s="7">
        <v>15</v>
      </c>
      <c r="AF349" s="8">
        <v>0.45833333333333331</v>
      </c>
      <c r="AG349" s="9">
        <v>7.4</v>
      </c>
      <c r="AH349" s="10">
        <f t="shared" si="20"/>
        <v>7</v>
      </c>
    </row>
    <row r="350" spans="11:34" ht="14.5" x14ac:dyDescent="0.35">
      <c r="K350" s="4"/>
      <c r="AC350" s="7">
        <v>2022</v>
      </c>
      <c r="AD350" s="7">
        <v>1</v>
      </c>
      <c r="AE350" s="7">
        <v>15</v>
      </c>
      <c r="AF350" s="8">
        <v>0.5</v>
      </c>
      <c r="AG350" s="9">
        <v>7.6</v>
      </c>
      <c r="AH350" s="10">
        <f t="shared" si="20"/>
        <v>8</v>
      </c>
    </row>
    <row r="351" spans="11:34" ht="14.5" x14ac:dyDescent="0.35">
      <c r="K351" s="4"/>
      <c r="AC351" s="7">
        <v>2022</v>
      </c>
      <c r="AD351" s="7">
        <v>1</v>
      </c>
      <c r="AE351" s="7">
        <v>15</v>
      </c>
      <c r="AF351" s="8">
        <v>0.54166666666666663</v>
      </c>
      <c r="AG351" s="9">
        <v>8.3000000000000007</v>
      </c>
      <c r="AH351" s="10">
        <f t="shared" si="20"/>
        <v>8</v>
      </c>
    </row>
    <row r="352" spans="11:34" ht="14.5" x14ac:dyDescent="0.35">
      <c r="K352" s="4"/>
      <c r="AC352" s="7">
        <v>2022</v>
      </c>
      <c r="AD352" s="7">
        <v>1</v>
      </c>
      <c r="AE352" s="7">
        <v>15</v>
      </c>
      <c r="AF352" s="8">
        <v>0.58333333333333337</v>
      </c>
      <c r="AG352" s="9">
        <v>8.1999999999999993</v>
      </c>
      <c r="AH352" s="10">
        <f t="shared" si="20"/>
        <v>8</v>
      </c>
    </row>
    <row r="353" spans="11:34" ht="14.5" x14ac:dyDescent="0.35">
      <c r="K353" s="4"/>
      <c r="AC353" s="7">
        <v>2022</v>
      </c>
      <c r="AD353" s="7">
        <v>1</v>
      </c>
      <c r="AE353" s="7">
        <v>15</v>
      </c>
      <c r="AF353" s="8">
        <v>0.625</v>
      </c>
      <c r="AG353" s="9">
        <v>8.5</v>
      </c>
      <c r="AH353" s="10">
        <f t="shared" si="20"/>
        <v>9</v>
      </c>
    </row>
    <row r="354" spans="11:34" ht="14.5" x14ac:dyDescent="0.35">
      <c r="K354" s="4"/>
      <c r="AC354" s="7">
        <v>2022</v>
      </c>
      <c r="AD354" s="7">
        <v>1</v>
      </c>
      <c r="AE354" s="7">
        <v>15</v>
      </c>
      <c r="AF354" s="8">
        <v>0.66666666666666663</v>
      </c>
      <c r="AG354" s="9">
        <v>7.6</v>
      </c>
      <c r="AH354" s="10">
        <f t="shared" si="20"/>
        <v>8</v>
      </c>
    </row>
    <row r="355" spans="11:34" ht="14.5" x14ac:dyDescent="0.35">
      <c r="K355" s="4"/>
      <c r="AC355" s="7">
        <v>2022</v>
      </c>
      <c r="AD355" s="7">
        <v>1</v>
      </c>
      <c r="AE355" s="7">
        <v>15</v>
      </c>
      <c r="AF355" s="8">
        <v>0.70833333333333337</v>
      </c>
      <c r="AG355" s="9">
        <v>5.9</v>
      </c>
      <c r="AH355" s="10">
        <f t="shared" si="20"/>
        <v>6</v>
      </c>
    </row>
    <row r="356" spans="11:34" ht="14.5" x14ac:dyDescent="0.35">
      <c r="K356" s="4"/>
      <c r="AC356" s="7">
        <v>2022</v>
      </c>
      <c r="AD356" s="7">
        <v>1</v>
      </c>
      <c r="AE356" s="7">
        <v>15</v>
      </c>
      <c r="AF356" s="8">
        <v>0.75</v>
      </c>
      <c r="AG356" s="9">
        <v>5.3</v>
      </c>
      <c r="AH356" s="10">
        <f t="shared" si="20"/>
        <v>5</v>
      </c>
    </row>
    <row r="357" spans="11:34" ht="14.5" x14ac:dyDescent="0.35">
      <c r="K357" s="4"/>
      <c r="AC357" s="7">
        <v>2022</v>
      </c>
      <c r="AD357" s="7">
        <v>1</v>
      </c>
      <c r="AE357" s="7">
        <v>15</v>
      </c>
      <c r="AF357" s="8">
        <v>0.79166666666666663</v>
      </c>
      <c r="AG357" s="9">
        <v>3</v>
      </c>
      <c r="AH357" s="10">
        <f t="shared" si="20"/>
        <v>3</v>
      </c>
    </row>
    <row r="358" spans="11:34" ht="14.5" x14ac:dyDescent="0.35">
      <c r="K358" s="4"/>
      <c r="AC358" s="7">
        <v>2022</v>
      </c>
      <c r="AD358" s="7">
        <v>1</v>
      </c>
      <c r="AE358" s="7">
        <v>15</v>
      </c>
      <c r="AF358" s="8">
        <v>0.83333333333333337</v>
      </c>
      <c r="AG358" s="9">
        <v>2.1</v>
      </c>
      <c r="AH358" s="10">
        <f t="shared" si="20"/>
        <v>2</v>
      </c>
    </row>
    <row r="359" spans="11:34" ht="14.5" x14ac:dyDescent="0.35">
      <c r="K359" s="4"/>
      <c r="AC359" s="7">
        <v>2022</v>
      </c>
      <c r="AD359" s="7">
        <v>1</v>
      </c>
      <c r="AE359" s="7">
        <v>15</v>
      </c>
      <c r="AF359" s="8">
        <v>0.875</v>
      </c>
      <c r="AG359" s="9">
        <v>1.5</v>
      </c>
      <c r="AH359" s="10">
        <f t="shared" si="20"/>
        <v>2</v>
      </c>
    </row>
    <row r="360" spans="11:34" ht="14.5" x14ac:dyDescent="0.35">
      <c r="K360" s="4"/>
      <c r="AC360" s="7">
        <v>2022</v>
      </c>
      <c r="AD360" s="7">
        <v>1</v>
      </c>
      <c r="AE360" s="7">
        <v>15</v>
      </c>
      <c r="AF360" s="8">
        <v>0.91666666666666663</v>
      </c>
      <c r="AG360" s="9">
        <v>0.7</v>
      </c>
      <c r="AH360" s="10">
        <f t="shared" si="20"/>
        <v>1</v>
      </c>
    </row>
    <row r="361" spans="11:34" ht="14.5" x14ac:dyDescent="0.35">
      <c r="K361" s="4"/>
      <c r="AC361" s="7">
        <v>2022</v>
      </c>
      <c r="AD361" s="7">
        <v>1</v>
      </c>
      <c r="AE361" s="7">
        <v>15</v>
      </c>
      <c r="AF361" s="8">
        <v>0.95833333333333337</v>
      </c>
      <c r="AG361" s="9">
        <v>-1</v>
      </c>
      <c r="AH361" s="10">
        <f t="shared" si="20"/>
        <v>-1</v>
      </c>
    </row>
    <row r="362" spans="11:34" ht="14.5" x14ac:dyDescent="0.35">
      <c r="K362" s="4"/>
      <c r="AC362" s="7">
        <v>2022</v>
      </c>
      <c r="AD362" s="7">
        <v>1</v>
      </c>
      <c r="AE362" s="7">
        <v>16</v>
      </c>
      <c r="AF362" s="8">
        <v>0</v>
      </c>
      <c r="AG362" s="9">
        <v>-0.3</v>
      </c>
      <c r="AH362" s="10">
        <f t="shared" si="20"/>
        <v>0</v>
      </c>
    </row>
    <row r="363" spans="11:34" ht="14.5" x14ac:dyDescent="0.35">
      <c r="K363" s="4"/>
      <c r="AC363" s="7">
        <v>2022</v>
      </c>
      <c r="AD363" s="7">
        <v>1</v>
      </c>
      <c r="AE363" s="7">
        <v>16</v>
      </c>
      <c r="AF363" s="8">
        <v>4.1666666666666664E-2</v>
      </c>
      <c r="AG363" s="9">
        <v>-1.4</v>
      </c>
      <c r="AH363" s="10">
        <f t="shared" si="20"/>
        <v>-1</v>
      </c>
    </row>
    <row r="364" spans="11:34" ht="14.5" x14ac:dyDescent="0.35">
      <c r="K364" s="4"/>
      <c r="AC364" s="7">
        <v>2022</v>
      </c>
      <c r="AD364" s="7">
        <v>1</v>
      </c>
      <c r="AE364" s="7">
        <v>16</v>
      </c>
      <c r="AF364" s="8">
        <v>8.3333333333333329E-2</v>
      </c>
      <c r="AG364" s="9">
        <v>-1.9</v>
      </c>
      <c r="AH364" s="10">
        <f t="shared" si="20"/>
        <v>-2</v>
      </c>
    </row>
    <row r="365" spans="11:34" ht="14.5" x14ac:dyDescent="0.35">
      <c r="K365" s="4"/>
      <c r="AC365" s="7">
        <v>2022</v>
      </c>
      <c r="AD365" s="7">
        <v>1</v>
      </c>
      <c r="AE365" s="7">
        <v>16</v>
      </c>
      <c r="AF365" s="8">
        <v>0.125</v>
      </c>
      <c r="AG365" s="9">
        <v>-2.2999999999999998</v>
      </c>
      <c r="AH365" s="10">
        <f t="shared" si="20"/>
        <v>-2</v>
      </c>
    </row>
    <row r="366" spans="11:34" ht="14.5" x14ac:dyDescent="0.35">
      <c r="K366" s="4"/>
      <c r="AC366" s="7">
        <v>2022</v>
      </c>
      <c r="AD366" s="7">
        <v>1</v>
      </c>
      <c r="AE366" s="7">
        <v>16</v>
      </c>
      <c r="AF366" s="8">
        <v>0.16666666666666666</v>
      </c>
      <c r="AG366" s="9">
        <v>0.5</v>
      </c>
      <c r="AH366" s="10">
        <f t="shared" si="20"/>
        <v>1</v>
      </c>
    </row>
    <row r="367" spans="11:34" ht="14.5" x14ac:dyDescent="0.35">
      <c r="K367" s="4"/>
      <c r="AC367" s="7">
        <v>2022</v>
      </c>
      <c r="AD367" s="7">
        <v>1</v>
      </c>
      <c r="AE367" s="7">
        <v>16</v>
      </c>
      <c r="AF367" s="8">
        <v>0.20833333333333334</v>
      </c>
      <c r="AG367" s="9">
        <v>-2.8</v>
      </c>
      <c r="AH367" s="10">
        <f t="shared" si="20"/>
        <v>-3</v>
      </c>
    </row>
    <row r="368" spans="11:34" ht="14.5" x14ac:dyDescent="0.35">
      <c r="K368" s="4"/>
      <c r="AC368" s="7">
        <v>2022</v>
      </c>
      <c r="AD368" s="7">
        <v>1</v>
      </c>
      <c r="AE368" s="7">
        <v>16</v>
      </c>
      <c r="AF368" s="8">
        <v>0.25</v>
      </c>
      <c r="AG368" s="9">
        <v>-4</v>
      </c>
      <c r="AH368" s="10">
        <f t="shared" si="20"/>
        <v>-4</v>
      </c>
    </row>
    <row r="369" spans="11:34" ht="14.5" x14ac:dyDescent="0.35">
      <c r="K369" s="4"/>
      <c r="AC369" s="7">
        <v>2022</v>
      </c>
      <c r="AD369" s="7">
        <v>1</v>
      </c>
      <c r="AE369" s="7">
        <v>16</v>
      </c>
      <c r="AF369" s="8">
        <v>0.29166666666666669</v>
      </c>
      <c r="AG369" s="9">
        <v>-4.5</v>
      </c>
      <c r="AH369" s="10">
        <f t="shared" si="20"/>
        <v>-5</v>
      </c>
    </row>
    <row r="370" spans="11:34" ht="14.5" x14ac:dyDescent="0.35">
      <c r="K370" s="4"/>
      <c r="AC370" s="7">
        <v>2022</v>
      </c>
      <c r="AD370" s="7">
        <v>1</v>
      </c>
      <c r="AE370" s="7">
        <v>16</v>
      </c>
      <c r="AF370" s="8">
        <v>0.33333333333333331</v>
      </c>
      <c r="AG370" s="9">
        <v>-5.9</v>
      </c>
      <c r="AH370" s="10">
        <f t="shared" si="20"/>
        <v>-6</v>
      </c>
    </row>
    <row r="371" spans="11:34" ht="14.5" x14ac:dyDescent="0.35">
      <c r="K371" s="4"/>
      <c r="AC371" s="7">
        <v>2022</v>
      </c>
      <c r="AD371" s="7">
        <v>1</v>
      </c>
      <c r="AE371" s="7">
        <v>16</v>
      </c>
      <c r="AF371" s="8">
        <v>0.375</v>
      </c>
      <c r="AG371" s="9">
        <v>-3.3</v>
      </c>
      <c r="AH371" s="10">
        <f t="shared" si="20"/>
        <v>-3</v>
      </c>
    </row>
    <row r="372" spans="11:34" ht="14.5" x14ac:dyDescent="0.35">
      <c r="K372" s="4"/>
      <c r="AC372" s="7">
        <v>2022</v>
      </c>
      <c r="AD372" s="7">
        <v>1</v>
      </c>
      <c r="AE372" s="7">
        <v>16</v>
      </c>
      <c r="AF372" s="8">
        <v>0.41666666666666669</v>
      </c>
      <c r="AG372" s="9">
        <v>-1.9</v>
      </c>
      <c r="AH372" s="10">
        <f t="shared" si="20"/>
        <v>-2</v>
      </c>
    </row>
    <row r="373" spans="11:34" ht="14.5" x14ac:dyDescent="0.35">
      <c r="K373" s="4"/>
      <c r="AC373" s="7">
        <v>2022</v>
      </c>
      <c r="AD373" s="7">
        <v>1</v>
      </c>
      <c r="AE373" s="7">
        <v>16</v>
      </c>
      <c r="AF373" s="8">
        <v>0.45833333333333331</v>
      </c>
      <c r="AG373" s="9">
        <v>0.8</v>
      </c>
      <c r="AH373" s="10">
        <f t="shared" si="20"/>
        <v>1</v>
      </c>
    </row>
    <row r="374" spans="11:34" ht="14.5" x14ac:dyDescent="0.35">
      <c r="K374" s="4"/>
      <c r="AC374" s="7">
        <v>2022</v>
      </c>
      <c r="AD374" s="7">
        <v>1</v>
      </c>
      <c r="AE374" s="7">
        <v>16</v>
      </c>
      <c r="AF374" s="8">
        <v>0.5</v>
      </c>
      <c r="AG374" s="9">
        <v>1.7</v>
      </c>
      <c r="AH374" s="10">
        <f t="shared" si="20"/>
        <v>2</v>
      </c>
    </row>
    <row r="375" spans="11:34" ht="14.5" x14ac:dyDescent="0.35">
      <c r="K375" s="4"/>
      <c r="AC375" s="7">
        <v>2022</v>
      </c>
      <c r="AD375" s="7">
        <v>1</v>
      </c>
      <c r="AE375" s="7">
        <v>16</v>
      </c>
      <c r="AF375" s="8">
        <v>0.54166666666666663</v>
      </c>
      <c r="AG375" s="9">
        <v>1.3</v>
      </c>
      <c r="AH375" s="10">
        <f t="shared" si="20"/>
        <v>1</v>
      </c>
    </row>
    <row r="376" spans="11:34" ht="14.5" x14ac:dyDescent="0.35">
      <c r="K376" s="4"/>
      <c r="AC376" s="7">
        <v>2022</v>
      </c>
      <c r="AD376" s="7">
        <v>1</v>
      </c>
      <c r="AE376" s="7">
        <v>16</v>
      </c>
      <c r="AF376" s="8">
        <v>0.58333333333333337</v>
      </c>
      <c r="AG376" s="9">
        <v>1</v>
      </c>
      <c r="AH376" s="10">
        <f t="shared" si="20"/>
        <v>1</v>
      </c>
    </row>
    <row r="377" spans="11:34" ht="14.5" x14ac:dyDescent="0.35">
      <c r="K377" s="4"/>
      <c r="AC377" s="7">
        <v>2022</v>
      </c>
      <c r="AD377" s="7">
        <v>1</v>
      </c>
      <c r="AE377" s="7">
        <v>16</v>
      </c>
      <c r="AF377" s="8">
        <v>0.625</v>
      </c>
      <c r="AG377" s="9">
        <v>0.5</v>
      </c>
      <c r="AH377" s="10">
        <f t="shared" si="20"/>
        <v>1</v>
      </c>
    </row>
    <row r="378" spans="11:34" ht="14.5" x14ac:dyDescent="0.35">
      <c r="K378" s="4"/>
      <c r="AC378" s="7">
        <v>2022</v>
      </c>
      <c r="AD378" s="7">
        <v>1</v>
      </c>
      <c r="AE378" s="7">
        <v>16</v>
      </c>
      <c r="AF378" s="8">
        <v>0.66666666666666663</v>
      </c>
      <c r="AG378" s="9">
        <v>0.5</v>
      </c>
      <c r="AH378" s="10">
        <f t="shared" si="20"/>
        <v>1</v>
      </c>
    </row>
    <row r="379" spans="11:34" ht="14.5" x14ac:dyDescent="0.35">
      <c r="K379" s="4"/>
      <c r="AC379" s="7">
        <v>2022</v>
      </c>
      <c r="AD379" s="7">
        <v>1</v>
      </c>
      <c r="AE379" s="7">
        <v>16</v>
      </c>
      <c r="AF379" s="8">
        <v>0.70833333333333337</v>
      </c>
      <c r="AG379" s="9">
        <v>0.1</v>
      </c>
      <c r="AH379" s="10">
        <f t="shared" si="20"/>
        <v>0</v>
      </c>
    </row>
    <row r="380" spans="11:34" ht="14.5" x14ac:dyDescent="0.35">
      <c r="K380" s="4"/>
      <c r="AC380" s="7">
        <v>2022</v>
      </c>
      <c r="AD380" s="7">
        <v>1</v>
      </c>
      <c r="AE380" s="7">
        <v>16</v>
      </c>
      <c r="AF380" s="8">
        <v>0.75</v>
      </c>
      <c r="AG380" s="9">
        <v>-1.5</v>
      </c>
      <c r="AH380" s="10">
        <f t="shared" si="20"/>
        <v>-2</v>
      </c>
    </row>
    <row r="381" spans="11:34" ht="14.5" x14ac:dyDescent="0.35">
      <c r="K381" s="4"/>
      <c r="AC381" s="7">
        <v>2022</v>
      </c>
      <c r="AD381" s="7">
        <v>1</v>
      </c>
      <c r="AE381" s="7">
        <v>16</v>
      </c>
      <c r="AF381" s="8">
        <v>0.79166666666666663</v>
      </c>
      <c r="AG381" s="9">
        <v>-1.3</v>
      </c>
      <c r="AH381" s="10">
        <f t="shared" si="20"/>
        <v>-1</v>
      </c>
    </row>
    <row r="382" spans="11:34" ht="14.5" x14ac:dyDescent="0.35">
      <c r="K382" s="4"/>
      <c r="AC382" s="7">
        <v>2022</v>
      </c>
      <c r="AD382" s="7">
        <v>1</v>
      </c>
      <c r="AE382" s="7">
        <v>16</v>
      </c>
      <c r="AF382" s="8">
        <v>0.83333333333333337</v>
      </c>
      <c r="AG382" s="9">
        <v>0.4</v>
      </c>
      <c r="AH382" s="10">
        <f t="shared" si="20"/>
        <v>0</v>
      </c>
    </row>
    <row r="383" spans="11:34" ht="14.5" x14ac:dyDescent="0.35">
      <c r="K383" s="4"/>
      <c r="AC383" s="7">
        <v>2022</v>
      </c>
      <c r="AD383" s="7">
        <v>1</v>
      </c>
      <c r="AE383" s="7">
        <v>16</v>
      </c>
      <c r="AF383" s="8">
        <v>0.875</v>
      </c>
      <c r="AG383" s="9">
        <v>2.8</v>
      </c>
      <c r="AH383" s="10">
        <f t="shared" si="20"/>
        <v>3</v>
      </c>
    </row>
    <row r="384" spans="11:34" ht="14.5" x14ac:dyDescent="0.35">
      <c r="K384" s="4"/>
      <c r="AC384" s="7">
        <v>2022</v>
      </c>
      <c r="AD384" s="7">
        <v>1</v>
      </c>
      <c r="AE384" s="7">
        <v>16</v>
      </c>
      <c r="AF384" s="8">
        <v>0.91666666666666663</v>
      </c>
      <c r="AG384" s="9">
        <v>2.2000000000000002</v>
      </c>
      <c r="AH384" s="10">
        <f t="shared" si="20"/>
        <v>2</v>
      </c>
    </row>
    <row r="385" spans="11:34" ht="14.5" x14ac:dyDescent="0.35">
      <c r="K385" s="4"/>
      <c r="AC385" s="7">
        <v>2022</v>
      </c>
      <c r="AD385" s="7">
        <v>1</v>
      </c>
      <c r="AE385" s="7">
        <v>16</v>
      </c>
      <c r="AF385" s="8">
        <v>0.95833333333333337</v>
      </c>
      <c r="AG385" s="9">
        <v>5.4</v>
      </c>
      <c r="AH385" s="10">
        <f t="shared" si="20"/>
        <v>5</v>
      </c>
    </row>
    <row r="386" spans="11:34" ht="14.5" x14ac:dyDescent="0.35">
      <c r="K386" s="4"/>
      <c r="AC386" s="7">
        <v>2022</v>
      </c>
      <c r="AD386" s="7">
        <v>1</v>
      </c>
      <c r="AE386" s="7">
        <v>17</v>
      </c>
      <c r="AF386" s="8">
        <v>0</v>
      </c>
      <c r="AG386" s="9">
        <v>6.7</v>
      </c>
      <c r="AH386" s="10">
        <f t="shared" si="20"/>
        <v>7</v>
      </c>
    </row>
    <row r="387" spans="11:34" ht="14.5" x14ac:dyDescent="0.35">
      <c r="K387" s="4"/>
      <c r="AC387" s="7">
        <v>2022</v>
      </c>
      <c r="AD387" s="7">
        <v>1</v>
      </c>
      <c r="AE387" s="7">
        <v>17</v>
      </c>
      <c r="AF387" s="8">
        <v>4.1666666666666664E-2</v>
      </c>
      <c r="AG387" s="9">
        <v>8.5</v>
      </c>
      <c r="AH387" s="10">
        <f t="shared" si="20"/>
        <v>9</v>
      </c>
    </row>
    <row r="388" spans="11:34" ht="14.5" x14ac:dyDescent="0.35">
      <c r="K388" s="4"/>
      <c r="AC388" s="7">
        <v>2022</v>
      </c>
      <c r="AD388" s="7">
        <v>1</v>
      </c>
      <c r="AE388" s="7">
        <v>17</v>
      </c>
      <c r="AF388" s="8">
        <v>8.3333333333333329E-2</v>
      </c>
      <c r="AG388" s="9">
        <v>8.6</v>
      </c>
      <c r="AH388" s="10">
        <f t="shared" si="20"/>
        <v>9</v>
      </c>
    </row>
    <row r="389" spans="11:34" ht="14.5" x14ac:dyDescent="0.35">
      <c r="K389" s="4"/>
      <c r="AC389" s="7">
        <v>2022</v>
      </c>
      <c r="AD389" s="7">
        <v>1</v>
      </c>
      <c r="AE389" s="7">
        <v>17</v>
      </c>
      <c r="AF389" s="8">
        <v>0.125</v>
      </c>
      <c r="AG389" s="9">
        <v>7.9</v>
      </c>
      <c r="AH389" s="10">
        <f t="shared" si="20"/>
        <v>8</v>
      </c>
    </row>
    <row r="390" spans="11:34" ht="14.5" x14ac:dyDescent="0.35">
      <c r="K390" s="4"/>
      <c r="AC390" s="7">
        <v>2022</v>
      </c>
      <c r="AD390" s="7">
        <v>1</v>
      </c>
      <c r="AE390" s="7">
        <v>17</v>
      </c>
      <c r="AF390" s="8">
        <v>0.16666666666666666</v>
      </c>
      <c r="AG390" s="9">
        <v>6.6</v>
      </c>
      <c r="AH390" s="10">
        <f t="shared" si="20"/>
        <v>7</v>
      </c>
    </row>
    <row r="391" spans="11:34" ht="14.5" x14ac:dyDescent="0.35">
      <c r="K391" s="4"/>
      <c r="AC391" s="7">
        <v>2022</v>
      </c>
      <c r="AD391" s="7">
        <v>1</v>
      </c>
      <c r="AE391" s="7">
        <v>17</v>
      </c>
      <c r="AF391" s="8">
        <v>0.20833333333333334</v>
      </c>
      <c r="AG391" s="9">
        <v>7.3</v>
      </c>
      <c r="AH391" s="10">
        <f t="shared" si="20"/>
        <v>7</v>
      </c>
    </row>
    <row r="392" spans="11:34" ht="14.5" x14ac:dyDescent="0.35">
      <c r="K392" s="4"/>
      <c r="AC392" s="7">
        <v>2022</v>
      </c>
      <c r="AD392" s="7">
        <v>1</v>
      </c>
      <c r="AE392" s="7">
        <v>17</v>
      </c>
      <c r="AF392" s="8">
        <v>0.25</v>
      </c>
      <c r="AG392" s="9">
        <v>7.2</v>
      </c>
      <c r="AH392" s="10">
        <f t="shared" si="20"/>
        <v>7</v>
      </c>
    </row>
    <row r="393" spans="11:34" ht="14.5" x14ac:dyDescent="0.35">
      <c r="K393" s="4"/>
      <c r="AC393" s="7">
        <v>2022</v>
      </c>
      <c r="AD393" s="7">
        <v>1</v>
      </c>
      <c r="AE393" s="7">
        <v>17</v>
      </c>
      <c r="AF393" s="8">
        <v>0.29166666666666669</v>
      </c>
      <c r="AG393" s="9">
        <v>6.6</v>
      </c>
      <c r="AH393" s="10">
        <f t="shared" si="20"/>
        <v>7</v>
      </c>
    </row>
    <row r="394" spans="11:34" ht="14.5" x14ac:dyDescent="0.35">
      <c r="K394" s="4"/>
      <c r="AC394" s="7">
        <v>2022</v>
      </c>
      <c r="AD394" s="7">
        <v>1</v>
      </c>
      <c r="AE394" s="7">
        <v>17</v>
      </c>
      <c r="AF394" s="8">
        <v>0.33333333333333331</v>
      </c>
      <c r="AG394" s="9">
        <v>5.0999999999999996</v>
      </c>
      <c r="AH394" s="10">
        <f t="shared" si="20"/>
        <v>5</v>
      </c>
    </row>
    <row r="395" spans="11:34" ht="14.5" x14ac:dyDescent="0.35">
      <c r="K395" s="4"/>
      <c r="AC395" s="7">
        <v>2022</v>
      </c>
      <c r="AD395" s="7">
        <v>1</v>
      </c>
      <c r="AE395" s="7">
        <v>17</v>
      </c>
      <c r="AF395" s="8">
        <v>0.375</v>
      </c>
      <c r="AG395" s="9">
        <v>7.9</v>
      </c>
      <c r="AH395" s="10">
        <f t="shared" ref="AH395:AH458" si="21">ROUND(AG395,0)</f>
        <v>8</v>
      </c>
    </row>
    <row r="396" spans="11:34" ht="14.5" x14ac:dyDescent="0.35">
      <c r="K396" s="4"/>
      <c r="AC396" s="7">
        <v>2022</v>
      </c>
      <c r="AD396" s="7">
        <v>1</v>
      </c>
      <c r="AE396" s="7">
        <v>17</v>
      </c>
      <c r="AF396" s="8">
        <v>0.41666666666666669</v>
      </c>
      <c r="AG396" s="9">
        <v>8.6999999999999993</v>
      </c>
      <c r="AH396" s="10">
        <f t="shared" si="21"/>
        <v>9</v>
      </c>
    </row>
    <row r="397" spans="11:34" ht="14.5" x14ac:dyDescent="0.35">
      <c r="K397" s="4"/>
      <c r="AC397" s="7">
        <v>2022</v>
      </c>
      <c r="AD397" s="7">
        <v>1</v>
      </c>
      <c r="AE397" s="7">
        <v>17</v>
      </c>
      <c r="AF397" s="8">
        <v>0.45833333333333331</v>
      </c>
      <c r="AG397" s="9">
        <v>8.4</v>
      </c>
      <c r="AH397" s="10">
        <f t="shared" si="21"/>
        <v>8</v>
      </c>
    </row>
    <row r="398" spans="11:34" ht="14.5" x14ac:dyDescent="0.35">
      <c r="K398" s="4"/>
      <c r="AC398" s="7">
        <v>2022</v>
      </c>
      <c r="AD398" s="7">
        <v>1</v>
      </c>
      <c r="AE398" s="7">
        <v>17</v>
      </c>
      <c r="AF398" s="8">
        <v>0.5</v>
      </c>
      <c r="AG398" s="9">
        <v>10.8</v>
      </c>
      <c r="AH398" s="10">
        <f t="shared" si="21"/>
        <v>11</v>
      </c>
    </row>
    <row r="399" spans="11:34" ht="14.5" x14ac:dyDescent="0.35">
      <c r="K399" s="4"/>
      <c r="AC399" s="7">
        <v>2022</v>
      </c>
      <c r="AD399" s="7">
        <v>1</v>
      </c>
      <c r="AE399" s="7">
        <v>17</v>
      </c>
      <c r="AF399" s="8">
        <v>0.54166666666666663</v>
      </c>
      <c r="AG399" s="9">
        <v>10.5</v>
      </c>
      <c r="AH399" s="10">
        <f t="shared" si="21"/>
        <v>11</v>
      </c>
    </row>
    <row r="400" spans="11:34" ht="14.5" x14ac:dyDescent="0.35">
      <c r="K400" s="4"/>
      <c r="AC400" s="7">
        <v>2022</v>
      </c>
      <c r="AD400" s="7">
        <v>1</v>
      </c>
      <c r="AE400" s="7">
        <v>17</v>
      </c>
      <c r="AF400" s="8">
        <v>0.58333333333333337</v>
      </c>
      <c r="AG400" s="9">
        <v>10.6</v>
      </c>
      <c r="AH400" s="10">
        <f t="shared" si="21"/>
        <v>11</v>
      </c>
    </row>
    <row r="401" spans="11:34" ht="14.5" x14ac:dyDescent="0.35">
      <c r="K401" s="4"/>
      <c r="AC401" s="7">
        <v>2022</v>
      </c>
      <c r="AD401" s="7">
        <v>1</v>
      </c>
      <c r="AE401" s="7">
        <v>17</v>
      </c>
      <c r="AF401" s="8">
        <v>0.625</v>
      </c>
      <c r="AG401" s="9">
        <v>10.3</v>
      </c>
      <c r="AH401" s="10">
        <f t="shared" si="21"/>
        <v>10</v>
      </c>
    </row>
    <row r="402" spans="11:34" ht="14.5" x14ac:dyDescent="0.35">
      <c r="K402" s="4"/>
      <c r="AC402" s="7">
        <v>2022</v>
      </c>
      <c r="AD402" s="7">
        <v>1</v>
      </c>
      <c r="AE402" s="7">
        <v>17</v>
      </c>
      <c r="AF402" s="8">
        <v>0.66666666666666663</v>
      </c>
      <c r="AG402" s="9">
        <v>9.1</v>
      </c>
      <c r="AH402" s="10">
        <f t="shared" si="21"/>
        <v>9</v>
      </c>
    </row>
    <row r="403" spans="11:34" ht="14.5" x14ac:dyDescent="0.35">
      <c r="K403" s="4"/>
      <c r="AC403" s="7">
        <v>2022</v>
      </c>
      <c r="AD403" s="7">
        <v>1</v>
      </c>
      <c r="AE403" s="7">
        <v>17</v>
      </c>
      <c r="AF403" s="8">
        <v>0.70833333333333337</v>
      </c>
      <c r="AG403" s="9">
        <v>6.9</v>
      </c>
      <c r="AH403" s="10">
        <f t="shared" si="21"/>
        <v>7</v>
      </c>
    </row>
    <row r="404" spans="11:34" ht="14.5" x14ac:dyDescent="0.35">
      <c r="K404" s="4"/>
      <c r="AC404" s="7">
        <v>2022</v>
      </c>
      <c r="AD404" s="7">
        <v>1</v>
      </c>
      <c r="AE404" s="7">
        <v>17</v>
      </c>
      <c r="AF404" s="8">
        <v>0.75</v>
      </c>
      <c r="AG404" s="9">
        <v>6.9</v>
      </c>
      <c r="AH404" s="10">
        <f t="shared" si="21"/>
        <v>7</v>
      </c>
    </row>
    <row r="405" spans="11:34" ht="14.5" x14ac:dyDescent="0.35">
      <c r="K405" s="4"/>
      <c r="AC405" s="7">
        <v>2022</v>
      </c>
      <c r="AD405" s="7">
        <v>1</v>
      </c>
      <c r="AE405" s="7">
        <v>17</v>
      </c>
      <c r="AF405" s="8">
        <v>0.79166666666666663</v>
      </c>
      <c r="AG405" s="9">
        <v>1</v>
      </c>
      <c r="AH405" s="10">
        <f t="shared" si="21"/>
        <v>1</v>
      </c>
    </row>
    <row r="406" spans="11:34" ht="14.5" x14ac:dyDescent="0.35">
      <c r="K406" s="4"/>
      <c r="AC406" s="7">
        <v>2022</v>
      </c>
      <c r="AD406" s="7">
        <v>1</v>
      </c>
      <c r="AE406" s="7">
        <v>17</v>
      </c>
      <c r="AF406" s="8">
        <v>0.83333333333333337</v>
      </c>
      <c r="AG406" s="9">
        <v>-2.1</v>
      </c>
      <c r="AH406" s="10">
        <f t="shared" si="21"/>
        <v>-2</v>
      </c>
    </row>
    <row r="407" spans="11:34" ht="14.5" x14ac:dyDescent="0.35">
      <c r="K407" s="4"/>
      <c r="AC407" s="7">
        <v>2022</v>
      </c>
      <c r="AD407" s="7">
        <v>1</v>
      </c>
      <c r="AE407" s="7">
        <v>17</v>
      </c>
      <c r="AF407" s="8">
        <v>0.875</v>
      </c>
      <c r="AG407" s="9">
        <v>-6.8</v>
      </c>
      <c r="AH407" s="10">
        <f t="shared" si="21"/>
        <v>-7</v>
      </c>
    </row>
    <row r="408" spans="11:34" ht="14.5" x14ac:dyDescent="0.35">
      <c r="K408" s="4"/>
      <c r="AC408" s="7">
        <v>2022</v>
      </c>
      <c r="AD408" s="7">
        <v>1</v>
      </c>
      <c r="AE408" s="7">
        <v>17</v>
      </c>
      <c r="AF408" s="8">
        <v>0.91666666666666663</v>
      </c>
      <c r="AG408" s="9">
        <v>-8.6</v>
      </c>
      <c r="AH408" s="10">
        <f t="shared" si="21"/>
        <v>-9</v>
      </c>
    </row>
    <row r="409" spans="11:34" ht="14.5" x14ac:dyDescent="0.35">
      <c r="K409" s="4"/>
      <c r="AC409" s="7">
        <v>2022</v>
      </c>
      <c r="AD409" s="7">
        <v>1</v>
      </c>
      <c r="AE409" s="7">
        <v>17</v>
      </c>
      <c r="AF409" s="8">
        <v>0.95833333333333337</v>
      </c>
      <c r="AG409" s="9">
        <v>-11.3</v>
      </c>
      <c r="AH409" s="10">
        <f t="shared" si="21"/>
        <v>-11</v>
      </c>
    </row>
    <row r="410" spans="11:34" ht="14.5" x14ac:dyDescent="0.35">
      <c r="K410" s="4"/>
      <c r="AC410" s="7">
        <v>2022</v>
      </c>
      <c r="AD410" s="7">
        <v>1</v>
      </c>
      <c r="AE410" s="7">
        <v>18</v>
      </c>
      <c r="AF410" s="8">
        <v>0</v>
      </c>
      <c r="AG410" s="9">
        <v>-12.8</v>
      </c>
      <c r="AH410" s="10">
        <f t="shared" si="21"/>
        <v>-13</v>
      </c>
    </row>
    <row r="411" spans="11:34" ht="14.5" x14ac:dyDescent="0.35">
      <c r="K411" s="4"/>
      <c r="AC411" s="7">
        <v>2022</v>
      </c>
      <c r="AD411" s="7">
        <v>1</v>
      </c>
      <c r="AE411" s="7">
        <v>18</v>
      </c>
      <c r="AF411" s="8">
        <v>4.1666666666666664E-2</v>
      </c>
      <c r="AG411" s="9">
        <v>-13</v>
      </c>
      <c r="AH411" s="10">
        <f t="shared" si="21"/>
        <v>-13</v>
      </c>
    </row>
    <row r="412" spans="11:34" ht="14.5" x14ac:dyDescent="0.35">
      <c r="K412" s="4"/>
      <c r="AC412" s="7">
        <v>2022</v>
      </c>
      <c r="AD412" s="7">
        <v>1</v>
      </c>
      <c r="AE412" s="7">
        <v>18</v>
      </c>
      <c r="AF412" s="8">
        <v>8.3333333333333329E-2</v>
      </c>
      <c r="AG412" s="9">
        <v>-13.6</v>
      </c>
      <c r="AH412" s="10">
        <f t="shared" si="21"/>
        <v>-14</v>
      </c>
    </row>
    <row r="413" spans="11:34" ht="14.5" x14ac:dyDescent="0.35">
      <c r="K413" s="4"/>
      <c r="AC413" s="7">
        <v>2022</v>
      </c>
      <c r="AD413" s="7">
        <v>1</v>
      </c>
      <c r="AE413" s="7">
        <v>18</v>
      </c>
      <c r="AF413" s="8">
        <v>0.125</v>
      </c>
      <c r="AG413" s="9">
        <v>-14.1</v>
      </c>
      <c r="AH413" s="10">
        <f t="shared" si="21"/>
        <v>-14</v>
      </c>
    </row>
    <row r="414" spans="11:34" ht="14.5" x14ac:dyDescent="0.35">
      <c r="K414" s="4"/>
      <c r="AC414" s="7">
        <v>2022</v>
      </c>
      <c r="AD414" s="7">
        <v>1</v>
      </c>
      <c r="AE414" s="7">
        <v>18</v>
      </c>
      <c r="AF414" s="8">
        <v>0.16666666666666666</v>
      </c>
      <c r="AG414" s="9">
        <v>-14.8</v>
      </c>
      <c r="AH414" s="10">
        <f t="shared" si="21"/>
        <v>-15</v>
      </c>
    </row>
    <row r="415" spans="11:34" ht="14.5" x14ac:dyDescent="0.35">
      <c r="K415" s="4"/>
      <c r="AC415" s="7">
        <v>2022</v>
      </c>
      <c r="AD415" s="7">
        <v>1</v>
      </c>
      <c r="AE415" s="7">
        <v>18</v>
      </c>
      <c r="AF415" s="8">
        <v>0.20833333333333334</v>
      </c>
      <c r="AG415" s="9">
        <v>-15.5</v>
      </c>
      <c r="AH415" s="10">
        <f t="shared" si="21"/>
        <v>-16</v>
      </c>
    </row>
    <row r="416" spans="11:34" ht="14.5" x14ac:dyDescent="0.35">
      <c r="K416" s="4"/>
      <c r="AC416" s="7">
        <v>2022</v>
      </c>
      <c r="AD416" s="7">
        <v>1</v>
      </c>
      <c r="AE416" s="7">
        <v>18</v>
      </c>
      <c r="AF416" s="8">
        <v>0.25</v>
      </c>
      <c r="AG416" s="9">
        <v>-15.6</v>
      </c>
      <c r="AH416" s="10">
        <f t="shared" si="21"/>
        <v>-16</v>
      </c>
    </row>
    <row r="417" spans="11:34" ht="14.5" x14ac:dyDescent="0.35">
      <c r="K417" s="4"/>
      <c r="AC417" s="7">
        <v>2022</v>
      </c>
      <c r="AD417" s="7">
        <v>1</v>
      </c>
      <c r="AE417" s="7">
        <v>18</v>
      </c>
      <c r="AF417" s="8">
        <v>0.29166666666666669</v>
      </c>
      <c r="AG417" s="9">
        <v>-16.100000000000001</v>
      </c>
      <c r="AH417" s="10">
        <f t="shared" si="21"/>
        <v>-16</v>
      </c>
    </row>
    <row r="418" spans="11:34" ht="14.5" x14ac:dyDescent="0.35">
      <c r="K418" s="4"/>
      <c r="AC418" s="7">
        <v>2022</v>
      </c>
      <c r="AD418" s="7">
        <v>1</v>
      </c>
      <c r="AE418" s="7">
        <v>18</v>
      </c>
      <c r="AF418" s="8">
        <v>0.33333333333333331</v>
      </c>
      <c r="AG418" s="9">
        <v>-16</v>
      </c>
      <c r="AH418" s="10">
        <f t="shared" si="21"/>
        <v>-16</v>
      </c>
    </row>
    <row r="419" spans="11:34" ht="14.5" x14ac:dyDescent="0.35">
      <c r="K419" s="4"/>
      <c r="AC419" s="7">
        <v>2022</v>
      </c>
      <c r="AD419" s="7">
        <v>1</v>
      </c>
      <c r="AE419" s="7">
        <v>18</v>
      </c>
      <c r="AF419" s="8">
        <v>0.375</v>
      </c>
      <c r="AG419" s="9">
        <v>-16.600000000000001</v>
      </c>
      <c r="AH419" s="10">
        <f t="shared" si="21"/>
        <v>-17</v>
      </c>
    </row>
    <row r="420" spans="11:34" ht="14.5" x14ac:dyDescent="0.35">
      <c r="K420" s="4"/>
      <c r="AC420" s="7">
        <v>2022</v>
      </c>
      <c r="AD420" s="7">
        <v>1</v>
      </c>
      <c r="AE420" s="7">
        <v>18</v>
      </c>
      <c r="AF420" s="8">
        <v>0.41666666666666669</v>
      </c>
      <c r="AG420" s="9">
        <v>-18.2</v>
      </c>
      <c r="AH420" s="10">
        <f t="shared" si="21"/>
        <v>-18</v>
      </c>
    </row>
    <row r="421" spans="11:34" ht="14.5" x14ac:dyDescent="0.35">
      <c r="K421" s="4"/>
      <c r="AC421" s="7">
        <v>2022</v>
      </c>
      <c r="AD421" s="7">
        <v>1</v>
      </c>
      <c r="AE421" s="7">
        <v>18</v>
      </c>
      <c r="AF421" s="8">
        <v>0.45833333333333331</v>
      </c>
      <c r="AG421" s="9">
        <v>-18</v>
      </c>
      <c r="AH421" s="10">
        <f t="shared" si="21"/>
        <v>-18</v>
      </c>
    </row>
    <row r="422" spans="11:34" ht="14.5" x14ac:dyDescent="0.35">
      <c r="K422" s="4"/>
      <c r="AC422" s="7">
        <v>2022</v>
      </c>
      <c r="AD422" s="7">
        <v>1</v>
      </c>
      <c r="AE422" s="7">
        <v>18</v>
      </c>
      <c r="AF422" s="8">
        <v>0.5</v>
      </c>
      <c r="AG422" s="9">
        <v>-18.2</v>
      </c>
      <c r="AH422" s="10">
        <f t="shared" si="21"/>
        <v>-18</v>
      </c>
    </row>
    <row r="423" spans="11:34" ht="14.5" x14ac:dyDescent="0.35">
      <c r="K423" s="4"/>
      <c r="AC423" s="7">
        <v>2022</v>
      </c>
      <c r="AD423" s="7">
        <v>1</v>
      </c>
      <c r="AE423" s="7">
        <v>18</v>
      </c>
      <c r="AF423" s="8">
        <v>0.54166666666666663</v>
      </c>
      <c r="AG423" s="9">
        <v>-17.2</v>
      </c>
      <c r="AH423" s="10">
        <f t="shared" si="21"/>
        <v>-17</v>
      </c>
    </row>
    <row r="424" spans="11:34" ht="14.5" x14ac:dyDescent="0.35">
      <c r="K424" s="4"/>
      <c r="AC424" s="7">
        <v>2022</v>
      </c>
      <c r="AD424" s="7">
        <v>1</v>
      </c>
      <c r="AE424" s="7">
        <v>18</v>
      </c>
      <c r="AF424" s="8">
        <v>0.58333333333333337</v>
      </c>
      <c r="AG424" s="9">
        <v>-16.8</v>
      </c>
      <c r="AH424" s="10">
        <f t="shared" si="21"/>
        <v>-17</v>
      </c>
    </row>
    <row r="425" spans="11:34" ht="14.5" x14ac:dyDescent="0.35">
      <c r="K425" s="4"/>
      <c r="AC425" s="7">
        <v>2022</v>
      </c>
      <c r="AD425" s="7">
        <v>1</v>
      </c>
      <c r="AE425" s="7">
        <v>18</v>
      </c>
      <c r="AF425" s="8">
        <v>0.625</v>
      </c>
      <c r="AG425" s="9">
        <v>-16.600000000000001</v>
      </c>
      <c r="AH425" s="10">
        <f t="shared" si="21"/>
        <v>-17</v>
      </c>
    </row>
    <row r="426" spans="11:34" ht="14.5" x14ac:dyDescent="0.35">
      <c r="K426" s="4"/>
      <c r="AC426" s="7">
        <v>2022</v>
      </c>
      <c r="AD426" s="7">
        <v>1</v>
      </c>
      <c r="AE426" s="7">
        <v>18</v>
      </c>
      <c r="AF426" s="8">
        <v>0.66666666666666663</v>
      </c>
      <c r="AG426" s="9">
        <v>-16.600000000000001</v>
      </c>
      <c r="AH426" s="10">
        <f t="shared" si="21"/>
        <v>-17</v>
      </c>
    </row>
    <row r="427" spans="11:34" ht="14.5" x14ac:dyDescent="0.35">
      <c r="K427" s="4"/>
      <c r="AC427" s="7">
        <v>2022</v>
      </c>
      <c r="AD427" s="7">
        <v>1</v>
      </c>
      <c r="AE427" s="7">
        <v>18</v>
      </c>
      <c r="AF427" s="8">
        <v>0.70833333333333337</v>
      </c>
      <c r="AG427" s="9">
        <v>-16.8</v>
      </c>
      <c r="AH427" s="10">
        <f t="shared" si="21"/>
        <v>-17</v>
      </c>
    </row>
    <row r="428" spans="11:34" ht="14.5" x14ac:dyDescent="0.35">
      <c r="K428" s="4"/>
      <c r="AC428" s="7">
        <v>2022</v>
      </c>
      <c r="AD428" s="7">
        <v>1</v>
      </c>
      <c r="AE428" s="7">
        <v>18</v>
      </c>
      <c r="AF428" s="8">
        <v>0.75</v>
      </c>
      <c r="AG428" s="9">
        <v>-17.899999999999999</v>
      </c>
      <c r="AH428" s="10">
        <f t="shared" si="21"/>
        <v>-18</v>
      </c>
    </row>
    <row r="429" spans="11:34" ht="14.5" x14ac:dyDescent="0.35">
      <c r="K429" s="4"/>
      <c r="AC429" s="7">
        <v>2022</v>
      </c>
      <c r="AD429" s="7">
        <v>1</v>
      </c>
      <c r="AE429" s="7">
        <v>18</v>
      </c>
      <c r="AF429" s="8">
        <v>0.79166666666666663</v>
      </c>
      <c r="AG429" s="9">
        <v>-18</v>
      </c>
      <c r="AH429" s="10">
        <f t="shared" si="21"/>
        <v>-18</v>
      </c>
    </row>
    <row r="430" spans="11:34" ht="14.5" x14ac:dyDescent="0.35">
      <c r="K430" s="4"/>
      <c r="AC430" s="7">
        <v>2022</v>
      </c>
      <c r="AD430" s="7">
        <v>1</v>
      </c>
      <c r="AE430" s="7">
        <v>18</v>
      </c>
      <c r="AF430" s="8">
        <v>0.83333333333333337</v>
      </c>
      <c r="AG430" s="9">
        <v>-17.5</v>
      </c>
      <c r="AH430" s="10">
        <f t="shared" si="21"/>
        <v>-18</v>
      </c>
    </row>
    <row r="431" spans="11:34" ht="14.5" x14ac:dyDescent="0.35">
      <c r="K431" s="4"/>
      <c r="AC431" s="7">
        <v>2022</v>
      </c>
      <c r="AD431" s="7">
        <v>1</v>
      </c>
      <c r="AE431" s="7">
        <v>18</v>
      </c>
      <c r="AF431" s="8">
        <v>0.875</v>
      </c>
      <c r="AG431" s="9">
        <v>-17.3</v>
      </c>
      <c r="AH431" s="10">
        <f t="shared" si="21"/>
        <v>-17</v>
      </c>
    </row>
    <row r="432" spans="11:34" ht="14.5" x14ac:dyDescent="0.35">
      <c r="K432" s="4"/>
      <c r="AC432" s="7">
        <v>2022</v>
      </c>
      <c r="AD432" s="7">
        <v>1</v>
      </c>
      <c r="AE432" s="7">
        <v>18</v>
      </c>
      <c r="AF432" s="8">
        <v>0.91666666666666663</v>
      </c>
      <c r="AG432" s="9">
        <v>-17.7</v>
      </c>
      <c r="AH432" s="10">
        <f t="shared" si="21"/>
        <v>-18</v>
      </c>
    </row>
    <row r="433" spans="11:34" ht="14.5" x14ac:dyDescent="0.35">
      <c r="K433" s="4"/>
      <c r="AC433" s="7">
        <v>2022</v>
      </c>
      <c r="AD433" s="7">
        <v>1</v>
      </c>
      <c r="AE433" s="7">
        <v>18</v>
      </c>
      <c r="AF433" s="8">
        <v>0.95833333333333337</v>
      </c>
      <c r="AG433" s="9">
        <v>-17.899999999999999</v>
      </c>
      <c r="AH433" s="10">
        <f t="shared" si="21"/>
        <v>-18</v>
      </c>
    </row>
    <row r="434" spans="11:34" ht="14.5" x14ac:dyDescent="0.35">
      <c r="K434" s="4"/>
      <c r="AC434" s="7">
        <v>2022</v>
      </c>
      <c r="AD434" s="7">
        <v>1</v>
      </c>
      <c r="AE434" s="7">
        <v>19</v>
      </c>
      <c r="AF434" s="8">
        <v>0</v>
      </c>
      <c r="AG434" s="9">
        <v>-18</v>
      </c>
      <c r="AH434" s="10">
        <f t="shared" si="21"/>
        <v>-18</v>
      </c>
    </row>
    <row r="435" spans="11:34" ht="14.5" x14ac:dyDescent="0.35">
      <c r="K435" s="4"/>
      <c r="AC435" s="7">
        <v>2022</v>
      </c>
      <c r="AD435" s="7">
        <v>1</v>
      </c>
      <c r="AE435" s="7">
        <v>19</v>
      </c>
      <c r="AF435" s="8">
        <v>4.1666666666666664E-2</v>
      </c>
      <c r="AG435" s="9">
        <v>-18.7</v>
      </c>
      <c r="AH435" s="10">
        <f t="shared" si="21"/>
        <v>-19</v>
      </c>
    </row>
    <row r="436" spans="11:34" ht="14.5" x14ac:dyDescent="0.35">
      <c r="K436" s="4"/>
      <c r="AC436" s="7">
        <v>2022</v>
      </c>
      <c r="AD436" s="7">
        <v>1</v>
      </c>
      <c r="AE436" s="7">
        <v>19</v>
      </c>
      <c r="AF436" s="8">
        <v>8.3333333333333329E-2</v>
      </c>
      <c r="AG436" s="9">
        <v>-18.8</v>
      </c>
      <c r="AH436" s="10">
        <f t="shared" si="21"/>
        <v>-19</v>
      </c>
    </row>
    <row r="437" spans="11:34" ht="14.5" x14ac:dyDescent="0.35">
      <c r="K437" s="4"/>
      <c r="AC437" s="7">
        <v>2022</v>
      </c>
      <c r="AD437" s="7">
        <v>1</v>
      </c>
      <c r="AE437" s="7">
        <v>19</v>
      </c>
      <c r="AF437" s="8">
        <v>0.125</v>
      </c>
      <c r="AG437" s="9">
        <v>-18.399999999999999</v>
      </c>
      <c r="AH437" s="10">
        <f t="shared" si="21"/>
        <v>-18</v>
      </c>
    </row>
    <row r="438" spans="11:34" ht="14.5" x14ac:dyDescent="0.35">
      <c r="K438" s="4"/>
      <c r="AC438" s="7">
        <v>2022</v>
      </c>
      <c r="AD438" s="7">
        <v>1</v>
      </c>
      <c r="AE438" s="7">
        <v>19</v>
      </c>
      <c r="AF438" s="8">
        <v>0.16666666666666666</v>
      </c>
      <c r="AG438" s="9">
        <v>-18.8</v>
      </c>
      <c r="AH438" s="10">
        <f t="shared" si="21"/>
        <v>-19</v>
      </c>
    </row>
    <row r="439" spans="11:34" ht="14.5" x14ac:dyDescent="0.35">
      <c r="K439" s="4"/>
      <c r="AC439" s="7">
        <v>2022</v>
      </c>
      <c r="AD439" s="7">
        <v>1</v>
      </c>
      <c r="AE439" s="7">
        <v>19</v>
      </c>
      <c r="AF439" s="8">
        <v>0.20833333333333334</v>
      </c>
      <c r="AG439" s="9">
        <v>-19.5</v>
      </c>
      <c r="AH439" s="10">
        <f t="shared" si="21"/>
        <v>-20</v>
      </c>
    </row>
    <row r="440" spans="11:34" ht="14.5" x14ac:dyDescent="0.35">
      <c r="K440" s="4"/>
      <c r="AC440" s="7">
        <v>2022</v>
      </c>
      <c r="AD440" s="7">
        <v>1</v>
      </c>
      <c r="AE440" s="7">
        <v>19</v>
      </c>
      <c r="AF440" s="8">
        <v>0.25</v>
      </c>
      <c r="AG440" s="9">
        <v>-19.7</v>
      </c>
      <c r="AH440" s="10">
        <f t="shared" si="21"/>
        <v>-20</v>
      </c>
    </row>
    <row r="441" spans="11:34" ht="14.5" x14ac:dyDescent="0.35">
      <c r="K441" s="4"/>
      <c r="AC441" s="7">
        <v>2022</v>
      </c>
      <c r="AD441" s="7">
        <v>1</v>
      </c>
      <c r="AE441" s="7">
        <v>19</v>
      </c>
      <c r="AF441" s="8">
        <v>0.29166666666666669</v>
      </c>
      <c r="AG441" s="9">
        <v>-20.5</v>
      </c>
      <c r="AH441" s="10">
        <f t="shared" si="21"/>
        <v>-21</v>
      </c>
    </row>
    <row r="442" spans="11:34" ht="14.5" x14ac:dyDescent="0.35">
      <c r="K442" s="4"/>
      <c r="AC442" s="7">
        <v>2022</v>
      </c>
      <c r="AD442" s="7">
        <v>1</v>
      </c>
      <c r="AE442" s="7">
        <v>19</v>
      </c>
      <c r="AF442" s="8">
        <v>0.33333333333333331</v>
      </c>
      <c r="AG442" s="9">
        <v>-20</v>
      </c>
      <c r="AH442" s="10">
        <f t="shared" si="21"/>
        <v>-20</v>
      </c>
    </row>
    <row r="443" spans="11:34" ht="14.5" x14ac:dyDescent="0.35">
      <c r="K443" s="4"/>
      <c r="AC443" s="7">
        <v>2022</v>
      </c>
      <c r="AD443" s="7">
        <v>1</v>
      </c>
      <c r="AE443" s="7">
        <v>19</v>
      </c>
      <c r="AF443" s="8">
        <v>0.375</v>
      </c>
      <c r="AG443" s="9">
        <v>-20</v>
      </c>
      <c r="AH443" s="10">
        <f t="shared" si="21"/>
        <v>-20</v>
      </c>
    </row>
    <row r="444" spans="11:34" ht="14.5" x14ac:dyDescent="0.35">
      <c r="K444" s="4"/>
      <c r="AC444" s="7">
        <v>2022</v>
      </c>
      <c r="AD444" s="7">
        <v>1</v>
      </c>
      <c r="AE444" s="7">
        <v>19</v>
      </c>
      <c r="AF444" s="8">
        <v>0.41666666666666669</v>
      </c>
      <c r="AG444" s="9">
        <v>-18.600000000000001</v>
      </c>
      <c r="AH444" s="10">
        <f t="shared" si="21"/>
        <v>-19</v>
      </c>
    </row>
    <row r="445" spans="11:34" ht="14.5" x14ac:dyDescent="0.35">
      <c r="K445" s="4"/>
      <c r="AC445" s="7">
        <v>2022</v>
      </c>
      <c r="AD445" s="7">
        <v>1</v>
      </c>
      <c r="AE445" s="7">
        <v>19</v>
      </c>
      <c r="AF445" s="8">
        <v>0.45833333333333331</v>
      </c>
      <c r="AG445" s="9">
        <v>-16.8</v>
      </c>
      <c r="AH445" s="10">
        <f t="shared" si="21"/>
        <v>-17</v>
      </c>
    </row>
    <row r="446" spans="11:34" ht="14.5" x14ac:dyDescent="0.35">
      <c r="K446" s="4"/>
      <c r="AC446" s="7">
        <v>2022</v>
      </c>
      <c r="AD446" s="7">
        <v>1</v>
      </c>
      <c r="AE446" s="7">
        <v>19</v>
      </c>
      <c r="AF446" s="8">
        <v>0.5</v>
      </c>
      <c r="AG446" s="9">
        <v>-15.4</v>
      </c>
      <c r="AH446" s="10">
        <f t="shared" si="21"/>
        <v>-15</v>
      </c>
    </row>
    <row r="447" spans="11:34" ht="14.5" x14ac:dyDescent="0.35">
      <c r="K447" s="4"/>
      <c r="AC447" s="7">
        <v>2022</v>
      </c>
      <c r="AD447" s="7">
        <v>1</v>
      </c>
      <c r="AE447" s="7">
        <v>19</v>
      </c>
      <c r="AF447" s="8">
        <v>0.54166666666666663</v>
      </c>
      <c r="AG447" s="9">
        <v>-14.3</v>
      </c>
      <c r="AH447" s="10">
        <f t="shared" si="21"/>
        <v>-14</v>
      </c>
    </row>
    <row r="448" spans="11:34" ht="14.5" x14ac:dyDescent="0.35">
      <c r="K448" s="4"/>
      <c r="AC448" s="7">
        <v>2022</v>
      </c>
      <c r="AD448" s="7">
        <v>1</v>
      </c>
      <c r="AE448" s="7">
        <v>19</v>
      </c>
      <c r="AF448" s="8">
        <v>0.58333333333333337</v>
      </c>
      <c r="AG448" s="9">
        <v>-12.4</v>
      </c>
      <c r="AH448" s="10">
        <f t="shared" si="21"/>
        <v>-12</v>
      </c>
    </row>
    <row r="449" spans="11:34" ht="14.5" x14ac:dyDescent="0.35">
      <c r="K449" s="4"/>
      <c r="AC449" s="7">
        <v>2022</v>
      </c>
      <c r="AD449" s="7">
        <v>1</v>
      </c>
      <c r="AE449" s="7">
        <v>19</v>
      </c>
      <c r="AF449" s="8">
        <v>0.625</v>
      </c>
      <c r="AG449" s="9">
        <v>-12.9</v>
      </c>
      <c r="AH449" s="10">
        <f t="shared" si="21"/>
        <v>-13</v>
      </c>
    </row>
    <row r="450" spans="11:34" ht="14.5" x14ac:dyDescent="0.35">
      <c r="K450" s="4"/>
      <c r="AC450" s="7">
        <v>2022</v>
      </c>
      <c r="AD450" s="7">
        <v>1</v>
      </c>
      <c r="AE450" s="7">
        <v>19</v>
      </c>
      <c r="AF450" s="8">
        <v>0.66666666666666663</v>
      </c>
      <c r="AG450" s="9">
        <v>-13.1</v>
      </c>
      <c r="AH450" s="10">
        <f t="shared" si="21"/>
        <v>-13</v>
      </c>
    </row>
    <row r="451" spans="11:34" ht="14.5" x14ac:dyDescent="0.35">
      <c r="K451" s="4"/>
      <c r="AC451" s="7">
        <v>2022</v>
      </c>
      <c r="AD451" s="7">
        <v>1</v>
      </c>
      <c r="AE451" s="7">
        <v>19</v>
      </c>
      <c r="AF451" s="8">
        <v>0.70833333333333337</v>
      </c>
      <c r="AG451" s="9">
        <v>-14.8</v>
      </c>
      <c r="AH451" s="10">
        <f t="shared" si="21"/>
        <v>-15</v>
      </c>
    </row>
    <row r="452" spans="11:34" ht="14.5" x14ac:dyDescent="0.35">
      <c r="K452" s="4"/>
      <c r="AC452" s="7">
        <v>2022</v>
      </c>
      <c r="AD452" s="7">
        <v>1</v>
      </c>
      <c r="AE452" s="7">
        <v>19</v>
      </c>
      <c r="AF452" s="8">
        <v>0.75</v>
      </c>
      <c r="AG452" s="9">
        <v>-15.2</v>
      </c>
      <c r="AH452" s="10">
        <f t="shared" si="21"/>
        <v>-15</v>
      </c>
    </row>
    <row r="453" spans="11:34" ht="14.5" x14ac:dyDescent="0.35">
      <c r="K453" s="4"/>
      <c r="AC453" s="7">
        <v>2022</v>
      </c>
      <c r="AD453" s="7">
        <v>1</v>
      </c>
      <c r="AE453" s="7">
        <v>19</v>
      </c>
      <c r="AF453" s="8">
        <v>0.79166666666666663</v>
      </c>
      <c r="AG453" s="9">
        <v>-14.9</v>
      </c>
      <c r="AH453" s="10">
        <f t="shared" si="21"/>
        <v>-15</v>
      </c>
    </row>
    <row r="454" spans="11:34" ht="14.5" x14ac:dyDescent="0.35">
      <c r="K454" s="4"/>
      <c r="AC454" s="7">
        <v>2022</v>
      </c>
      <c r="AD454" s="7">
        <v>1</v>
      </c>
      <c r="AE454" s="7">
        <v>19</v>
      </c>
      <c r="AF454" s="8">
        <v>0.83333333333333337</v>
      </c>
      <c r="AG454" s="9">
        <v>-14.6</v>
      </c>
      <c r="AH454" s="10">
        <f t="shared" si="21"/>
        <v>-15</v>
      </c>
    </row>
    <row r="455" spans="11:34" ht="14.5" x14ac:dyDescent="0.35">
      <c r="K455" s="4"/>
      <c r="AC455" s="7">
        <v>2022</v>
      </c>
      <c r="AD455" s="7">
        <v>1</v>
      </c>
      <c r="AE455" s="7">
        <v>19</v>
      </c>
      <c r="AF455" s="8">
        <v>0.875</v>
      </c>
      <c r="AG455" s="9">
        <v>-13.4</v>
      </c>
      <c r="AH455" s="10">
        <f t="shared" si="21"/>
        <v>-13</v>
      </c>
    </row>
    <row r="456" spans="11:34" ht="14.5" x14ac:dyDescent="0.35">
      <c r="K456" s="4"/>
      <c r="AC456" s="7">
        <v>2022</v>
      </c>
      <c r="AD456" s="7">
        <v>1</v>
      </c>
      <c r="AE456" s="7">
        <v>19</v>
      </c>
      <c r="AF456" s="8">
        <v>0.91666666666666663</v>
      </c>
      <c r="AG456" s="9">
        <v>-12.7</v>
      </c>
      <c r="AH456" s="10">
        <f t="shared" si="21"/>
        <v>-13</v>
      </c>
    </row>
    <row r="457" spans="11:34" ht="14.5" x14ac:dyDescent="0.35">
      <c r="K457" s="4"/>
      <c r="AC457" s="7">
        <v>2022</v>
      </c>
      <c r="AD457" s="7">
        <v>1</v>
      </c>
      <c r="AE457" s="7">
        <v>19</v>
      </c>
      <c r="AF457" s="8">
        <v>0.95833333333333337</v>
      </c>
      <c r="AG457" s="9">
        <v>-11.8</v>
      </c>
      <c r="AH457" s="10">
        <f t="shared" si="21"/>
        <v>-12</v>
      </c>
    </row>
    <row r="458" spans="11:34" ht="14.5" x14ac:dyDescent="0.35">
      <c r="K458" s="4"/>
      <c r="AC458" s="7">
        <v>2022</v>
      </c>
      <c r="AD458" s="7">
        <v>1</v>
      </c>
      <c r="AE458" s="7">
        <v>20</v>
      </c>
      <c r="AF458" s="8">
        <v>0</v>
      </c>
      <c r="AG458" s="9">
        <v>-11</v>
      </c>
      <c r="AH458" s="10">
        <f t="shared" si="21"/>
        <v>-11</v>
      </c>
    </row>
    <row r="459" spans="11:34" ht="14.5" x14ac:dyDescent="0.35">
      <c r="K459" s="4"/>
      <c r="AC459" s="7">
        <v>2022</v>
      </c>
      <c r="AD459" s="7">
        <v>1</v>
      </c>
      <c r="AE459" s="7">
        <v>20</v>
      </c>
      <c r="AF459" s="8">
        <v>4.1666666666666664E-2</v>
      </c>
      <c r="AG459" s="9">
        <v>-10.4</v>
      </c>
      <c r="AH459" s="10">
        <f t="shared" ref="AH459:AH522" si="22">ROUND(AG459,0)</f>
        <v>-10</v>
      </c>
    </row>
    <row r="460" spans="11:34" ht="14.5" x14ac:dyDescent="0.35">
      <c r="K460" s="4"/>
      <c r="AC460" s="7">
        <v>2022</v>
      </c>
      <c r="AD460" s="7">
        <v>1</v>
      </c>
      <c r="AE460" s="7">
        <v>20</v>
      </c>
      <c r="AF460" s="8">
        <v>8.3333333333333329E-2</v>
      </c>
      <c r="AG460" s="9">
        <v>-8.1999999999999993</v>
      </c>
      <c r="AH460" s="10">
        <f t="shared" si="22"/>
        <v>-8</v>
      </c>
    </row>
    <row r="461" spans="11:34" ht="14.5" x14ac:dyDescent="0.35">
      <c r="K461" s="4"/>
      <c r="AC461" s="7">
        <v>2022</v>
      </c>
      <c r="AD461" s="7">
        <v>1</v>
      </c>
      <c r="AE461" s="7">
        <v>20</v>
      </c>
      <c r="AF461" s="8">
        <v>0.125</v>
      </c>
      <c r="AG461" s="9">
        <v>-7.3</v>
      </c>
      <c r="AH461" s="10">
        <f t="shared" si="22"/>
        <v>-7</v>
      </c>
    </row>
    <row r="462" spans="11:34" ht="14.5" x14ac:dyDescent="0.35">
      <c r="K462" s="4"/>
      <c r="AC462" s="7">
        <v>2022</v>
      </c>
      <c r="AD462" s="7">
        <v>1</v>
      </c>
      <c r="AE462" s="7">
        <v>20</v>
      </c>
      <c r="AF462" s="8">
        <v>0.16666666666666666</v>
      </c>
      <c r="AG462" s="9">
        <v>-5</v>
      </c>
      <c r="AH462" s="10">
        <f t="shared" si="22"/>
        <v>-5</v>
      </c>
    </row>
    <row r="463" spans="11:34" ht="14.5" x14ac:dyDescent="0.35">
      <c r="K463" s="4"/>
      <c r="AC463" s="7">
        <v>2022</v>
      </c>
      <c r="AD463" s="7">
        <v>1</v>
      </c>
      <c r="AE463" s="7">
        <v>20</v>
      </c>
      <c r="AF463" s="8">
        <v>0.20833333333333334</v>
      </c>
      <c r="AG463" s="9">
        <v>2.4</v>
      </c>
      <c r="AH463" s="10">
        <f t="shared" si="22"/>
        <v>2</v>
      </c>
    </row>
    <row r="464" spans="11:34" ht="14.5" x14ac:dyDescent="0.35">
      <c r="K464" s="4"/>
      <c r="AC464" s="7">
        <v>2022</v>
      </c>
      <c r="AD464" s="7">
        <v>1</v>
      </c>
      <c r="AE464" s="7">
        <v>20</v>
      </c>
      <c r="AF464" s="8">
        <v>0.25</v>
      </c>
      <c r="AG464" s="9">
        <v>3.8</v>
      </c>
      <c r="AH464" s="10">
        <f t="shared" si="22"/>
        <v>4</v>
      </c>
    </row>
    <row r="465" spans="11:34" ht="14.5" x14ac:dyDescent="0.35">
      <c r="K465" s="4"/>
      <c r="AC465" s="7">
        <v>2022</v>
      </c>
      <c r="AD465" s="7">
        <v>1</v>
      </c>
      <c r="AE465" s="7">
        <v>20</v>
      </c>
      <c r="AF465" s="8">
        <v>0.29166666666666669</v>
      </c>
      <c r="AG465" s="9">
        <v>4.4000000000000004</v>
      </c>
      <c r="AH465" s="10">
        <f t="shared" si="22"/>
        <v>4</v>
      </c>
    </row>
    <row r="466" spans="11:34" ht="14.5" x14ac:dyDescent="0.35">
      <c r="K466" s="4"/>
      <c r="AC466" s="7">
        <v>2022</v>
      </c>
      <c r="AD466" s="7">
        <v>1</v>
      </c>
      <c r="AE466" s="7">
        <v>20</v>
      </c>
      <c r="AF466" s="8">
        <v>0.33333333333333331</v>
      </c>
      <c r="AG466" s="9">
        <v>4.4000000000000004</v>
      </c>
      <c r="AH466" s="10">
        <f t="shared" si="22"/>
        <v>4</v>
      </c>
    </row>
    <row r="467" spans="11:34" ht="14.5" x14ac:dyDescent="0.35">
      <c r="K467" s="4"/>
      <c r="AC467" s="7">
        <v>2022</v>
      </c>
      <c r="AD467" s="7">
        <v>1</v>
      </c>
      <c r="AE467" s="7">
        <v>20</v>
      </c>
      <c r="AF467" s="8">
        <v>0.375</v>
      </c>
      <c r="AG467" s="9">
        <v>4.2</v>
      </c>
      <c r="AH467" s="10">
        <f t="shared" si="22"/>
        <v>4</v>
      </c>
    </row>
    <row r="468" spans="11:34" ht="14.5" x14ac:dyDescent="0.35">
      <c r="K468" s="4"/>
      <c r="AC468" s="7">
        <v>2022</v>
      </c>
      <c r="AD468" s="7">
        <v>1</v>
      </c>
      <c r="AE468" s="7">
        <v>20</v>
      </c>
      <c r="AF468" s="8">
        <v>0.41666666666666669</v>
      </c>
      <c r="AG468" s="9">
        <v>4.2</v>
      </c>
      <c r="AH468" s="10">
        <f t="shared" si="22"/>
        <v>4</v>
      </c>
    </row>
    <row r="469" spans="11:34" ht="14.5" x14ac:dyDescent="0.35">
      <c r="K469" s="4"/>
      <c r="AC469" s="7">
        <v>2022</v>
      </c>
      <c r="AD469" s="7">
        <v>1</v>
      </c>
      <c r="AE469" s="7">
        <v>20</v>
      </c>
      <c r="AF469" s="8">
        <v>0.45833333333333331</v>
      </c>
      <c r="AG469" s="9">
        <v>3</v>
      </c>
      <c r="AH469" s="10">
        <f t="shared" si="22"/>
        <v>3</v>
      </c>
    </row>
    <row r="470" spans="11:34" ht="14.5" x14ac:dyDescent="0.35">
      <c r="K470" s="4"/>
      <c r="AC470" s="7">
        <v>2022</v>
      </c>
      <c r="AD470" s="7">
        <v>1</v>
      </c>
      <c r="AE470" s="7">
        <v>20</v>
      </c>
      <c r="AF470" s="8">
        <v>0.5</v>
      </c>
      <c r="AG470" s="9">
        <v>4.8</v>
      </c>
      <c r="AH470" s="10">
        <f t="shared" si="22"/>
        <v>5</v>
      </c>
    </row>
    <row r="471" spans="11:34" ht="14.5" x14ac:dyDescent="0.35">
      <c r="K471" s="4"/>
      <c r="AC471" s="7">
        <v>2022</v>
      </c>
      <c r="AD471" s="7">
        <v>1</v>
      </c>
      <c r="AE471" s="7">
        <v>20</v>
      </c>
      <c r="AF471" s="8">
        <v>0.54166666666666663</v>
      </c>
      <c r="AG471" s="9">
        <v>8.6</v>
      </c>
      <c r="AH471" s="10">
        <f t="shared" si="22"/>
        <v>9</v>
      </c>
    </row>
    <row r="472" spans="11:34" ht="14.5" x14ac:dyDescent="0.35">
      <c r="K472" s="4"/>
      <c r="AC472" s="7">
        <v>2022</v>
      </c>
      <c r="AD472" s="7">
        <v>1</v>
      </c>
      <c r="AE472" s="7">
        <v>20</v>
      </c>
      <c r="AF472" s="8">
        <v>0.58333333333333337</v>
      </c>
      <c r="AG472" s="9">
        <v>8.6</v>
      </c>
      <c r="AH472" s="10">
        <f t="shared" si="22"/>
        <v>9</v>
      </c>
    </row>
    <row r="473" spans="11:34" ht="14.5" x14ac:dyDescent="0.35">
      <c r="K473" s="4"/>
      <c r="AC473" s="7">
        <v>2022</v>
      </c>
      <c r="AD473" s="7">
        <v>1</v>
      </c>
      <c r="AE473" s="7">
        <v>20</v>
      </c>
      <c r="AF473" s="8">
        <v>0.625</v>
      </c>
      <c r="AG473" s="9">
        <v>8.1</v>
      </c>
      <c r="AH473" s="10">
        <f t="shared" si="22"/>
        <v>8</v>
      </c>
    </row>
    <row r="474" spans="11:34" ht="14.5" x14ac:dyDescent="0.35">
      <c r="K474" s="4"/>
      <c r="AC474" s="7">
        <v>2022</v>
      </c>
      <c r="AD474" s="7">
        <v>1</v>
      </c>
      <c r="AE474" s="7">
        <v>20</v>
      </c>
      <c r="AF474" s="8">
        <v>0.66666666666666663</v>
      </c>
      <c r="AG474" s="9">
        <v>8.1</v>
      </c>
      <c r="AH474" s="10">
        <f t="shared" si="22"/>
        <v>8</v>
      </c>
    </row>
    <row r="475" spans="11:34" ht="14.5" x14ac:dyDescent="0.35">
      <c r="K475" s="4"/>
      <c r="AC475" s="7">
        <v>2022</v>
      </c>
      <c r="AD475" s="7">
        <v>1</v>
      </c>
      <c r="AE475" s="7">
        <v>20</v>
      </c>
      <c r="AF475" s="8">
        <v>0.70833333333333337</v>
      </c>
      <c r="AG475" s="9">
        <v>6.6</v>
      </c>
      <c r="AH475" s="10">
        <f t="shared" si="22"/>
        <v>7</v>
      </c>
    </row>
    <row r="476" spans="11:34" ht="14.5" x14ac:dyDescent="0.35">
      <c r="K476" s="4"/>
      <c r="AC476" s="7">
        <v>2022</v>
      </c>
      <c r="AD476" s="7">
        <v>1</v>
      </c>
      <c r="AE476" s="7">
        <v>20</v>
      </c>
      <c r="AF476" s="8">
        <v>0.75</v>
      </c>
      <c r="AG476" s="9">
        <v>5.6</v>
      </c>
      <c r="AH476" s="10">
        <f t="shared" si="22"/>
        <v>6</v>
      </c>
    </row>
    <row r="477" spans="11:34" ht="14.5" x14ac:dyDescent="0.35">
      <c r="K477" s="4"/>
      <c r="AC477" s="7">
        <v>2022</v>
      </c>
      <c r="AD477" s="7">
        <v>1</v>
      </c>
      <c r="AE477" s="7">
        <v>20</v>
      </c>
      <c r="AF477" s="8">
        <v>0.79166666666666663</v>
      </c>
      <c r="AG477" s="9">
        <v>4.8</v>
      </c>
      <c r="AH477" s="10">
        <f t="shared" si="22"/>
        <v>5</v>
      </c>
    </row>
    <row r="478" spans="11:34" ht="14.5" x14ac:dyDescent="0.35">
      <c r="K478" s="4"/>
      <c r="AC478" s="7">
        <v>2022</v>
      </c>
      <c r="AD478" s="7">
        <v>1</v>
      </c>
      <c r="AE478" s="7">
        <v>20</v>
      </c>
      <c r="AF478" s="8">
        <v>0.83333333333333337</v>
      </c>
      <c r="AG478" s="9">
        <v>3.9</v>
      </c>
      <c r="AH478" s="10">
        <f t="shared" si="22"/>
        <v>4</v>
      </c>
    </row>
    <row r="479" spans="11:34" ht="14.5" x14ac:dyDescent="0.35">
      <c r="K479" s="4"/>
      <c r="AC479" s="7">
        <v>2022</v>
      </c>
      <c r="AD479" s="7">
        <v>1</v>
      </c>
      <c r="AE479" s="7">
        <v>20</v>
      </c>
      <c r="AF479" s="8">
        <v>0.875</v>
      </c>
      <c r="AG479" s="9">
        <v>3.4</v>
      </c>
      <c r="AH479" s="10">
        <f t="shared" si="22"/>
        <v>3</v>
      </c>
    </row>
    <row r="480" spans="11:34" ht="14.5" x14ac:dyDescent="0.35">
      <c r="K480" s="4"/>
      <c r="AC480" s="7">
        <v>2022</v>
      </c>
      <c r="AD480" s="7">
        <v>1</v>
      </c>
      <c r="AE480" s="7">
        <v>20</v>
      </c>
      <c r="AF480" s="8">
        <v>0.91666666666666663</v>
      </c>
      <c r="AG480" s="9">
        <v>3.1</v>
      </c>
      <c r="AH480" s="10">
        <f t="shared" si="22"/>
        <v>3</v>
      </c>
    </row>
    <row r="481" spans="11:34" ht="14.5" x14ac:dyDescent="0.35">
      <c r="K481" s="4"/>
      <c r="AC481" s="7">
        <v>2022</v>
      </c>
      <c r="AD481" s="7">
        <v>1</v>
      </c>
      <c r="AE481" s="7">
        <v>20</v>
      </c>
      <c r="AF481" s="8">
        <v>0.95833333333333337</v>
      </c>
      <c r="AG481" s="9">
        <v>4.7</v>
      </c>
      <c r="AH481" s="10">
        <f t="shared" si="22"/>
        <v>5</v>
      </c>
    </row>
    <row r="482" spans="11:34" ht="14.5" x14ac:dyDescent="0.35">
      <c r="K482" s="4"/>
      <c r="AC482" s="7">
        <v>2022</v>
      </c>
      <c r="AD482" s="7">
        <v>1</v>
      </c>
      <c r="AE482" s="7">
        <v>21</v>
      </c>
      <c r="AF482" s="8">
        <v>0</v>
      </c>
      <c r="AG482" s="9">
        <v>2.9</v>
      </c>
      <c r="AH482" s="10">
        <f t="shared" si="22"/>
        <v>3</v>
      </c>
    </row>
    <row r="483" spans="11:34" ht="14.5" x14ac:dyDescent="0.35">
      <c r="K483" s="4"/>
      <c r="AC483" s="7">
        <v>2022</v>
      </c>
      <c r="AD483" s="7">
        <v>1</v>
      </c>
      <c r="AE483" s="7">
        <v>21</v>
      </c>
      <c r="AF483" s="8">
        <v>4.1666666666666664E-2</v>
      </c>
      <c r="AG483" s="9">
        <v>1</v>
      </c>
      <c r="AH483" s="10">
        <f t="shared" si="22"/>
        <v>1</v>
      </c>
    </row>
    <row r="484" spans="11:34" ht="14.5" x14ac:dyDescent="0.35">
      <c r="K484" s="4"/>
      <c r="AC484" s="7">
        <v>2022</v>
      </c>
      <c r="AD484" s="7">
        <v>1</v>
      </c>
      <c r="AE484" s="7">
        <v>21</v>
      </c>
      <c r="AF484" s="8">
        <v>8.3333333333333329E-2</v>
      </c>
      <c r="AG484" s="9">
        <v>1.7</v>
      </c>
      <c r="AH484" s="10">
        <f t="shared" si="22"/>
        <v>2</v>
      </c>
    </row>
    <row r="485" spans="11:34" ht="14.5" x14ac:dyDescent="0.35">
      <c r="K485" s="4"/>
      <c r="AC485" s="7">
        <v>2022</v>
      </c>
      <c r="AD485" s="7">
        <v>1</v>
      </c>
      <c r="AE485" s="7">
        <v>21</v>
      </c>
      <c r="AF485" s="8">
        <v>0.125</v>
      </c>
      <c r="AG485" s="9">
        <v>1.4</v>
      </c>
      <c r="AH485" s="10">
        <f t="shared" si="22"/>
        <v>1</v>
      </c>
    </row>
    <row r="486" spans="11:34" ht="14.5" x14ac:dyDescent="0.35">
      <c r="K486" s="4"/>
      <c r="AC486" s="7">
        <v>2022</v>
      </c>
      <c r="AD486" s="7">
        <v>1</v>
      </c>
      <c r="AE486" s="7">
        <v>21</v>
      </c>
      <c r="AF486" s="8">
        <v>0.16666666666666666</v>
      </c>
      <c r="AG486" s="9">
        <v>1.5</v>
      </c>
      <c r="AH486" s="10">
        <f t="shared" si="22"/>
        <v>2</v>
      </c>
    </row>
    <row r="487" spans="11:34" ht="14.5" x14ac:dyDescent="0.35">
      <c r="K487" s="4"/>
      <c r="AC487" s="7">
        <v>2022</v>
      </c>
      <c r="AD487" s="7">
        <v>1</v>
      </c>
      <c r="AE487" s="7">
        <v>21</v>
      </c>
      <c r="AF487" s="8">
        <v>0.20833333333333334</v>
      </c>
      <c r="AG487" s="9">
        <v>1.3</v>
      </c>
      <c r="AH487" s="10">
        <f t="shared" si="22"/>
        <v>1</v>
      </c>
    </row>
    <row r="488" spans="11:34" ht="14.5" x14ac:dyDescent="0.35">
      <c r="K488" s="4"/>
      <c r="AC488" s="7">
        <v>2022</v>
      </c>
      <c r="AD488" s="7">
        <v>1</v>
      </c>
      <c r="AE488" s="7">
        <v>21</v>
      </c>
      <c r="AF488" s="8">
        <v>0.25</v>
      </c>
      <c r="AG488" s="9">
        <v>0.5</v>
      </c>
      <c r="AH488" s="10">
        <f t="shared" si="22"/>
        <v>1</v>
      </c>
    </row>
    <row r="489" spans="11:34" ht="14.5" x14ac:dyDescent="0.35">
      <c r="K489" s="4"/>
      <c r="AC489" s="7">
        <v>2022</v>
      </c>
      <c r="AD489" s="7">
        <v>1</v>
      </c>
      <c r="AE489" s="7">
        <v>21</v>
      </c>
      <c r="AF489" s="8">
        <v>0.29166666666666669</v>
      </c>
      <c r="AG489" s="9">
        <v>-2</v>
      </c>
      <c r="AH489" s="10">
        <f t="shared" si="22"/>
        <v>-2</v>
      </c>
    </row>
    <row r="490" spans="11:34" ht="14.5" x14ac:dyDescent="0.35">
      <c r="K490" s="4"/>
      <c r="AC490" s="7">
        <v>2022</v>
      </c>
      <c r="AD490" s="7">
        <v>1</v>
      </c>
      <c r="AE490" s="7">
        <v>21</v>
      </c>
      <c r="AF490" s="8">
        <v>0.33333333333333331</v>
      </c>
      <c r="AG490" s="9">
        <v>-2.8</v>
      </c>
      <c r="AH490" s="10">
        <f t="shared" si="22"/>
        <v>-3</v>
      </c>
    </row>
    <row r="491" spans="11:34" ht="14.5" x14ac:dyDescent="0.35">
      <c r="K491" s="4"/>
      <c r="AC491" s="7">
        <v>2022</v>
      </c>
      <c r="AD491" s="7">
        <v>1</v>
      </c>
      <c r="AE491" s="7">
        <v>21</v>
      </c>
      <c r="AF491" s="8">
        <v>0.375</v>
      </c>
      <c r="AG491" s="9">
        <v>-3.3</v>
      </c>
      <c r="AH491" s="10">
        <f t="shared" si="22"/>
        <v>-3</v>
      </c>
    </row>
    <row r="492" spans="11:34" ht="14.5" x14ac:dyDescent="0.35">
      <c r="K492" s="4"/>
      <c r="AC492" s="7">
        <v>2022</v>
      </c>
      <c r="AD492" s="7">
        <v>1</v>
      </c>
      <c r="AE492" s="7">
        <v>21</v>
      </c>
      <c r="AF492" s="8">
        <v>0.41666666666666669</v>
      </c>
      <c r="AG492" s="9">
        <v>-0.1</v>
      </c>
      <c r="AH492" s="10">
        <f t="shared" si="22"/>
        <v>0</v>
      </c>
    </row>
    <row r="493" spans="11:34" ht="14.5" x14ac:dyDescent="0.35">
      <c r="K493" s="4"/>
      <c r="AC493" s="7">
        <v>2022</v>
      </c>
      <c r="AD493" s="7">
        <v>1</v>
      </c>
      <c r="AE493" s="7">
        <v>21</v>
      </c>
      <c r="AF493" s="8">
        <v>0.45833333333333331</v>
      </c>
      <c r="AG493" s="9">
        <v>1.5</v>
      </c>
      <c r="AH493" s="10">
        <f t="shared" si="22"/>
        <v>2</v>
      </c>
    </row>
    <row r="494" spans="11:34" ht="14.5" x14ac:dyDescent="0.35">
      <c r="K494" s="4"/>
      <c r="AC494" s="7">
        <v>2022</v>
      </c>
      <c r="AD494" s="7">
        <v>1</v>
      </c>
      <c r="AE494" s="7">
        <v>21</v>
      </c>
      <c r="AF494" s="8">
        <v>0.5</v>
      </c>
      <c r="AG494" s="9">
        <v>3.2</v>
      </c>
      <c r="AH494" s="10">
        <f t="shared" si="22"/>
        <v>3</v>
      </c>
    </row>
    <row r="495" spans="11:34" ht="14.5" x14ac:dyDescent="0.35">
      <c r="K495" s="4"/>
      <c r="AC495" s="7">
        <v>2022</v>
      </c>
      <c r="AD495" s="7">
        <v>1</v>
      </c>
      <c r="AE495" s="7">
        <v>21</v>
      </c>
      <c r="AF495" s="8">
        <v>0.54166666666666663</v>
      </c>
      <c r="AG495" s="9">
        <v>4.3</v>
      </c>
      <c r="AH495" s="10">
        <f t="shared" si="22"/>
        <v>4</v>
      </c>
    </row>
    <row r="496" spans="11:34" ht="14.5" x14ac:dyDescent="0.35">
      <c r="K496" s="4"/>
      <c r="AC496" s="7">
        <v>2022</v>
      </c>
      <c r="AD496" s="7">
        <v>1</v>
      </c>
      <c r="AE496" s="7">
        <v>21</v>
      </c>
      <c r="AF496" s="8">
        <v>0.58333333333333337</v>
      </c>
      <c r="AG496" s="9">
        <v>4.5999999999999996</v>
      </c>
      <c r="AH496" s="10">
        <f t="shared" si="22"/>
        <v>5</v>
      </c>
    </row>
    <row r="497" spans="11:34" ht="14.5" x14ac:dyDescent="0.35">
      <c r="K497" s="4"/>
      <c r="AC497" s="7">
        <v>2022</v>
      </c>
      <c r="AD497" s="7">
        <v>1</v>
      </c>
      <c r="AE497" s="7">
        <v>21</v>
      </c>
      <c r="AF497" s="8">
        <v>0.625</v>
      </c>
      <c r="AG497" s="9">
        <v>4</v>
      </c>
      <c r="AH497" s="10">
        <f t="shared" si="22"/>
        <v>4</v>
      </c>
    </row>
    <row r="498" spans="11:34" ht="14.5" x14ac:dyDescent="0.35">
      <c r="K498" s="4"/>
      <c r="AC498" s="7">
        <v>2022</v>
      </c>
      <c r="AD498" s="7">
        <v>1</v>
      </c>
      <c r="AE498" s="7">
        <v>21</v>
      </c>
      <c r="AF498" s="8">
        <v>0.66666666666666663</v>
      </c>
      <c r="AG498" s="9">
        <v>3.5</v>
      </c>
      <c r="AH498" s="10">
        <f t="shared" si="22"/>
        <v>4</v>
      </c>
    </row>
    <row r="499" spans="11:34" ht="14.5" x14ac:dyDescent="0.35">
      <c r="K499" s="4"/>
      <c r="AC499" s="7">
        <v>2022</v>
      </c>
      <c r="AD499" s="7">
        <v>1</v>
      </c>
      <c r="AE499" s="7">
        <v>21</v>
      </c>
      <c r="AF499" s="8">
        <v>0.70833333333333337</v>
      </c>
      <c r="AG499" s="9">
        <v>2.8</v>
      </c>
      <c r="AH499" s="10">
        <f t="shared" si="22"/>
        <v>3</v>
      </c>
    </row>
    <row r="500" spans="11:34" ht="14.5" x14ac:dyDescent="0.35">
      <c r="K500" s="4"/>
      <c r="AC500" s="7">
        <v>2022</v>
      </c>
      <c r="AD500" s="7">
        <v>1</v>
      </c>
      <c r="AE500" s="7">
        <v>21</v>
      </c>
      <c r="AF500" s="8">
        <v>0.75</v>
      </c>
      <c r="AG500" s="9">
        <v>0.6</v>
      </c>
      <c r="AH500" s="10">
        <f t="shared" si="22"/>
        <v>1</v>
      </c>
    </row>
    <row r="501" spans="11:34" ht="14.5" x14ac:dyDescent="0.35">
      <c r="K501" s="4"/>
      <c r="AC501" s="7">
        <v>2022</v>
      </c>
      <c r="AD501" s="7">
        <v>1</v>
      </c>
      <c r="AE501" s="7">
        <v>21</v>
      </c>
      <c r="AF501" s="8">
        <v>0.79166666666666663</v>
      </c>
      <c r="AG501" s="9">
        <v>0.1</v>
      </c>
      <c r="AH501" s="10">
        <f t="shared" si="22"/>
        <v>0</v>
      </c>
    </row>
    <row r="502" spans="11:34" ht="14.5" x14ac:dyDescent="0.35">
      <c r="K502" s="4"/>
      <c r="AC502" s="7">
        <v>2022</v>
      </c>
      <c r="AD502" s="7">
        <v>1</v>
      </c>
      <c r="AE502" s="7">
        <v>21</v>
      </c>
      <c r="AF502" s="8">
        <v>0.83333333333333337</v>
      </c>
      <c r="AG502" s="9">
        <v>0.4</v>
      </c>
      <c r="AH502" s="10">
        <f t="shared" si="22"/>
        <v>0</v>
      </c>
    </row>
    <row r="503" spans="11:34" ht="14.5" x14ac:dyDescent="0.35">
      <c r="K503" s="4"/>
      <c r="AC503" s="7">
        <v>2022</v>
      </c>
      <c r="AD503" s="7">
        <v>1</v>
      </c>
      <c r="AE503" s="7">
        <v>21</v>
      </c>
      <c r="AF503" s="8">
        <v>0.875</v>
      </c>
      <c r="AG503" s="9">
        <v>1.3</v>
      </c>
      <c r="AH503" s="10">
        <f t="shared" si="22"/>
        <v>1</v>
      </c>
    </row>
    <row r="504" spans="11:34" ht="14.5" x14ac:dyDescent="0.35">
      <c r="K504" s="4"/>
      <c r="AC504" s="7">
        <v>2022</v>
      </c>
      <c r="AD504" s="7">
        <v>1</v>
      </c>
      <c r="AE504" s="7">
        <v>21</v>
      </c>
      <c r="AF504" s="8">
        <v>0.91666666666666663</v>
      </c>
      <c r="AG504" s="9">
        <v>0.8</v>
      </c>
      <c r="AH504" s="10">
        <f t="shared" si="22"/>
        <v>1</v>
      </c>
    </row>
    <row r="505" spans="11:34" ht="14.5" x14ac:dyDescent="0.35">
      <c r="K505" s="4"/>
      <c r="AC505" s="7">
        <v>2022</v>
      </c>
      <c r="AD505" s="7">
        <v>1</v>
      </c>
      <c r="AE505" s="7">
        <v>21</v>
      </c>
      <c r="AF505" s="8">
        <v>0.95833333333333337</v>
      </c>
      <c r="AG505" s="9">
        <v>1.8</v>
      </c>
      <c r="AH505" s="10">
        <f t="shared" si="22"/>
        <v>2</v>
      </c>
    </row>
    <row r="506" spans="11:34" ht="14.5" x14ac:dyDescent="0.35">
      <c r="K506" s="4"/>
      <c r="AC506" s="7">
        <v>2022</v>
      </c>
      <c r="AD506" s="7">
        <v>1</v>
      </c>
      <c r="AE506" s="7">
        <v>22</v>
      </c>
      <c r="AF506" s="8">
        <v>0</v>
      </c>
      <c r="AG506" s="9">
        <v>2</v>
      </c>
      <c r="AH506" s="10">
        <f t="shared" si="22"/>
        <v>2</v>
      </c>
    </row>
    <row r="507" spans="11:34" ht="14.5" x14ac:dyDescent="0.35">
      <c r="K507" s="4"/>
      <c r="AC507" s="7">
        <v>2022</v>
      </c>
      <c r="AD507" s="7">
        <v>1</v>
      </c>
      <c r="AE507" s="7">
        <v>22</v>
      </c>
      <c r="AF507" s="8">
        <v>4.1666666666666664E-2</v>
      </c>
      <c r="AG507" s="9">
        <v>1.1000000000000001</v>
      </c>
      <c r="AH507" s="10">
        <f t="shared" si="22"/>
        <v>1</v>
      </c>
    </row>
    <row r="508" spans="11:34" ht="14.5" x14ac:dyDescent="0.35">
      <c r="K508" s="4"/>
      <c r="AC508" s="7">
        <v>2022</v>
      </c>
      <c r="AD508" s="7">
        <v>1</v>
      </c>
      <c r="AE508" s="7">
        <v>22</v>
      </c>
      <c r="AF508" s="8">
        <v>8.3333333333333329E-2</v>
      </c>
      <c r="AG508" s="9">
        <v>0.3</v>
      </c>
      <c r="AH508" s="10">
        <f t="shared" si="22"/>
        <v>0</v>
      </c>
    </row>
    <row r="509" spans="11:34" ht="14.5" x14ac:dyDescent="0.35">
      <c r="K509" s="4"/>
      <c r="AC509" s="7">
        <v>2022</v>
      </c>
      <c r="AD509" s="7">
        <v>1</v>
      </c>
      <c r="AE509" s="7">
        <v>22</v>
      </c>
      <c r="AF509" s="8">
        <v>0.125</v>
      </c>
      <c r="AG509" s="9">
        <v>1.2</v>
      </c>
      <c r="AH509" s="10">
        <f t="shared" si="22"/>
        <v>1</v>
      </c>
    </row>
    <row r="510" spans="11:34" ht="14.5" x14ac:dyDescent="0.35">
      <c r="K510" s="4"/>
      <c r="AC510" s="7">
        <v>2022</v>
      </c>
      <c r="AD510" s="7">
        <v>1</v>
      </c>
      <c r="AE510" s="7">
        <v>22</v>
      </c>
      <c r="AF510" s="8">
        <v>0.16666666666666666</v>
      </c>
      <c r="AG510" s="9">
        <v>1.6</v>
      </c>
      <c r="AH510" s="10">
        <f t="shared" si="22"/>
        <v>2</v>
      </c>
    </row>
    <row r="511" spans="11:34" ht="14.5" x14ac:dyDescent="0.35">
      <c r="K511" s="4"/>
      <c r="AC511" s="7">
        <v>2022</v>
      </c>
      <c r="AD511" s="7">
        <v>1</v>
      </c>
      <c r="AE511" s="7">
        <v>22</v>
      </c>
      <c r="AF511" s="8">
        <v>0.20833333333333334</v>
      </c>
      <c r="AG511" s="9">
        <v>2.5</v>
      </c>
      <c r="AH511" s="10">
        <f t="shared" si="22"/>
        <v>3</v>
      </c>
    </row>
    <row r="512" spans="11:34" ht="14.5" x14ac:dyDescent="0.35">
      <c r="K512" s="4"/>
      <c r="AC512" s="7">
        <v>2022</v>
      </c>
      <c r="AD512" s="7">
        <v>1</v>
      </c>
      <c r="AE512" s="7">
        <v>22</v>
      </c>
      <c r="AF512" s="8">
        <v>0.25</v>
      </c>
      <c r="AG512" s="9">
        <v>2.8</v>
      </c>
      <c r="AH512" s="10">
        <f t="shared" si="22"/>
        <v>3</v>
      </c>
    </row>
    <row r="513" spans="11:34" ht="14.5" x14ac:dyDescent="0.35">
      <c r="K513" s="4"/>
      <c r="AC513" s="7">
        <v>2022</v>
      </c>
      <c r="AD513" s="7">
        <v>1</v>
      </c>
      <c r="AE513" s="7">
        <v>22</v>
      </c>
      <c r="AF513" s="8">
        <v>0.29166666666666669</v>
      </c>
      <c r="AG513" s="9">
        <v>4.5</v>
      </c>
      <c r="AH513" s="10">
        <f t="shared" si="22"/>
        <v>5</v>
      </c>
    </row>
    <row r="514" spans="11:34" ht="14.5" x14ac:dyDescent="0.35">
      <c r="K514" s="4"/>
      <c r="AC514" s="7">
        <v>2022</v>
      </c>
      <c r="AD514" s="7">
        <v>1</v>
      </c>
      <c r="AE514" s="7">
        <v>22</v>
      </c>
      <c r="AF514" s="8">
        <v>0.33333333333333331</v>
      </c>
      <c r="AG514" s="9">
        <v>5.2</v>
      </c>
      <c r="AH514" s="10">
        <f t="shared" si="22"/>
        <v>5</v>
      </c>
    </row>
    <row r="515" spans="11:34" ht="14.5" x14ac:dyDescent="0.35">
      <c r="K515" s="4"/>
      <c r="AC515" s="7">
        <v>2022</v>
      </c>
      <c r="AD515" s="7">
        <v>1</v>
      </c>
      <c r="AE515" s="7">
        <v>22</v>
      </c>
      <c r="AF515" s="8">
        <v>0.375</v>
      </c>
      <c r="AG515" s="9">
        <v>6.7</v>
      </c>
      <c r="AH515" s="10">
        <f t="shared" si="22"/>
        <v>7</v>
      </c>
    </row>
    <row r="516" spans="11:34" ht="14.5" x14ac:dyDescent="0.35">
      <c r="K516" s="4"/>
      <c r="AC516" s="7">
        <v>2022</v>
      </c>
      <c r="AD516" s="7">
        <v>1</v>
      </c>
      <c r="AE516" s="7">
        <v>22</v>
      </c>
      <c r="AF516" s="8">
        <v>0.41666666666666669</v>
      </c>
      <c r="AG516" s="9">
        <v>7.2</v>
      </c>
      <c r="AH516" s="10">
        <f t="shared" si="22"/>
        <v>7</v>
      </c>
    </row>
    <row r="517" spans="11:34" ht="14.5" x14ac:dyDescent="0.35">
      <c r="K517" s="4"/>
      <c r="AC517" s="7">
        <v>2022</v>
      </c>
      <c r="AD517" s="7">
        <v>1</v>
      </c>
      <c r="AE517" s="7">
        <v>22</v>
      </c>
      <c r="AF517" s="8">
        <v>0.45833333333333331</v>
      </c>
      <c r="AG517" s="9">
        <v>9.5</v>
      </c>
      <c r="AH517" s="10">
        <f t="shared" si="22"/>
        <v>10</v>
      </c>
    </row>
    <row r="518" spans="11:34" ht="14.5" x14ac:dyDescent="0.35">
      <c r="K518" s="4"/>
      <c r="AC518" s="7">
        <v>2022</v>
      </c>
      <c r="AD518" s="7">
        <v>1</v>
      </c>
      <c r="AE518" s="7">
        <v>22</v>
      </c>
      <c r="AF518" s="8">
        <v>0.5</v>
      </c>
      <c r="AG518" s="9">
        <v>10.9</v>
      </c>
      <c r="AH518" s="10">
        <f t="shared" si="22"/>
        <v>11</v>
      </c>
    </row>
    <row r="519" spans="11:34" ht="14.5" x14ac:dyDescent="0.35">
      <c r="K519" s="4"/>
      <c r="AC519" s="7">
        <v>2022</v>
      </c>
      <c r="AD519" s="7">
        <v>1</v>
      </c>
      <c r="AE519" s="7">
        <v>22</v>
      </c>
      <c r="AF519" s="8">
        <v>0.54166666666666663</v>
      </c>
      <c r="AG519" s="9">
        <v>10.9</v>
      </c>
      <c r="AH519" s="10">
        <f t="shared" si="22"/>
        <v>11</v>
      </c>
    </row>
    <row r="520" spans="11:34" ht="14.5" x14ac:dyDescent="0.35">
      <c r="K520" s="4"/>
      <c r="AC520" s="7">
        <v>2022</v>
      </c>
      <c r="AD520" s="7">
        <v>1</v>
      </c>
      <c r="AE520" s="7">
        <v>22</v>
      </c>
      <c r="AF520" s="8">
        <v>0.58333333333333337</v>
      </c>
      <c r="AG520" s="9">
        <v>9.3000000000000007</v>
      </c>
      <c r="AH520" s="10">
        <f t="shared" si="22"/>
        <v>9</v>
      </c>
    </row>
    <row r="521" spans="11:34" ht="14.5" x14ac:dyDescent="0.35">
      <c r="K521" s="4"/>
      <c r="AC521" s="7">
        <v>2022</v>
      </c>
      <c r="AD521" s="7">
        <v>1</v>
      </c>
      <c r="AE521" s="7">
        <v>22</v>
      </c>
      <c r="AF521" s="8">
        <v>0.625</v>
      </c>
      <c r="AG521" s="9">
        <v>10.9</v>
      </c>
      <c r="AH521" s="10">
        <f t="shared" si="22"/>
        <v>11</v>
      </c>
    </row>
    <row r="522" spans="11:34" ht="14.5" x14ac:dyDescent="0.35">
      <c r="K522" s="4"/>
      <c r="AC522" s="7">
        <v>2022</v>
      </c>
      <c r="AD522" s="7">
        <v>1</v>
      </c>
      <c r="AE522" s="7">
        <v>22</v>
      </c>
      <c r="AF522" s="8">
        <v>0.66666666666666663</v>
      </c>
      <c r="AG522" s="9">
        <v>10.5</v>
      </c>
      <c r="AH522" s="10">
        <f t="shared" si="22"/>
        <v>11</v>
      </c>
    </row>
    <row r="523" spans="11:34" ht="14.5" x14ac:dyDescent="0.35">
      <c r="K523" s="4"/>
      <c r="AC523" s="7">
        <v>2022</v>
      </c>
      <c r="AD523" s="7">
        <v>1</v>
      </c>
      <c r="AE523" s="7">
        <v>22</v>
      </c>
      <c r="AF523" s="8">
        <v>0.70833333333333337</v>
      </c>
      <c r="AG523" s="9">
        <v>10.3</v>
      </c>
      <c r="AH523" s="10">
        <f t="shared" ref="AH523:AH586" si="23">ROUND(AG523,0)</f>
        <v>10</v>
      </c>
    </row>
    <row r="524" spans="11:34" ht="14.5" x14ac:dyDescent="0.35">
      <c r="K524" s="4"/>
      <c r="AC524" s="7">
        <v>2022</v>
      </c>
      <c r="AD524" s="7">
        <v>1</v>
      </c>
      <c r="AE524" s="7">
        <v>22</v>
      </c>
      <c r="AF524" s="8">
        <v>0.75</v>
      </c>
      <c r="AG524" s="9">
        <v>9.8000000000000007</v>
      </c>
      <c r="AH524" s="10">
        <f t="shared" si="23"/>
        <v>10</v>
      </c>
    </row>
    <row r="525" spans="11:34" ht="14.5" x14ac:dyDescent="0.35">
      <c r="K525" s="4"/>
      <c r="AC525" s="7">
        <v>2022</v>
      </c>
      <c r="AD525" s="7">
        <v>1</v>
      </c>
      <c r="AE525" s="7">
        <v>22</v>
      </c>
      <c r="AF525" s="8">
        <v>0.79166666666666663</v>
      </c>
      <c r="AG525" s="9">
        <v>9.6</v>
      </c>
      <c r="AH525" s="10">
        <f t="shared" si="23"/>
        <v>10</v>
      </c>
    </row>
    <row r="526" spans="11:34" ht="14.5" x14ac:dyDescent="0.35">
      <c r="K526" s="4"/>
      <c r="AC526" s="7">
        <v>2022</v>
      </c>
      <c r="AD526" s="7">
        <v>1</v>
      </c>
      <c r="AE526" s="7">
        <v>22</v>
      </c>
      <c r="AF526" s="8">
        <v>0.83333333333333337</v>
      </c>
      <c r="AG526" s="9">
        <v>8.5</v>
      </c>
      <c r="AH526" s="10">
        <f t="shared" si="23"/>
        <v>9</v>
      </c>
    </row>
    <row r="527" spans="11:34" ht="14.5" x14ac:dyDescent="0.35">
      <c r="K527" s="4"/>
      <c r="AC527" s="7">
        <v>2022</v>
      </c>
      <c r="AD527" s="7">
        <v>1</v>
      </c>
      <c r="AE527" s="7">
        <v>22</v>
      </c>
      <c r="AF527" s="8">
        <v>0.875</v>
      </c>
      <c r="AG527" s="9">
        <v>8.5</v>
      </c>
      <c r="AH527" s="10">
        <f t="shared" si="23"/>
        <v>9</v>
      </c>
    </row>
    <row r="528" spans="11:34" ht="14.5" x14ac:dyDescent="0.35">
      <c r="K528" s="4"/>
      <c r="AC528" s="7">
        <v>2022</v>
      </c>
      <c r="AD528" s="7">
        <v>1</v>
      </c>
      <c r="AE528" s="7">
        <v>22</v>
      </c>
      <c r="AF528" s="8">
        <v>0.91666666666666663</v>
      </c>
      <c r="AG528" s="9">
        <v>7.4</v>
      </c>
      <c r="AH528" s="10">
        <f t="shared" si="23"/>
        <v>7</v>
      </c>
    </row>
    <row r="529" spans="11:34" ht="14.5" x14ac:dyDescent="0.35">
      <c r="K529" s="4"/>
      <c r="AC529" s="7">
        <v>2022</v>
      </c>
      <c r="AD529" s="7">
        <v>1</v>
      </c>
      <c r="AE529" s="7">
        <v>22</v>
      </c>
      <c r="AF529" s="8">
        <v>0.95833333333333337</v>
      </c>
      <c r="AG529" s="9">
        <v>7</v>
      </c>
      <c r="AH529" s="10">
        <f t="shared" si="23"/>
        <v>7</v>
      </c>
    </row>
    <row r="530" spans="11:34" ht="14.5" x14ac:dyDescent="0.35">
      <c r="K530" s="4"/>
      <c r="AC530" s="7">
        <v>2022</v>
      </c>
      <c r="AD530" s="7">
        <v>1</v>
      </c>
      <c r="AE530" s="7">
        <v>23</v>
      </c>
      <c r="AF530" s="8">
        <v>0</v>
      </c>
      <c r="AG530" s="9">
        <v>8.1</v>
      </c>
      <c r="AH530" s="10">
        <f t="shared" si="23"/>
        <v>8</v>
      </c>
    </row>
    <row r="531" spans="11:34" ht="14.5" x14ac:dyDescent="0.35">
      <c r="K531" s="4"/>
      <c r="AC531" s="7">
        <v>2022</v>
      </c>
      <c r="AD531" s="7">
        <v>1</v>
      </c>
      <c r="AE531" s="7">
        <v>23</v>
      </c>
      <c r="AF531" s="8">
        <v>4.1666666666666664E-2</v>
      </c>
      <c r="AG531" s="9">
        <v>8</v>
      </c>
      <c r="AH531" s="10">
        <f t="shared" si="23"/>
        <v>8</v>
      </c>
    </row>
    <row r="532" spans="11:34" ht="14.5" x14ac:dyDescent="0.35">
      <c r="K532" s="4"/>
      <c r="AC532" s="7">
        <v>2022</v>
      </c>
      <c r="AD532" s="7">
        <v>1</v>
      </c>
      <c r="AE532" s="7">
        <v>23</v>
      </c>
      <c r="AF532" s="8">
        <v>8.3333333333333329E-2</v>
      </c>
      <c r="AG532" s="9">
        <v>7.8</v>
      </c>
      <c r="AH532" s="10">
        <f t="shared" si="23"/>
        <v>8</v>
      </c>
    </row>
    <row r="533" spans="11:34" ht="14.5" x14ac:dyDescent="0.35">
      <c r="K533" s="4"/>
      <c r="AC533" s="7">
        <v>2022</v>
      </c>
      <c r="AD533" s="7">
        <v>1</v>
      </c>
      <c r="AE533" s="7">
        <v>23</v>
      </c>
      <c r="AF533" s="8">
        <v>0.125</v>
      </c>
      <c r="AG533" s="9">
        <v>7.3</v>
      </c>
      <c r="AH533" s="10">
        <f t="shared" si="23"/>
        <v>7</v>
      </c>
    </row>
    <row r="534" spans="11:34" ht="14.5" x14ac:dyDescent="0.35">
      <c r="K534" s="4"/>
      <c r="AC534" s="7">
        <v>2022</v>
      </c>
      <c r="AD534" s="7">
        <v>1</v>
      </c>
      <c r="AE534" s="7">
        <v>23</v>
      </c>
      <c r="AF534" s="8">
        <v>0.16666666666666666</v>
      </c>
      <c r="AG534" s="9">
        <v>6.3</v>
      </c>
      <c r="AH534" s="10">
        <f t="shared" si="23"/>
        <v>6</v>
      </c>
    </row>
    <row r="535" spans="11:34" ht="14.5" x14ac:dyDescent="0.35">
      <c r="K535" s="4"/>
      <c r="AC535" s="7">
        <v>2022</v>
      </c>
      <c r="AD535" s="7">
        <v>1</v>
      </c>
      <c r="AE535" s="7">
        <v>23</v>
      </c>
      <c r="AF535" s="8">
        <v>0.20833333333333334</v>
      </c>
      <c r="AG535" s="9">
        <v>7.3</v>
      </c>
      <c r="AH535" s="10">
        <f t="shared" si="23"/>
        <v>7</v>
      </c>
    </row>
    <row r="536" spans="11:34" ht="14.5" x14ac:dyDescent="0.35">
      <c r="K536" s="4"/>
      <c r="AC536" s="7">
        <v>2022</v>
      </c>
      <c r="AD536" s="7">
        <v>1</v>
      </c>
      <c r="AE536" s="7">
        <v>23</v>
      </c>
      <c r="AF536" s="8">
        <v>0.25</v>
      </c>
      <c r="AG536" s="9">
        <v>7.8</v>
      </c>
      <c r="AH536" s="10">
        <f t="shared" si="23"/>
        <v>8</v>
      </c>
    </row>
    <row r="537" spans="11:34" ht="14.5" x14ac:dyDescent="0.35">
      <c r="K537" s="4"/>
      <c r="AC537" s="7">
        <v>2022</v>
      </c>
      <c r="AD537" s="7">
        <v>1</v>
      </c>
      <c r="AE537" s="7">
        <v>23</v>
      </c>
      <c r="AF537" s="8">
        <v>0.29166666666666669</v>
      </c>
      <c r="AG537" s="9">
        <v>7.7</v>
      </c>
      <c r="AH537" s="10">
        <f t="shared" si="23"/>
        <v>8</v>
      </c>
    </row>
    <row r="538" spans="11:34" ht="14.5" x14ac:dyDescent="0.35">
      <c r="K538" s="4"/>
      <c r="AC538" s="7">
        <v>2022</v>
      </c>
      <c r="AD538" s="7">
        <v>1</v>
      </c>
      <c r="AE538" s="7">
        <v>23</v>
      </c>
      <c r="AF538" s="8">
        <v>0.33333333333333331</v>
      </c>
      <c r="AG538" s="9">
        <v>7.1</v>
      </c>
      <c r="AH538" s="10">
        <f t="shared" si="23"/>
        <v>7</v>
      </c>
    </row>
    <row r="539" spans="11:34" ht="14.5" x14ac:dyDescent="0.35">
      <c r="K539" s="4"/>
      <c r="AC539" s="7">
        <v>2022</v>
      </c>
      <c r="AD539" s="7">
        <v>1</v>
      </c>
      <c r="AE539" s="7">
        <v>23</v>
      </c>
      <c r="AF539" s="8">
        <v>0.375</v>
      </c>
      <c r="AG539" s="9">
        <v>7.8</v>
      </c>
      <c r="AH539" s="10">
        <f t="shared" si="23"/>
        <v>8</v>
      </c>
    </row>
    <row r="540" spans="11:34" ht="14.5" x14ac:dyDescent="0.35">
      <c r="K540" s="4"/>
      <c r="AC540" s="7">
        <v>2022</v>
      </c>
      <c r="AD540" s="7">
        <v>1</v>
      </c>
      <c r="AE540" s="7">
        <v>23</v>
      </c>
      <c r="AF540" s="8">
        <v>0.41666666666666669</v>
      </c>
      <c r="AG540" s="9">
        <v>8.4</v>
      </c>
      <c r="AH540" s="10">
        <f t="shared" si="23"/>
        <v>8</v>
      </c>
    </row>
    <row r="541" spans="11:34" ht="14.5" x14ac:dyDescent="0.35">
      <c r="K541" s="4"/>
      <c r="AC541" s="7">
        <v>2022</v>
      </c>
      <c r="AD541" s="7">
        <v>1</v>
      </c>
      <c r="AE541" s="7">
        <v>23</v>
      </c>
      <c r="AF541" s="8">
        <v>0.45833333333333331</v>
      </c>
      <c r="AG541" s="9">
        <v>9.6999999999999993</v>
      </c>
      <c r="AH541" s="10">
        <f t="shared" si="23"/>
        <v>10</v>
      </c>
    </row>
    <row r="542" spans="11:34" ht="14.5" x14ac:dyDescent="0.35">
      <c r="K542" s="4"/>
      <c r="AC542" s="7">
        <v>2022</v>
      </c>
      <c r="AD542" s="7">
        <v>1</v>
      </c>
      <c r="AE542" s="7">
        <v>23</v>
      </c>
      <c r="AF542" s="8">
        <v>0.5</v>
      </c>
      <c r="AG542" s="9">
        <v>10.9</v>
      </c>
      <c r="AH542" s="10">
        <f t="shared" si="23"/>
        <v>11</v>
      </c>
    </row>
    <row r="543" spans="11:34" ht="14.5" x14ac:dyDescent="0.35">
      <c r="K543" s="4"/>
      <c r="AC543" s="7">
        <v>2022</v>
      </c>
      <c r="AD543" s="7">
        <v>1</v>
      </c>
      <c r="AE543" s="7">
        <v>23</v>
      </c>
      <c r="AF543" s="8">
        <v>0.54166666666666663</v>
      </c>
      <c r="AG543" s="9">
        <v>12.1</v>
      </c>
      <c r="AH543" s="10">
        <f t="shared" si="23"/>
        <v>12</v>
      </c>
    </row>
    <row r="544" spans="11:34" ht="14.5" x14ac:dyDescent="0.35">
      <c r="K544" s="4"/>
      <c r="AC544" s="7">
        <v>2022</v>
      </c>
      <c r="AD544" s="7">
        <v>1</v>
      </c>
      <c r="AE544" s="7">
        <v>23</v>
      </c>
      <c r="AF544" s="8">
        <v>0.58333333333333337</v>
      </c>
      <c r="AG544" s="9">
        <v>10.5</v>
      </c>
      <c r="AH544" s="10">
        <f t="shared" si="23"/>
        <v>11</v>
      </c>
    </row>
    <row r="545" spans="11:34" ht="14.5" x14ac:dyDescent="0.35">
      <c r="K545" s="4"/>
      <c r="AC545" s="7">
        <v>2022</v>
      </c>
      <c r="AD545" s="7">
        <v>1</v>
      </c>
      <c r="AE545" s="7">
        <v>23</v>
      </c>
      <c r="AF545" s="8">
        <v>0.625</v>
      </c>
      <c r="AG545" s="9">
        <v>10.1</v>
      </c>
      <c r="AH545" s="10">
        <f t="shared" si="23"/>
        <v>10</v>
      </c>
    </row>
    <row r="546" spans="11:34" ht="14.5" x14ac:dyDescent="0.35">
      <c r="K546" s="4"/>
      <c r="AC546" s="7">
        <v>2022</v>
      </c>
      <c r="AD546" s="7">
        <v>1</v>
      </c>
      <c r="AE546" s="7">
        <v>23</v>
      </c>
      <c r="AF546" s="8">
        <v>0.66666666666666663</v>
      </c>
      <c r="AG546" s="9">
        <v>8.8000000000000007</v>
      </c>
      <c r="AH546" s="10">
        <f t="shared" si="23"/>
        <v>9</v>
      </c>
    </row>
    <row r="547" spans="11:34" ht="14.5" x14ac:dyDescent="0.35">
      <c r="K547" s="4"/>
      <c r="AC547" s="7">
        <v>2022</v>
      </c>
      <c r="AD547" s="7">
        <v>1</v>
      </c>
      <c r="AE547" s="7">
        <v>23</v>
      </c>
      <c r="AF547" s="8">
        <v>0.70833333333333337</v>
      </c>
      <c r="AG547" s="9">
        <v>5</v>
      </c>
      <c r="AH547" s="10">
        <f t="shared" si="23"/>
        <v>5</v>
      </c>
    </row>
    <row r="548" spans="11:34" ht="14.5" x14ac:dyDescent="0.35">
      <c r="K548" s="4"/>
      <c r="AC548" s="7">
        <v>2022</v>
      </c>
      <c r="AD548" s="7">
        <v>1</v>
      </c>
      <c r="AE548" s="7">
        <v>23</v>
      </c>
      <c r="AF548" s="8">
        <v>0.75</v>
      </c>
      <c r="AG548" s="9">
        <v>1.4</v>
      </c>
      <c r="AH548" s="10">
        <f t="shared" si="23"/>
        <v>1</v>
      </c>
    </row>
    <row r="549" spans="11:34" ht="14.5" x14ac:dyDescent="0.35">
      <c r="K549" s="4"/>
      <c r="AC549" s="7">
        <v>2022</v>
      </c>
      <c r="AD549" s="7">
        <v>1</v>
      </c>
      <c r="AE549" s="7">
        <v>23</v>
      </c>
      <c r="AF549" s="8">
        <v>0.79166666666666663</v>
      </c>
      <c r="AG549" s="9">
        <v>0.3</v>
      </c>
      <c r="AH549" s="10">
        <f t="shared" si="23"/>
        <v>0</v>
      </c>
    </row>
    <row r="550" spans="11:34" ht="14.5" x14ac:dyDescent="0.35">
      <c r="K550" s="4"/>
      <c r="AC550" s="7">
        <v>2022</v>
      </c>
      <c r="AD550" s="7">
        <v>1</v>
      </c>
      <c r="AE550" s="7">
        <v>23</v>
      </c>
      <c r="AF550" s="8">
        <v>0.83333333333333337</v>
      </c>
      <c r="AG550" s="9">
        <v>0.2</v>
      </c>
      <c r="AH550" s="10">
        <f t="shared" si="23"/>
        <v>0</v>
      </c>
    </row>
    <row r="551" spans="11:34" ht="14.5" x14ac:dyDescent="0.35">
      <c r="K551" s="4"/>
      <c r="AC551" s="7">
        <v>2022</v>
      </c>
      <c r="AD551" s="7">
        <v>1</v>
      </c>
      <c r="AE551" s="7">
        <v>23</v>
      </c>
      <c r="AF551" s="8">
        <v>0.875</v>
      </c>
      <c r="AG551" s="9">
        <v>0.2</v>
      </c>
      <c r="AH551" s="10">
        <f t="shared" si="23"/>
        <v>0</v>
      </c>
    </row>
    <row r="552" spans="11:34" ht="14.5" x14ac:dyDescent="0.35">
      <c r="K552" s="4"/>
      <c r="AC552" s="7">
        <v>2022</v>
      </c>
      <c r="AD552" s="7">
        <v>1</v>
      </c>
      <c r="AE552" s="7">
        <v>23</v>
      </c>
      <c r="AF552" s="8">
        <v>0.91666666666666663</v>
      </c>
      <c r="AG552" s="9">
        <v>-0.7</v>
      </c>
      <c r="AH552" s="10">
        <f t="shared" si="23"/>
        <v>-1</v>
      </c>
    </row>
    <row r="553" spans="11:34" ht="14.5" x14ac:dyDescent="0.35">
      <c r="K553" s="4"/>
      <c r="AC553" s="7">
        <v>2022</v>
      </c>
      <c r="AD553" s="7">
        <v>1</v>
      </c>
      <c r="AE553" s="7">
        <v>23</v>
      </c>
      <c r="AF553" s="8">
        <v>0.95833333333333337</v>
      </c>
      <c r="AG553" s="9">
        <v>-2.7</v>
      </c>
      <c r="AH553" s="10">
        <f t="shared" si="23"/>
        <v>-3</v>
      </c>
    </row>
    <row r="554" spans="11:34" ht="14.5" x14ac:dyDescent="0.35">
      <c r="K554" s="4"/>
      <c r="AC554" s="7">
        <v>2022</v>
      </c>
      <c r="AD554" s="7">
        <v>1</v>
      </c>
      <c r="AE554" s="7">
        <v>24</v>
      </c>
      <c r="AF554" s="8">
        <v>0</v>
      </c>
      <c r="AG554" s="9">
        <v>-1.7</v>
      </c>
      <c r="AH554" s="10">
        <f t="shared" si="23"/>
        <v>-2</v>
      </c>
    </row>
    <row r="555" spans="11:34" ht="14.5" x14ac:dyDescent="0.35">
      <c r="K555" s="4"/>
      <c r="AC555" s="7">
        <v>2022</v>
      </c>
      <c r="AD555" s="7">
        <v>1</v>
      </c>
      <c r="AE555" s="7">
        <v>24</v>
      </c>
      <c r="AF555" s="8">
        <v>4.1666666666666664E-2</v>
      </c>
      <c r="AG555" s="9">
        <v>-3.1</v>
      </c>
      <c r="AH555" s="10">
        <f t="shared" si="23"/>
        <v>-3</v>
      </c>
    </row>
    <row r="556" spans="11:34" ht="14.5" x14ac:dyDescent="0.35">
      <c r="K556" s="4"/>
      <c r="AC556" s="7">
        <v>2022</v>
      </c>
      <c r="AD556" s="7">
        <v>1</v>
      </c>
      <c r="AE556" s="7">
        <v>24</v>
      </c>
      <c r="AF556" s="8">
        <v>8.3333333333333329E-2</v>
      </c>
      <c r="AG556" s="9">
        <v>-0.6</v>
      </c>
      <c r="AH556" s="10">
        <f t="shared" si="23"/>
        <v>-1</v>
      </c>
    </row>
    <row r="557" spans="11:34" ht="14.5" x14ac:dyDescent="0.35">
      <c r="K557" s="4"/>
      <c r="AC557" s="7">
        <v>2022</v>
      </c>
      <c r="AD557" s="7">
        <v>1</v>
      </c>
      <c r="AE557" s="7">
        <v>24</v>
      </c>
      <c r="AF557" s="8">
        <v>0.125</v>
      </c>
      <c r="AG557" s="9">
        <v>-0.4</v>
      </c>
      <c r="AH557" s="10">
        <f t="shared" si="23"/>
        <v>0</v>
      </c>
    </row>
    <row r="558" spans="11:34" ht="14.5" x14ac:dyDescent="0.35">
      <c r="K558" s="4"/>
      <c r="AC558" s="7">
        <v>2022</v>
      </c>
      <c r="AD558" s="7">
        <v>1</v>
      </c>
      <c r="AE558" s="7">
        <v>24</v>
      </c>
      <c r="AF558" s="8">
        <v>0.16666666666666666</v>
      </c>
      <c r="AG558" s="9">
        <v>0</v>
      </c>
      <c r="AH558" s="10">
        <f t="shared" si="23"/>
        <v>0</v>
      </c>
    </row>
    <row r="559" spans="11:34" ht="14.5" x14ac:dyDescent="0.35">
      <c r="K559" s="4"/>
      <c r="AC559" s="7">
        <v>2022</v>
      </c>
      <c r="AD559" s="7">
        <v>1</v>
      </c>
      <c r="AE559" s="7">
        <v>24</v>
      </c>
      <c r="AF559" s="8">
        <v>0.20833333333333334</v>
      </c>
      <c r="AG559" s="9">
        <v>1.6</v>
      </c>
      <c r="AH559" s="10">
        <f t="shared" si="23"/>
        <v>2</v>
      </c>
    </row>
    <row r="560" spans="11:34" ht="14.5" x14ac:dyDescent="0.35">
      <c r="K560" s="4"/>
      <c r="AC560" s="7">
        <v>2022</v>
      </c>
      <c r="AD560" s="7">
        <v>1</v>
      </c>
      <c r="AE560" s="7">
        <v>24</v>
      </c>
      <c r="AF560" s="8">
        <v>0.25</v>
      </c>
      <c r="AG560" s="9">
        <v>0.9</v>
      </c>
      <c r="AH560" s="10">
        <f t="shared" si="23"/>
        <v>1</v>
      </c>
    </row>
    <row r="561" spans="11:34" ht="14.5" x14ac:dyDescent="0.35">
      <c r="K561" s="4"/>
      <c r="AC561" s="7">
        <v>2022</v>
      </c>
      <c r="AD561" s="7">
        <v>1</v>
      </c>
      <c r="AE561" s="7">
        <v>24</v>
      </c>
      <c r="AF561" s="8">
        <v>0.29166666666666669</v>
      </c>
      <c r="AG561" s="9">
        <v>0.7</v>
      </c>
      <c r="AH561" s="10">
        <f t="shared" si="23"/>
        <v>1</v>
      </c>
    </row>
    <row r="562" spans="11:34" ht="14.5" x14ac:dyDescent="0.35">
      <c r="K562" s="4"/>
      <c r="AC562" s="7">
        <v>2022</v>
      </c>
      <c r="AD562" s="7">
        <v>1</v>
      </c>
      <c r="AE562" s="7">
        <v>24</v>
      </c>
      <c r="AF562" s="8">
        <v>0.33333333333333331</v>
      </c>
      <c r="AG562" s="9">
        <v>0.4</v>
      </c>
      <c r="AH562" s="10">
        <f t="shared" si="23"/>
        <v>0</v>
      </c>
    </row>
    <row r="563" spans="11:34" ht="14.5" x14ac:dyDescent="0.35">
      <c r="K563" s="4"/>
      <c r="AC563" s="7">
        <v>2022</v>
      </c>
      <c r="AD563" s="7">
        <v>1</v>
      </c>
      <c r="AE563" s="7">
        <v>24</v>
      </c>
      <c r="AF563" s="8">
        <v>0.375</v>
      </c>
      <c r="AG563" s="9">
        <v>0</v>
      </c>
      <c r="AH563" s="10">
        <f t="shared" si="23"/>
        <v>0</v>
      </c>
    </row>
    <row r="564" spans="11:34" ht="14.5" x14ac:dyDescent="0.35">
      <c r="K564" s="4"/>
      <c r="AC564" s="7">
        <v>2022</v>
      </c>
      <c r="AD564" s="7">
        <v>1</v>
      </c>
      <c r="AE564" s="7">
        <v>24</v>
      </c>
      <c r="AF564" s="8">
        <v>0.41666666666666669</v>
      </c>
      <c r="AG564" s="9">
        <v>0.3</v>
      </c>
      <c r="AH564" s="10">
        <f t="shared" si="23"/>
        <v>0</v>
      </c>
    </row>
    <row r="565" spans="11:34" ht="14.5" x14ac:dyDescent="0.35">
      <c r="K565" s="4"/>
      <c r="AC565" s="7">
        <v>2022</v>
      </c>
      <c r="AD565" s="7">
        <v>1</v>
      </c>
      <c r="AE565" s="7">
        <v>24</v>
      </c>
      <c r="AF565" s="8">
        <v>0.45833333333333331</v>
      </c>
      <c r="AG565" s="9">
        <v>0.8</v>
      </c>
      <c r="AH565" s="10">
        <f t="shared" si="23"/>
        <v>1</v>
      </c>
    </row>
    <row r="566" spans="11:34" ht="14.5" x14ac:dyDescent="0.35">
      <c r="K566" s="4"/>
      <c r="AC566" s="7">
        <v>2022</v>
      </c>
      <c r="AD566" s="7">
        <v>1</v>
      </c>
      <c r="AE566" s="7">
        <v>24</v>
      </c>
      <c r="AF566" s="8">
        <v>0.5</v>
      </c>
      <c r="AG566" s="9">
        <v>1.3</v>
      </c>
      <c r="AH566" s="10">
        <f t="shared" si="23"/>
        <v>1</v>
      </c>
    </row>
    <row r="567" spans="11:34" ht="14.5" x14ac:dyDescent="0.35">
      <c r="K567" s="4"/>
      <c r="AC567" s="7">
        <v>2022</v>
      </c>
      <c r="AD567" s="7">
        <v>1</v>
      </c>
      <c r="AE567" s="7">
        <v>24</v>
      </c>
      <c r="AF567" s="8">
        <v>0.54166666666666663</v>
      </c>
      <c r="AG567" s="9">
        <v>1.2</v>
      </c>
      <c r="AH567" s="10">
        <f t="shared" si="23"/>
        <v>1</v>
      </c>
    </row>
    <row r="568" spans="11:34" ht="14.5" x14ac:dyDescent="0.35">
      <c r="K568" s="4"/>
      <c r="AC568" s="7">
        <v>2022</v>
      </c>
      <c r="AD568" s="7">
        <v>1</v>
      </c>
      <c r="AE568" s="7">
        <v>24</v>
      </c>
      <c r="AF568" s="8">
        <v>0.58333333333333337</v>
      </c>
      <c r="AG568" s="9">
        <v>1.1000000000000001</v>
      </c>
      <c r="AH568" s="10">
        <f t="shared" si="23"/>
        <v>1</v>
      </c>
    </row>
    <row r="569" spans="11:34" ht="14.5" x14ac:dyDescent="0.35">
      <c r="K569" s="4"/>
      <c r="AC569" s="7">
        <v>2022</v>
      </c>
      <c r="AD569" s="7">
        <v>1</v>
      </c>
      <c r="AE569" s="7">
        <v>24</v>
      </c>
      <c r="AF569" s="8">
        <v>0.625</v>
      </c>
      <c r="AG569" s="9">
        <v>1.9</v>
      </c>
      <c r="AH569" s="10">
        <f t="shared" si="23"/>
        <v>2</v>
      </c>
    </row>
    <row r="570" spans="11:34" ht="14.5" x14ac:dyDescent="0.35">
      <c r="K570" s="4"/>
      <c r="AC570" s="7">
        <v>2022</v>
      </c>
      <c r="AD570" s="7">
        <v>1</v>
      </c>
      <c r="AE570" s="7">
        <v>24</v>
      </c>
      <c r="AF570" s="8">
        <v>0.66666666666666663</v>
      </c>
      <c r="AG570" s="9">
        <v>1.6</v>
      </c>
      <c r="AH570" s="10">
        <f t="shared" si="23"/>
        <v>2</v>
      </c>
    </row>
    <row r="571" spans="11:34" ht="14.5" x14ac:dyDescent="0.35">
      <c r="K571" s="4"/>
      <c r="AC571" s="7">
        <v>2022</v>
      </c>
      <c r="AD571" s="7">
        <v>1</v>
      </c>
      <c r="AE571" s="7">
        <v>24</v>
      </c>
      <c r="AF571" s="8">
        <v>0.70833333333333337</v>
      </c>
      <c r="AG571" s="9">
        <v>1.1000000000000001</v>
      </c>
      <c r="AH571" s="10">
        <f t="shared" si="23"/>
        <v>1</v>
      </c>
    </row>
    <row r="572" spans="11:34" ht="14.5" x14ac:dyDescent="0.35">
      <c r="K572" s="4"/>
      <c r="AC572" s="7">
        <v>2022</v>
      </c>
      <c r="AD572" s="7">
        <v>1</v>
      </c>
      <c r="AE572" s="7">
        <v>24</v>
      </c>
      <c r="AF572" s="8">
        <v>0.75</v>
      </c>
      <c r="AG572" s="9">
        <v>0.9</v>
      </c>
      <c r="AH572" s="10">
        <f t="shared" si="23"/>
        <v>1</v>
      </c>
    </row>
    <row r="573" spans="11:34" ht="14.5" x14ac:dyDescent="0.35">
      <c r="K573" s="4"/>
      <c r="AC573" s="7">
        <v>2022</v>
      </c>
      <c r="AD573" s="7">
        <v>1</v>
      </c>
      <c r="AE573" s="7">
        <v>24</v>
      </c>
      <c r="AF573" s="8">
        <v>0.79166666666666663</v>
      </c>
      <c r="AG573" s="9">
        <v>0.5</v>
      </c>
      <c r="AH573" s="10">
        <f t="shared" si="23"/>
        <v>1</v>
      </c>
    </row>
    <row r="574" spans="11:34" ht="14.5" x14ac:dyDescent="0.35">
      <c r="K574" s="4"/>
      <c r="AC574" s="7">
        <v>2022</v>
      </c>
      <c r="AD574" s="7">
        <v>1</v>
      </c>
      <c r="AE574" s="7">
        <v>24</v>
      </c>
      <c r="AF574" s="8">
        <v>0.83333333333333337</v>
      </c>
      <c r="AG574" s="9">
        <v>0.9</v>
      </c>
      <c r="AH574" s="10">
        <f t="shared" si="23"/>
        <v>1</v>
      </c>
    </row>
    <row r="575" spans="11:34" ht="14.5" x14ac:dyDescent="0.35">
      <c r="K575" s="4"/>
      <c r="AC575" s="7">
        <v>2022</v>
      </c>
      <c r="AD575" s="7">
        <v>1</v>
      </c>
      <c r="AE575" s="7">
        <v>24</v>
      </c>
      <c r="AF575" s="8">
        <v>0.875</v>
      </c>
      <c r="AG575" s="9">
        <v>0.8</v>
      </c>
      <c r="AH575" s="10">
        <f t="shared" si="23"/>
        <v>1</v>
      </c>
    </row>
    <row r="576" spans="11:34" ht="14.5" x14ac:dyDescent="0.35">
      <c r="K576" s="4"/>
      <c r="AC576" s="7">
        <v>2022</v>
      </c>
      <c r="AD576" s="7">
        <v>1</v>
      </c>
      <c r="AE576" s="7">
        <v>24</v>
      </c>
      <c r="AF576" s="8">
        <v>0.91666666666666663</v>
      </c>
      <c r="AG576" s="9">
        <v>-0.2</v>
      </c>
      <c r="AH576" s="10">
        <f t="shared" si="23"/>
        <v>0</v>
      </c>
    </row>
    <row r="577" spans="11:34" ht="14.5" x14ac:dyDescent="0.35">
      <c r="K577" s="4"/>
      <c r="AC577" s="7">
        <v>2022</v>
      </c>
      <c r="AD577" s="7">
        <v>1</v>
      </c>
      <c r="AE577" s="7">
        <v>24</v>
      </c>
      <c r="AF577" s="8">
        <v>0.95833333333333337</v>
      </c>
      <c r="AG577" s="9">
        <v>-1.8</v>
      </c>
      <c r="AH577" s="10">
        <f t="shared" si="23"/>
        <v>-2</v>
      </c>
    </row>
    <row r="578" spans="11:34" ht="14.5" x14ac:dyDescent="0.35">
      <c r="K578" s="4"/>
      <c r="AC578" s="7">
        <v>2022</v>
      </c>
      <c r="AD578" s="7">
        <v>1</v>
      </c>
      <c r="AE578" s="7">
        <v>25</v>
      </c>
      <c r="AF578" s="8">
        <v>0</v>
      </c>
      <c r="AG578" s="9">
        <v>-3</v>
      </c>
      <c r="AH578" s="10">
        <f t="shared" si="23"/>
        <v>-3</v>
      </c>
    </row>
    <row r="579" spans="11:34" ht="14.5" x14ac:dyDescent="0.35">
      <c r="K579" s="4"/>
      <c r="AC579" s="7">
        <v>2022</v>
      </c>
      <c r="AD579" s="7">
        <v>1</v>
      </c>
      <c r="AE579" s="7">
        <v>25</v>
      </c>
      <c r="AF579" s="8">
        <v>4.1666666666666664E-2</v>
      </c>
      <c r="AG579" s="9">
        <v>-4.5999999999999996</v>
      </c>
      <c r="AH579" s="10">
        <f t="shared" si="23"/>
        <v>-5</v>
      </c>
    </row>
    <row r="580" spans="11:34" ht="14.5" x14ac:dyDescent="0.35">
      <c r="K580" s="4"/>
      <c r="AC580" s="7">
        <v>2022</v>
      </c>
      <c r="AD580" s="7">
        <v>1</v>
      </c>
      <c r="AE580" s="7">
        <v>25</v>
      </c>
      <c r="AF580" s="8">
        <v>8.3333333333333329E-2</v>
      </c>
      <c r="AG580" s="9">
        <v>-4.5</v>
      </c>
      <c r="AH580" s="10">
        <f t="shared" si="23"/>
        <v>-5</v>
      </c>
    </row>
    <row r="581" spans="11:34" ht="14.5" x14ac:dyDescent="0.35">
      <c r="K581" s="4"/>
      <c r="AC581" s="7">
        <v>2022</v>
      </c>
      <c r="AD581" s="7">
        <v>1</v>
      </c>
      <c r="AE581" s="7">
        <v>25</v>
      </c>
      <c r="AF581" s="8">
        <v>0.125</v>
      </c>
      <c r="AG581" s="9">
        <v>-5</v>
      </c>
      <c r="AH581" s="10">
        <f t="shared" si="23"/>
        <v>-5</v>
      </c>
    </row>
    <row r="582" spans="11:34" ht="14.5" x14ac:dyDescent="0.35">
      <c r="K582" s="4"/>
      <c r="AC582" s="7">
        <v>2022</v>
      </c>
      <c r="AD582" s="7">
        <v>1</v>
      </c>
      <c r="AE582" s="7">
        <v>25</v>
      </c>
      <c r="AF582" s="8">
        <v>0.16666666666666666</v>
      </c>
      <c r="AG582" s="9">
        <v>-5.5</v>
      </c>
      <c r="AH582" s="10">
        <f t="shared" si="23"/>
        <v>-6</v>
      </c>
    </row>
    <row r="583" spans="11:34" ht="14.5" x14ac:dyDescent="0.35">
      <c r="K583" s="4"/>
      <c r="AC583" s="7">
        <v>2022</v>
      </c>
      <c r="AD583" s="7">
        <v>1</v>
      </c>
      <c r="AE583" s="7">
        <v>25</v>
      </c>
      <c r="AF583" s="8">
        <v>0.20833333333333334</v>
      </c>
      <c r="AG583" s="9">
        <v>-6</v>
      </c>
      <c r="AH583" s="10">
        <f t="shared" si="23"/>
        <v>-6</v>
      </c>
    </row>
    <row r="584" spans="11:34" ht="14.5" x14ac:dyDescent="0.35">
      <c r="K584" s="4"/>
      <c r="AC584" s="7">
        <v>2022</v>
      </c>
      <c r="AD584" s="7">
        <v>1</v>
      </c>
      <c r="AE584" s="7">
        <v>25</v>
      </c>
      <c r="AF584" s="8">
        <v>0.25</v>
      </c>
      <c r="AG584" s="9">
        <v>-6</v>
      </c>
      <c r="AH584" s="10">
        <f t="shared" si="23"/>
        <v>-6</v>
      </c>
    </row>
    <row r="585" spans="11:34" ht="14.5" x14ac:dyDescent="0.35">
      <c r="K585" s="4"/>
      <c r="AC585" s="7">
        <v>2022</v>
      </c>
      <c r="AD585" s="7">
        <v>1</v>
      </c>
      <c r="AE585" s="7">
        <v>25</v>
      </c>
      <c r="AF585" s="8">
        <v>0.29166666666666669</v>
      </c>
      <c r="AG585" s="9">
        <v>-6.4</v>
      </c>
      <c r="AH585" s="10">
        <f t="shared" si="23"/>
        <v>-6</v>
      </c>
    </row>
    <row r="586" spans="11:34" ht="14.5" x14ac:dyDescent="0.35">
      <c r="K586" s="4"/>
      <c r="AC586" s="7">
        <v>2022</v>
      </c>
      <c r="AD586" s="7">
        <v>1</v>
      </c>
      <c r="AE586" s="7">
        <v>25</v>
      </c>
      <c r="AF586" s="8">
        <v>0.33333333333333331</v>
      </c>
      <c r="AG586" s="9">
        <v>-5.2</v>
      </c>
      <c r="AH586" s="10">
        <f t="shared" si="23"/>
        <v>-5</v>
      </c>
    </row>
    <row r="587" spans="11:34" ht="14.5" x14ac:dyDescent="0.35">
      <c r="K587" s="4"/>
      <c r="AC587" s="7">
        <v>2022</v>
      </c>
      <c r="AD587" s="7">
        <v>1</v>
      </c>
      <c r="AE587" s="7">
        <v>25</v>
      </c>
      <c r="AF587" s="8">
        <v>0.375</v>
      </c>
      <c r="AG587" s="9">
        <v>-4.5</v>
      </c>
      <c r="AH587" s="10">
        <f t="shared" ref="AH587:AH650" si="24">ROUND(AG587,0)</f>
        <v>-5</v>
      </c>
    </row>
    <row r="588" spans="11:34" ht="14.5" x14ac:dyDescent="0.35">
      <c r="K588" s="4"/>
      <c r="AC588" s="7">
        <v>2022</v>
      </c>
      <c r="AD588" s="7">
        <v>1</v>
      </c>
      <c r="AE588" s="7">
        <v>25</v>
      </c>
      <c r="AF588" s="8">
        <v>0.41666666666666669</v>
      </c>
      <c r="AG588" s="9">
        <v>-3.9</v>
      </c>
      <c r="AH588" s="10">
        <f t="shared" si="24"/>
        <v>-4</v>
      </c>
    </row>
    <row r="589" spans="11:34" ht="14.5" x14ac:dyDescent="0.35">
      <c r="K589" s="4"/>
      <c r="AC589" s="7">
        <v>2022</v>
      </c>
      <c r="AD589" s="7">
        <v>1</v>
      </c>
      <c r="AE589" s="7">
        <v>25</v>
      </c>
      <c r="AF589" s="8">
        <v>0.45833333333333331</v>
      </c>
      <c r="AG589" s="9">
        <v>-0.7</v>
      </c>
      <c r="AH589" s="10">
        <f t="shared" si="24"/>
        <v>-1</v>
      </c>
    </row>
    <row r="590" spans="11:34" ht="14.5" x14ac:dyDescent="0.35">
      <c r="K590" s="4"/>
      <c r="AC590" s="7">
        <v>2022</v>
      </c>
      <c r="AD590" s="7">
        <v>1</v>
      </c>
      <c r="AE590" s="7">
        <v>25</v>
      </c>
      <c r="AF590" s="8">
        <v>0.5</v>
      </c>
      <c r="AG590" s="9">
        <v>2.1</v>
      </c>
      <c r="AH590" s="10">
        <f t="shared" si="24"/>
        <v>2</v>
      </c>
    </row>
    <row r="591" spans="11:34" ht="14.5" x14ac:dyDescent="0.35">
      <c r="K591" s="4"/>
      <c r="AC591" s="7">
        <v>2022</v>
      </c>
      <c r="AD591" s="7">
        <v>1</v>
      </c>
      <c r="AE591" s="7">
        <v>25</v>
      </c>
      <c r="AF591" s="8">
        <v>0.54166666666666663</v>
      </c>
      <c r="AG591" s="9">
        <v>3.6</v>
      </c>
      <c r="AH591" s="10">
        <f t="shared" si="24"/>
        <v>4</v>
      </c>
    </row>
    <row r="592" spans="11:34" ht="14.5" x14ac:dyDescent="0.35">
      <c r="K592" s="4"/>
      <c r="AC592" s="7">
        <v>2022</v>
      </c>
      <c r="AD592" s="7">
        <v>1</v>
      </c>
      <c r="AE592" s="7">
        <v>25</v>
      </c>
      <c r="AF592" s="8">
        <v>0.58333333333333337</v>
      </c>
      <c r="AG592" s="9">
        <v>7.4</v>
      </c>
      <c r="AH592" s="10">
        <f t="shared" si="24"/>
        <v>7</v>
      </c>
    </row>
    <row r="593" spans="11:34" ht="14.5" x14ac:dyDescent="0.35">
      <c r="K593" s="4"/>
      <c r="AC593" s="7">
        <v>2022</v>
      </c>
      <c r="AD593" s="7">
        <v>1</v>
      </c>
      <c r="AE593" s="7">
        <v>25</v>
      </c>
      <c r="AF593" s="8">
        <v>0.625</v>
      </c>
      <c r="AG593" s="9">
        <v>8</v>
      </c>
      <c r="AH593" s="10">
        <f t="shared" si="24"/>
        <v>8</v>
      </c>
    </row>
    <row r="594" spans="11:34" ht="14.5" x14ac:dyDescent="0.35">
      <c r="K594" s="4"/>
      <c r="AC594" s="7">
        <v>2022</v>
      </c>
      <c r="AD594" s="7">
        <v>1</v>
      </c>
      <c r="AE594" s="7">
        <v>25</v>
      </c>
      <c r="AF594" s="8">
        <v>0.66666666666666663</v>
      </c>
      <c r="AG594" s="9">
        <v>8.8000000000000007</v>
      </c>
      <c r="AH594" s="10">
        <f t="shared" si="24"/>
        <v>9</v>
      </c>
    </row>
    <row r="595" spans="11:34" ht="14.5" x14ac:dyDescent="0.35">
      <c r="K595" s="4"/>
      <c r="AC595" s="7">
        <v>2022</v>
      </c>
      <c r="AD595" s="7">
        <v>1</v>
      </c>
      <c r="AE595" s="7">
        <v>25</v>
      </c>
      <c r="AF595" s="8">
        <v>0.70833333333333337</v>
      </c>
      <c r="AG595" s="9">
        <v>7</v>
      </c>
      <c r="AH595" s="10">
        <f t="shared" si="24"/>
        <v>7</v>
      </c>
    </row>
    <row r="596" spans="11:34" ht="14.5" x14ac:dyDescent="0.35">
      <c r="K596" s="4"/>
      <c r="AC596" s="7">
        <v>2022</v>
      </c>
      <c r="AD596" s="7">
        <v>1</v>
      </c>
      <c r="AE596" s="7">
        <v>25</v>
      </c>
      <c r="AF596" s="8">
        <v>0.75</v>
      </c>
      <c r="AG596" s="9">
        <v>6.8</v>
      </c>
      <c r="AH596" s="10">
        <f t="shared" si="24"/>
        <v>7</v>
      </c>
    </row>
    <row r="597" spans="11:34" ht="14.5" x14ac:dyDescent="0.35">
      <c r="K597" s="4"/>
      <c r="AC597" s="7">
        <v>2022</v>
      </c>
      <c r="AD597" s="7">
        <v>1</v>
      </c>
      <c r="AE597" s="7">
        <v>25</v>
      </c>
      <c r="AF597" s="8">
        <v>0.79166666666666663</v>
      </c>
      <c r="AG597" s="9">
        <v>6.4</v>
      </c>
      <c r="AH597" s="10">
        <f t="shared" si="24"/>
        <v>6</v>
      </c>
    </row>
    <row r="598" spans="11:34" ht="14.5" x14ac:dyDescent="0.35">
      <c r="K598" s="4"/>
      <c r="AC598" s="7">
        <v>2022</v>
      </c>
      <c r="AD598" s="7">
        <v>1</v>
      </c>
      <c r="AE598" s="7">
        <v>25</v>
      </c>
      <c r="AF598" s="8">
        <v>0.83333333333333337</v>
      </c>
      <c r="AG598" s="9">
        <v>6.1</v>
      </c>
      <c r="AH598" s="10">
        <f t="shared" si="24"/>
        <v>6</v>
      </c>
    </row>
    <row r="599" spans="11:34" ht="14.5" x14ac:dyDescent="0.35">
      <c r="K599" s="4"/>
      <c r="AC599" s="7">
        <v>2022</v>
      </c>
      <c r="AD599" s="7">
        <v>1</v>
      </c>
      <c r="AE599" s="7">
        <v>25</v>
      </c>
      <c r="AF599" s="8">
        <v>0.875</v>
      </c>
      <c r="AG599" s="9">
        <v>5.6</v>
      </c>
      <c r="AH599" s="10">
        <f t="shared" si="24"/>
        <v>6</v>
      </c>
    </row>
    <row r="600" spans="11:34" ht="14.5" x14ac:dyDescent="0.35">
      <c r="K600" s="4"/>
      <c r="AC600" s="7">
        <v>2022</v>
      </c>
      <c r="AD600" s="7">
        <v>1</v>
      </c>
      <c r="AE600" s="7">
        <v>25</v>
      </c>
      <c r="AF600" s="8">
        <v>0.91666666666666663</v>
      </c>
      <c r="AG600" s="9">
        <v>5.2</v>
      </c>
      <c r="AH600" s="10">
        <f t="shared" si="24"/>
        <v>5</v>
      </c>
    </row>
    <row r="601" spans="11:34" ht="14.5" x14ac:dyDescent="0.35">
      <c r="K601" s="4"/>
      <c r="AC601" s="7">
        <v>2022</v>
      </c>
      <c r="AD601" s="7">
        <v>1</v>
      </c>
      <c r="AE601" s="7">
        <v>25</v>
      </c>
      <c r="AF601" s="8">
        <v>0.95833333333333337</v>
      </c>
      <c r="AG601" s="9">
        <v>4.5999999999999996</v>
      </c>
      <c r="AH601" s="10">
        <f t="shared" si="24"/>
        <v>5</v>
      </c>
    </row>
    <row r="602" spans="11:34" ht="14.5" x14ac:dyDescent="0.35">
      <c r="K602" s="4"/>
      <c r="AC602" s="7">
        <v>2022</v>
      </c>
      <c r="AD602" s="7">
        <v>1</v>
      </c>
      <c r="AE602" s="7">
        <v>26</v>
      </c>
      <c r="AF602" s="8">
        <v>0</v>
      </c>
      <c r="AG602" s="9">
        <v>4.0999999999999996</v>
      </c>
      <c r="AH602" s="10">
        <f t="shared" si="24"/>
        <v>4</v>
      </c>
    </row>
    <row r="603" spans="11:34" ht="14.5" x14ac:dyDescent="0.35">
      <c r="K603" s="4"/>
      <c r="AC603" s="7">
        <v>2022</v>
      </c>
      <c r="AD603" s="7">
        <v>1</v>
      </c>
      <c r="AE603" s="7">
        <v>26</v>
      </c>
      <c r="AF603" s="8">
        <v>4.1666666666666664E-2</v>
      </c>
      <c r="AG603" s="9">
        <v>4.2</v>
      </c>
      <c r="AH603" s="10">
        <f t="shared" si="24"/>
        <v>4</v>
      </c>
    </row>
    <row r="604" spans="11:34" ht="14.5" x14ac:dyDescent="0.35">
      <c r="K604" s="4"/>
      <c r="AC604" s="7">
        <v>2022</v>
      </c>
      <c r="AD604" s="7">
        <v>1</v>
      </c>
      <c r="AE604" s="7">
        <v>26</v>
      </c>
      <c r="AF604" s="8">
        <v>8.3333333333333329E-2</v>
      </c>
      <c r="AG604" s="9">
        <v>1.3</v>
      </c>
      <c r="AH604" s="10">
        <f t="shared" si="24"/>
        <v>1</v>
      </c>
    </row>
    <row r="605" spans="11:34" ht="14.5" x14ac:dyDescent="0.35">
      <c r="K605" s="4"/>
      <c r="AC605" s="7">
        <v>2022</v>
      </c>
      <c r="AD605" s="7">
        <v>1</v>
      </c>
      <c r="AE605" s="7">
        <v>26</v>
      </c>
      <c r="AF605" s="8">
        <v>0.125</v>
      </c>
      <c r="AG605" s="9">
        <v>0.7</v>
      </c>
      <c r="AH605" s="10">
        <f t="shared" si="24"/>
        <v>1</v>
      </c>
    </row>
    <row r="606" spans="11:34" ht="14.5" x14ac:dyDescent="0.35">
      <c r="K606" s="4"/>
      <c r="AC606" s="7">
        <v>2022</v>
      </c>
      <c r="AD606" s="7">
        <v>1</v>
      </c>
      <c r="AE606" s="7">
        <v>26</v>
      </c>
      <c r="AF606" s="8">
        <v>0.16666666666666666</v>
      </c>
      <c r="AG606" s="9">
        <v>-0.6</v>
      </c>
      <c r="AH606" s="10">
        <f t="shared" si="24"/>
        <v>-1</v>
      </c>
    </row>
    <row r="607" spans="11:34" ht="14.5" x14ac:dyDescent="0.35">
      <c r="K607" s="4"/>
      <c r="AC607" s="7">
        <v>2022</v>
      </c>
      <c r="AD607" s="7">
        <v>1</v>
      </c>
      <c r="AE607" s="7">
        <v>26</v>
      </c>
      <c r="AF607" s="8">
        <v>0.20833333333333334</v>
      </c>
      <c r="AG607" s="9">
        <v>-1.4</v>
      </c>
      <c r="AH607" s="10">
        <f t="shared" si="24"/>
        <v>-1</v>
      </c>
    </row>
    <row r="608" spans="11:34" ht="14.5" x14ac:dyDescent="0.35">
      <c r="K608" s="4"/>
      <c r="AC608" s="7">
        <v>2022</v>
      </c>
      <c r="AD608" s="7">
        <v>1</v>
      </c>
      <c r="AE608" s="7">
        <v>26</v>
      </c>
      <c r="AF608" s="8">
        <v>0.25</v>
      </c>
      <c r="AG608" s="9">
        <v>-0.5</v>
      </c>
      <c r="AH608" s="10">
        <f t="shared" si="24"/>
        <v>-1</v>
      </c>
    </row>
    <row r="609" spans="11:34" ht="14.5" x14ac:dyDescent="0.35">
      <c r="K609" s="4"/>
      <c r="AC609" s="7">
        <v>2022</v>
      </c>
      <c r="AD609" s="7">
        <v>1</v>
      </c>
      <c r="AE609" s="7">
        <v>26</v>
      </c>
      <c r="AF609" s="8">
        <v>0.29166666666666669</v>
      </c>
      <c r="AG609" s="9">
        <v>-2.6</v>
      </c>
      <c r="AH609" s="10">
        <f t="shared" si="24"/>
        <v>-3</v>
      </c>
    </row>
    <row r="610" spans="11:34" ht="14.5" x14ac:dyDescent="0.35">
      <c r="K610" s="4"/>
      <c r="AC610" s="7">
        <v>2022</v>
      </c>
      <c r="AD610" s="7">
        <v>1</v>
      </c>
      <c r="AE610" s="7">
        <v>26</v>
      </c>
      <c r="AF610" s="8">
        <v>0.33333333333333331</v>
      </c>
      <c r="AG610" s="9">
        <v>-1.7</v>
      </c>
      <c r="AH610" s="10">
        <f t="shared" si="24"/>
        <v>-2</v>
      </c>
    </row>
    <row r="611" spans="11:34" ht="14.5" x14ac:dyDescent="0.35">
      <c r="K611" s="4"/>
      <c r="AC611" s="7">
        <v>2022</v>
      </c>
      <c r="AD611" s="7">
        <v>1</v>
      </c>
      <c r="AE611" s="7">
        <v>26</v>
      </c>
      <c r="AF611" s="8">
        <v>0.375</v>
      </c>
      <c r="AG611" s="9">
        <v>-0.6</v>
      </c>
      <c r="AH611" s="10">
        <f t="shared" si="24"/>
        <v>-1</v>
      </c>
    </row>
    <row r="612" spans="11:34" ht="14.5" x14ac:dyDescent="0.35">
      <c r="K612" s="4"/>
      <c r="AC612" s="7">
        <v>2022</v>
      </c>
      <c r="AD612" s="7">
        <v>1</v>
      </c>
      <c r="AE612" s="7">
        <v>26</v>
      </c>
      <c r="AF612" s="8">
        <v>0.41666666666666669</v>
      </c>
      <c r="AG612" s="9">
        <v>1.7</v>
      </c>
      <c r="AH612" s="10">
        <f t="shared" si="24"/>
        <v>2</v>
      </c>
    </row>
    <row r="613" spans="11:34" ht="14.5" x14ac:dyDescent="0.35">
      <c r="K613" s="4"/>
      <c r="AC613" s="7">
        <v>2022</v>
      </c>
      <c r="AD613" s="7">
        <v>1</v>
      </c>
      <c r="AE613" s="7">
        <v>26</v>
      </c>
      <c r="AF613" s="8">
        <v>0.45833333333333331</v>
      </c>
      <c r="AG613" s="9">
        <v>2.1</v>
      </c>
      <c r="AH613" s="10">
        <f t="shared" si="24"/>
        <v>2</v>
      </c>
    </row>
    <row r="614" spans="11:34" ht="14.5" x14ac:dyDescent="0.35">
      <c r="K614" s="4"/>
      <c r="AC614" s="7">
        <v>2022</v>
      </c>
      <c r="AD614" s="7">
        <v>1</v>
      </c>
      <c r="AE614" s="7">
        <v>26</v>
      </c>
      <c r="AF614" s="8">
        <v>0.5</v>
      </c>
      <c r="AG614" s="9">
        <v>2.8</v>
      </c>
      <c r="AH614" s="10">
        <f t="shared" si="24"/>
        <v>3</v>
      </c>
    </row>
    <row r="615" spans="11:34" ht="14.5" x14ac:dyDescent="0.35">
      <c r="K615" s="4"/>
      <c r="AC615" s="7">
        <v>2022</v>
      </c>
      <c r="AD615" s="7">
        <v>1</v>
      </c>
      <c r="AE615" s="7">
        <v>26</v>
      </c>
      <c r="AF615" s="8">
        <v>0.54166666666666663</v>
      </c>
      <c r="AG615" s="9">
        <v>2.8</v>
      </c>
      <c r="AH615" s="10">
        <f t="shared" si="24"/>
        <v>3</v>
      </c>
    </row>
    <row r="616" spans="11:34" ht="14.5" x14ac:dyDescent="0.35">
      <c r="K616" s="4"/>
      <c r="AC616" s="7">
        <v>2022</v>
      </c>
      <c r="AD616" s="7">
        <v>1</v>
      </c>
      <c r="AE616" s="7">
        <v>26</v>
      </c>
      <c r="AF616" s="8">
        <v>0.58333333333333337</v>
      </c>
      <c r="AG616" s="9">
        <v>3</v>
      </c>
      <c r="AH616" s="10">
        <f t="shared" si="24"/>
        <v>3</v>
      </c>
    </row>
    <row r="617" spans="11:34" ht="14.5" x14ac:dyDescent="0.35">
      <c r="K617" s="4"/>
      <c r="AC617" s="7">
        <v>2022</v>
      </c>
      <c r="AD617" s="7">
        <v>1</v>
      </c>
      <c r="AE617" s="7">
        <v>26</v>
      </c>
      <c r="AF617" s="8">
        <v>0.625</v>
      </c>
      <c r="AG617" s="9">
        <v>2.7</v>
      </c>
      <c r="AH617" s="10">
        <f t="shared" si="24"/>
        <v>3</v>
      </c>
    </row>
    <row r="618" spans="11:34" ht="14.5" x14ac:dyDescent="0.35">
      <c r="K618" s="4"/>
      <c r="AC618" s="7">
        <v>2022</v>
      </c>
      <c r="AD618" s="7">
        <v>1</v>
      </c>
      <c r="AE618" s="7">
        <v>26</v>
      </c>
      <c r="AF618" s="8">
        <v>0.66666666666666663</v>
      </c>
      <c r="AG618" s="9">
        <v>2.2000000000000002</v>
      </c>
      <c r="AH618" s="10">
        <f t="shared" si="24"/>
        <v>2</v>
      </c>
    </row>
    <row r="619" spans="11:34" ht="14.5" x14ac:dyDescent="0.35">
      <c r="K619" s="4"/>
      <c r="AC619" s="7">
        <v>2022</v>
      </c>
      <c r="AD619" s="7">
        <v>1</v>
      </c>
      <c r="AE619" s="7">
        <v>26</v>
      </c>
      <c r="AF619" s="8">
        <v>0.70833333333333337</v>
      </c>
      <c r="AG619" s="9">
        <v>0.6</v>
      </c>
      <c r="AH619" s="10">
        <f t="shared" si="24"/>
        <v>1</v>
      </c>
    </row>
    <row r="620" spans="11:34" ht="14.5" x14ac:dyDescent="0.35">
      <c r="K620" s="4"/>
      <c r="AC620" s="7">
        <v>2022</v>
      </c>
      <c r="AD620" s="7">
        <v>1</v>
      </c>
      <c r="AE620" s="7">
        <v>26</v>
      </c>
      <c r="AF620" s="8">
        <v>0.75</v>
      </c>
      <c r="AG620" s="9">
        <v>-0.5</v>
      </c>
      <c r="AH620" s="10">
        <f t="shared" si="24"/>
        <v>-1</v>
      </c>
    </row>
    <row r="621" spans="11:34" ht="14.5" x14ac:dyDescent="0.35">
      <c r="K621" s="4"/>
      <c r="AC621" s="7">
        <v>2022</v>
      </c>
      <c r="AD621" s="7">
        <v>1</v>
      </c>
      <c r="AE621" s="7">
        <v>26</v>
      </c>
      <c r="AF621" s="8">
        <v>0.79166666666666663</v>
      </c>
      <c r="AG621" s="9">
        <v>-0.4</v>
      </c>
      <c r="AH621" s="10">
        <f t="shared" si="24"/>
        <v>0</v>
      </c>
    </row>
    <row r="622" spans="11:34" ht="14.5" x14ac:dyDescent="0.35">
      <c r="K622" s="4"/>
      <c r="AC622" s="7">
        <v>2022</v>
      </c>
      <c r="AD622" s="7">
        <v>1</v>
      </c>
      <c r="AE622" s="7">
        <v>26</v>
      </c>
      <c r="AF622" s="8">
        <v>0.83333333333333337</v>
      </c>
      <c r="AG622" s="9">
        <v>-2.2000000000000002</v>
      </c>
      <c r="AH622" s="10">
        <f t="shared" si="24"/>
        <v>-2</v>
      </c>
    </row>
    <row r="623" spans="11:34" ht="14.5" x14ac:dyDescent="0.35">
      <c r="K623" s="4"/>
      <c r="AC623" s="7">
        <v>2022</v>
      </c>
      <c r="AD623" s="7">
        <v>1</v>
      </c>
      <c r="AE623" s="7">
        <v>26</v>
      </c>
      <c r="AF623" s="8">
        <v>0.875</v>
      </c>
      <c r="AG623" s="9">
        <v>-2.6</v>
      </c>
      <c r="AH623" s="10">
        <f t="shared" si="24"/>
        <v>-3</v>
      </c>
    </row>
    <row r="624" spans="11:34" ht="14.5" x14ac:dyDescent="0.35">
      <c r="K624" s="4"/>
      <c r="AC624" s="7">
        <v>2022</v>
      </c>
      <c r="AD624" s="7">
        <v>1</v>
      </c>
      <c r="AE624" s="7">
        <v>26</v>
      </c>
      <c r="AF624" s="8">
        <v>0.91666666666666663</v>
      </c>
      <c r="AG624" s="9">
        <v>-2.1</v>
      </c>
      <c r="AH624" s="10">
        <f t="shared" si="24"/>
        <v>-2</v>
      </c>
    </row>
    <row r="625" spans="11:34" ht="14.5" x14ac:dyDescent="0.35">
      <c r="K625" s="4"/>
      <c r="AC625" s="7">
        <v>2022</v>
      </c>
      <c r="AD625" s="7">
        <v>1</v>
      </c>
      <c r="AE625" s="7">
        <v>26</v>
      </c>
      <c r="AF625" s="8">
        <v>0.95833333333333337</v>
      </c>
      <c r="AG625" s="9">
        <v>-3.4</v>
      </c>
      <c r="AH625" s="10">
        <f t="shared" si="24"/>
        <v>-3</v>
      </c>
    </row>
    <row r="626" spans="11:34" ht="14.5" x14ac:dyDescent="0.35">
      <c r="K626" s="4"/>
      <c r="AC626" s="7">
        <v>2022</v>
      </c>
      <c r="AD626" s="7">
        <v>1</v>
      </c>
      <c r="AE626" s="7">
        <v>27</v>
      </c>
      <c r="AF626" s="8">
        <v>0</v>
      </c>
      <c r="AG626" s="9">
        <v>-3.9</v>
      </c>
      <c r="AH626" s="10">
        <f t="shared" si="24"/>
        <v>-4</v>
      </c>
    </row>
    <row r="627" spans="11:34" ht="14.5" x14ac:dyDescent="0.35">
      <c r="K627" s="4"/>
      <c r="AC627" s="7">
        <v>2022</v>
      </c>
      <c r="AD627" s="7">
        <v>1</v>
      </c>
      <c r="AE627" s="7">
        <v>27</v>
      </c>
      <c r="AF627" s="8">
        <v>4.1666666666666664E-2</v>
      </c>
      <c r="AG627" s="9">
        <v>-7</v>
      </c>
      <c r="AH627" s="10">
        <f t="shared" si="24"/>
        <v>-7</v>
      </c>
    </row>
    <row r="628" spans="11:34" ht="14.5" x14ac:dyDescent="0.35">
      <c r="K628" s="4"/>
      <c r="AC628" s="7">
        <v>2022</v>
      </c>
      <c r="AD628" s="7">
        <v>1</v>
      </c>
      <c r="AE628" s="7">
        <v>27</v>
      </c>
      <c r="AF628" s="8">
        <v>8.3333333333333329E-2</v>
      </c>
      <c r="AG628" s="9">
        <v>-6.5</v>
      </c>
      <c r="AH628" s="10">
        <f t="shared" si="24"/>
        <v>-7</v>
      </c>
    </row>
    <row r="629" spans="11:34" ht="14.5" x14ac:dyDescent="0.35">
      <c r="K629" s="4"/>
      <c r="AC629" s="7">
        <v>2022</v>
      </c>
      <c r="AD629" s="7">
        <v>1</v>
      </c>
      <c r="AE629" s="7">
        <v>27</v>
      </c>
      <c r="AF629" s="8">
        <v>0.125</v>
      </c>
      <c r="AG629" s="9">
        <v>-6.7</v>
      </c>
      <c r="AH629" s="10">
        <f t="shared" si="24"/>
        <v>-7</v>
      </c>
    </row>
    <row r="630" spans="11:34" ht="14.5" x14ac:dyDescent="0.35">
      <c r="K630" s="4"/>
      <c r="AC630" s="7">
        <v>2022</v>
      </c>
      <c r="AD630" s="7">
        <v>1</v>
      </c>
      <c r="AE630" s="7">
        <v>27</v>
      </c>
      <c r="AF630" s="8">
        <v>0.16666666666666666</v>
      </c>
      <c r="AG630" s="9">
        <v>-7.9</v>
      </c>
      <c r="AH630" s="10">
        <f t="shared" si="24"/>
        <v>-8</v>
      </c>
    </row>
    <row r="631" spans="11:34" ht="14.5" x14ac:dyDescent="0.35">
      <c r="K631" s="4"/>
      <c r="AC631" s="7">
        <v>2022</v>
      </c>
      <c r="AD631" s="7">
        <v>1</v>
      </c>
      <c r="AE631" s="7">
        <v>27</v>
      </c>
      <c r="AF631" s="8">
        <v>0.20833333333333334</v>
      </c>
      <c r="AG631" s="9">
        <v>-6.9</v>
      </c>
      <c r="AH631" s="10">
        <f t="shared" si="24"/>
        <v>-7</v>
      </c>
    </row>
    <row r="632" spans="11:34" ht="14.5" x14ac:dyDescent="0.35">
      <c r="K632" s="4"/>
      <c r="AC632" s="7">
        <v>2022</v>
      </c>
      <c r="AD632" s="7">
        <v>1</v>
      </c>
      <c r="AE632" s="7">
        <v>27</v>
      </c>
      <c r="AF632" s="8">
        <v>0.25</v>
      </c>
      <c r="AG632" s="9">
        <v>-5.9</v>
      </c>
      <c r="AH632" s="10">
        <f t="shared" si="24"/>
        <v>-6</v>
      </c>
    </row>
    <row r="633" spans="11:34" ht="14.5" x14ac:dyDescent="0.35">
      <c r="K633" s="4"/>
      <c r="AC633" s="7">
        <v>2022</v>
      </c>
      <c r="AD633" s="7">
        <v>1</v>
      </c>
      <c r="AE633" s="7">
        <v>27</v>
      </c>
      <c r="AF633" s="8">
        <v>0.29166666666666669</v>
      </c>
      <c r="AG633" s="9">
        <v>-8.8000000000000007</v>
      </c>
      <c r="AH633" s="10">
        <f t="shared" si="24"/>
        <v>-9</v>
      </c>
    </row>
    <row r="634" spans="11:34" ht="14.5" x14ac:dyDescent="0.35">
      <c r="K634" s="4"/>
      <c r="AC634" s="7">
        <v>2022</v>
      </c>
      <c r="AD634" s="7">
        <v>1</v>
      </c>
      <c r="AE634" s="7">
        <v>27</v>
      </c>
      <c r="AF634" s="8">
        <v>0.33333333333333331</v>
      </c>
      <c r="AG634" s="9">
        <v>-7.8</v>
      </c>
      <c r="AH634" s="10">
        <f t="shared" si="24"/>
        <v>-8</v>
      </c>
    </row>
    <row r="635" spans="11:34" ht="14.5" x14ac:dyDescent="0.35">
      <c r="K635" s="4"/>
      <c r="AC635" s="7">
        <v>2022</v>
      </c>
      <c r="AD635" s="7">
        <v>1</v>
      </c>
      <c r="AE635" s="7">
        <v>27</v>
      </c>
      <c r="AF635" s="8">
        <v>0.375</v>
      </c>
      <c r="AG635" s="9">
        <v>-7.4</v>
      </c>
      <c r="AH635" s="10">
        <f t="shared" si="24"/>
        <v>-7</v>
      </c>
    </row>
    <row r="636" spans="11:34" ht="14.5" x14ac:dyDescent="0.35">
      <c r="K636" s="4"/>
      <c r="AC636" s="7">
        <v>2022</v>
      </c>
      <c r="AD636" s="7">
        <v>1</v>
      </c>
      <c r="AE636" s="7">
        <v>27</v>
      </c>
      <c r="AF636" s="8">
        <v>0.41666666666666669</v>
      </c>
      <c r="AG636" s="9">
        <v>-4.5</v>
      </c>
      <c r="AH636" s="10">
        <f t="shared" si="24"/>
        <v>-5</v>
      </c>
    </row>
    <row r="637" spans="11:34" ht="14.5" x14ac:dyDescent="0.35">
      <c r="K637" s="4"/>
      <c r="AC637" s="7">
        <v>2022</v>
      </c>
      <c r="AD637" s="7">
        <v>1</v>
      </c>
      <c r="AE637" s="7">
        <v>27</v>
      </c>
      <c r="AF637" s="8">
        <v>0.45833333333333331</v>
      </c>
      <c r="AG637" s="9">
        <v>-2.6</v>
      </c>
      <c r="AH637" s="10">
        <f t="shared" si="24"/>
        <v>-3</v>
      </c>
    </row>
    <row r="638" spans="11:34" ht="14.5" x14ac:dyDescent="0.35">
      <c r="K638" s="4"/>
      <c r="AC638" s="7">
        <v>2022</v>
      </c>
      <c r="AD638" s="7">
        <v>1</v>
      </c>
      <c r="AE638" s="7">
        <v>27</v>
      </c>
      <c r="AF638" s="8">
        <v>0.5</v>
      </c>
      <c r="AG638" s="9">
        <v>0.5</v>
      </c>
      <c r="AH638" s="10">
        <f t="shared" si="24"/>
        <v>1</v>
      </c>
    </row>
    <row r="639" spans="11:34" ht="14.5" x14ac:dyDescent="0.35">
      <c r="K639" s="4"/>
      <c r="AC639" s="7">
        <v>2022</v>
      </c>
      <c r="AD639" s="7">
        <v>1</v>
      </c>
      <c r="AE639" s="7">
        <v>27</v>
      </c>
      <c r="AF639" s="8">
        <v>0.54166666666666663</v>
      </c>
      <c r="AG639" s="9">
        <v>2.8</v>
      </c>
      <c r="AH639" s="10">
        <f t="shared" si="24"/>
        <v>3</v>
      </c>
    </row>
    <row r="640" spans="11:34" ht="14.5" x14ac:dyDescent="0.35">
      <c r="K640" s="4"/>
      <c r="AC640" s="7">
        <v>2022</v>
      </c>
      <c r="AD640" s="7">
        <v>1</v>
      </c>
      <c r="AE640" s="7">
        <v>27</v>
      </c>
      <c r="AF640" s="8">
        <v>0.58333333333333337</v>
      </c>
      <c r="AG640" s="9">
        <v>6</v>
      </c>
      <c r="AH640" s="10">
        <f t="shared" si="24"/>
        <v>6</v>
      </c>
    </row>
    <row r="641" spans="11:34" ht="14.5" x14ac:dyDescent="0.35">
      <c r="K641" s="4"/>
      <c r="AC641" s="7">
        <v>2022</v>
      </c>
      <c r="AD641" s="7">
        <v>1</v>
      </c>
      <c r="AE641" s="7">
        <v>27</v>
      </c>
      <c r="AF641" s="8">
        <v>0.625</v>
      </c>
      <c r="AG641" s="9">
        <v>7.8</v>
      </c>
      <c r="AH641" s="10">
        <f t="shared" si="24"/>
        <v>8</v>
      </c>
    </row>
    <row r="642" spans="11:34" ht="14.5" x14ac:dyDescent="0.35">
      <c r="K642" s="4"/>
      <c r="AC642" s="7">
        <v>2022</v>
      </c>
      <c r="AD642" s="7">
        <v>1</v>
      </c>
      <c r="AE642" s="7">
        <v>27</v>
      </c>
      <c r="AF642" s="8">
        <v>0.66666666666666663</v>
      </c>
      <c r="AG642" s="9">
        <v>8.5</v>
      </c>
      <c r="AH642" s="10">
        <f t="shared" si="24"/>
        <v>9</v>
      </c>
    </row>
    <row r="643" spans="11:34" ht="14.5" x14ac:dyDescent="0.35">
      <c r="K643" s="4"/>
      <c r="AC643" s="7">
        <v>2022</v>
      </c>
      <c r="AD643" s="7">
        <v>1</v>
      </c>
      <c r="AE643" s="7">
        <v>27</v>
      </c>
      <c r="AF643" s="8">
        <v>0.70833333333333337</v>
      </c>
      <c r="AG643" s="9">
        <v>6.5</v>
      </c>
      <c r="AH643" s="10">
        <f t="shared" si="24"/>
        <v>7</v>
      </c>
    </row>
    <row r="644" spans="11:34" ht="14.5" x14ac:dyDescent="0.35">
      <c r="K644" s="4"/>
      <c r="AC644" s="7">
        <v>2022</v>
      </c>
      <c r="AD644" s="7">
        <v>1</v>
      </c>
      <c r="AE644" s="7">
        <v>27</v>
      </c>
      <c r="AF644" s="8">
        <v>0.75</v>
      </c>
      <c r="AG644" s="9">
        <v>5.3</v>
      </c>
      <c r="AH644" s="10">
        <f t="shared" si="24"/>
        <v>5</v>
      </c>
    </row>
    <row r="645" spans="11:34" ht="14.5" x14ac:dyDescent="0.35">
      <c r="K645" s="4"/>
      <c r="AC645" s="7">
        <v>2022</v>
      </c>
      <c r="AD645" s="7">
        <v>1</v>
      </c>
      <c r="AE645" s="7">
        <v>27</v>
      </c>
      <c r="AF645" s="8">
        <v>0.79166666666666663</v>
      </c>
      <c r="AG645" s="9">
        <v>5.0999999999999996</v>
      </c>
      <c r="AH645" s="10">
        <f t="shared" si="24"/>
        <v>5</v>
      </c>
    </row>
    <row r="646" spans="11:34" ht="14.5" x14ac:dyDescent="0.35">
      <c r="K646" s="4"/>
      <c r="AC646" s="7">
        <v>2022</v>
      </c>
      <c r="AD646" s="7">
        <v>1</v>
      </c>
      <c r="AE646" s="7">
        <v>27</v>
      </c>
      <c r="AF646" s="8">
        <v>0.83333333333333337</v>
      </c>
      <c r="AG646" s="9">
        <v>5.5</v>
      </c>
      <c r="AH646" s="10">
        <f t="shared" si="24"/>
        <v>6</v>
      </c>
    </row>
    <row r="647" spans="11:34" ht="14.5" x14ac:dyDescent="0.35">
      <c r="K647" s="4"/>
      <c r="AC647" s="7">
        <v>2022</v>
      </c>
      <c r="AD647" s="7">
        <v>1</v>
      </c>
      <c r="AE647" s="7">
        <v>27</v>
      </c>
      <c r="AF647" s="8">
        <v>0.875</v>
      </c>
      <c r="AG647" s="9">
        <v>5.9</v>
      </c>
      <c r="AH647" s="10">
        <f t="shared" si="24"/>
        <v>6</v>
      </c>
    </row>
    <row r="648" spans="11:34" ht="14.5" x14ac:dyDescent="0.35">
      <c r="K648" s="4"/>
      <c r="AC648" s="7">
        <v>2022</v>
      </c>
      <c r="AD648" s="7">
        <v>1</v>
      </c>
      <c r="AE648" s="7">
        <v>27</v>
      </c>
      <c r="AF648" s="8">
        <v>0.91666666666666663</v>
      </c>
      <c r="AG648" s="9">
        <v>5.5</v>
      </c>
      <c r="AH648" s="10">
        <f t="shared" si="24"/>
        <v>6</v>
      </c>
    </row>
    <row r="649" spans="11:34" ht="14.5" x14ac:dyDescent="0.35">
      <c r="K649" s="4"/>
      <c r="AC649" s="7">
        <v>2022</v>
      </c>
      <c r="AD649" s="7">
        <v>1</v>
      </c>
      <c r="AE649" s="7">
        <v>27</v>
      </c>
      <c r="AF649" s="8">
        <v>0.95833333333333337</v>
      </c>
      <c r="AG649" s="9">
        <v>4.2</v>
      </c>
      <c r="AH649" s="10">
        <f t="shared" si="24"/>
        <v>4</v>
      </c>
    </row>
    <row r="650" spans="11:34" ht="14.5" x14ac:dyDescent="0.35">
      <c r="K650" s="4"/>
      <c r="AC650" s="7">
        <v>2022</v>
      </c>
      <c r="AD650" s="7">
        <v>1</v>
      </c>
      <c r="AE650" s="7">
        <v>28</v>
      </c>
      <c r="AF650" s="8">
        <v>0</v>
      </c>
      <c r="AG650" s="9">
        <v>5.3</v>
      </c>
      <c r="AH650" s="10">
        <f t="shared" si="24"/>
        <v>5</v>
      </c>
    </row>
    <row r="651" spans="11:34" ht="14.5" x14ac:dyDescent="0.35">
      <c r="K651" s="4"/>
      <c r="AC651" s="7">
        <v>2022</v>
      </c>
      <c r="AD651" s="7">
        <v>1</v>
      </c>
      <c r="AE651" s="7">
        <v>28</v>
      </c>
      <c r="AF651" s="8">
        <v>4.1666666666666664E-2</v>
      </c>
      <c r="AG651" s="9">
        <v>4.9000000000000004</v>
      </c>
      <c r="AH651" s="10">
        <f t="shared" ref="AH651:AH714" si="25">ROUND(AG651,0)</f>
        <v>5</v>
      </c>
    </row>
    <row r="652" spans="11:34" ht="14.5" x14ac:dyDescent="0.35">
      <c r="K652" s="4"/>
      <c r="AC652" s="7">
        <v>2022</v>
      </c>
      <c r="AD652" s="7">
        <v>1</v>
      </c>
      <c r="AE652" s="7">
        <v>28</v>
      </c>
      <c r="AF652" s="8">
        <v>8.3333333333333329E-2</v>
      </c>
      <c r="AG652" s="9">
        <v>5.3</v>
      </c>
      <c r="AH652" s="10">
        <f t="shared" si="25"/>
        <v>5</v>
      </c>
    </row>
    <row r="653" spans="11:34" ht="14.5" x14ac:dyDescent="0.35">
      <c r="K653" s="4"/>
      <c r="AC653" s="7">
        <v>2022</v>
      </c>
      <c r="AD653" s="7">
        <v>1</v>
      </c>
      <c r="AE653" s="7">
        <v>28</v>
      </c>
      <c r="AF653" s="8">
        <v>0.125</v>
      </c>
      <c r="AG653" s="9">
        <v>3.3</v>
      </c>
      <c r="AH653" s="10">
        <f t="shared" si="25"/>
        <v>3</v>
      </c>
    </row>
    <row r="654" spans="11:34" ht="14.5" x14ac:dyDescent="0.35">
      <c r="K654" s="4"/>
      <c r="AC654" s="7">
        <v>2022</v>
      </c>
      <c r="AD654" s="7">
        <v>1</v>
      </c>
      <c r="AE654" s="7">
        <v>28</v>
      </c>
      <c r="AF654" s="8">
        <v>0.16666666666666666</v>
      </c>
      <c r="AG654" s="9">
        <v>2.6</v>
      </c>
      <c r="AH654" s="10">
        <f t="shared" si="25"/>
        <v>3</v>
      </c>
    </row>
    <row r="655" spans="11:34" ht="14.5" x14ac:dyDescent="0.35">
      <c r="K655" s="4"/>
      <c r="AC655" s="7">
        <v>2022</v>
      </c>
      <c r="AD655" s="7">
        <v>1</v>
      </c>
      <c r="AE655" s="7">
        <v>28</v>
      </c>
      <c r="AF655" s="8">
        <v>0.20833333333333334</v>
      </c>
      <c r="AG655" s="9">
        <v>6.4</v>
      </c>
      <c r="AH655" s="10">
        <f t="shared" si="25"/>
        <v>6</v>
      </c>
    </row>
    <row r="656" spans="11:34" ht="14.5" x14ac:dyDescent="0.35">
      <c r="K656" s="4"/>
      <c r="AC656" s="7">
        <v>2022</v>
      </c>
      <c r="AD656" s="7">
        <v>1</v>
      </c>
      <c r="AE656" s="7">
        <v>28</v>
      </c>
      <c r="AF656" s="8">
        <v>0.25</v>
      </c>
      <c r="AG656" s="9">
        <v>6.5</v>
      </c>
      <c r="AH656" s="10">
        <f t="shared" si="25"/>
        <v>7</v>
      </c>
    </row>
    <row r="657" spans="11:34" ht="14.5" x14ac:dyDescent="0.35">
      <c r="K657" s="4"/>
      <c r="AC657" s="7">
        <v>2022</v>
      </c>
      <c r="AD657" s="7">
        <v>1</v>
      </c>
      <c r="AE657" s="7">
        <v>28</v>
      </c>
      <c r="AF657" s="8">
        <v>0.29166666666666669</v>
      </c>
      <c r="AG657" s="9">
        <v>7</v>
      </c>
      <c r="AH657" s="10">
        <f t="shared" si="25"/>
        <v>7</v>
      </c>
    </row>
    <row r="658" spans="11:34" ht="14.5" x14ac:dyDescent="0.35">
      <c r="K658" s="4"/>
      <c r="AC658" s="7">
        <v>2022</v>
      </c>
      <c r="AD658" s="7">
        <v>1</v>
      </c>
      <c r="AE658" s="7">
        <v>28</v>
      </c>
      <c r="AF658" s="8">
        <v>0.33333333333333331</v>
      </c>
      <c r="AG658" s="9">
        <v>5.0999999999999996</v>
      </c>
      <c r="AH658" s="10">
        <f t="shared" si="25"/>
        <v>5</v>
      </c>
    </row>
    <row r="659" spans="11:34" ht="14.5" x14ac:dyDescent="0.35">
      <c r="K659" s="4"/>
      <c r="AC659" s="7">
        <v>2022</v>
      </c>
      <c r="AD659" s="7">
        <v>1</v>
      </c>
      <c r="AE659" s="7">
        <v>28</v>
      </c>
      <c r="AF659" s="8">
        <v>0.375</v>
      </c>
      <c r="AG659" s="9">
        <v>6.4</v>
      </c>
      <c r="AH659" s="10">
        <f t="shared" si="25"/>
        <v>6</v>
      </c>
    </row>
    <row r="660" spans="11:34" ht="14.5" x14ac:dyDescent="0.35">
      <c r="K660" s="4"/>
      <c r="AC660" s="7">
        <v>2022</v>
      </c>
      <c r="AD660" s="7">
        <v>1</v>
      </c>
      <c r="AE660" s="7">
        <v>28</v>
      </c>
      <c r="AF660" s="8">
        <v>0.41666666666666669</v>
      </c>
      <c r="AG660" s="9">
        <v>7.5</v>
      </c>
      <c r="AH660" s="10">
        <f t="shared" si="25"/>
        <v>8</v>
      </c>
    </row>
    <row r="661" spans="11:34" ht="14.5" x14ac:dyDescent="0.35">
      <c r="K661" s="4"/>
      <c r="AC661" s="7">
        <v>2022</v>
      </c>
      <c r="AD661" s="7">
        <v>1</v>
      </c>
      <c r="AE661" s="7">
        <v>28</v>
      </c>
      <c r="AF661" s="8">
        <v>0.45833333333333331</v>
      </c>
      <c r="AG661" s="9">
        <v>9.3000000000000007</v>
      </c>
      <c r="AH661" s="10">
        <f t="shared" si="25"/>
        <v>9</v>
      </c>
    </row>
    <row r="662" spans="11:34" ht="14.5" x14ac:dyDescent="0.35">
      <c r="K662" s="4"/>
      <c r="AC662" s="7">
        <v>2022</v>
      </c>
      <c r="AD662" s="7">
        <v>1</v>
      </c>
      <c r="AE662" s="7">
        <v>28</v>
      </c>
      <c r="AF662" s="8">
        <v>0.5</v>
      </c>
      <c r="AG662" s="9">
        <v>8.4</v>
      </c>
      <c r="AH662" s="10">
        <f t="shared" si="25"/>
        <v>8</v>
      </c>
    </row>
    <row r="663" spans="11:34" ht="14.5" x14ac:dyDescent="0.35">
      <c r="K663" s="4"/>
      <c r="AC663" s="7">
        <v>2022</v>
      </c>
      <c r="AD663" s="7">
        <v>1</v>
      </c>
      <c r="AE663" s="7">
        <v>28</v>
      </c>
      <c r="AF663" s="8">
        <v>0.54166666666666663</v>
      </c>
      <c r="AG663" s="9">
        <v>10.3</v>
      </c>
      <c r="AH663" s="10">
        <f t="shared" si="25"/>
        <v>10</v>
      </c>
    </row>
    <row r="664" spans="11:34" ht="14.5" x14ac:dyDescent="0.35">
      <c r="K664" s="4"/>
      <c r="AC664" s="7">
        <v>2022</v>
      </c>
      <c r="AD664" s="7">
        <v>1</v>
      </c>
      <c r="AE664" s="7">
        <v>28</v>
      </c>
      <c r="AF664" s="8">
        <v>0.58333333333333337</v>
      </c>
      <c r="AG664" s="9">
        <v>10.1</v>
      </c>
      <c r="AH664" s="10">
        <f t="shared" si="25"/>
        <v>10</v>
      </c>
    </row>
    <row r="665" spans="11:34" ht="14.5" x14ac:dyDescent="0.35">
      <c r="K665" s="4"/>
      <c r="AC665" s="7">
        <v>2022</v>
      </c>
      <c r="AD665" s="7">
        <v>1</v>
      </c>
      <c r="AE665" s="7">
        <v>28</v>
      </c>
      <c r="AF665" s="8">
        <v>0.625</v>
      </c>
      <c r="AG665" s="9">
        <v>11.6</v>
      </c>
      <c r="AH665" s="10">
        <f t="shared" si="25"/>
        <v>12</v>
      </c>
    </row>
    <row r="666" spans="11:34" ht="14.5" x14ac:dyDescent="0.35">
      <c r="K666" s="4"/>
      <c r="AC666" s="7">
        <v>2022</v>
      </c>
      <c r="AD666" s="7">
        <v>1</v>
      </c>
      <c r="AE666" s="7">
        <v>28</v>
      </c>
      <c r="AF666" s="8">
        <v>0.66666666666666663</v>
      </c>
      <c r="AG666" s="9">
        <v>9.6999999999999993</v>
      </c>
      <c r="AH666" s="10">
        <f t="shared" si="25"/>
        <v>10</v>
      </c>
    </row>
    <row r="667" spans="11:34" ht="14.5" x14ac:dyDescent="0.35">
      <c r="K667" s="4"/>
      <c r="AC667" s="7">
        <v>2022</v>
      </c>
      <c r="AD667" s="7">
        <v>1</v>
      </c>
      <c r="AE667" s="7">
        <v>28</v>
      </c>
      <c r="AF667" s="8">
        <v>0.70833333333333337</v>
      </c>
      <c r="AG667" s="9">
        <v>10.199999999999999</v>
      </c>
      <c r="AH667" s="10">
        <f t="shared" si="25"/>
        <v>10</v>
      </c>
    </row>
    <row r="668" spans="11:34" ht="14.5" x14ac:dyDescent="0.35">
      <c r="K668" s="4"/>
      <c r="AC668" s="7">
        <v>2022</v>
      </c>
      <c r="AD668" s="7">
        <v>1</v>
      </c>
      <c r="AE668" s="7">
        <v>28</v>
      </c>
      <c r="AF668" s="8">
        <v>0.75</v>
      </c>
      <c r="AG668" s="9">
        <v>8.9</v>
      </c>
      <c r="AH668" s="10">
        <f t="shared" si="25"/>
        <v>9</v>
      </c>
    </row>
    <row r="669" spans="11:34" ht="14.5" x14ac:dyDescent="0.35">
      <c r="K669" s="4"/>
      <c r="AC669" s="7">
        <v>2022</v>
      </c>
      <c r="AD669" s="7">
        <v>1</v>
      </c>
      <c r="AE669" s="7">
        <v>28</v>
      </c>
      <c r="AF669" s="8">
        <v>0.79166666666666663</v>
      </c>
      <c r="AG669" s="9">
        <v>8.1999999999999993</v>
      </c>
      <c r="AH669" s="10">
        <f t="shared" si="25"/>
        <v>8</v>
      </c>
    </row>
    <row r="670" spans="11:34" ht="14.5" x14ac:dyDescent="0.35">
      <c r="K670" s="4"/>
      <c r="AC670" s="7">
        <v>2022</v>
      </c>
      <c r="AD670" s="7">
        <v>1</v>
      </c>
      <c r="AE670" s="7">
        <v>28</v>
      </c>
      <c r="AF670" s="8">
        <v>0.83333333333333337</v>
      </c>
      <c r="AG670" s="9">
        <v>6.2</v>
      </c>
      <c r="AH670" s="10">
        <f t="shared" si="25"/>
        <v>6</v>
      </c>
    </row>
    <row r="671" spans="11:34" ht="14.5" x14ac:dyDescent="0.35">
      <c r="K671" s="4"/>
      <c r="AC671" s="7">
        <v>2022</v>
      </c>
      <c r="AD671" s="7">
        <v>1</v>
      </c>
      <c r="AE671" s="7">
        <v>28</v>
      </c>
      <c r="AF671" s="8">
        <v>0.875</v>
      </c>
      <c r="AG671" s="9">
        <v>4.5999999999999996</v>
      </c>
      <c r="AH671" s="10">
        <f t="shared" si="25"/>
        <v>5</v>
      </c>
    </row>
    <row r="672" spans="11:34" ht="14.5" x14ac:dyDescent="0.35">
      <c r="K672" s="4"/>
      <c r="AC672" s="7">
        <v>2022</v>
      </c>
      <c r="AD672" s="7">
        <v>1</v>
      </c>
      <c r="AE672" s="7">
        <v>28</v>
      </c>
      <c r="AF672" s="8">
        <v>0.91666666666666663</v>
      </c>
      <c r="AG672" s="9">
        <v>3.9</v>
      </c>
      <c r="AH672" s="10">
        <f t="shared" si="25"/>
        <v>4</v>
      </c>
    </row>
    <row r="673" spans="11:34" ht="14.5" x14ac:dyDescent="0.35">
      <c r="K673" s="4"/>
      <c r="AC673" s="7">
        <v>2022</v>
      </c>
      <c r="AD673" s="7">
        <v>1</v>
      </c>
      <c r="AE673" s="7">
        <v>28</v>
      </c>
      <c r="AF673" s="8">
        <v>0.95833333333333337</v>
      </c>
      <c r="AG673" s="9">
        <v>1.7</v>
      </c>
      <c r="AH673" s="10">
        <f t="shared" si="25"/>
        <v>2</v>
      </c>
    </row>
    <row r="674" spans="11:34" ht="14.5" x14ac:dyDescent="0.35">
      <c r="K674" s="4"/>
      <c r="AC674" s="7">
        <v>2022</v>
      </c>
      <c r="AD674" s="7">
        <v>1</v>
      </c>
      <c r="AE674" s="7">
        <v>29</v>
      </c>
      <c r="AF674" s="8">
        <v>0</v>
      </c>
      <c r="AG674" s="9">
        <v>2.5</v>
      </c>
      <c r="AH674" s="10">
        <f t="shared" si="25"/>
        <v>3</v>
      </c>
    </row>
    <row r="675" spans="11:34" ht="14.5" x14ac:dyDescent="0.35">
      <c r="K675" s="4"/>
      <c r="AC675" s="7">
        <v>2022</v>
      </c>
      <c r="AD675" s="7">
        <v>1</v>
      </c>
      <c r="AE675" s="7">
        <v>29</v>
      </c>
      <c r="AF675" s="8">
        <v>4.1666666666666664E-2</v>
      </c>
      <c r="AG675" s="9">
        <v>0.5</v>
      </c>
      <c r="AH675" s="10">
        <f t="shared" si="25"/>
        <v>1</v>
      </c>
    </row>
    <row r="676" spans="11:34" ht="14.5" x14ac:dyDescent="0.35">
      <c r="K676" s="4"/>
      <c r="AC676" s="7">
        <v>2022</v>
      </c>
      <c r="AD676" s="7">
        <v>1</v>
      </c>
      <c r="AE676" s="7">
        <v>29</v>
      </c>
      <c r="AF676" s="8">
        <v>8.3333333333333329E-2</v>
      </c>
      <c r="AG676" s="9">
        <v>-0.4</v>
      </c>
      <c r="AH676" s="10">
        <f t="shared" si="25"/>
        <v>0</v>
      </c>
    </row>
    <row r="677" spans="11:34" ht="14.5" x14ac:dyDescent="0.35">
      <c r="K677" s="4"/>
      <c r="AC677" s="7">
        <v>2022</v>
      </c>
      <c r="AD677" s="7">
        <v>1</v>
      </c>
      <c r="AE677" s="7">
        <v>29</v>
      </c>
      <c r="AF677" s="8">
        <v>0.125</v>
      </c>
      <c r="AG677" s="9">
        <v>-0.8</v>
      </c>
      <c r="AH677" s="10">
        <f t="shared" si="25"/>
        <v>-1</v>
      </c>
    </row>
    <row r="678" spans="11:34" ht="14.5" x14ac:dyDescent="0.35">
      <c r="K678" s="4"/>
      <c r="AC678" s="7">
        <v>2022</v>
      </c>
      <c r="AD678" s="7">
        <v>1</v>
      </c>
      <c r="AE678" s="7">
        <v>29</v>
      </c>
      <c r="AF678" s="8">
        <v>0.16666666666666666</v>
      </c>
      <c r="AG678" s="9">
        <v>-1.8</v>
      </c>
      <c r="AH678" s="10">
        <f t="shared" si="25"/>
        <v>-2</v>
      </c>
    </row>
    <row r="679" spans="11:34" ht="14.5" x14ac:dyDescent="0.35">
      <c r="K679" s="4"/>
      <c r="AC679" s="7">
        <v>2022</v>
      </c>
      <c r="AD679" s="7">
        <v>1</v>
      </c>
      <c r="AE679" s="7">
        <v>29</v>
      </c>
      <c r="AF679" s="8">
        <v>0.20833333333333334</v>
      </c>
      <c r="AG679" s="9">
        <v>-2.7</v>
      </c>
      <c r="AH679" s="10">
        <f t="shared" si="25"/>
        <v>-3</v>
      </c>
    </row>
    <row r="680" spans="11:34" ht="14.5" x14ac:dyDescent="0.35">
      <c r="K680" s="4"/>
      <c r="AC680" s="7">
        <v>2022</v>
      </c>
      <c r="AD680" s="7">
        <v>1</v>
      </c>
      <c r="AE680" s="7">
        <v>29</v>
      </c>
      <c r="AF680" s="8">
        <v>0.25</v>
      </c>
      <c r="AG680" s="9">
        <v>-3.2</v>
      </c>
      <c r="AH680" s="10">
        <f t="shared" si="25"/>
        <v>-3</v>
      </c>
    </row>
    <row r="681" spans="11:34" ht="14.5" x14ac:dyDescent="0.35">
      <c r="K681" s="4"/>
      <c r="AC681" s="7">
        <v>2022</v>
      </c>
      <c r="AD681" s="7">
        <v>1</v>
      </c>
      <c r="AE681" s="7">
        <v>29</v>
      </c>
      <c r="AF681" s="8">
        <v>0.29166666666666669</v>
      </c>
      <c r="AG681" s="9">
        <v>-4.0999999999999996</v>
      </c>
      <c r="AH681" s="10">
        <f t="shared" si="25"/>
        <v>-4</v>
      </c>
    </row>
    <row r="682" spans="11:34" ht="14.5" x14ac:dyDescent="0.35">
      <c r="K682" s="4"/>
      <c r="AC682" s="7">
        <v>2022</v>
      </c>
      <c r="AD682" s="7">
        <v>1</v>
      </c>
      <c r="AE682" s="7">
        <v>29</v>
      </c>
      <c r="AF682" s="8">
        <v>0.33333333333333331</v>
      </c>
      <c r="AG682" s="9">
        <v>-2.6</v>
      </c>
      <c r="AH682" s="10">
        <f t="shared" si="25"/>
        <v>-3</v>
      </c>
    </row>
    <row r="683" spans="11:34" ht="14.5" x14ac:dyDescent="0.35">
      <c r="K683" s="4"/>
      <c r="AC683" s="7">
        <v>2022</v>
      </c>
      <c r="AD683" s="7">
        <v>1</v>
      </c>
      <c r="AE683" s="7">
        <v>29</v>
      </c>
      <c r="AF683" s="8">
        <v>0.375</v>
      </c>
      <c r="AG683" s="9">
        <v>-3.3</v>
      </c>
      <c r="AH683" s="10">
        <f t="shared" si="25"/>
        <v>-3</v>
      </c>
    </row>
    <row r="684" spans="11:34" ht="14.5" x14ac:dyDescent="0.35">
      <c r="K684" s="4"/>
      <c r="AC684" s="7">
        <v>2022</v>
      </c>
      <c r="AD684" s="7">
        <v>1</v>
      </c>
      <c r="AE684" s="7">
        <v>29</v>
      </c>
      <c r="AF684" s="8">
        <v>0.41666666666666669</v>
      </c>
      <c r="AG684" s="9">
        <v>2.2999999999999998</v>
      </c>
      <c r="AH684" s="10">
        <f t="shared" si="25"/>
        <v>2</v>
      </c>
    </row>
    <row r="685" spans="11:34" ht="14.5" x14ac:dyDescent="0.35">
      <c r="K685" s="4"/>
      <c r="AC685" s="7">
        <v>2022</v>
      </c>
      <c r="AD685" s="7">
        <v>1</v>
      </c>
      <c r="AE685" s="7">
        <v>29</v>
      </c>
      <c r="AF685" s="8">
        <v>0.45833333333333331</v>
      </c>
      <c r="AG685" s="9">
        <v>4.3</v>
      </c>
      <c r="AH685" s="10">
        <f t="shared" si="25"/>
        <v>4</v>
      </c>
    </row>
    <row r="686" spans="11:34" ht="14.5" x14ac:dyDescent="0.35">
      <c r="K686" s="4"/>
      <c r="AC686" s="7">
        <v>2022</v>
      </c>
      <c r="AD686" s="7">
        <v>1</v>
      </c>
      <c r="AE686" s="7">
        <v>29</v>
      </c>
      <c r="AF686" s="8">
        <v>0.5</v>
      </c>
      <c r="AG686" s="9">
        <v>5.4</v>
      </c>
      <c r="AH686" s="10">
        <f t="shared" si="25"/>
        <v>5</v>
      </c>
    </row>
    <row r="687" spans="11:34" ht="14.5" x14ac:dyDescent="0.35">
      <c r="K687" s="4"/>
      <c r="AC687" s="7">
        <v>2022</v>
      </c>
      <c r="AD687" s="7">
        <v>1</v>
      </c>
      <c r="AE687" s="7">
        <v>29</v>
      </c>
      <c r="AF687" s="8">
        <v>0.54166666666666663</v>
      </c>
      <c r="AG687" s="9">
        <v>7.4</v>
      </c>
      <c r="AH687" s="10">
        <f t="shared" si="25"/>
        <v>7</v>
      </c>
    </row>
    <row r="688" spans="11:34" ht="14.5" x14ac:dyDescent="0.35">
      <c r="K688" s="4"/>
      <c r="AC688" s="7">
        <v>2022</v>
      </c>
      <c r="AD688" s="7">
        <v>1</v>
      </c>
      <c r="AE688" s="7">
        <v>29</v>
      </c>
      <c r="AF688" s="8">
        <v>0.58333333333333337</v>
      </c>
      <c r="AG688" s="9">
        <v>8.6999999999999993</v>
      </c>
      <c r="AH688" s="10">
        <f t="shared" si="25"/>
        <v>9</v>
      </c>
    </row>
    <row r="689" spans="11:34" ht="14.5" x14ac:dyDescent="0.35">
      <c r="K689" s="4"/>
      <c r="AC689" s="7">
        <v>2022</v>
      </c>
      <c r="AD689" s="7">
        <v>1</v>
      </c>
      <c r="AE689" s="7">
        <v>29</v>
      </c>
      <c r="AF689" s="8">
        <v>0.625</v>
      </c>
      <c r="AG689" s="9">
        <v>7.4</v>
      </c>
      <c r="AH689" s="10">
        <f t="shared" si="25"/>
        <v>7</v>
      </c>
    </row>
    <row r="690" spans="11:34" ht="14.5" x14ac:dyDescent="0.35">
      <c r="K690" s="4"/>
      <c r="AC690" s="7">
        <v>2022</v>
      </c>
      <c r="AD690" s="7">
        <v>1</v>
      </c>
      <c r="AE690" s="7">
        <v>29</v>
      </c>
      <c r="AF690" s="8">
        <v>0.66666666666666663</v>
      </c>
      <c r="AG690" s="9">
        <v>6.2</v>
      </c>
      <c r="AH690" s="10">
        <f t="shared" si="25"/>
        <v>6</v>
      </c>
    </row>
    <row r="691" spans="11:34" ht="14.5" x14ac:dyDescent="0.35">
      <c r="K691" s="4"/>
      <c r="AC691" s="7">
        <v>2022</v>
      </c>
      <c r="AD691" s="7">
        <v>1</v>
      </c>
      <c r="AE691" s="7">
        <v>29</v>
      </c>
      <c r="AF691" s="8">
        <v>0.70833333333333337</v>
      </c>
      <c r="AG691" s="9">
        <v>6</v>
      </c>
      <c r="AH691" s="10">
        <f t="shared" si="25"/>
        <v>6</v>
      </c>
    </row>
    <row r="692" spans="11:34" ht="14.5" x14ac:dyDescent="0.35">
      <c r="K692" s="4"/>
      <c r="AC692" s="7">
        <v>2022</v>
      </c>
      <c r="AD692" s="7">
        <v>1</v>
      </c>
      <c r="AE692" s="7">
        <v>29</v>
      </c>
      <c r="AF692" s="8">
        <v>0.75</v>
      </c>
      <c r="AG692" s="9">
        <v>6.8</v>
      </c>
      <c r="AH692" s="10">
        <f t="shared" si="25"/>
        <v>7</v>
      </c>
    </row>
    <row r="693" spans="11:34" ht="14.5" x14ac:dyDescent="0.35">
      <c r="K693" s="4"/>
      <c r="AC693" s="7">
        <v>2022</v>
      </c>
      <c r="AD693" s="7">
        <v>1</v>
      </c>
      <c r="AE693" s="7">
        <v>29</v>
      </c>
      <c r="AF693" s="8">
        <v>0.79166666666666663</v>
      </c>
      <c r="AG693" s="9">
        <v>5.9</v>
      </c>
      <c r="AH693" s="10">
        <f t="shared" si="25"/>
        <v>6</v>
      </c>
    </row>
    <row r="694" spans="11:34" ht="14.5" x14ac:dyDescent="0.35">
      <c r="K694" s="4"/>
      <c r="AC694" s="7">
        <v>2022</v>
      </c>
      <c r="AD694" s="7">
        <v>1</v>
      </c>
      <c r="AE694" s="7">
        <v>29</v>
      </c>
      <c r="AF694" s="8">
        <v>0.83333333333333337</v>
      </c>
      <c r="AG694" s="9">
        <v>5.2</v>
      </c>
      <c r="AH694" s="10">
        <f t="shared" si="25"/>
        <v>5</v>
      </c>
    </row>
    <row r="695" spans="11:34" ht="14.5" x14ac:dyDescent="0.35">
      <c r="K695" s="4"/>
      <c r="AC695" s="7">
        <v>2022</v>
      </c>
      <c r="AD695" s="7">
        <v>1</v>
      </c>
      <c r="AE695" s="7">
        <v>29</v>
      </c>
      <c r="AF695" s="8">
        <v>0.875</v>
      </c>
      <c r="AG695" s="9">
        <v>5.2</v>
      </c>
      <c r="AH695" s="10">
        <f t="shared" si="25"/>
        <v>5</v>
      </c>
    </row>
    <row r="696" spans="11:34" ht="14.5" x14ac:dyDescent="0.35">
      <c r="K696" s="4"/>
      <c r="AC696" s="7">
        <v>2022</v>
      </c>
      <c r="AD696" s="7">
        <v>1</v>
      </c>
      <c r="AE696" s="7">
        <v>29</v>
      </c>
      <c r="AF696" s="8">
        <v>0.91666666666666663</v>
      </c>
      <c r="AG696" s="9">
        <v>5.7</v>
      </c>
      <c r="AH696" s="10">
        <f t="shared" si="25"/>
        <v>6</v>
      </c>
    </row>
    <row r="697" spans="11:34" ht="14.5" x14ac:dyDescent="0.35">
      <c r="K697" s="4"/>
      <c r="AC697" s="7">
        <v>2022</v>
      </c>
      <c r="AD697" s="7">
        <v>1</v>
      </c>
      <c r="AE697" s="7">
        <v>29</v>
      </c>
      <c r="AF697" s="8">
        <v>0.95833333333333337</v>
      </c>
      <c r="AG697" s="9">
        <v>5.5</v>
      </c>
      <c r="AH697" s="10">
        <f t="shared" si="25"/>
        <v>6</v>
      </c>
    </row>
    <row r="698" spans="11:34" ht="14.5" x14ac:dyDescent="0.35">
      <c r="K698" s="4"/>
      <c r="AC698" s="7">
        <v>2022</v>
      </c>
      <c r="AD698" s="7">
        <v>1</v>
      </c>
      <c r="AE698" s="7">
        <v>30</v>
      </c>
      <c r="AF698" s="8">
        <v>0</v>
      </c>
      <c r="AG698" s="9">
        <v>5.0999999999999996</v>
      </c>
      <c r="AH698" s="10">
        <f t="shared" si="25"/>
        <v>5</v>
      </c>
    </row>
    <row r="699" spans="11:34" ht="14.5" x14ac:dyDescent="0.35">
      <c r="K699" s="4"/>
      <c r="AC699" s="7">
        <v>2022</v>
      </c>
      <c r="AD699" s="7">
        <v>1</v>
      </c>
      <c r="AE699" s="7">
        <v>30</v>
      </c>
      <c r="AF699" s="8">
        <v>4.1666666666666664E-2</v>
      </c>
      <c r="AG699" s="9">
        <v>5.4</v>
      </c>
      <c r="AH699" s="10">
        <f t="shared" si="25"/>
        <v>5</v>
      </c>
    </row>
    <row r="700" spans="11:34" ht="14.5" x14ac:dyDescent="0.35">
      <c r="K700" s="4"/>
      <c r="AC700" s="7">
        <v>2022</v>
      </c>
      <c r="AD700" s="7">
        <v>1</v>
      </c>
      <c r="AE700" s="7">
        <v>30</v>
      </c>
      <c r="AF700" s="8">
        <v>8.3333333333333329E-2</v>
      </c>
      <c r="AG700" s="9">
        <v>5.4</v>
      </c>
      <c r="AH700" s="10">
        <f t="shared" si="25"/>
        <v>5</v>
      </c>
    </row>
    <row r="701" spans="11:34" ht="14.5" x14ac:dyDescent="0.35">
      <c r="K701" s="4"/>
      <c r="AC701" s="7">
        <v>2022</v>
      </c>
      <c r="AD701" s="7">
        <v>1</v>
      </c>
      <c r="AE701" s="7">
        <v>30</v>
      </c>
      <c r="AF701" s="8">
        <v>0.125</v>
      </c>
      <c r="AG701" s="9">
        <v>5.3</v>
      </c>
      <c r="AH701" s="10">
        <f t="shared" si="25"/>
        <v>5</v>
      </c>
    </row>
    <row r="702" spans="11:34" ht="14.5" x14ac:dyDescent="0.35">
      <c r="K702" s="4"/>
      <c r="AC702" s="7">
        <v>2022</v>
      </c>
      <c r="AD702" s="7">
        <v>1</v>
      </c>
      <c r="AE702" s="7">
        <v>30</v>
      </c>
      <c r="AF702" s="8">
        <v>0.16666666666666666</v>
      </c>
      <c r="AG702" s="9">
        <v>5.4</v>
      </c>
      <c r="AH702" s="10">
        <f t="shared" si="25"/>
        <v>5</v>
      </c>
    </row>
    <row r="703" spans="11:34" ht="14.5" x14ac:dyDescent="0.35">
      <c r="K703" s="4"/>
      <c r="AC703" s="7">
        <v>2022</v>
      </c>
      <c r="AD703" s="7">
        <v>1</v>
      </c>
      <c r="AE703" s="7">
        <v>30</v>
      </c>
      <c r="AF703" s="8">
        <v>0.20833333333333334</v>
      </c>
      <c r="AG703" s="9">
        <v>5.4</v>
      </c>
      <c r="AH703" s="10">
        <f t="shared" si="25"/>
        <v>5</v>
      </c>
    </row>
    <row r="704" spans="11:34" ht="14.5" x14ac:dyDescent="0.35">
      <c r="K704" s="4"/>
      <c r="AC704" s="7">
        <v>2022</v>
      </c>
      <c r="AD704" s="7">
        <v>1</v>
      </c>
      <c r="AE704" s="7">
        <v>30</v>
      </c>
      <c r="AF704" s="8">
        <v>0.25</v>
      </c>
      <c r="AG704" s="9">
        <v>5.2</v>
      </c>
      <c r="AH704" s="10">
        <f t="shared" si="25"/>
        <v>5</v>
      </c>
    </row>
    <row r="705" spans="11:34" ht="14.5" x14ac:dyDescent="0.35">
      <c r="K705" s="4"/>
      <c r="AC705" s="7">
        <v>2022</v>
      </c>
      <c r="AD705" s="7">
        <v>1</v>
      </c>
      <c r="AE705" s="7">
        <v>30</v>
      </c>
      <c r="AF705" s="8">
        <v>0.29166666666666669</v>
      </c>
      <c r="AG705" s="9">
        <v>5.5</v>
      </c>
      <c r="AH705" s="10">
        <f t="shared" si="25"/>
        <v>6</v>
      </c>
    </row>
    <row r="706" spans="11:34" ht="14.5" x14ac:dyDescent="0.35">
      <c r="K706" s="4"/>
      <c r="AC706" s="7">
        <v>2022</v>
      </c>
      <c r="AD706" s="7">
        <v>1</v>
      </c>
      <c r="AE706" s="7">
        <v>30</v>
      </c>
      <c r="AF706" s="8">
        <v>0.33333333333333331</v>
      </c>
      <c r="AG706" s="9">
        <v>4.4000000000000004</v>
      </c>
      <c r="AH706" s="10">
        <f t="shared" si="25"/>
        <v>4</v>
      </c>
    </row>
    <row r="707" spans="11:34" ht="14.5" x14ac:dyDescent="0.35">
      <c r="K707" s="4"/>
      <c r="AC707" s="7">
        <v>2022</v>
      </c>
      <c r="AD707" s="7">
        <v>1</v>
      </c>
      <c r="AE707" s="7">
        <v>30</v>
      </c>
      <c r="AF707" s="8">
        <v>0.375</v>
      </c>
      <c r="AG707" s="9">
        <v>5</v>
      </c>
      <c r="AH707" s="10">
        <f t="shared" si="25"/>
        <v>5</v>
      </c>
    </row>
    <row r="708" spans="11:34" ht="14.5" x14ac:dyDescent="0.35">
      <c r="K708" s="4"/>
      <c r="AC708" s="7">
        <v>2022</v>
      </c>
      <c r="AD708" s="7">
        <v>1</v>
      </c>
      <c r="AE708" s="7">
        <v>30</v>
      </c>
      <c r="AF708" s="8">
        <v>0.41666666666666669</v>
      </c>
      <c r="AG708" s="9">
        <v>4.7</v>
      </c>
      <c r="AH708" s="10">
        <f t="shared" si="25"/>
        <v>5</v>
      </c>
    </row>
    <row r="709" spans="11:34" ht="14.5" x14ac:dyDescent="0.35">
      <c r="K709" s="4"/>
      <c r="AC709" s="7">
        <v>2022</v>
      </c>
      <c r="AD709" s="7">
        <v>1</v>
      </c>
      <c r="AE709" s="7">
        <v>30</v>
      </c>
      <c r="AF709" s="8">
        <v>0.45833333333333331</v>
      </c>
      <c r="AG709" s="9">
        <v>5.7</v>
      </c>
      <c r="AH709" s="10">
        <f t="shared" si="25"/>
        <v>6</v>
      </c>
    </row>
    <row r="710" spans="11:34" ht="14.5" x14ac:dyDescent="0.35">
      <c r="K710" s="4"/>
      <c r="AC710" s="7">
        <v>2022</v>
      </c>
      <c r="AD710" s="7">
        <v>1</v>
      </c>
      <c r="AE710" s="7">
        <v>30</v>
      </c>
      <c r="AF710" s="8">
        <v>0.5</v>
      </c>
      <c r="AG710" s="9">
        <v>6.6</v>
      </c>
      <c r="AH710" s="10">
        <f t="shared" si="25"/>
        <v>7</v>
      </c>
    </row>
    <row r="711" spans="11:34" ht="14.5" x14ac:dyDescent="0.35">
      <c r="K711" s="4"/>
      <c r="AC711" s="7">
        <v>2022</v>
      </c>
      <c r="AD711" s="7">
        <v>1</v>
      </c>
      <c r="AE711" s="7">
        <v>30</v>
      </c>
      <c r="AF711" s="8">
        <v>0.54166666666666663</v>
      </c>
      <c r="AG711" s="9">
        <v>7.6</v>
      </c>
      <c r="AH711" s="10">
        <f t="shared" si="25"/>
        <v>8</v>
      </c>
    </row>
    <row r="712" spans="11:34" ht="14.5" x14ac:dyDescent="0.35">
      <c r="K712" s="4"/>
      <c r="AC712" s="7">
        <v>2022</v>
      </c>
      <c r="AD712" s="7">
        <v>1</v>
      </c>
      <c r="AE712" s="7">
        <v>30</v>
      </c>
      <c r="AF712" s="8">
        <v>0.58333333333333337</v>
      </c>
      <c r="AG712" s="9">
        <v>9.1</v>
      </c>
      <c r="AH712" s="10">
        <f t="shared" si="25"/>
        <v>9</v>
      </c>
    </row>
    <row r="713" spans="11:34" ht="14.5" x14ac:dyDescent="0.35">
      <c r="K713" s="4"/>
      <c r="AC713" s="7">
        <v>2022</v>
      </c>
      <c r="AD713" s="7">
        <v>1</v>
      </c>
      <c r="AE713" s="7">
        <v>30</v>
      </c>
      <c r="AF713" s="8">
        <v>0.625</v>
      </c>
      <c r="AG713" s="9">
        <v>9.5</v>
      </c>
      <c r="AH713" s="10">
        <f t="shared" si="25"/>
        <v>10</v>
      </c>
    </row>
    <row r="714" spans="11:34" ht="14.5" x14ac:dyDescent="0.35">
      <c r="K714" s="4"/>
      <c r="AC714" s="7">
        <v>2022</v>
      </c>
      <c r="AD714" s="7">
        <v>1</v>
      </c>
      <c r="AE714" s="7">
        <v>30</v>
      </c>
      <c r="AF714" s="8">
        <v>0.66666666666666663</v>
      </c>
      <c r="AG714" s="9">
        <v>7.5</v>
      </c>
      <c r="AH714" s="10">
        <f t="shared" si="25"/>
        <v>8</v>
      </c>
    </row>
    <row r="715" spans="11:34" ht="14.5" x14ac:dyDescent="0.35">
      <c r="K715" s="4"/>
      <c r="AC715" s="7">
        <v>2022</v>
      </c>
      <c r="AD715" s="7">
        <v>1</v>
      </c>
      <c r="AE715" s="7">
        <v>30</v>
      </c>
      <c r="AF715" s="8">
        <v>0.70833333333333337</v>
      </c>
      <c r="AG715" s="9">
        <v>5.6</v>
      </c>
      <c r="AH715" s="10">
        <f t="shared" ref="AH715:AH778" si="26">ROUND(AG715,0)</f>
        <v>6</v>
      </c>
    </row>
    <row r="716" spans="11:34" ht="14.5" x14ac:dyDescent="0.35">
      <c r="K716" s="4"/>
      <c r="AC716" s="7">
        <v>2022</v>
      </c>
      <c r="AD716" s="7">
        <v>1</v>
      </c>
      <c r="AE716" s="7">
        <v>30</v>
      </c>
      <c r="AF716" s="8">
        <v>0.75</v>
      </c>
      <c r="AG716" s="9">
        <v>3.3</v>
      </c>
      <c r="AH716" s="10">
        <f t="shared" si="26"/>
        <v>3</v>
      </c>
    </row>
    <row r="717" spans="11:34" ht="14.5" x14ac:dyDescent="0.35">
      <c r="K717" s="4"/>
      <c r="AC717" s="7">
        <v>2022</v>
      </c>
      <c r="AD717" s="7">
        <v>1</v>
      </c>
      <c r="AE717" s="7">
        <v>30</v>
      </c>
      <c r="AF717" s="8">
        <v>0.79166666666666663</v>
      </c>
      <c r="AG717" s="9">
        <v>3.8</v>
      </c>
      <c r="AH717" s="10">
        <f t="shared" si="26"/>
        <v>4</v>
      </c>
    </row>
    <row r="718" spans="11:34" ht="14.5" x14ac:dyDescent="0.35">
      <c r="K718" s="4"/>
      <c r="AC718" s="7">
        <v>2022</v>
      </c>
      <c r="AD718" s="7">
        <v>1</v>
      </c>
      <c r="AE718" s="7">
        <v>30</v>
      </c>
      <c r="AF718" s="8">
        <v>0.83333333333333337</v>
      </c>
      <c r="AG718" s="9">
        <v>-0.4</v>
      </c>
      <c r="AH718" s="10">
        <f t="shared" si="26"/>
        <v>0</v>
      </c>
    </row>
    <row r="719" spans="11:34" ht="14.5" x14ac:dyDescent="0.35">
      <c r="K719" s="4"/>
      <c r="AC719" s="7">
        <v>2022</v>
      </c>
      <c r="AD719" s="7">
        <v>1</v>
      </c>
      <c r="AE719" s="7">
        <v>30</v>
      </c>
      <c r="AF719" s="8">
        <v>0.875</v>
      </c>
      <c r="AG719" s="9">
        <v>0.7</v>
      </c>
      <c r="AH719" s="10">
        <f t="shared" si="26"/>
        <v>1</v>
      </c>
    </row>
    <row r="720" spans="11:34" ht="14.5" x14ac:dyDescent="0.35">
      <c r="K720" s="4"/>
      <c r="AC720" s="7">
        <v>2022</v>
      </c>
      <c r="AD720" s="7">
        <v>1</v>
      </c>
      <c r="AE720" s="7">
        <v>30</v>
      </c>
      <c r="AF720" s="8">
        <v>0.91666666666666663</v>
      </c>
      <c r="AG720" s="9">
        <v>-2.2999999999999998</v>
      </c>
      <c r="AH720" s="10">
        <f t="shared" si="26"/>
        <v>-2</v>
      </c>
    </row>
    <row r="721" spans="11:34" ht="14.5" x14ac:dyDescent="0.35">
      <c r="K721" s="4"/>
      <c r="AC721" s="7">
        <v>2022</v>
      </c>
      <c r="AD721" s="7">
        <v>1</v>
      </c>
      <c r="AE721" s="7">
        <v>30</v>
      </c>
      <c r="AF721" s="8">
        <v>0.95833333333333337</v>
      </c>
      <c r="AG721" s="9">
        <v>1.5</v>
      </c>
      <c r="AH721" s="10">
        <f t="shared" si="26"/>
        <v>2</v>
      </c>
    </row>
    <row r="722" spans="11:34" ht="14.5" x14ac:dyDescent="0.35">
      <c r="K722" s="4"/>
      <c r="AC722" s="7">
        <v>2022</v>
      </c>
      <c r="AD722" s="7">
        <v>1</v>
      </c>
      <c r="AE722" s="7">
        <v>31</v>
      </c>
      <c r="AF722" s="8">
        <v>0</v>
      </c>
      <c r="AG722" s="9">
        <v>-2.4</v>
      </c>
      <c r="AH722" s="10">
        <f t="shared" si="26"/>
        <v>-2</v>
      </c>
    </row>
    <row r="723" spans="11:34" ht="14.5" x14ac:dyDescent="0.35">
      <c r="K723" s="4"/>
      <c r="AC723" s="7">
        <v>2022</v>
      </c>
      <c r="AD723" s="7">
        <v>1</v>
      </c>
      <c r="AE723" s="7">
        <v>31</v>
      </c>
      <c r="AF723" s="8">
        <v>4.1666666666666664E-2</v>
      </c>
      <c r="AG723" s="9">
        <v>-3.9</v>
      </c>
      <c r="AH723" s="10">
        <f t="shared" si="26"/>
        <v>-4</v>
      </c>
    </row>
    <row r="724" spans="11:34" ht="14.5" x14ac:dyDescent="0.35">
      <c r="K724" s="4"/>
      <c r="AC724" s="7">
        <v>2022</v>
      </c>
      <c r="AD724" s="7">
        <v>1</v>
      </c>
      <c r="AE724" s="7">
        <v>31</v>
      </c>
      <c r="AF724" s="8">
        <v>8.3333333333333329E-2</v>
      </c>
      <c r="AG724" s="9">
        <v>-3.5</v>
      </c>
      <c r="AH724" s="10">
        <f t="shared" si="26"/>
        <v>-4</v>
      </c>
    </row>
    <row r="725" spans="11:34" ht="14.5" x14ac:dyDescent="0.35">
      <c r="K725" s="4"/>
      <c r="AC725" s="7">
        <v>2022</v>
      </c>
      <c r="AD725" s="7">
        <v>1</v>
      </c>
      <c r="AE725" s="7">
        <v>31</v>
      </c>
      <c r="AF725" s="8">
        <v>0.125</v>
      </c>
      <c r="AG725" s="9">
        <v>-2.9</v>
      </c>
      <c r="AH725" s="10">
        <f t="shared" si="26"/>
        <v>-3</v>
      </c>
    </row>
    <row r="726" spans="11:34" ht="14.5" x14ac:dyDescent="0.35">
      <c r="K726" s="4"/>
      <c r="AC726" s="7">
        <v>2022</v>
      </c>
      <c r="AD726" s="7">
        <v>1</v>
      </c>
      <c r="AE726" s="7">
        <v>31</v>
      </c>
      <c r="AF726" s="8">
        <v>0.16666666666666666</v>
      </c>
      <c r="AG726" s="9">
        <v>1.4</v>
      </c>
      <c r="AH726" s="10">
        <f t="shared" si="26"/>
        <v>1</v>
      </c>
    </row>
    <row r="727" spans="11:34" ht="14.5" x14ac:dyDescent="0.35">
      <c r="K727" s="4"/>
      <c r="AC727" s="7">
        <v>2022</v>
      </c>
      <c r="AD727" s="7">
        <v>1</v>
      </c>
      <c r="AE727" s="7">
        <v>31</v>
      </c>
      <c r="AF727" s="8">
        <v>0.20833333333333334</v>
      </c>
      <c r="AG727" s="9">
        <v>0.2</v>
      </c>
      <c r="AH727" s="10">
        <f t="shared" si="26"/>
        <v>0</v>
      </c>
    </row>
    <row r="728" spans="11:34" ht="14.5" x14ac:dyDescent="0.35">
      <c r="K728" s="4"/>
      <c r="AC728" s="7">
        <v>2022</v>
      </c>
      <c r="AD728" s="7">
        <v>1</v>
      </c>
      <c r="AE728" s="7">
        <v>31</v>
      </c>
      <c r="AF728" s="8">
        <v>0.25</v>
      </c>
      <c r="AG728" s="9">
        <v>0.2</v>
      </c>
      <c r="AH728" s="10">
        <f t="shared" si="26"/>
        <v>0</v>
      </c>
    </row>
    <row r="729" spans="11:34" ht="14.5" x14ac:dyDescent="0.35">
      <c r="K729" s="4"/>
      <c r="AC729" s="7">
        <v>2022</v>
      </c>
      <c r="AD729" s="7">
        <v>1</v>
      </c>
      <c r="AE729" s="7">
        <v>31</v>
      </c>
      <c r="AF729" s="8">
        <v>0.29166666666666669</v>
      </c>
      <c r="AG729" s="9">
        <v>-2.9</v>
      </c>
      <c r="AH729" s="10">
        <f t="shared" si="26"/>
        <v>-3</v>
      </c>
    </row>
    <row r="730" spans="11:34" ht="14.5" x14ac:dyDescent="0.35">
      <c r="K730" s="4"/>
      <c r="AC730" s="7">
        <v>2022</v>
      </c>
      <c r="AD730" s="7">
        <v>1</v>
      </c>
      <c r="AE730" s="7">
        <v>31</v>
      </c>
      <c r="AF730" s="8">
        <v>0.33333333333333331</v>
      </c>
      <c r="AG730" s="9">
        <v>-6.3</v>
      </c>
      <c r="AH730" s="10">
        <f t="shared" si="26"/>
        <v>-6</v>
      </c>
    </row>
    <row r="731" spans="11:34" ht="14.5" x14ac:dyDescent="0.35">
      <c r="K731" s="4"/>
      <c r="AC731" s="7">
        <v>2022</v>
      </c>
      <c r="AD731" s="7">
        <v>1</v>
      </c>
      <c r="AE731" s="7">
        <v>31</v>
      </c>
      <c r="AF731" s="8">
        <v>0.375</v>
      </c>
      <c r="AG731" s="9">
        <v>-8.6999999999999993</v>
      </c>
      <c r="AH731" s="10">
        <f t="shared" si="26"/>
        <v>-9</v>
      </c>
    </row>
    <row r="732" spans="11:34" ht="14.5" x14ac:dyDescent="0.35">
      <c r="K732" s="4"/>
      <c r="AC732" s="7">
        <v>2022</v>
      </c>
      <c r="AD732" s="7">
        <v>1</v>
      </c>
      <c r="AE732" s="7">
        <v>31</v>
      </c>
      <c r="AF732" s="8">
        <v>0.41666666666666669</v>
      </c>
      <c r="AG732" s="9">
        <v>-9.6999999999999993</v>
      </c>
      <c r="AH732" s="10">
        <f t="shared" si="26"/>
        <v>-10</v>
      </c>
    </row>
    <row r="733" spans="11:34" ht="14.5" x14ac:dyDescent="0.35">
      <c r="K733" s="4"/>
      <c r="AC733" s="7">
        <v>2022</v>
      </c>
      <c r="AD733" s="7">
        <v>1</v>
      </c>
      <c r="AE733" s="7">
        <v>31</v>
      </c>
      <c r="AF733" s="8">
        <v>0.45833333333333331</v>
      </c>
      <c r="AG733" s="9">
        <v>-10.3</v>
      </c>
      <c r="AH733" s="10">
        <f t="shared" si="26"/>
        <v>-10</v>
      </c>
    </row>
    <row r="734" spans="11:34" ht="14.5" x14ac:dyDescent="0.35">
      <c r="K734" s="4"/>
      <c r="AC734" s="7">
        <v>2022</v>
      </c>
      <c r="AD734" s="7">
        <v>1</v>
      </c>
      <c r="AE734" s="7">
        <v>31</v>
      </c>
      <c r="AF734" s="8">
        <v>0.5</v>
      </c>
      <c r="AG734" s="9">
        <v>-11</v>
      </c>
      <c r="AH734" s="10">
        <f t="shared" si="26"/>
        <v>-11</v>
      </c>
    </row>
    <row r="735" spans="11:34" ht="14.5" x14ac:dyDescent="0.35">
      <c r="K735" s="4"/>
      <c r="AC735" s="7">
        <v>2022</v>
      </c>
      <c r="AD735" s="7">
        <v>1</v>
      </c>
      <c r="AE735" s="7">
        <v>31</v>
      </c>
      <c r="AF735" s="8">
        <v>0.54166666666666663</v>
      </c>
      <c r="AG735" s="9">
        <v>-11.1</v>
      </c>
      <c r="AH735" s="10">
        <f t="shared" si="26"/>
        <v>-11</v>
      </c>
    </row>
    <row r="736" spans="11:34" ht="14.5" x14ac:dyDescent="0.35">
      <c r="K736" s="4"/>
      <c r="AC736" s="7">
        <v>2022</v>
      </c>
      <c r="AD736" s="7">
        <v>1</v>
      </c>
      <c r="AE736" s="7">
        <v>31</v>
      </c>
      <c r="AF736" s="8">
        <v>0.58333333333333337</v>
      </c>
      <c r="AG736" s="9">
        <v>-10.9</v>
      </c>
      <c r="AH736" s="10">
        <f t="shared" si="26"/>
        <v>-11</v>
      </c>
    </row>
    <row r="737" spans="11:34" ht="14.5" x14ac:dyDescent="0.35">
      <c r="K737" s="4"/>
      <c r="AC737" s="7">
        <v>2022</v>
      </c>
      <c r="AD737" s="7">
        <v>1</v>
      </c>
      <c r="AE737" s="7">
        <v>31</v>
      </c>
      <c r="AF737" s="8">
        <v>0.625</v>
      </c>
      <c r="AG737" s="9">
        <v>-11.5</v>
      </c>
      <c r="AH737" s="10">
        <f t="shared" si="26"/>
        <v>-12</v>
      </c>
    </row>
    <row r="738" spans="11:34" ht="14.5" x14ac:dyDescent="0.35">
      <c r="K738" s="4"/>
      <c r="AC738" s="7">
        <v>2022</v>
      </c>
      <c r="AD738" s="7">
        <v>1</v>
      </c>
      <c r="AE738" s="7">
        <v>31</v>
      </c>
      <c r="AF738" s="8">
        <v>0.66666666666666663</v>
      </c>
      <c r="AG738" s="9">
        <v>-11.7</v>
      </c>
      <c r="AH738" s="10">
        <f t="shared" si="26"/>
        <v>-12</v>
      </c>
    </row>
    <row r="739" spans="11:34" ht="14.5" x14ac:dyDescent="0.35">
      <c r="K739" s="4"/>
      <c r="AC739" s="7">
        <v>2022</v>
      </c>
      <c r="AD739" s="7">
        <v>1</v>
      </c>
      <c r="AE739" s="7">
        <v>31</v>
      </c>
      <c r="AF739" s="8">
        <v>0.70833333333333337</v>
      </c>
      <c r="AG739" s="9">
        <v>-12.3</v>
      </c>
      <c r="AH739" s="10">
        <f t="shared" si="26"/>
        <v>-12</v>
      </c>
    </row>
    <row r="740" spans="11:34" ht="14.5" x14ac:dyDescent="0.35">
      <c r="K740" s="4"/>
      <c r="AC740" s="7">
        <v>2022</v>
      </c>
      <c r="AD740" s="7">
        <v>1</v>
      </c>
      <c r="AE740" s="7">
        <v>31</v>
      </c>
      <c r="AF740" s="8">
        <v>0.75</v>
      </c>
      <c r="AG740" s="9">
        <v>-13.8</v>
      </c>
      <c r="AH740" s="10">
        <f t="shared" si="26"/>
        <v>-14</v>
      </c>
    </row>
    <row r="741" spans="11:34" ht="14.5" x14ac:dyDescent="0.35">
      <c r="K741" s="4"/>
      <c r="AC741" s="7">
        <v>2022</v>
      </c>
      <c r="AD741" s="7">
        <v>1</v>
      </c>
      <c r="AE741" s="7">
        <v>31</v>
      </c>
      <c r="AF741" s="8">
        <v>0.79166666666666663</v>
      </c>
      <c r="AG741" s="9">
        <v>-15.3</v>
      </c>
      <c r="AH741" s="10">
        <f t="shared" si="26"/>
        <v>-15</v>
      </c>
    </row>
    <row r="742" spans="11:34" ht="14.5" x14ac:dyDescent="0.35">
      <c r="K742" s="4"/>
      <c r="AC742" s="7">
        <v>2022</v>
      </c>
      <c r="AD742" s="7">
        <v>1</v>
      </c>
      <c r="AE742" s="7">
        <v>31</v>
      </c>
      <c r="AF742" s="8">
        <v>0.83333333333333337</v>
      </c>
      <c r="AG742" s="9">
        <v>-15.3</v>
      </c>
      <c r="AH742" s="10">
        <f t="shared" si="26"/>
        <v>-15</v>
      </c>
    </row>
    <row r="743" spans="11:34" ht="14.5" x14ac:dyDescent="0.35">
      <c r="K743" s="4"/>
      <c r="AC743" s="7">
        <v>2022</v>
      </c>
      <c r="AD743" s="7">
        <v>1</v>
      </c>
      <c r="AE743" s="7">
        <v>31</v>
      </c>
      <c r="AF743" s="8">
        <v>0.875</v>
      </c>
      <c r="AG743" s="9">
        <v>-15.8</v>
      </c>
      <c r="AH743" s="10">
        <f t="shared" si="26"/>
        <v>-16</v>
      </c>
    </row>
    <row r="744" spans="11:34" ht="14.5" x14ac:dyDescent="0.35">
      <c r="K744" s="4"/>
      <c r="AC744" s="7">
        <v>2022</v>
      </c>
      <c r="AD744" s="7">
        <v>1</v>
      </c>
      <c r="AE744" s="7">
        <v>31</v>
      </c>
      <c r="AF744" s="8">
        <v>0.91666666666666663</v>
      </c>
      <c r="AG744" s="9">
        <v>-16</v>
      </c>
      <c r="AH744" s="10">
        <f t="shared" si="26"/>
        <v>-16</v>
      </c>
    </row>
    <row r="745" spans="11:34" ht="14.5" x14ac:dyDescent="0.35">
      <c r="K745" s="4"/>
      <c r="AC745" s="7">
        <v>2022</v>
      </c>
      <c r="AD745" s="7">
        <v>1</v>
      </c>
      <c r="AE745" s="7">
        <v>31</v>
      </c>
      <c r="AF745" s="8">
        <v>0.95833333333333337</v>
      </c>
      <c r="AG745" s="9">
        <v>-16.100000000000001</v>
      </c>
      <c r="AH745" s="10">
        <f t="shared" si="26"/>
        <v>-16</v>
      </c>
    </row>
    <row r="746" spans="11:34" ht="14.5" x14ac:dyDescent="0.35">
      <c r="K746" s="4"/>
      <c r="AC746" s="7">
        <v>2022</v>
      </c>
      <c r="AD746" s="7">
        <v>2</v>
      </c>
      <c r="AE746" s="7">
        <v>1</v>
      </c>
      <c r="AF746" s="8">
        <v>0</v>
      </c>
      <c r="AG746" s="9">
        <v>-16.8</v>
      </c>
      <c r="AH746" s="10">
        <f t="shared" si="26"/>
        <v>-17</v>
      </c>
    </row>
    <row r="747" spans="11:34" ht="14.5" x14ac:dyDescent="0.35">
      <c r="K747" s="4"/>
      <c r="AC747" s="7">
        <v>2022</v>
      </c>
      <c r="AD747" s="7">
        <v>2</v>
      </c>
      <c r="AE747" s="7">
        <v>1</v>
      </c>
      <c r="AF747" s="8">
        <v>4.1666666666666664E-2</v>
      </c>
      <c r="AG747" s="9">
        <v>-17</v>
      </c>
      <c r="AH747" s="10">
        <f t="shared" si="26"/>
        <v>-17</v>
      </c>
    </row>
    <row r="748" spans="11:34" ht="14.5" x14ac:dyDescent="0.35">
      <c r="K748" s="4"/>
      <c r="AC748" s="7">
        <v>2022</v>
      </c>
      <c r="AD748" s="7">
        <v>2</v>
      </c>
      <c r="AE748" s="7">
        <v>1</v>
      </c>
      <c r="AF748" s="8">
        <v>8.3333333333333329E-2</v>
      </c>
      <c r="AG748" s="9">
        <v>-17.3</v>
      </c>
      <c r="AH748" s="10">
        <f t="shared" si="26"/>
        <v>-17</v>
      </c>
    </row>
    <row r="749" spans="11:34" ht="14.5" x14ac:dyDescent="0.35">
      <c r="K749" s="4"/>
      <c r="AC749" s="7">
        <v>2022</v>
      </c>
      <c r="AD749" s="7">
        <v>2</v>
      </c>
      <c r="AE749" s="7">
        <v>1</v>
      </c>
      <c r="AF749" s="8">
        <v>0.125</v>
      </c>
      <c r="AG749" s="9">
        <v>-17.899999999999999</v>
      </c>
      <c r="AH749" s="10">
        <f t="shared" si="26"/>
        <v>-18</v>
      </c>
    </row>
    <row r="750" spans="11:34" ht="14.5" x14ac:dyDescent="0.35">
      <c r="K750" s="4"/>
      <c r="AC750" s="7">
        <v>2022</v>
      </c>
      <c r="AD750" s="7">
        <v>2</v>
      </c>
      <c r="AE750" s="7">
        <v>1</v>
      </c>
      <c r="AF750" s="8">
        <v>0.16666666666666666</v>
      </c>
      <c r="AG750" s="9">
        <v>-18</v>
      </c>
      <c r="AH750" s="10">
        <f t="shared" si="26"/>
        <v>-18</v>
      </c>
    </row>
    <row r="751" spans="11:34" ht="14.5" x14ac:dyDescent="0.35">
      <c r="K751" s="4"/>
      <c r="AC751" s="7">
        <v>2022</v>
      </c>
      <c r="AD751" s="7">
        <v>2</v>
      </c>
      <c r="AE751" s="7">
        <v>1</v>
      </c>
      <c r="AF751" s="8">
        <v>0.20833333333333334</v>
      </c>
      <c r="AG751" s="9">
        <v>-18.3</v>
      </c>
      <c r="AH751" s="10">
        <f t="shared" si="26"/>
        <v>-18</v>
      </c>
    </row>
    <row r="752" spans="11:34" ht="14.5" x14ac:dyDescent="0.35">
      <c r="K752" s="4"/>
      <c r="AC752" s="7">
        <v>2022</v>
      </c>
      <c r="AD752" s="7">
        <v>2</v>
      </c>
      <c r="AE752" s="7">
        <v>1</v>
      </c>
      <c r="AF752" s="8">
        <v>0.25</v>
      </c>
      <c r="AG752" s="9">
        <v>-18.8</v>
      </c>
      <c r="AH752" s="10">
        <f t="shared" si="26"/>
        <v>-19</v>
      </c>
    </row>
    <row r="753" spans="11:34" ht="14.5" x14ac:dyDescent="0.35">
      <c r="K753" s="4"/>
      <c r="AC753" s="7">
        <v>2022</v>
      </c>
      <c r="AD753" s="7">
        <v>2</v>
      </c>
      <c r="AE753" s="7">
        <v>1</v>
      </c>
      <c r="AF753" s="8">
        <v>0.29166666666666669</v>
      </c>
      <c r="AG753" s="9">
        <v>-18.899999999999999</v>
      </c>
      <c r="AH753" s="10">
        <f t="shared" si="26"/>
        <v>-19</v>
      </c>
    </row>
    <row r="754" spans="11:34" ht="14.5" x14ac:dyDescent="0.35">
      <c r="K754" s="4"/>
      <c r="AC754" s="7">
        <v>2022</v>
      </c>
      <c r="AD754" s="7">
        <v>2</v>
      </c>
      <c r="AE754" s="7">
        <v>1</v>
      </c>
      <c r="AF754" s="8">
        <v>0.33333333333333331</v>
      </c>
      <c r="AG754" s="9">
        <v>-19.399999999999999</v>
      </c>
      <c r="AH754" s="10">
        <f t="shared" si="26"/>
        <v>-19</v>
      </c>
    </row>
    <row r="755" spans="11:34" ht="14.5" x14ac:dyDescent="0.35">
      <c r="K755" s="4"/>
      <c r="AC755" s="7">
        <v>2022</v>
      </c>
      <c r="AD755" s="7">
        <v>2</v>
      </c>
      <c r="AE755" s="7">
        <v>1</v>
      </c>
      <c r="AF755" s="8">
        <v>0.375</v>
      </c>
      <c r="AG755" s="9">
        <v>-19.2</v>
      </c>
      <c r="AH755" s="10">
        <f t="shared" si="26"/>
        <v>-19</v>
      </c>
    </row>
    <row r="756" spans="11:34" ht="14.5" x14ac:dyDescent="0.35">
      <c r="K756" s="4"/>
      <c r="AC756" s="7">
        <v>2022</v>
      </c>
      <c r="AD756" s="7">
        <v>2</v>
      </c>
      <c r="AE756" s="7">
        <v>1</v>
      </c>
      <c r="AF756" s="8">
        <v>0.41666666666666669</v>
      </c>
      <c r="AG756" s="9">
        <v>-18.899999999999999</v>
      </c>
      <c r="AH756" s="10">
        <f t="shared" si="26"/>
        <v>-19</v>
      </c>
    </row>
    <row r="757" spans="11:34" ht="14.5" x14ac:dyDescent="0.35">
      <c r="K757" s="4"/>
      <c r="AC757" s="7">
        <v>2022</v>
      </c>
      <c r="AD757" s="7">
        <v>2</v>
      </c>
      <c r="AE757" s="7">
        <v>1</v>
      </c>
      <c r="AF757" s="8">
        <v>0.45833333333333331</v>
      </c>
      <c r="AG757" s="9">
        <v>-18.5</v>
      </c>
      <c r="AH757" s="10">
        <f t="shared" si="26"/>
        <v>-19</v>
      </c>
    </row>
    <row r="758" spans="11:34" ht="14.5" x14ac:dyDescent="0.35">
      <c r="K758" s="4"/>
      <c r="AC758" s="7">
        <v>2022</v>
      </c>
      <c r="AD758" s="7">
        <v>2</v>
      </c>
      <c r="AE758" s="7">
        <v>1</v>
      </c>
      <c r="AF758" s="8">
        <v>0.5</v>
      </c>
      <c r="AG758" s="9">
        <v>-18.2</v>
      </c>
      <c r="AH758" s="10">
        <f t="shared" si="26"/>
        <v>-18</v>
      </c>
    </row>
    <row r="759" spans="11:34" ht="14.5" x14ac:dyDescent="0.35">
      <c r="K759" s="4"/>
      <c r="AC759" s="7">
        <v>2022</v>
      </c>
      <c r="AD759" s="7">
        <v>2</v>
      </c>
      <c r="AE759" s="7">
        <v>1</v>
      </c>
      <c r="AF759" s="8">
        <v>0.54166666666666663</v>
      </c>
      <c r="AG759" s="9">
        <v>-18.100000000000001</v>
      </c>
      <c r="AH759" s="10">
        <f t="shared" si="26"/>
        <v>-18</v>
      </c>
    </row>
    <row r="760" spans="11:34" ht="14.5" x14ac:dyDescent="0.35">
      <c r="K760" s="4"/>
      <c r="AC760" s="7">
        <v>2022</v>
      </c>
      <c r="AD760" s="7">
        <v>2</v>
      </c>
      <c r="AE760" s="7">
        <v>1</v>
      </c>
      <c r="AF760" s="8">
        <v>0.58333333333333337</v>
      </c>
      <c r="AG760" s="9">
        <v>-18.2</v>
      </c>
      <c r="AH760" s="10">
        <f t="shared" si="26"/>
        <v>-18</v>
      </c>
    </row>
    <row r="761" spans="11:34" ht="14.5" x14ac:dyDescent="0.35">
      <c r="K761" s="4"/>
      <c r="AC761" s="7">
        <v>2022</v>
      </c>
      <c r="AD761" s="7">
        <v>2</v>
      </c>
      <c r="AE761" s="7">
        <v>1</v>
      </c>
      <c r="AF761" s="8">
        <v>0.625</v>
      </c>
      <c r="AG761" s="9">
        <v>-18.100000000000001</v>
      </c>
      <c r="AH761" s="10">
        <f t="shared" si="26"/>
        <v>-18</v>
      </c>
    </row>
    <row r="762" spans="11:34" ht="14.5" x14ac:dyDescent="0.35">
      <c r="K762" s="4"/>
      <c r="AC762" s="7">
        <v>2022</v>
      </c>
      <c r="AD762" s="7">
        <v>2</v>
      </c>
      <c r="AE762" s="7">
        <v>1</v>
      </c>
      <c r="AF762" s="8">
        <v>0.66666666666666663</v>
      </c>
      <c r="AG762" s="9">
        <v>-18.3</v>
      </c>
      <c r="AH762" s="10">
        <f t="shared" si="26"/>
        <v>-18</v>
      </c>
    </row>
    <row r="763" spans="11:34" ht="14.5" x14ac:dyDescent="0.35">
      <c r="K763" s="4"/>
      <c r="AC763" s="7">
        <v>2022</v>
      </c>
      <c r="AD763" s="7">
        <v>2</v>
      </c>
      <c r="AE763" s="7">
        <v>1</v>
      </c>
      <c r="AF763" s="8">
        <v>0.70833333333333337</v>
      </c>
      <c r="AG763" s="9">
        <v>-19.2</v>
      </c>
      <c r="AH763" s="10">
        <f t="shared" si="26"/>
        <v>-19</v>
      </c>
    </row>
    <row r="764" spans="11:34" ht="14.5" x14ac:dyDescent="0.35">
      <c r="K764" s="4"/>
      <c r="AC764" s="7">
        <v>2022</v>
      </c>
      <c r="AD764" s="7">
        <v>2</v>
      </c>
      <c r="AE764" s="7">
        <v>1</v>
      </c>
      <c r="AF764" s="8">
        <v>0.75</v>
      </c>
      <c r="AG764" s="9">
        <v>-20.2</v>
      </c>
      <c r="AH764" s="10">
        <f t="shared" si="26"/>
        <v>-20</v>
      </c>
    </row>
    <row r="765" spans="11:34" ht="14.5" x14ac:dyDescent="0.35">
      <c r="K765" s="4"/>
      <c r="AC765" s="7">
        <v>2022</v>
      </c>
      <c r="AD765" s="7">
        <v>2</v>
      </c>
      <c r="AE765" s="7">
        <v>1</v>
      </c>
      <c r="AF765" s="8">
        <v>0.79166666666666663</v>
      </c>
      <c r="AG765" s="9">
        <v>-21.6</v>
      </c>
      <c r="AH765" s="10">
        <f t="shared" si="26"/>
        <v>-22</v>
      </c>
    </row>
    <row r="766" spans="11:34" ht="14.5" x14ac:dyDescent="0.35">
      <c r="K766" s="4"/>
      <c r="AC766" s="7">
        <v>2022</v>
      </c>
      <c r="AD766" s="7">
        <v>2</v>
      </c>
      <c r="AE766" s="7">
        <v>1</v>
      </c>
      <c r="AF766" s="8">
        <v>0.83333333333333337</v>
      </c>
      <c r="AG766" s="9">
        <v>-21.8</v>
      </c>
      <c r="AH766" s="10">
        <f t="shared" si="26"/>
        <v>-22</v>
      </c>
    </row>
    <row r="767" spans="11:34" ht="14.5" x14ac:dyDescent="0.35">
      <c r="K767" s="4"/>
      <c r="AC767" s="7">
        <v>2022</v>
      </c>
      <c r="AD767" s="7">
        <v>2</v>
      </c>
      <c r="AE767" s="7">
        <v>1</v>
      </c>
      <c r="AF767" s="8">
        <v>0.875</v>
      </c>
      <c r="AG767" s="9">
        <v>-23.5</v>
      </c>
      <c r="AH767" s="10">
        <f t="shared" si="26"/>
        <v>-24</v>
      </c>
    </row>
    <row r="768" spans="11:34" ht="14.5" x14ac:dyDescent="0.35">
      <c r="K768" s="4"/>
      <c r="AC768" s="7">
        <v>2022</v>
      </c>
      <c r="AD768" s="7">
        <v>2</v>
      </c>
      <c r="AE768" s="7">
        <v>1</v>
      </c>
      <c r="AF768" s="8">
        <v>0.91666666666666663</v>
      </c>
      <c r="AG768" s="9">
        <v>-22.4</v>
      </c>
      <c r="AH768" s="10">
        <f t="shared" si="26"/>
        <v>-22</v>
      </c>
    </row>
    <row r="769" spans="11:34" ht="14.5" x14ac:dyDescent="0.35">
      <c r="K769" s="4"/>
      <c r="AC769" s="7">
        <v>2022</v>
      </c>
      <c r="AD769" s="7">
        <v>2</v>
      </c>
      <c r="AE769" s="7">
        <v>1</v>
      </c>
      <c r="AF769" s="8">
        <v>0.95833333333333337</v>
      </c>
      <c r="AG769" s="9">
        <v>-22.3</v>
      </c>
      <c r="AH769" s="10">
        <f t="shared" si="26"/>
        <v>-22</v>
      </c>
    </row>
    <row r="770" spans="11:34" ht="14.5" x14ac:dyDescent="0.35">
      <c r="K770" s="4"/>
      <c r="AC770" s="7">
        <v>2022</v>
      </c>
      <c r="AD770" s="7">
        <v>2</v>
      </c>
      <c r="AE770" s="7">
        <v>2</v>
      </c>
      <c r="AF770" s="8">
        <v>0</v>
      </c>
      <c r="AG770" s="9">
        <v>-23.5</v>
      </c>
      <c r="AH770" s="10">
        <f t="shared" si="26"/>
        <v>-24</v>
      </c>
    </row>
    <row r="771" spans="11:34" ht="14.5" x14ac:dyDescent="0.35">
      <c r="K771" s="4"/>
      <c r="AC771" s="7">
        <v>2022</v>
      </c>
      <c r="AD771" s="7">
        <v>2</v>
      </c>
      <c r="AE771" s="7">
        <v>2</v>
      </c>
      <c r="AF771" s="8">
        <v>4.1666666666666664E-2</v>
      </c>
      <c r="AG771" s="9">
        <v>-23.5</v>
      </c>
      <c r="AH771" s="10">
        <f t="shared" si="26"/>
        <v>-24</v>
      </c>
    </row>
    <row r="772" spans="11:34" ht="14.5" x14ac:dyDescent="0.35">
      <c r="K772" s="4"/>
      <c r="AC772" s="7">
        <v>2022</v>
      </c>
      <c r="AD772" s="7">
        <v>2</v>
      </c>
      <c r="AE772" s="7">
        <v>2</v>
      </c>
      <c r="AF772" s="8">
        <v>8.3333333333333329E-2</v>
      </c>
      <c r="AG772" s="9">
        <v>-23.9</v>
      </c>
      <c r="AH772" s="10">
        <f t="shared" si="26"/>
        <v>-24</v>
      </c>
    </row>
    <row r="773" spans="11:34" ht="14.5" x14ac:dyDescent="0.35">
      <c r="K773" s="4"/>
      <c r="AC773" s="7">
        <v>2022</v>
      </c>
      <c r="AD773" s="7">
        <v>2</v>
      </c>
      <c r="AE773" s="7">
        <v>2</v>
      </c>
      <c r="AF773" s="8">
        <v>0.125</v>
      </c>
      <c r="AG773" s="9">
        <v>-25.9</v>
      </c>
      <c r="AH773" s="10">
        <f t="shared" si="26"/>
        <v>-26</v>
      </c>
    </row>
    <row r="774" spans="11:34" ht="14.5" x14ac:dyDescent="0.35">
      <c r="K774" s="4"/>
      <c r="AC774" s="7">
        <v>2022</v>
      </c>
      <c r="AD774" s="7">
        <v>2</v>
      </c>
      <c r="AE774" s="7">
        <v>2</v>
      </c>
      <c r="AF774" s="8">
        <v>0.16666666666666666</v>
      </c>
      <c r="AG774" s="9">
        <v>-25.7</v>
      </c>
      <c r="AH774" s="10">
        <f t="shared" si="26"/>
        <v>-26</v>
      </c>
    </row>
    <row r="775" spans="11:34" ht="14.5" x14ac:dyDescent="0.35">
      <c r="K775" s="4"/>
      <c r="AC775" s="7">
        <v>2022</v>
      </c>
      <c r="AD775" s="7">
        <v>2</v>
      </c>
      <c r="AE775" s="7">
        <v>2</v>
      </c>
      <c r="AF775" s="8">
        <v>0.20833333333333334</v>
      </c>
      <c r="AG775" s="9">
        <v>-26.1</v>
      </c>
      <c r="AH775" s="10">
        <f t="shared" si="26"/>
        <v>-26</v>
      </c>
    </row>
    <row r="776" spans="11:34" ht="14.5" x14ac:dyDescent="0.35">
      <c r="K776" s="4"/>
      <c r="AC776" s="7">
        <v>2022</v>
      </c>
      <c r="AD776" s="7">
        <v>2</v>
      </c>
      <c r="AE776" s="7">
        <v>2</v>
      </c>
      <c r="AF776" s="8">
        <v>0.25</v>
      </c>
      <c r="AG776" s="9">
        <v>-25.8</v>
      </c>
      <c r="AH776" s="10">
        <f t="shared" si="26"/>
        <v>-26</v>
      </c>
    </row>
    <row r="777" spans="11:34" ht="14.5" x14ac:dyDescent="0.35">
      <c r="K777" s="4"/>
      <c r="AC777" s="7">
        <v>2022</v>
      </c>
      <c r="AD777" s="7">
        <v>2</v>
      </c>
      <c r="AE777" s="7">
        <v>2</v>
      </c>
      <c r="AF777" s="8">
        <v>0.29166666666666669</v>
      </c>
      <c r="AG777" s="9">
        <v>-26.4</v>
      </c>
      <c r="AH777" s="10">
        <f t="shared" si="26"/>
        <v>-26</v>
      </c>
    </row>
    <row r="778" spans="11:34" ht="14.5" x14ac:dyDescent="0.35">
      <c r="K778" s="4"/>
      <c r="AC778" s="7">
        <v>2022</v>
      </c>
      <c r="AD778" s="7">
        <v>2</v>
      </c>
      <c r="AE778" s="7">
        <v>2</v>
      </c>
      <c r="AF778" s="8">
        <v>0.33333333333333331</v>
      </c>
      <c r="AG778" s="9">
        <v>-25.9</v>
      </c>
      <c r="AH778" s="10">
        <f t="shared" si="26"/>
        <v>-26</v>
      </c>
    </row>
    <row r="779" spans="11:34" ht="14.5" x14ac:dyDescent="0.35">
      <c r="K779" s="4"/>
      <c r="AC779" s="7">
        <v>2022</v>
      </c>
      <c r="AD779" s="7">
        <v>2</v>
      </c>
      <c r="AE779" s="7">
        <v>2</v>
      </c>
      <c r="AF779" s="8">
        <v>0.375</v>
      </c>
      <c r="AG779" s="9">
        <v>-24.4</v>
      </c>
      <c r="AH779" s="10">
        <f t="shared" ref="AH779:AH842" si="27">ROUND(AG779,0)</f>
        <v>-24</v>
      </c>
    </row>
    <row r="780" spans="11:34" ht="14.5" x14ac:dyDescent="0.35">
      <c r="K780" s="4"/>
      <c r="AC780" s="7">
        <v>2022</v>
      </c>
      <c r="AD780" s="7">
        <v>2</v>
      </c>
      <c r="AE780" s="7">
        <v>2</v>
      </c>
      <c r="AF780" s="8">
        <v>0.41666666666666669</v>
      </c>
      <c r="AG780" s="9">
        <v>-23</v>
      </c>
      <c r="AH780" s="10">
        <f t="shared" si="27"/>
        <v>-23</v>
      </c>
    </row>
    <row r="781" spans="11:34" ht="14.5" x14ac:dyDescent="0.35">
      <c r="K781" s="4"/>
      <c r="AC781" s="7">
        <v>2022</v>
      </c>
      <c r="AD781" s="7">
        <v>2</v>
      </c>
      <c r="AE781" s="7">
        <v>2</v>
      </c>
      <c r="AF781" s="8">
        <v>0.45833333333333331</v>
      </c>
      <c r="AG781" s="9">
        <v>-22.7</v>
      </c>
      <c r="AH781" s="10">
        <f t="shared" si="27"/>
        <v>-23</v>
      </c>
    </row>
    <row r="782" spans="11:34" ht="14.5" x14ac:dyDescent="0.35">
      <c r="K782" s="4"/>
      <c r="AC782" s="7">
        <v>2022</v>
      </c>
      <c r="AD782" s="7">
        <v>2</v>
      </c>
      <c r="AE782" s="7">
        <v>2</v>
      </c>
      <c r="AF782" s="8">
        <v>0.5</v>
      </c>
      <c r="AG782" s="9">
        <v>-21.3</v>
      </c>
      <c r="AH782" s="10">
        <f t="shared" si="27"/>
        <v>-21</v>
      </c>
    </row>
    <row r="783" spans="11:34" ht="14.5" x14ac:dyDescent="0.35">
      <c r="K783" s="4"/>
      <c r="AC783" s="7">
        <v>2022</v>
      </c>
      <c r="AD783" s="7">
        <v>2</v>
      </c>
      <c r="AE783" s="7">
        <v>2</v>
      </c>
      <c r="AF783" s="8">
        <v>0.54166666666666663</v>
      </c>
      <c r="AG783" s="9">
        <v>-20.3</v>
      </c>
      <c r="AH783" s="10">
        <f t="shared" si="27"/>
        <v>-20</v>
      </c>
    </row>
    <row r="784" spans="11:34" ht="14.5" x14ac:dyDescent="0.35">
      <c r="K784" s="4"/>
      <c r="AC784" s="7">
        <v>2022</v>
      </c>
      <c r="AD784" s="7">
        <v>2</v>
      </c>
      <c r="AE784" s="7">
        <v>2</v>
      </c>
      <c r="AF784" s="8">
        <v>0.58333333333333337</v>
      </c>
      <c r="AG784" s="9">
        <v>-19.2</v>
      </c>
      <c r="AH784" s="10">
        <f t="shared" si="27"/>
        <v>-19</v>
      </c>
    </row>
    <row r="785" spans="11:34" ht="14.5" x14ac:dyDescent="0.35">
      <c r="K785" s="4"/>
      <c r="AC785" s="7">
        <v>2022</v>
      </c>
      <c r="AD785" s="7">
        <v>2</v>
      </c>
      <c r="AE785" s="7">
        <v>2</v>
      </c>
      <c r="AF785" s="8">
        <v>0.625</v>
      </c>
      <c r="AG785" s="9">
        <v>-18.7</v>
      </c>
      <c r="AH785" s="10">
        <f t="shared" si="27"/>
        <v>-19</v>
      </c>
    </row>
    <row r="786" spans="11:34" ht="14.5" x14ac:dyDescent="0.35">
      <c r="K786" s="4"/>
      <c r="AC786" s="7">
        <v>2022</v>
      </c>
      <c r="AD786" s="7">
        <v>2</v>
      </c>
      <c r="AE786" s="7">
        <v>2</v>
      </c>
      <c r="AF786" s="8">
        <v>0.66666666666666663</v>
      </c>
      <c r="AG786" s="9">
        <v>-18.7</v>
      </c>
      <c r="AH786" s="10">
        <f t="shared" si="27"/>
        <v>-19</v>
      </c>
    </row>
    <row r="787" spans="11:34" ht="14.5" x14ac:dyDescent="0.35">
      <c r="K787" s="4"/>
      <c r="AC787" s="7">
        <v>2022</v>
      </c>
      <c r="AD787" s="7">
        <v>2</v>
      </c>
      <c r="AE787" s="7">
        <v>2</v>
      </c>
      <c r="AF787" s="8">
        <v>0.70833333333333337</v>
      </c>
      <c r="AG787" s="9">
        <v>-19.899999999999999</v>
      </c>
      <c r="AH787" s="10">
        <f t="shared" si="27"/>
        <v>-20</v>
      </c>
    </row>
    <row r="788" spans="11:34" ht="14.5" x14ac:dyDescent="0.35">
      <c r="K788" s="4"/>
      <c r="AC788" s="7">
        <v>2022</v>
      </c>
      <c r="AD788" s="7">
        <v>2</v>
      </c>
      <c r="AE788" s="7">
        <v>2</v>
      </c>
      <c r="AF788" s="8">
        <v>0.75</v>
      </c>
      <c r="AG788" s="9">
        <v>-20.3</v>
      </c>
      <c r="AH788" s="10">
        <f t="shared" si="27"/>
        <v>-20</v>
      </c>
    </row>
    <row r="789" spans="11:34" ht="14.5" x14ac:dyDescent="0.35">
      <c r="K789" s="4"/>
      <c r="AC789" s="7">
        <v>2022</v>
      </c>
      <c r="AD789" s="7">
        <v>2</v>
      </c>
      <c r="AE789" s="7">
        <v>2</v>
      </c>
      <c r="AF789" s="8">
        <v>0.79166666666666663</v>
      </c>
      <c r="AG789" s="9">
        <v>-20.399999999999999</v>
      </c>
      <c r="AH789" s="10">
        <f t="shared" si="27"/>
        <v>-20</v>
      </c>
    </row>
    <row r="790" spans="11:34" ht="14.5" x14ac:dyDescent="0.35">
      <c r="K790" s="4"/>
      <c r="AC790" s="7">
        <v>2022</v>
      </c>
      <c r="AD790" s="7">
        <v>2</v>
      </c>
      <c r="AE790" s="7">
        <v>2</v>
      </c>
      <c r="AF790" s="8">
        <v>0.83333333333333337</v>
      </c>
      <c r="AG790" s="9">
        <v>-20.6</v>
      </c>
      <c r="AH790" s="10">
        <f t="shared" si="27"/>
        <v>-21</v>
      </c>
    </row>
    <row r="791" spans="11:34" ht="14.5" x14ac:dyDescent="0.35">
      <c r="K791" s="4"/>
      <c r="AC791" s="7">
        <v>2022</v>
      </c>
      <c r="AD791" s="7">
        <v>2</v>
      </c>
      <c r="AE791" s="7">
        <v>2</v>
      </c>
      <c r="AF791" s="8">
        <v>0.875</v>
      </c>
      <c r="AG791" s="9">
        <v>-20.5</v>
      </c>
      <c r="AH791" s="10">
        <f t="shared" si="27"/>
        <v>-21</v>
      </c>
    </row>
    <row r="792" spans="11:34" ht="14.5" x14ac:dyDescent="0.35">
      <c r="K792" s="4"/>
      <c r="AC792" s="7">
        <v>2022</v>
      </c>
      <c r="AD792" s="7">
        <v>2</v>
      </c>
      <c r="AE792" s="7">
        <v>2</v>
      </c>
      <c r="AF792" s="8">
        <v>0.91666666666666663</v>
      </c>
      <c r="AG792" s="9">
        <v>-20.399999999999999</v>
      </c>
      <c r="AH792" s="10">
        <f t="shared" si="27"/>
        <v>-20</v>
      </c>
    </row>
    <row r="793" spans="11:34" ht="14.5" x14ac:dyDescent="0.35">
      <c r="K793" s="4"/>
      <c r="AC793" s="7">
        <v>2022</v>
      </c>
      <c r="AD793" s="7">
        <v>2</v>
      </c>
      <c r="AE793" s="7">
        <v>2</v>
      </c>
      <c r="AF793" s="8">
        <v>0.95833333333333337</v>
      </c>
      <c r="AG793" s="9">
        <v>-19.5</v>
      </c>
      <c r="AH793" s="10">
        <f t="shared" si="27"/>
        <v>-20</v>
      </c>
    </row>
    <row r="794" spans="11:34" ht="14.5" x14ac:dyDescent="0.35">
      <c r="K794" s="4"/>
      <c r="AC794" s="7">
        <v>2022</v>
      </c>
      <c r="AD794" s="7">
        <v>2</v>
      </c>
      <c r="AE794" s="7">
        <v>3</v>
      </c>
      <c r="AF794" s="8">
        <v>0</v>
      </c>
      <c r="AG794" s="9">
        <v>-18.5</v>
      </c>
      <c r="AH794" s="10">
        <f t="shared" si="27"/>
        <v>-19</v>
      </c>
    </row>
    <row r="795" spans="11:34" ht="14.5" x14ac:dyDescent="0.35">
      <c r="K795" s="4"/>
      <c r="AC795" s="7">
        <v>2022</v>
      </c>
      <c r="AD795" s="7">
        <v>2</v>
      </c>
      <c r="AE795" s="7">
        <v>3</v>
      </c>
      <c r="AF795" s="8">
        <v>4.1666666666666664E-2</v>
      </c>
      <c r="AG795" s="9">
        <v>-18.399999999999999</v>
      </c>
      <c r="AH795" s="10">
        <f t="shared" si="27"/>
        <v>-18</v>
      </c>
    </row>
    <row r="796" spans="11:34" ht="14.5" x14ac:dyDescent="0.35">
      <c r="K796" s="4"/>
      <c r="AC796" s="7">
        <v>2022</v>
      </c>
      <c r="AD796" s="7">
        <v>2</v>
      </c>
      <c r="AE796" s="7">
        <v>3</v>
      </c>
      <c r="AF796" s="8">
        <v>8.3333333333333329E-2</v>
      </c>
      <c r="AG796" s="9">
        <v>-13.6</v>
      </c>
      <c r="AH796" s="10">
        <f t="shared" si="27"/>
        <v>-14</v>
      </c>
    </row>
    <row r="797" spans="11:34" ht="14.5" x14ac:dyDescent="0.35">
      <c r="K797" s="4"/>
      <c r="AC797" s="7">
        <v>2022</v>
      </c>
      <c r="AD797" s="7">
        <v>2</v>
      </c>
      <c r="AE797" s="7">
        <v>3</v>
      </c>
      <c r="AF797" s="8">
        <v>0.125</v>
      </c>
      <c r="AG797" s="9">
        <v>-9.6</v>
      </c>
      <c r="AH797" s="10">
        <f t="shared" si="27"/>
        <v>-10</v>
      </c>
    </row>
    <row r="798" spans="11:34" ht="14.5" x14ac:dyDescent="0.35">
      <c r="K798" s="4"/>
      <c r="AC798" s="7">
        <v>2022</v>
      </c>
      <c r="AD798" s="7">
        <v>2</v>
      </c>
      <c r="AE798" s="7">
        <v>3</v>
      </c>
      <c r="AF798" s="8">
        <v>0.16666666666666666</v>
      </c>
      <c r="AG798" s="9">
        <v>-7.5</v>
      </c>
      <c r="AH798" s="10">
        <f t="shared" si="27"/>
        <v>-8</v>
      </c>
    </row>
    <row r="799" spans="11:34" ht="14.5" x14ac:dyDescent="0.35">
      <c r="K799" s="4"/>
      <c r="AC799" s="7">
        <v>2022</v>
      </c>
      <c r="AD799" s="7">
        <v>2</v>
      </c>
      <c r="AE799" s="7">
        <v>3</v>
      </c>
      <c r="AF799" s="8">
        <v>0.20833333333333334</v>
      </c>
      <c r="AG799" s="9">
        <v>-9.9</v>
      </c>
      <c r="AH799" s="10">
        <f t="shared" si="27"/>
        <v>-10</v>
      </c>
    </row>
    <row r="800" spans="11:34" ht="14.5" x14ac:dyDescent="0.35">
      <c r="K800" s="4"/>
      <c r="AC800" s="7">
        <v>2022</v>
      </c>
      <c r="AD800" s="7">
        <v>2</v>
      </c>
      <c r="AE800" s="7">
        <v>3</v>
      </c>
      <c r="AF800" s="8">
        <v>0.25</v>
      </c>
      <c r="AG800" s="9">
        <v>-11.6</v>
      </c>
      <c r="AH800" s="10">
        <f t="shared" si="27"/>
        <v>-12</v>
      </c>
    </row>
    <row r="801" spans="11:34" ht="14.5" x14ac:dyDescent="0.35">
      <c r="K801" s="4"/>
      <c r="AC801" s="7">
        <v>2022</v>
      </c>
      <c r="AD801" s="7">
        <v>2</v>
      </c>
      <c r="AE801" s="7">
        <v>3</v>
      </c>
      <c r="AF801" s="8">
        <v>0.29166666666666669</v>
      </c>
      <c r="AG801" s="9">
        <v>-13.3</v>
      </c>
      <c r="AH801" s="10">
        <f t="shared" si="27"/>
        <v>-13</v>
      </c>
    </row>
    <row r="802" spans="11:34" ht="14.5" x14ac:dyDescent="0.35">
      <c r="K802" s="4"/>
      <c r="AC802" s="7">
        <v>2022</v>
      </c>
      <c r="AD802" s="7">
        <v>2</v>
      </c>
      <c r="AE802" s="7">
        <v>3</v>
      </c>
      <c r="AF802" s="8">
        <v>0.33333333333333331</v>
      </c>
      <c r="AG802" s="9">
        <v>-14.4</v>
      </c>
      <c r="AH802" s="10">
        <f t="shared" si="27"/>
        <v>-14</v>
      </c>
    </row>
    <row r="803" spans="11:34" ht="14.5" x14ac:dyDescent="0.35">
      <c r="K803" s="4"/>
      <c r="AC803" s="7">
        <v>2022</v>
      </c>
      <c r="AD803" s="7">
        <v>2</v>
      </c>
      <c r="AE803" s="7">
        <v>3</v>
      </c>
      <c r="AF803" s="8">
        <v>0.375</v>
      </c>
      <c r="AG803" s="9">
        <v>-14.2</v>
      </c>
      <c r="AH803" s="10">
        <f t="shared" si="27"/>
        <v>-14</v>
      </c>
    </row>
    <row r="804" spans="11:34" ht="14.5" x14ac:dyDescent="0.35">
      <c r="K804" s="4"/>
      <c r="AC804" s="7">
        <v>2022</v>
      </c>
      <c r="AD804" s="7">
        <v>2</v>
      </c>
      <c r="AE804" s="7">
        <v>3</v>
      </c>
      <c r="AF804" s="8">
        <v>0.41666666666666669</v>
      </c>
      <c r="AG804" s="9">
        <v>-13.7</v>
      </c>
      <c r="AH804" s="10">
        <f t="shared" si="27"/>
        <v>-14</v>
      </c>
    </row>
    <row r="805" spans="11:34" ht="14.5" x14ac:dyDescent="0.35">
      <c r="K805" s="4"/>
      <c r="AC805" s="7">
        <v>2022</v>
      </c>
      <c r="AD805" s="7">
        <v>2</v>
      </c>
      <c r="AE805" s="7">
        <v>3</v>
      </c>
      <c r="AF805" s="8">
        <v>0.45833333333333331</v>
      </c>
      <c r="AG805" s="9">
        <v>-13.2</v>
      </c>
      <c r="AH805" s="10">
        <f t="shared" si="27"/>
        <v>-13</v>
      </c>
    </row>
    <row r="806" spans="11:34" ht="14.5" x14ac:dyDescent="0.35">
      <c r="K806" s="4"/>
      <c r="AC806" s="7">
        <v>2022</v>
      </c>
      <c r="AD806" s="7">
        <v>2</v>
      </c>
      <c r="AE806" s="7">
        <v>3</v>
      </c>
      <c r="AF806" s="8">
        <v>0.5</v>
      </c>
      <c r="AG806" s="9">
        <v>-13.2</v>
      </c>
      <c r="AH806" s="10">
        <f t="shared" si="27"/>
        <v>-13</v>
      </c>
    </row>
    <row r="807" spans="11:34" ht="14.5" x14ac:dyDescent="0.35">
      <c r="K807" s="4"/>
      <c r="AC807" s="7">
        <v>2022</v>
      </c>
      <c r="AD807" s="7">
        <v>2</v>
      </c>
      <c r="AE807" s="7">
        <v>3</v>
      </c>
      <c r="AF807" s="8">
        <v>0.54166666666666663</v>
      </c>
      <c r="AG807" s="9">
        <v>-12.8</v>
      </c>
      <c r="AH807" s="10">
        <f t="shared" si="27"/>
        <v>-13</v>
      </c>
    </row>
    <row r="808" spans="11:34" ht="14.5" x14ac:dyDescent="0.35">
      <c r="K808" s="4"/>
      <c r="AC808" s="7">
        <v>2022</v>
      </c>
      <c r="AD808" s="7">
        <v>2</v>
      </c>
      <c r="AE808" s="7">
        <v>3</v>
      </c>
      <c r="AF808" s="8">
        <v>0.58333333333333337</v>
      </c>
      <c r="AG808" s="9">
        <v>-12.7</v>
      </c>
      <c r="AH808" s="10">
        <f t="shared" si="27"/>
        <v>-13</v>
      </c>
    </row>
    <row r="809" spans="11:34" ht="14.5" x14ac:dyDescent="0.35">
      <c r="K809" s="4"/>
      <c r="AC809" s="7">
        <v>2022</v>
      </c>
      <c r="AD809" s="7">
        <v>2</v>
      </c>
      <c r="AE809" s="7">
        <v>3</v>
      </c>
      <c r="AF809" s="8">
        <v>0.625</v>
      </c>
      <c r="AG809" s="9">
        <v>-13.1</v>
      </c>
      <c r="AH809" s="10">
        <f t="shared" si="27"/>
        <v>-13</v>
      </c>
    </row>
    <row r="810" spans="11:34" ht="14.5" x14ac:dyDescent="0.35">
      <c r="K810" s="4"/>
      <c r="AC810" s="7">
        <v>2022</v>
      </c>
      <c r="AD810" s="7">
        <v>2</v>
      </c>
      <c r="AE810" s="7">
        <v>3</v>
      </c>
      <c r="AF810" s="8">
        <v>0.66666666666666663</v>
      </c>
      <c r="AG810" s="9">
        <v>-14</v>
      </c>
      <c r="AH810" s="10">
        <f t="shared" si="27"/>
        <v>-14</v>
      </c>
    </row>
    <row r="811" spans="11:34" ht="14.5" x14ac:dyDescent="0.35">
      <c r="K811" s="4"/>
      <c r="AC811" s="7">
        <v>2022</v>
      </c>
      <c r="AD811" s="7">
        <v>2</v>
      </c>
      <c r="AE811" s="7">
        <v>3</v>
      </c>
      <c r="AF811" s="8">
        <v>0.70833333333333337</v>
      </c>
      <c r="AG811" s="9">
        <v>-14.9</v>
      </c>
      <c r="AH811" s="10">
        <f t="shared" si="27"/>
        <v>-15</v>
      </c>
    </row>
    <row r="812" spans="11:34" ht="14.5" x14ac:dyDescent="0.35">
      <c r="K812" s="4"/>
      <c r="AC812" s="7">
        <v>2022</v>
      </c>
      <c r="AD812" s="7">
        <v>2</v>
      </c>
      <c r="AE812" s="7">
        <v>3</v>
      </c>
      <c r="AF812" s="8">
        <v>0.75</v>
      </c>
      <c r="AG812" s="9">
        <v>-16.7</v>
      </c>
      <c r="AH812" s="10">
        <f t="shared" si="27"/>
        <v>-17</v>
      </c>
    </row>
    <row r="813" spans="11:34" ht="14.5" x14ac:dyDescent="0.35">
      <c r="K813" s="4"/>
      <c r="AC813" s="7">
        <v>2022</v>
      </c>
      <c r="AD813" s="7">
        <v>2</v>
      </c>
      <c r="AE813" s="7">
        <v>3</v>
      </c>
      <c r="AF813" s="8">
        <v>0.79166666666666663</v>
      </c>
      <c r="AG813" s="9">
        <v>-16.3</v>
      </c>
      <c r="AH813" s="10">
        <f t="shared" si="27"/>
        <v>-16</v>
      </c>
    </row>
    <row r="814" spans="11:34" ht="14.5" x14ac:dyDescent="0.35">
      <c r="K814" s="4"/>
      <c r="AC814" s="7">
        <v>2022</v>
      </c>
      <c r="AD814" s="7">
        <v>2</v>
      </c>
      <c r="AE814" s="7">
        <v>3</v>
      </c>
      <c r="AF814" s="8">
        <v>0.83333333333333337</v>
      </c>
      <c r="AG814" s="9">
        <v>-16.8</v>
      </c>
      <c r="AH814" s="10">
        <f t="shared" si="27"/>
        <v>-17</v>
      </c>
    </row>
    <row r="815" spans="11:34" ht="14.5" x14ac:dyDescent="0.35">
      <c r="K815" s="4"/>
      <c r="AC815" s="7">
        <v>2022</v>
      </c>
      <c r="AD815" s="7">
        <v>2</v>
      </c>
      <c r="AE815" s="7">
        <v>3</v>
      </c>
      <c r="AF815" s="8">
        <v>0.875</v>
      </c>
      <c r="AG815" s="9">
        <v>-16.600000000000001</v>
      </c>
      <c r="AH815" s="10">
        <f t="shared" si="27"/>
        <v>-17</v>
      </c>
    </row>
    <row r="816" spans="11:34" ht="14.5" x14ac:dyDescent="0.35">
      <c r="K816" s="4"/>
      <c r="AC816" s="7">
        <v>2022</v>
      </c>
      <c r="AD816" s="7">
        <v>2</v>
      </c>
      <c r="AE816" s="7">
        <v>3</v>
      </c>
      <c r="AF816" s="8">
        <v>0.91666666666666663</v>
      </c>
      <c r="AG816" s="9">
        <v>-16.399999999999999</v>
      </c>
      <c r="AH816" s="10">
        <f t="shared" si="27"/>
        <v>-16</v>
      </c>
    </row>
    <row r="817" spans="11:34" ht="14.5" x14ac:dyDescent="0.35">
      <c r="K817" s="4"/>
      <c r="AC817" s="7">
        <v>2022</v>
      </c>
      <c r="AD817" s="7">
        <v>2</v>
      </c>
      <c r="AE817" s="7">
        <v>3</v>
      </c>
      <c r="AF817" s="8">
        <v>0.95833333333333337</v>
      </c>
      <c r="AG817" s="9">
        <v>-15.9</v>
      </c>
      <c r="AH817" s="10">
        <f t="shared" si="27"/>
        <v>-16</v>
      </c>
    </row>
    <row r="818" spans="11:34" ht="14.5" x14ac:dyDescent="0.35">
      <c r="K818" s="4"/>
      <c r="AC818" s="7">
        <v>2022</v>
      </c>
      <c r="AD818" s="7">
        <v>2</v>
      </c>
      <c r="AE818" s="7">
        <v>4</v>
      </c>
      <c r="AF818" s="8">
        <v>0</v>
      </c>
      <c r="AG818" s="9">
        <v>-15.6</v>
      </c>
      <c r="AH818" s="10">
        <f t="shared" si="27"/>
        <v>-16</v>
      </c>
    </row>
    <row r="819" spans="11:34" ht="14.5" x14ac:dyDescent="0.35">
      <c r="K819" s="4"/>
      <c r="AC819" s="7">
        <v>2022</v>
      </c>
      <c r="AD819" s="7">
        <v>2</v>
      </c>
      <c r="AE819" s="7">
        <v>4</v>
      </c>
      <c r="AF819" s="8">
        <v>4.1666666666666664E-2</v>
      </c>
      <c r="AG819" s="9">
        <v>-16.600000000000001</v>
      </c>
      <c r="AH819" s="10">
        <f t="shared" si="27"/>
        <v>-17</v>
      </c>
    </row>
    <row r="820" spans="11:34" ht="14.5" x14ac:dyDescent="0.35">
      <c r="K820" s="4"/>
      <c r="AC820" s="7">
        <v>2022</v>
      </c>
      <c r="AD820" s="7">
        <v>2</v>
      </c>
      <c r="AE820" s="7">
        <v>4</v>
      </c>
      <c r="AF820" s="8">
        <v>8.3333333333333329E-2</v>
      </c>
      <c r="AG820" s="9">
        <v>-16.7</v>
      </c>
      <c r="AH820" s="10">
        <f t="shared" si="27"/>
        <v>-17</v>
      </c>
    </row>
    <row r="821" spans="11:34" ht="14.5" x14ac:dyDescent="0.35">
      <c r="K821" s="4"/>
      <c r="AC821" s="7">
        <v>2022</v>
      </c>
      <c r="AD821" s="7">
        <v>2</v>
      </c>
      <c r="AE821" s="7">
        <v>4</v>
      </c>
      <c r="AF821" s="8">
        <v>0.125</v>
      </c>
      <c r="AG821" s="9">
        <v>-16.8</v>
      </c>
      <c r="AH821" s="10">
        <f t="shared" si="27"/>
        <v>-17</v>
      </c>
    </row>
    <row r="822" spans="11:34" ht="14.5" x14ac:dyDescent="0.35">
      <c r="K822" s="4"/>
      <c r="AC822" s="7">
        <v>2022</v>
      </c>
      <c r="AD822" s="7">
        <v>2</v>
      </c>
      <c r="AE822" s="7">
        <v>4</v>
      </c>
      <c r="AF822" s="8">
        <v>0.16666666666666666</v>
      </c>
      <c r="AG822" s="9">
        <v>-17</v>
      </c>
      <c r="AH822" s="10">
        <f t="shared" si="27"/>
        <v>-17</v>
      </c>
    </row>
    <row r="823" spans="11:34" ht="14.5" x14ac:dyDescent="0.35">
      <c r="K823" s="4"/>
      <c r="AC823" s="7">
        <v>2022</v>
      </c>
      <c r="AD823" s="7">
        <v>2</v>
      </c>
      <c r="AE823" s="7">
        <v>4</v>
      </c>
      <c r="AF823" s="8">
        <v>0.20833333333333334</v>
      </c>
      <c r="AG823" s="9">
        <v>-17</v>
      </c>
      <c r="AH823" s="10">
        <f t="shared" si="27"/>
        <v>-17</v>
      </c>
    </row>
    <row r="824" spans="11:34" ht="14.5" x14ac:dyDescent="0.35">
      <c r="K824" s="4"/>
      <c r="AC824" s="7">
        <v>2022</v>
      </c>
      <c r="AD824" s="7">
        <v>2</v>
      </c>
      <c r="AE824" s="7">
        <v>4</v>
      </c>
      <c r="AF824" s="8">
        <v>0.25</v>
      </c>
      <c r="AG824" s="9">
        <v>-15.6</v>
      </c>
      <c r="AH824" s="10">
        <f t="shared" si="27"/>
        <v>-16</v>
      </c>
    </row>
    <row r="825" spans="11:34" ht="14.5" x14ac:dyDescent="0.35">
      <c r="K825" s="4"/>
      <c r="AC825" s="7">
        <v>2022</v>
      </c>
      <c r="AD825" s="7">
        <v>2</v>
      </c>
      <c r="AE825" s="7">
        <v>4</v>
      </c>
      <c r="AF825" s="8">
        <v>0.29166666666666669</v>
      </c>
      <c r="AG825" s="9">
        <v>-12.8</v>
      </c>
      <c r="AH825" s="10">
        <f t="shared" si="27"/>
        <v>-13</v>
      </c>
    </row>
    <row r="826" spans="11:34" ht="14.5" x14ac:dyDescent="0.35">
      <c r="K826" s="4"/>
      <c r="AC826" s="7">
        <v>2022</v>
      </c>
      <c r="AD826" s="7">
        <v>2</v>
      </c>
      <c r="AE826" s="7">
        <v>4</v>
      </c>
      <c r="AF826" s="8">
        <v>0.33333333333333331</v>
      </c>
      <c r="AG826" s="9">
        <v>-10.9</v>
      </c>
      <c r="AH826" s="10">
        <f t="shared" si="27"/>
        <v>-11</v>
      </c>
    </row>
    <row r="827" spans="11:34" ht="14.5" x14ac:dyDescent="0.35">
      <c r="K827" s="4"/>
      <c r="AC827" s="7">
        <v>2022</v>
      </c>
      <c r="AD827" s="7">
        <v>2</v>
      </c>
      <c r="AE827" s="7">
        <v>4</v>
      </c>
      <c r="AF827" s="8">
        <v>0.375</v>
      </c>
      <c r="AG827" s="9">
        <v>-6.7</v>
      </c>
      <c r="AH827" s="10">
        <f t="shared" si="27"/>
        <v>-7</v>
      </c>
    </row>
    <row r="828" spans="11:34" ht="14.5" x14ac:dyDescent="0.35">
      <c r="K828" s="4"/>
      <c r="AC828" s="7">
        <v>2022</v>
      </c>
      <c r="AD828" s="7">
        <v>2</v>
      </c>
      <c r="AE828" s="7">
        <v>4</v>
      </c>
      <c r="AF828" s="8">
        <v>0.41666666666666669</v>
      </c>
      <c r="AG828" s="9">
        <v>4.7</v>
      </c>
      <c r="AH828" s="10">
        <f t="shared" si="27"/>
        <v>5</v>
      </c>
    </row>
    <row r="829" spans="11:34" ht="14.5" x14ac:dyDescent="0.35">
      <c r="K829" s="4"/>
      <c r="AC829" s="7">
        <v>2022</v>
      </c>
      <c r="AD829" s="7">
        <v>2</v>
      </c>
      <c r="AE829" s="7">
        <v>4</v>
      </c>
      <c r="AF829" s="8">
        <v>0.45833333333333331</v>
      </c>
      <c r="AG829" s="9">
        <v>5.6</v>
      </c>
      <c r="AH829" s="10">
        <f t="shared" si="27"/>
        <v>6</v>
      </c>
    </row>
    <row r="830" spans="11:34" ht="14.5" x14ac:dyDescent="0.35">
      <c r="K830" s="4"/>
      <c r="AC830" s="7">
        <v>2022</v>
      </c>
      <c r="AD830" s="7">
        <v>2</v>
      </c>
      <c r="AE830" s="7">
        <v>4</v>
      </c>
      <c r="AF830" s="8">
        <v>0.5</v>
      </c>
      <c r="AG830" s="9">
        <v>6.7</v>
      </c>
      <c r="AH830" s="10">
        <f t="shared" si="27"/>
        <v>7</v>
      </c>
    </row>
    <row r="831" spans="11:34" ht="14.5" x14ac:dyDescent="0.35">
      <c r="K831" s="4"/>
      <c r="AC831" s="7">
        <v>2022</v>
      </c>
      <c r="AD831" s="7">
        <v>2</v>
      </c>
      <c r="AE831" s="7">
        <v>4</v>
      </c>
      <c r="AF831" s="8">
        <v>0.54166666666666663</v>
      </c>
      <c r="AG831" s="9">
        <v>7.2</v>
      </c>
      <c r="AH831" s="10">
        <f t="shared" si="27"/>
        <v>7</v>
      </c>
    </row>
    <row r="832" spans="11:34" ht="14.5" x14ac:dyDescent="0.35">
      <c r="K832" s="4"/>
      <c r="AC832" s="7">
        <v>2022</v>
      </c>
      <c r="AD832" s="7">
        <v>2</v>
      </c>
      <c r="AE832" s="7">
        <v>4</v>
      </c>
      <c r="AF832" s="8">
        <v>0.58333333333333337</v>
      </c>
      <c r="AG832" s="9">
        <v>6.3</v>
      </c>
      <c r="AH832" s="10">
        <f t="shared" si="27"/>
        <v>6</v>
      </c>
    </row>
    <row r="833" spans="11:34" ht="14.5" x14ac:dyDescent="0.35">
      <c r="K833" s="4"/>
      <c r="AC833" s="7">
        <v>2022</v>
      </c>
      <c r="AD833" s="7">
        <v>2</v>
      </c>
      <c r="AE833" s="7">
        <v>4</v>
      </c>
      <c r="AF833" s="8">
        <v>0.625</v>
      </c>
      <c r="AG833" s="9">
        <v>5.7</v>
      </c>
      <c r="AH833" s="10">
        <f t="shared" si="27"/>
        <v>6</v>
      </c>
    </row>
    <row r="834" spans="11:34" ht="14.5" x14ac:dyDescent="0.35">
      <c r="K834" s="4"/>
      <c r="AC834" s="7">
        <v>2022</v>
      </c>
      <c r="AD834" s="7">
        <v>2</v>
      </c>
      <c r="AE834" s="7">
        <v>4</v>
      </c>
      <c r="AF834" s="8">
        <v>0.66666666666666663</v>
      </c>
      <c r="AG834" s="9">
        <v>7.2</v>
      </c>
      <c r="AH834" s="10">
        <f t="shared" si="27"/>
        <v>7</v>
      </c>
    </row>
    <row r="835" spans="11:34" ht="14.5" x14ac:dyDescent="0.35">
      <c r="K835" s="4"/>
      <c r="AC835" s="7">
        <v>2022</v>
      </c>
      <c r="AD835" s="7">
        <v>2</v>
      </c>
      <c r="AE835" s="7">
        <v>4</v>
      </c>
      <c r="AF835" s="8">
        <v>0.70833333333333337</v>
      </c>
      <c r="AG835" s="9">
        <v>6.3</v>
      </c>
      <c r="AH835" s="10">
        <f t="shared" si="27"/>
        <v>6</v>
      </c>
    </row>
    <row r="836" spans="11:34" ht="14.5" x14ac:dyDescent="0.35">
      <c r="K836" s="4"/>
      <c r="AC836" s="7">
        <v>2022</v>
      </c>
      <c r="AD836" s="7">
        <v>2</v>
      </c>
      <c r="AE836" s="7">
        <v>4</v>
      </c>
      <c r="AF836" s="8">
        <v>0.75</v>
      </c>
      <c r="AG836" s="9">
        <v>4.8</v>
      </c>
      <c r="AH836" s="10">
        <f t="shared" si="27"/>
        <v>5</v>
      </c>
    </row>
    <row r="837" spans="11:34" ht="14.5" x14ac:dyDescent="0.35">
      <c r="K837" s="4"/>
      <c r="AC837" s="7">
        <v>2022</v>
      </c>
      <c r="AD837" s="7">
        <v>2</v>
      </c>
      <c r="AE837" s="7">
        <v>4</v>
      </c>
      <c r="AF837" s="8">
        <v>0.79166666666666663</v>
      </c>
      <c r="AG837" s="9">
        <v>4.4000000000000004</v>
      </c>
      <c r="AH837" s="10">
        <f t="shared" si="27"/>
        <v>4</v>
      </c>
    </row>
    <row r="838" spans="11:34" ht="14.5" x14ac:dyDescent="0.35">
      <c r="K838" s="4"/>
      <c r="AC838" s="7">
        <v>2022</v>
      </c>
      <c r="AD838" s="7">
        <v>2</v>
      </c>
      <c r="AE838" s="7">
        <v>4</v>
      </c>
      <c r="AF838" s="8">
        <v>0.83333333333333337</v>
      </c>
      <c r="AG838" s="9">
        <v>3.5</v>
      </c>
      <c r="AH838" s="10">
        <f t="shared" si="27"/>
        <v>4</v>
      </c>
    </row>
    <row r="839" spans="11:34" ht="14.5" x14ac:dyDescent="0.35">
      <c r="K839" s="4"/>
      <c r="AC839" s="7">
        <v>2022</v>
      </c>
      <c r="AD839" s="7">
        <v>2</v>
      </c>
      <c r="AE839" s="7">
        <v>4</v>
      </c>
      <c r="AF839" s="8">
        <v>0.875</v>
      </c>
      <c r="AG839" s="9">
        <v>3</v>
      </c>
      <c r="AH839" s="10">
        <f t="shared" si="27"/>
        <v>3</v>
      </c>
    </row>
    <row r="840" spans="11:34" ht="14.5" x14ac:dyDescent="0.35">
      <c r="K840" s="4"/>
      <c r="AC840" s="7">
        <v>2022</v>
      </c>
      <c r="AD840" s="7">
        <v>2</v>
      </c>
      <c r="AE840" s="7">
        <v>4</v>
      </c>
      <c r="AF840" s="8">
        <v>0.91666666666666663</v>
      </c>
      <c r="AG840" s="9">
        <v>1.5</v>
      </c>
      <c r="AH840" s="10">
        <f t="shared" si="27"/>
        <v>2</v>
      </c>
    </row>
    <row r="841" spans="11:34" ht="14.5" x14ac:dyDescent="0.35">
      <c r="K841" s="4"/>
      <c r="AC841" s="7">
        <v>2022</v>
      </c>
      <c r="AD841" s="7">
        <v>2</v>
      </c>
      <c r="AE841" s="7">
        <v>4</v>
      </c>
      <c r="AF841" s="8">
        <v>0.95833333333333337</v>
      </c>
      <c r="AG841" s="9">
        <v>-0.8</v>
      </c>
      <c r="AH841" s="10">
        <f t="shared" si="27"/>
        <v>-1</v>
      </c>
    </row>
    <row r="842" spans="11:34" ht="14.5" x14ac:dyDescent="0.35">
      <c r="K842" s="4"/>
      <c r="AC842" s="7">
        <v>2022</v>
      </c>
      <c r="AD842" s="7">
        <v>2</v>
      </c>
      <c r="AE842" s="7">
        <v>5</v>
      </c>
      <c r="AF842" s="8">
        <v>0</v>
      </c>
      <c r="AG842" s="9">
        <v>3</v>
      </c>
      <c r="AH842" s="10">
        <f t="shared" si="27"/>
        <v>3</v>
      </c>
    </row>
    <row r="843" spans="11:34" ht="14.5" x14ac:dyDescent="0.35">
      <c r="K843" s="4"/>
      <c r="AC843" s="7">
        <v>2022</v>
      </c>
      <c r="AD843" s="7">
        <v>2</v>
      </c>
      <c r="AE843" s="7">
        <v>5</v>
      </c>
      <c r="AF843" s="8">
        <v>4.1666666666666664E-2</v>
      </c>
      <c r="AG843" s="9">
        <v>4</v>
      </c>
      <c r="AH843" s="10">
        <f t="shared" ref="AH843:AH906" si="28">ROUND(AG843,0)</f>
        <v>4</v>
      </c>
    </row>
    <row r="844" spans="11:34" ht="14.5" x14ac:dyDescent="0.35">
      <c r="K844" s="4"/>
      <c r="AC844" s="7">
        <v>2022</v>
      </c>
      <c r="AD844" s="7">
        <v>2</v>
      </c>
      <c r="AE844" s="7">
        <v>5</v>
      </c>
      <c r="AF844" s="8">
        <v>8.3333333333333329E-2</v>
      </c>
      <c r="AG844" s="9">
        <v>4.5</v>
      </c>
      <c r="AH844" s="10">
        <f t="shared" si="28"/>
        <v>5</v>
      </c>
    </row>
    <row r="845" spans="11:34" ht="14.5" x14ac:dyDescent="0.35">
      <c r="K845" s="4"/>
      <c r="AC845" s="7">
        <v>2022</v>
      </c>
      <c r="AD845" s="7">
        <v>2</v>
      </c>
      <c r="AE845" s="7">
        <v>5</v>
      </c>
      <c r="AF845" s="8">
        <v>0.125</v>
      </c>
      <c r="AG845" s="9">
        <v>3.8</v>
      </c>
      <c r="AH845" s="10">
        <f t="shared" si="28"/>
        <v>4</v>
      </c>
    </row>
    <row r="846" spans="11:34" ht="14.5" x14ac:dyDescent="0.35">
      <c r="K846" s="4"/>
      <c r="AC846" s="7">
        <v>2022</v>
      </c>
      <c r="AD846" s="7">
        <v>2</v>
      </c>
      <c r="AE846" s="7">
        <v>5</v>
      </c>
      <c r="AF846" s="8">
        <v>0.16666666666666666</v>
      </c>
      <c r="AG846" s="9">
        <v>3.2</v>
      </c>
      <c r="AH846" s="10">
        <f t="shared" si="28"/>
        <v>3</v>
      </c>
    </row>
    <row r="847" spans="11:34" ht="14.5" x14ac:dyDescent="0.35">
      <c r="K847" s="4"/>
      <c r="AC847" s="7">
        <v>2022</v>
      </c>
      <c r="AD847" s="7">
        <v>2</v>
      </c>
      <c r="AE847" s="7">
        <v>5</v>
      </c>
      <c r="AF847" s="8">
        <v>0.20833333333333334</v>
      </c>
      <c r="AG847" s="9">
        <v>4.0999999999999996</v>
      </c>
      <c r="AH847" s="10">
        <f t="shared" si="28"/>
        <v>4</v>
      </c>
    </row>
    <row r="848" spans="11:34" ht="14.5" x14ac:dyDescent="0.35">
      <c r="K848" s="4"/>
      <c r="AC848" s="7">
        <v>2022</v>
      </c>
      <c r="AD848" s="7">
        <v>2</v>
      </c>
      <c r="AE848" s="7">
        <v>5</v>
      </c>
      <c r="AF848" s="8">
        <v>0.25</v>
      </c>
      <c r="AG848" s="9">
        <v>3.6</v>
      </c>
      <c r="AH848" s="10">
        <f t="shared" si="28"/>
        <v>4</v>
      </c>
    </row>
    <row r="849" spans="11:34" ht="14.5" x14ac:dyDescent="0.35">
      <c r="K849" s="4"/>
      <c r="AC849" s="7">
        <v>2022</v>
      </c>
      <c r="AD849" s="7">
        <v>2</v>
      </c>
      <c r="AE849" s="7">
        <v>5</v>
      </c>
      <c r="AF849" s="8">
        <v>0.29166666666666669</v>
      </c>
      <c r="AG849" s="9">
        <v>3.9</v>
      </c>
      <c r="AH849" s="10">
        <f t="shared" si="28"/>
        <v>4</v>
      </c>
    </row>
    <row r="850" spans="11:34" ht="14.5" x14ac:dyDescent="0.35">
      <c r="K850" s="4"/>
      <c r="AC850" s="7">
        <v>2022</v>
      </c>
      <c r="AD850" s="7">
        <v>2</v>
      </c>
      <c r="AE850" s="7">
        <v>5</v>
      </c>
      <c r="AF850" s="8">
        <v>0.33333333333333331</v>
      </c>
      <c r="AG850" s="9">
        <v>3.2</v>
      </c>
      <c r="AH850" s="10">
        <f t="shared" si="28"/>
        <v>3</v>
      </c>
    </row>
    <row r="851" spans="11:34" ht="14.5" x14ac:dyDescent="0.35">
      <c r="K851" s="4"/>
      <c r="AC851" s="7">
        <v>2022</v>
      </c>
      <c r="AD851" s="7">
        <v>2</v>
      </c>
      <c r="AE851" s="7">
        <v>5</v>
      </c>
      <c r="AF851" s="8">
        <v>0.375</v>
      </c>
      <c r="AG851" s="9">
        <v>4</v>
      </c>
      <c r="AH851" s="10">
        <f t="shared" si="28"/>
        <v>4</v>
      </c>
    </row>
    <row r="852" spans="11:34" ht="14.5" x14ac:dyDescent="0.35">
      <c r="K852" s="4"/>
      <c r="AC852" s="7">
        <v>2022</v>
      </c>
      <c r="AD852" s="7">
        <v>2</v>
      </c>
      <c r="AE852" s="7">
        <v>5</v>
      </c>
      <c r="AF852" s="8">
        <v>0.41666666666666669</v>
      </c>
      <c r="AG852" s="9">
        <v>4.7</v>
      </c>
      <c r="AH852" s="10">
        <f t="shared" si="28"/>
        <v>5</v>
      </c>
    </row>
    <row r="853" spans="11:34" ht="14.5" x14ac:dyDescent="0.35">
      <c r="K853" s="4"/>
      <c r="AC853" s="7">
        <v>2022</v>
      </c>
      <c r="AD853" s="7">
        <v>2</v>
      </c>
      <c r="AE853" s="7">
        <v>5</v>
      </c>
      <c r="AF853" s="8">
        <v>0.45833333333333331</v>
      </c>
      <c r="AG853" s="9">
        <v>4.7</v>
      </c>
      <c r="AH853" s="10">
        <f t="shared" si="28"/>
        <v>5</v>
      </c>
    </row>
    <row r="854" spans="11:34" ht="14.5" x14ac:dyDescent="0.35">
      <c r="K854" s="4"/>
      <c r="AC854" s="7">
        <v>2022</v>
      </c>
      <c r="AD854" s="7">
        <v>2</v>
      </c>
      <c r="AE854" s="7">
        <v>5</v>
      </c>
      <c r="AF854" s="8">
        <v>0.5</v>
      </c>
      <c r="AG854" s="9">
        <v>5.3</v>
      </c>
      <c r="AH854" s="10">
        <f t="shared" si="28"/>
        <v>5</v>
      </c>
    </row>
    <row r="855" spans="11:34" ht="14.5" x14ac:dyDescent="0.35">
      <c r="K855" s="4"/>
      <c r="AC855" s="7">
        <v>2022</v>
      </c>
      <c r="AD855" s="7">
        <v>2</v>
      </c>
      <c r="AE855" s="7">
        <v>5</v>
      </c>
      <c r="AF855" s="8">
        <v>0.54166666666666663</v>
      </c>
      <c r="AG855" s="9">
        <v>4.9000000000000004</v>
      </c>
      <c r="AH855" s="10">
        <f t="shared" si="28"/>
        <v>5</v>
      </c>
    </row>
    <row r="856" spans="11:34" ht="14.5" x14ac:dyDescent="0.35">
      <c r="K856" s="4"/>
      <c r="AC856" s="7">
        <v>2022</v>
      </c>
      <c r="AD856" s="7">
        <v>2</v>
      </c>
      <c r="AE856" s="7">
        <v>5</v>
      </c>
      <c r="AF856" s="8">
        <v>0.58333333333333337</v>
      </c>
      <c r="AG856" s="9">
        <v>4.8</v>
      </c>
      <c r="AH856" s="10">
        <f t="shared" si="28"/>
        <v>5</v>
      </c>
    </row>
    <row r="857" spans="11:34" ht="14.5" x14ac:dyDescent="0.35">
      <c r="K857" s="4"/>
      <c r="AC857" s="7">
        <v>2022</v>
      </c>
      <c r="AD857" s="7">
        <v>2</v>
      </c>
      <c r="AE857" s="7">
        <v>5</v>
      </c>
      <c r="AF857" s="8">
        <v>0.625</v>
      </c>
      <c r="AG857" s="9">
        <v>4.7</v>
      </c>
      <c r="AH857" s="10">
        <f t="shared" si="28"/>
        <v>5</v>
      </c>
    </row>
    <row r="858" spans="11:34" ht="14.5" x14ac:dyDescent="0.35">
      <c r="K858" s="4"/>
      <c r="AC858" s="7">
        <v>2022</v>
      </c>
      <c r="AD858" s="7">
        <v>2</v>
      </c>
      <c r="AE858" s="7">
        <v>5</v>
      </c>
      <c r="AF858" s="8">
        <v>0.66666666666666663</v>
      </c>
      <c r="AG858" s="9">
        <v>4.5999999999999996</v>
      </c>
      <c r="AH858" s="10">
        <f t="shared" si="28"/>
        <v>5</v>
      </c>
    </row>
    <row r="859" spans="11:34" ht="14.5" x14ac:dyDescent="0.35">
      <c r="K859" s="4"/>
      <c r="AC859" s="7">
        <v>2022</v>
      </c>
      <c r="AD859" s="7">
        <v>2</v>
      </c>
      <c r="AE859" s="7">
        <v>5</v>
      </c>
      <c r="AF859" s="8">
        <v>0.70833333333333337</v>
      </c>
      <c r="AG859" s="9">
        <v>1.8</v>
      </c>
      <c r="AH859" s="10">
        <f t="shared" si="28"/>
        <v>2</v>
      </c>
    </row>
    <row r="860" spans="11:34" ht="14.5" x14ac:dyDescent="0.35">
      <c r="K860" s="4"/>
      <c r="AC860" s="7">
        <v>2022</v>
      </c>
      <c r="AD860" s="7">
        <v>2</v>
      </c>
      <c r="AE860" s="7">
        <v>5</v>
      </c>
      <c r="AF860" s="8">
        <v>0.75</v>
      </c>
      <c r="AG860" s="9">
        <v>-0.1</v>
      </c>
      <c r="AH860" s="10">
        <f t="shared" si="28"/>
        <v>0</v>
      </c>
    </row>
    <row r="861" spans="11:34" ht="14.5" x14ac:dyDescent="0.35">
      <c r="K861" s="4"/>
      <c r="AC861" s="7">
        <v>2022</v>
      </c>
      <c r="AD861" s="7">
        <v>2</v>
      </c>
      <c r="AE861" s="7">
        <v>5</v>
      </c>
      <c r="AF861" s="8">
        <v>0.79166666666666663</v>
      </c>
      <c r="AG861" s="9">
        <v>-0.8</v>
      </c>
      <c r="AH861" s="10">
        <f t="shared" si="28"/>
        <v>-1</v>
      </c>
    </row>
    <row r="862" spans="11:34" ht="14.5" x14ac:dyDescent="0.35">
      <c r="K862" s="4"/>
      <c r="AC862" s="7">
        <v>2022</v>
      </c>
      <c r="AD862" s="7">
        <v>2</v>
      </c>
      <c r="AE862" s="7">
        <v>5</v>
      </c>
      <c r="AF862" s="8">
        <v>0.83333333333333337</v>
      </c>
      <c r="AG862" s="9">
        <v>-1.2</v>
      </c>
      <c r="AH862" s="10">
        <f t="shared" si="28"/>
        <v>-1</v>
      </c>
    </row>
    <row r="863" spans="11:34" ht="14.5" x14ac:dyDescent="0.35">
      <c r="K863" s="4"/>
      <c r="AC863" s="7">
        <v>2022</v>
      </c>
      <c r="AD863" s="7">
        <v>2</v>
      </c>
      <c r="AE863" s="7">
        <v>5</v>
      </c>
      <c r="AF863" s="8">
        <v>0.875</v>
      </c>
      <c r="AG863" s="9">
        <v>-0.7</v>
      </c>
      <c r="AH863" s="10">
        <f t="shared" si="28"/>
        <v>-1</v>
      </c>
    </row>
    <row r="864" spans="11:34" ht="14.5" x14ac:dyDescent="0.35">
      <c r="K864" s="4"/>
      <c r="AC864" s="7">
        <v>2022</v>
      </c>
      <c r="AD864" s="7">
        <v>2</v>
      </c>
      <c r="AE864" s="7">
        <v>5</v>
      </c>
      <c r="AF864" s="8">
        <v>0.91666666666666663</v>
      </c>
      <c r="AG864" s="9">
        <v>-1.5</v>
      </c>
      <c r="AH864" s="10">
        <f t="shared" si="28"/>
        <v>-2</v>
      </c>
    </row>
    <row r="865" spans="11:34" ht="14.5" x14ac:dyDescent="0.35">
      <c r="K865" s="4"/>
      <c r="AC865" s="7">
        <v>2022</v>
      </c>
      <c r="AD865" s="7">
        <v>2</v>
      </c>
      <c r="AE865" s="7">
        <v>5</v>
      </c>
      <c r="AF865" s="8">
        <v>0.95833333333333337</v>
      </c>
      <c r="AG865" s="9">
        <v>-1.8</v>
      </c>
      <c r="AH865" s="10">
        <f t="shared" si="28"/>
        <v>-2</v>
      </c>
    </row>
    <row r="866" spans="11:34" ht="14.5" x14ac:dyDescent="0.35">
      <c r="K866" s="4"/>
      <c r="AC866" s="7">
        <v>2022</v>
      </c>
      <c r="AD866" s="7">
        <v>2</v>
      </c>
      <c r="AE866" s="7">
        <v>6</v>
      </c>
      <c r="AF866" s="8">
        <v>0</v>
      </c>
      <c r="AG866" s="9">
        <v>-2.4</v>
      </c>
      <c r="AH866" s="10">
        <f t="shared" si="28"/>
        <v>-2</v>
      </c>
    </row>
    <row r="867" spans="11:34" ht="14.5" x14ac:dyDescent="0.35">
      <c r="K867" s="4"/>
      <c r="AC867" s="7">
        <v>2022</v>
      </c>
      <c r="AD867" s="7">
        <v>2</v>
      </c>
      <c r="AE867" s="7">
        <v>6</v>
      </c>
      <c r="AF867" s="8">
        <v>4.1666666666666664E-2</v>
      </c>
      <c r="AG867" s="9">
        <v>-2</v>
      </c>
      <c r="AH867" s="10">
        <f t="shared" si="28"/>
        <v>-2</v>
      </c>
    </row>
    <row r="868" spans="11:34" ht="14.5" x14ac:dyDescent="0.35">
      <c r="K868" s="4"/>
      <c r="AC868" s="7">
        <v>2022</v>
      </c>
      <c r="AD868" s="7">
        <v>2</v>
      </c>
      <c r="AE868" s="7">
        <v>6</v>
      </c>
      <c r="AF868" s="8">
        <v>8.3333333333333329E-2</v>
      </c>
      <c r="AG868" s="9">
        <v>3.8</v>
      </c>
      <c r="AH868" s="10">
        <f t="shared" si="28"/>
        <v>4</v>
      </c>
    </row>
    <row r="869" spans="11:34" ht="14.5" x14ac:dyDescent="0.35">
      <c r="K869" s="4"/>
      <c r="AC869" s="7">
        <v>2022</v>
      </c>
      <c r="AD869" s="7">
        <v>2</v>
      </c>
      <c r="AE869" s="7">
        <v>6</v>
      </c>
      <c r="AF869" s="8">
        <v>0.125</v>
      </c>
      <c r="AG869" s="9">
        <v>3.3</v>
      </c>
      <c r="AH869" s="10">
        <f t="shared" si="28"/>
        <v>3</v>
      </c>
    </row>
    <row r="870" spans="11:34" ht="14.5" x14ac:dyDescent="0.35">
      <c r="K870" s="4"/>
      <c r="AC870" s="7">
        <v>2022</v>
      </c>
      <c r="AD870" s="7">
        <v>2</v>
      </c>
      <c r="AE870" s="7">
        <v>6</v>
      </c>
      <c r="AF870" s="8">
        <v>0.16666666666666666</v>
      </c>
      <c r="AG870" s="9">
        <v>4.2</v>
      </c>
      <c r="AH870" s="10">
        <f t="shared" si="28"/>
        <v>4</v>
      </c>
    </row>
    <row r="871" spans="11:34" ht="14.5" x14ac:dyDescent="0.35">
      <c r="K871" s="4"/>
      <c r="AC871" s="7">
        <v>2022</v>
      </c>
      <c r="AD871" s="7">
        <v>2</v>
      </c>
      <c r="AE871" s="7">
        <v>6</v>
      </c>
      <c r="AF871" s="8">
        <v>0.20833333333333334</v>
      </c>
      <c r="AG871" s="9">
        <v>5.2</v>
      </c>
      <c r="AH871" s="10">
        <f t="shared" si="28"/>
        <v>5</v>
      </c>
    </row>
    <row r="872" spans="11:34" ht="14.5" x14ac:dyDescent="0.35">
      <c r="K872" s="4"/>
      <c r="AC872" s="7">
        <v>2022</v>
      </c>
      <c r="AD872" s="7">
        <v>2</v>
      </c>
      <c r="AE872" s="7">
        <v>6</v>
      </c>
      <c r="AF872" s="8">
        <v>0.25</v>
      </c>
      <c r="AG872" s="9">
        <v>5.9</v>
      </c>
      <c r="AH872" s="10">
        <f t="shared" si="28"/>
        <v>6</v>
      </c>
    </row>
    <row r="873" spans="11:34" ht="14.5" x14ac:dyDescent="0.35">
      <c r="K873" s="4"/>
      <c r="AC873" s="7">
        <v>2022</v>
      </c>
      <c r="AD873" s="7">
        <v>2</v>
      </c>
      <c r="AE873" s="7">
        <v>6</v>
      </c>
      <c r="AF873" s="8">
        <v>0.29166666666666669</v>
      </c>
      <c r="AG873" s="9">
        <v>6.5</v>
      </c>
      <c r="AH873" s="10">
        <f t="shared" si="28"/>
        <v>7</v>
      </c>
    </row>
    <row r="874" spans="11:34" ht="14.5" x14ac:dyDescent="0.35">
      <c r="K874" s="4"/>
      <c r="AC874" s="7">
        <v>2022</v>
      </c>
      <c r="AD874" s="7">
        <v>2</v>
      </c>
      <c r="AE874" s="7">
        <v>6</v>
      </c>
      <c r="AF874" s="8">
        <v>0.33333333333333331</v>
      </c>
      <c r="AG874" s="9">
        <v>6.6</v>
      </c>
      <c r="AH874" s="10">
        <f t="shared" si="28"/>
        <v>7</v>
      </c>
    </row>
    <row r="875" spans="11:34" ht="14.5" x14ac:dyDescent="0.35">
      <c r="K875" s="4"/>
      <c r="AC875" s="7">
        <v>2022</v>
      </c>
      <c r="AD875" s="7">
        <v>2</v>
      </c>
      <c r="AE875" s="7">
        <v>6</v>
      </c>
      <c r="AF875" s="8">
        <v>0.375</v>
      </c>
      <c r="AG875" s="9">
        <v>6.7</v>
      </c>
      <c r="AH875" s="10">
        <f t="shared" si="28"/>
        <v>7</v>
      </c>
    </row>
    <row r="876" spans="11:34" ht="14.5" x14ac:dyDescent="0.35">
      <c r="K876" s="4"/>
      <c r="AC876" s="7">
        <v>2022</v>
      </c>
      <c r="AD876" s="7">
        <v>2</v>
      </c>
      <c r="AE876" s="7">
        <v>6</v>
      </c>
      <c r="AF876" s="8">
        <v>0.41666666666666669</v>
      </c>
      <c r="AG876" s="9">
        <v>7.4</v>
      </c>
      <c r="AH876" s="10">
        <f t="shared" si="28"/>
        <v>7</v>
      </c>
    </row>
    <row r="877" spans="11:34" ht="14.5" x14ac:dyDescent="0.35">
      <c r="K877" s="4"/>
      <c r="AC877" s="7">
        <v>2022</v>
      </c>
      <c r="AD877" s="7">
        <v>2</v>
      </c>
      <c r="AE877" s="7">
        <v>6</v>
      </c>
      <c r="AF877" s="8">
        <v>0.45833333333333331</v>
      </c>
      <c r="AG877" s="9">
        <v>8.5</v>
      </c>
      <c r="AH877" s="10">
        <f t="shared" si="28"/>
        <v>9</v>
      </c>
    </row>
    <row r="878" spans="11:34" ht="14.5" x14ac:dyDescent="0.35">
      <c r="K878" s="4"/>
      <c r="AC878" s="7">
        <v>2022</v>
      </c>
      <c r="AD878" s="7">
        <v>2</v>
      </c>
      <c r="AE878" s="7">
        <v>6</v>
      </c>
      <c r="AF878" s="8">
        <v>0.5</v>
      </c>
      <c r="AG878" s="9">
        <v>9.8000000000000007</v>
      </c>
      <c r="AH878" s="10">
        <f t="shared" si="28"/>
        <v>10</v>
      </c>
    </row>
    <row r="879" spans="11:34" ht="14.5" x14ac:dyDescent="0.35">
      <c r="K879" s="4"/>
      <c r="AC879" s="7">
        <v>2022</v>
      </c>
      <c r="AD879" s="7">
        <v>2</v>
      </c>
      <c r="AE879" s="7">
        <v>6</v>
      </c>
      <c r="AF879" s="8">
        <v>0.54166666666666663</v>
      </c>
      <c r="AG879" s="9">
        <v>11.7</v>
      </c>
      <c r="AH879" s="10">
        <f t="shared" si="28"/>
        <v>12</v>
      </c>
    </row>
    <row r="880" spans="11:34" ht="14.5" x14ac:dyDescent="0.35">
      <c r="K880" s="4"/>
      <c r="AC880" s="7">
        <v>2022</v>
      </c>
      <c r="AD880" s="7">
        <v>2</v>
      </c>
      <c r="AE880" s="7">
        <v>6</v>
      </c>
      <c r="AF880" s="8">
        <v>0.58333333333333337</v>
      </c>
      <c r="AG880" s="9">
        <v>12.2</v>
      </c>
      <c r="AH880" s="10">
        <f t="shared" si="28"/>
        <v>12</v>
      </c>
    </row>
    <row r="881" spans="11:34" ht="14.5" x14ac:dyDescent="0.35">
      <c r="K881" s="4"/>
      <c r="AC881" s="7">
        <v>2022</v>
      </c>
      <c r="AD881" s="7">
        <v>2</v>
      </c>
      <c r="AE881" s="7">
        <v>6</v>
      </c>
      <c r="AF881" s="8">
        <v>0.625</v>
      </c>
      <c r="AG881" s="9">
        <v>12</v>
      </c>
      <c r="AH881" s="10">
        <f t="shared" si="28"/>
        <v>12</v>
      </c>
    </row>
    <row r="882" spans="11:34" ht="14.5" x14ac:dyDescent="0.35">
      <c r="K882" s="4"/>
      <c r="AC882" s="7">
        <v>2022</v>
      </c>
      <c r="AD882" s="7">
        <v>2</v>
      </c>
      <c r="AE882" s="7">
        <v>6</v>
      </c>
      <c r="AF882" s="8">
        <v>0.66666666666666663</v>
      </c>
      <c r="AG882" s="9">
        <v>11.3</v>
      </c>
      <c r="AH882" s="10">
        <f t="shared" si="28"/>
        <v>11</v>
      </c>
    </row>
    <row r="883" spans="11:34" ht="14.5" x14ac:dyDescent="0.35">
      <c r="K883" s="4"/>
      <c r="AC883" s="7">
        <v>2022</v>
      </c>
      <c r="AD883" s="7">
        <v>2</v>
      </c>
      <c r="AE883" s="7">
        <v>6</v>
      </c>
      <c r="AF883" s="8">
        <v>0.70833333333333337</v>
      </c>
      <c r="AG883" s="9">
        <v>9.1</v>
      </c>
      <c r="AH883" s="10">
        <f t="shared" si="28"/>
        <v>9</v>
      </c>
    </row>
    <row r="884" spans="11:34" ht="14.5" x14ac:dyDescent="0.35">
      <c r="K884" s="4"/>
      <c r="AC884" s="7">
        <v>2022</v>
      </c>
      <c r="AD884" s="7">
        <v>2</v>
      </c>
      <c r="AE884" s="7">
        <v>6</v>
      </c>
      <c r="AF884" s="8">
        <v>0.75</v>
      </c>
      <c r="AG884" s="9">
        <v>8</v>
      </c>
      <c r="AH884" s="10">
        <f t="shared" si="28"/>
        <v>8</v>
      </c>
    </row>
    <row r="885" spans="11:34" ht="14.5" x14ac:dyDescent="0.35">
      <c r="K885" s="4"/>
      <c r="AC885" s="7">
        <v>2022</v>
      </c>
      <c r="AD885" s="7">
        <v>2</v>
      </c>
      <c r="AE885" s="7">
        <v>6</v>
      </c>
      <c r="AF885" s="8">
        <v>0.79166666666666663</v>
      </c>
      <c r="AG885" s="9">
        <v>6.5</v>
      </c>
      <c r="AH885" s="10">
        <f t="shared" si="28"/>
        <v>7</v>
      </c>
    </row>
    <row r="886" spans="11:34" ht="14.5" x14ac:dyDescent="0.35">
      <c r="K886" s="4"/>
      <c r="AC886" s="7">
        <v>2022</v>
      </c>
      <c r="AD886" s="7">
        <v>2</v>
      </c>
      <c r="AE886" s="7">
        <v>6</v>
      </c>
      <c r="AF886" s="8">
        <v>0.83333333333333337</v>
      </c>
      <c r="AG886" s="9">
        <v>5.6</v>
      </c>
      <c r="AH886" s="10">
        <f t="shared" si="28"/>
        <v>6</v>
      </c>
    </row>
    <row r="887" spans="11:34" ht="14.5" x14ac:dyDescent="0.35">
      <c r="K887" s="4"/>
      <c r="AC887" s="7">
        <v>2022</v>
      </c>
      <c r="AD887" s="7">
        <v>2</v>
      </c>
      <c r="AE887" s="7">
        <v>6</v>
      </c>
      <c r="AF887" s="8">
        <v>0.875</v>
      </c>
      <c r="AG887" s="9">
        <v>7.9</v>
      </c>
      <c r="AH887" s="10">
        <f t="shared" si="28"/>
        <v>8</v>
      </c>
    </row>
    <row r="888" spans="11:34" ht="14.5" x14ac:dyDescent="0.35">
      <c r="K888" s="4"/>
      <c r="AC888" s="7">
        <v>2022</v>
      </c>
      <c r="AD888" s="7">
        <v>2</v>
      </c>
      <c r="AE888" s="7">
        <v>6</v>
      </c>
      <c r="AF888" s="8">
        <v>0.91666666666666663</v>
      </c>
      <c r="AG888" s="9">
        <v>8</v>
      </c>
      <c r="AH888" s="10">
        <f t="shared" si="28"/>
        <v>8</v>
      </c>
    </row>
    <row r="889" spans="11:34" ht="14.5" x14ac:dyDescent="0.35">
      <c r="K889" s="4"/>
      <c r="AC889" s="7">
        <v>2022</v>
      </c>
      <c r="AD889" s="7">
        <v>2</v>
      </c>
      <c r="AE889" s="7">
        <v>6</v>
      </c>
      <c r="AF889" s="8">
        <v>0.95833333333333337</v>
      </c>
      <c r="AG889" s="9">
        <v>8.1</v>
      </c>
      <c r="AH889" s="10">
        <f t="shared" si="28"/>
        <v>8</v>
      </c>
    </row>
    <row r="890" spans="11:34" ht="14.5" x14ac:dyDescent="0.35">
      <c r="K890" s="4"/>
      <c r="AC890" s="7">
        <v>2022</v>
      </c>
      <c r="AD890" s="7">
        <v>2</v>
      </c>
      <c r="AE890" s="7">
        <v>7</v>
      </c>
      <c r="AF890" s="8">
        <v>0</v>
      </c>
      <c r="AG890" s="9">
        <v>7.9</v>
      </c>
      <c r="AH890" s="10">
        <f t="shared" si="28"/>
        <v>8</v>
      </c>
    </row>
    <row r="891" spans="11:34" ht="14.5" x14ac:dyDescent="0.35">
      <c r="K891" s="4"/>
      <c r="AC891" s="7">
        <v>2022</v>
      </c>
      <c r="AD891" s="7">
        <v>2</v>
      </c>
      <c r="AE891" s="7">
        <v>7</v>
      </c>
      <c r="AF891" s="8">
        <v>4.1666666666666664E-2</v>
      </c>
      <c r="AG891" s="9">
        <v>7.6</v>
      </c>
      <c r="AH891" s="10">
        <f t="shared" si="28"/>
        <v>8</v>
      </c>
    </row>
    <row r="892" spans="11:34" ht="14.5" x14ac:dyDescent="0.35">
      <c r="K892" s="4"/>
      <c r="AC892" s="7">
        <v>2022</v>
      </c>
      <c r="AD892" s="7">
        <v>2</v>
      </c>
      <c r="AE892" s="7">
        <v>7</v>
      </c>
      <c r="AF892" s="8">
        <v>8.3333333333333329E-2</v>
      </c>
      <c r="AG892" s="9">
        <v>5.5</v>
      </c>
      <c r="AH892" s="10">
        <f t="shared" si="28"/>
        <v>6</v>
      </c>
    </row>
    <row r="893" spans="11:34" ht="14.5" x14ac:dyDescent="0.35">
      <c r="K893" s="4"/>
      <c r="AC893" s="7">
        <v>2022</v>
      </c>
      <c r="AD893" s="7">
        <v>2</v>
      </c>
      <c r="AE893" s="7">
        <v>7</v>
      </c>
      <c r="AF893" s="8">
        <v>0.125</v>
      </c>
      <c r="AG893" s="9">
        <v>9</v>
      </c>
      <c r="AH893" s="10">
        <f t="shared" si="28"/>
        <v>9</v>
      </c>
    </row>
    <row r="894" spans="11:34" ht="14.5" x14ac:dyDescent="0.35">
      <c r="K894" s="4"/>
      <c r="AC894" s="7">
        <v>2022</v>
      </c>
      <c r="AD894" s="7">
        <v>2</v>
      </c>
      <c r="AE894" s="7">
        <v>7</v>
      </c>
      <c r="AF894" s="8">
        <v>0.16666666666666666</v>
      </c>
      <c r="AG894" s="9">
        <v>5.0999999999999996</v>
      </c>
      <c r="AH894" s="10">
        <f t="shared" si="28"/>
        <v>5</v>
      </c>
    </row>
    <row r="895" spans="11:34" ht="14.5" x14ac:dyDescent="0.35">
      <c r="K895" s="4"/>
      <c r="AC895" s="7">
        <v>2022</v>
      </c>
      <c r="AD895" s="7">
        <v>2</v>
      </c>
      <c r="AE895" s="7">
        <v>7</v>
      </c>
      <c r="AF895" s="8">
        <v>0.20833333333333334</v>
      </c>
      <c r="AG895" s="9">
        <v>3.1</v>
      </c>
      <c r="AH895" s="10">
        <f t="shared" si="28"/>
        <v>3</v>
      </c>
    </row>
    <row r="896" spans="11:34" ht="14.5" x14ac:dyDescent="0.35">
      <c r="K896" s="4"/>
      <c r="AC896" s="7">
        <v>2022</v>
      </c>
      <c r="AD896" s="7">
        <v>2</v>
      </c>
      <c r="AE896" s="7">
        <v>7</v>
      </c>
      <c r="AF896" s="8">
        <v>0.25</v>
      </c>
      <c r="AG896" s="9">
        <v>2.9</v>
      </c>
      <c r="AH896" s="10">
        <f t="shared" si="28"/>
        <v>3</v>
      </c>
    </row>
    <row r="897" spans="11:34" ht="14.5" x14ac:dyDescent="0.35">
      <c r="K897" s="4"/>
      <c r="AC897" s="7">
        <v>2022</v>
      </c>
      <c r="AD897" s="7">
        <v>2</v>
      </c>
      <c r="AE897" s="7">
        <v>7</v>
      </c>
      <c r="AF897" s="8">
        <v>0.29166666666666669</v>
      </c>
      <c r="AG897" s="9">
        <v>1.9</v>
      </c>
      <c r="AH897" s="10">
        <f t="shared" si="28"/>
        <v>2</v>
      </c>
    </row>
    <row r="898" spans="11:34" ht="14.5" x14ac:dyDescent="0.35">
      <c r="K898" s="4"/>
      <c r="AC898" s="7">
        <v>2022</v>
      </c>
      <c r="AD898" s="7">
        <v>2</v>
      </c>
      <c r="AE898" s="7">
        <v>7</v>
      </c>
      <c r="AF898" s="8">
        <v>0.33333333333333331</v>
      </c>
      <c r="AG898" s="9">
        <v>3.2</v>
      </c>
      <c r="AH898" s="10">
        <f t="shared" si="28"/>
        <v>3</v>
      </c>
    </row>
    <row r="899" spans="11:34" ht="14.5" x14ac:dyDescent="0.35">
      <c r="K899" s="4"/>
      <c r="AC899" s="7">
        <v>2022</v>
      </c>
      <c r="AD899" s="7">
        <v>2</v>
      </c>
      <c r="AE899" s="7">
        <v>7</v>
      </c>
      <c r="AF899" s="8">
        <v>0.375</v>
      </c>
      <c r="AG899" s="9">
        <v>9.5</v>
      </c>
      <c r="AH899" s="10">
        <f t="shared" si="28"/>
        <v>10</v>
      </c>
    </row>
    <row r="900" spans="11:34" ht="14.5" x14ac:dyDescent="0.35">
      <c r="K900" s="4"/>
      <c r="AC900" s="7">
        <v>2022</v>
      </c>
      <c r="AD900" s="7">
        <v>2</v>
      </c>
      <c r="AE900" s="7">
        <v>7</v>
      </c>
      <c r="AF900" s="8">
        <v>0.41666666666666669</v>
      </c>
      <c r="AG900" s="9">
        <v>11.6</v>
      </c>
      <c r="AH900" s="10">
        <f t="shared" si="28"/>
        <v>12</v>
      </c>
    </row>
    <row r="901" spans="11:34" ht="14.5" x14ac:dyDescent="0.35">
      <c r="K901" s="4"/>
      <c r="AC901" s="7">
        <v>2022</v>
      </c>
      <c r="AD901" s="7">
        <v>2</v>
      </c>
      <c r="AE901" s="7">
        <v>7</v>
      </c>
      <c r="AF901" s="8">
        <v>0.45833333333333331</v>
      </c>
      <c r="AG901" s="9">
        <v>11.3</v>
      </c>
      <c r="AH901" s="10">
        <f t="shared" si="28"/>
        <v>11</v>
      </c>
    </row>
    <row r="902" spans="11:34" ht="14.5" x14ac:dyDescent="0.35">
      <c r="K902" s="4"/>
      <c r="AC902" s="7">
        <v>2022</v>
      </c>
      <c r="AD902" s="7">
        <v>2</v>
      </c>
      <c r="AE902" s="7">
        <v>7</v>
      </c>
      <c r="AF902" s="8">
        <v>0.5</v>
      </c>
      <c r="AG902" s="9">
        <v>9.3000000000000007</v>
      </c>
      <c r="AH902" s="10">
        <f t="shared" si="28"/>
        <v>9</v>
      </c>
    </row>
    <row r="903" spans="11:34" ht="14.5" x14ac:dyDescent="0.35">
      <c r="K903" s="4"/>
      <c r="AC903" s="7">
        <v>2022</v>
      </c>
      <c r="AD903" s="7">
        <v>2</v>
      </c>
      <c r="AE903" s="7">
        <v>7</v>
      </c>
      <c r="AF903" s="8">
        <v>0.54166666666666663</v>
      </c>
      <c r="AG903" s="9">
        <v>8.4</v>
      </c>
      <c r="AH903" s="10">
        <f t="shared" si="28"/>
        <v>8</v>
      </c>
    </row>
    <row r="904" spans="11:34" ht="14.5" x14ac:dyDescent="0.35">
      <c r="K904" s="4"/>
      <c r="AC904" s="7">
        <v>2022</v>
      </c>
      <c r="AD904" s="7">
        <v>2</v>
      </c>
      <c r="AE904" s="7">
        <v>7</v>
      </c>
      <c r="AF904" s="8">
        <v>0.58333333333333337</v>
      </c>
      <c r="AG904" s="9">
        <v>8.4</v>
      </c>
      <c r="AH904" s="10">
        <f t="shared" si="28"/>
        <v>8</v>
      </c>
    </row>
    <row r="905" spans="11:34" ht="14.5" x14ac:dyDescent="0.35">
      <c r="K905" s="4"/>
      <c r="AC905" s="7">
        <v>2022</v>
      </c>
      <c r="AD905" s="7">
        <v>2</v>
      </c>
      <c r="AE905" s="7">
        <v>7</v>
      </c>
      <c r="AF905" s="8">
        <v>0.625</v>
      </c>
      <c r="AG905" s="9">
        <v>8.1</v>
      </c>
      <c r="AH905" s="10">
        <f t="shared" si="28"/>
        <v>8</v>
      </c>
    </row>
    <row r="906" spans="11:34" ht="14.5" x14ac:dyDescent="0.35">
      <c r="K906" s="4"/>
      <c r="AC906" s="7">
        <v>2022</v>
      </c>
      <c r="AD906" s="7">
        <v>2</v>
      </c>
      <c r="AE906" s="7">
        <v>7</v>
      </c>
      <c r="AF906" s="8">
        <v>0.66666666666666663</v>
      </c>
      <c r="AG906" s="9">
        <v>7.2</v>
      </c>
      <c r="AH906" s="10">
        <f t="shared" si="28"/>
        <v>7</v>
      </c>
    </row>
    <row r="907" spans="11:34" ht="14.5" x14ac:dyDescent="0.35">
      <c r="K907" s="4"/>
      <c r="AC907" s="7">
        <v>2022</v>
      </c>
      <c r="AD907" s="7">
        <v>2</v>
      </c>
      <c r="AE907" s="7">
        <v>7</v>
      </c>
      <c r="AF907" s="8">
        <v>0.70833333333333337</v>
      </c>
      <c r="AG907" s="9">
        <v>6.2</v>
      </c>
      <c r="AH907" s="10">
        <f t="shared" ref="AH907:AH970" si="29">ROUND(AG907,0)</f>
        <v>6</v>
      </c>
    </row>
    <row r="908" spans="11:34" ht="14.5" x14ac:dyDescent="0.35">
      <c r="K908" s="4"/>
      <c r="AC908" s="7">
        <v>2022</v>
      </c>
      <c r="AD908" s="7">
        <v>2</v>
      </c>
      <c r="AE908" s="7">
        <v>7</v>
      </c>
      <c r="AF908" s="8">
        <v>0.75</v>
      </c>
      <c r="AG908" s="9">
        <v>5</v>
      </c>
      <c r="AH908" s="10">
        <f t="shared" si="29"/>
        <v>5</v>
      </c>
    </row>
    <row r="909" spans="11:34" ht="14.5" x14ac:dyDescent="0.35">
      <c r="K909" s="4"/>
      <c r="AC909" s="7">
        <v>2022</v>
      </c>
      <c r="AD909" s="7">
        <v>2</v>
      </c>
      <c r="AE909" s="7">
        <v>7</v>
      </c>
      <c r="AF909" s="8">
        <v>0.79166666666666663</v>
      </c>
      <c r="AG909" s="9">
        <v>5.7</v>
      </c>
      <c r="AH909" s="10">
        <f t="shared" si="29"/>
        <v>6</v>
      </c>
    </row>
    <row r="910" spans="11:34" ht="14.5" x14ac:dyDescent="0.35">
      <c r="K910" s="4"/>
      <c r="AC910" s="7">
        <v>2022</v>
      </c>
      <c r="AD910" s="7">
        <v>2</v>
      </c>
      <c r="AE910" s="7">
        <v>7</v>
      </c>
      <c r="AF910" s="8">
        <v>0.83333333333333337</v>
      </c>
      <c r="AG910" s="9">
        <v>5.3</v>
      </c>
      <c r="AH910" s="10">
        <f t="shared" si="29"/>
        <v>5</v>
      </c>
    </row>
    <row r="911" spans="11:34" ht="14.5" x14ac:dyDescent="0.35">
      <c r="K911" s="4"/>
      <c r="AC911" s="7">
        <v>2022</v>
      </c>
      <c r="AD911" s="7">
        <v>2</v>
      </c>
      <c r="AE911" s="7">
        <v>7</v>
      </c>
      <c r="AF911" s="8">
        <v>0.875</v>
      </c>
      <c r="AG911" s="9">
        <v>4.4000000000000004</v>
      </c>
      <c r="AH911" s="10">
        <f t="shared" si="29"/>
        <v>4</v>
      </c>
    </row>
    <row r="912" spans="11:34" ht="14.5" x14ac:dyDescent="0.35">
      <c r="K912" s="4"/>
      <c r="AC912" s="7">
        <v>2022</v>
      </c>
      <c r="AD912" s="7">
        <v>2</v>
      </c>
      <c r="AE912" s="7">
        <v>7</v>
      </c>
      <c r="AF912" s="8">
        <v>0.91666666666666663</v>
      </c>
      <c r="AG912" s="9">
        <v>3.4</v>
      </c>
      <c r="AH912" s="10">
        <f t="shared" si="29"/>
        <v>3</v>
      </c>
    </row>
    <row r="913" spans="11:34" ht="14.5" x14ac:dyDescent="0.35">
      <c r="K913" s="4"/>
      <c r="AC913" s="7">
        <v>2022</v>
      </c>
      <c r="AD913" s="7">
        <v>2</v>
      </c>
      <c r="AE913" s="7">
        <v>7</v>
      </c>
      <c r="AF913" s="8">
        <v>0.95833333333333337</v>
      </c>
      <c r="AG913" s="9">
        <v>4.2</v>
      </c>
      <c r="AH913" s="10">
        <f t="shared" si="29"/>
        <v>4</v>
      </c>
    </row>
    <row r="914" spans="11:34" ht="14.5" x14ac:dyDescent="0.35">
      <c r="K914" s="4"/>
      <c r="AC914" s="7">
        <v>2022</v>
      </c>
      <c r="AD914" s="7">
        <v>2</v>
      </c>
      <c r="AE914" s="7">
        <v>8</v>
      </c>
      <c r="AF914" s="8">
        <v>0</v>
      </c>
      <c r="AG914" s="9">
        <v>4.9000000000000004</v>
      </c>
      <c r="AH914" s="10">
        <f t="shared" si="29"/>
        <v>5</v>
      </c>
    </row>
    <row r="915" spans="11:34" ht="14.5" x14ac:dyDescent="0.35">
      <c r="K915" s="4"/>
      <c r="AC915" s="7">
        <v>2022</v>
      </c>
      <c r="AD915" s="7">
        <v>2</v>
      </c>
      <c r="AE915" s="7">
        <v>8</v>
      </c>
      <c r="AF915" s="8">
        <v>4.1666666666666664E-2</v>
      </c>
      <c r="AG915" s="9">
        <v>5</v>
      </c>
      <c r="AH915" s="10">
        <f t="shared" si="29"/>
        <v>5</v>
      </c>
    </row>
    <row r="916" spans="11:34" ht="14.5" x14ac:dyDescent="0.35">
      <c r="K916" s="4"/>
      <c r="AC916" s="7">
        <v>2022</v>
      </c>
      <c r="AD916" s="7">
        <v>2</v>
      </c>
      <c r="AE916" s="7">
        <v>8</v>
      </c>
      <c r="AF916" s="8">
        <v>8.3333333333333329E-2</v>
      </c>
      <c r="AG916" s="9">
        <v>4.4000000000000004</v>
      </c>
      <c r="AH916" s="10">
        <f t="shared" si="29"/>
        <v>4</v>
      </c>
    </row>
    <row r="917" spans="11:34" ht="14.5" x14ac:dyDescent="0.35">
      <c r="K917" s="4"/>
      <c r="AC917" s="7">
        <v>2022</v>
      </c>
      <c r="AD917" s="7">
        <v>2</v>
      </c>
      <c r="AE917" s="7">
        <v>8</v>
      </c>
      <c r="AF917" s="8">
        <v>0.125</v>
      </c>
      <c r="AG917" s="9">
        <v>3.9</v>
      </c>
      <c r="AH917" s="10">
        <f t="shared" si="29"/>
        <v>4</v>
      </c>
    </row>
    <row r="918" spans="11:34" ht="14.5" x14ac:dyDescent="0.35">
      <c r="K918" s="4"/>
      <c r="AC918" s="7">
        <v>2022</v>
      </c>
      <c r="AD918" s="7">
        <v>2</v>
      </c>
      <c r="AE918" s="7">
        <v>8</v>
      </c>
      <c r="AF918" s="8">
        <v>0.16666666666666666</v>
      </c>
      <c r="AG918" s="9">
        <v>3.5</v>
      </c>
      <c r="AH918" s="10">
        <f t="shared" si="29"/>
        <v>4</v>
      </c>
    </row>
    <row r="919" spans="11:34" ht="14.5" x14ac:dyDescent="0.35">
      <c r="K919" s="4"/>
      <c r="AC919" s="7">
        <v>2022</v>
      </c>
      <c r="AD919" s="7">
        <v>2</v>
      </c>
      <c r="AE919" s="7">
        <v>8</v>
      </c>
      <c r="AF919" s="8">
        <v>0.20833333333333334</v>
      </c>
      <c r="AG919" s="9">
        <v>3.5</v>
      </c>
      <c r="AH919" s="10">
        <f t="shared" si="29"/>
        <v>4</v>
      </c>
    </row>
    <row r="920" spans="11:34" ht="14.5" x14ac:dyDescent="0.35">
      <c r="K920" s="4"/>
      <c r="AC920" s="7">
        <v>2022</v>
      </c>
      <c r="AD920" s="7">
        <v>2</v>
      </c>
      <c r="AE920" s="7">
        <v>8</v>
      </c>
      <c r="AF920" s="8">
        <v>0.25</v>
      </c>
      <c r="AG920" s="9">
        <v>3</v>
      </c>
      <c r="AH920" s="10">
        <f t="shared" si="29"/>
        <v>3</v>
      </c>
    </row>
    <row r="921" spans="11:34" ht="14.5" x14ac:dyDescent="0.35">
      <c r="K921" s="4"/>
      <c r="AC921" s="7">
        <v>2022</v>
      </c>
      <c r="AD921" s="7">
        <v>2</v>
      </c>
      <c r="AE921" s="7">
        <v>8</v>
      </c>
      <c r="AF921" s="8">
        <v>0.29166666666666669</v>
      </c>
      <c r="AG921" s="9">
        <v>2.6</v>
      </c>
      <c r="AH921" s="10">
        <f t="shared" si="29"/>
        <v>3</v>
      </c>
    </row>
    <row r="922" spans="11:34" ht="14.5" x14ac:dyDescent="0.35">
      <c r="K922" s="4"/>
      <c r="AC922" s="7">
        <v>2022</v>
      </c>
      <c r="AD922" s="7">
        <v>2</v>
      </c>
      <c r="AE922" s="7">
        <v>8</v>
      </c>
      <c r="AF922" s="8">
        <v>0.33333333333333331</v>
      </c>
      <c r="AG922" s="9">
        <v>3.4</v>
      </c>
      <c r="AH922" s="10">
        <f t="shared" si="29"/>
        <v>3</v>
      </c>
    </row>
    <row r="923" spans="11:34" ht="14.5" x14ac:dyDescent="0.35">
      <c r="K923" s="4"/>
      <c r="AC923" s="7">
        <v>2022</v>
      </c>
      <c r="AD923" s="7">
        <v>2</v>
      </c>
      <c r="AE923" s="7">
        <v>8</v>
      </c>
      <c r="AF923" s="8">
        <v>0.375</v>
      </c>
      <c r="AG923" s="9">
        <v>6</v>
      </c>
      <c r="AH923" s="10">
        <f t="shared" si="29"/>
        <v>6</v>
      </c>
    </row>
    <row r="924" spans="11:34" ht="14.5" x14ac:dyDescent="0.35">
      <c r="K924" s="4"/>
      <c r="AC924" s="7">
        <v>2022</v>
      </c>
      <c r="AD924" s="7">
        <v>2</v>
      </c>
      <c r="AE924" s="7">
        <v>8</v>
      </c>
      <c r="AF924" s="8">
        <v>0.41666666666666669</v>
      </c>
      <c r="AG924" s="9">
        <v>6.5</v>
      </c>
      <c r="AH924" s="10">
        <f t="shared" si="29"/>
        <v>7</v>
      </c>
    </row>
    <row r="925" spans="11:34" ht="14.5" x14ac:dyDescent="0.35">
      <c r="K925" s="4"/>
      <c r="AC925" s="7">
        <v>2022</v>
      </c>
      <c r="AD925" s="7">
        <v>2</v>
      </c>
      <c r="AE925" s="7">
        <v>8</v>
      </c>
      <c r="AF925" s="8">
        <v>0.45833333333333331</v>
      </c>
      <c r="AG925" s="9">
        <v>6.7</v>
      </c>
      <c r="AH925" s="10">
        <f t="shared" si="29"/>
        <v>7</v>
      </c>
    </row>
    <row r="926" spans="11:34" ht="14.5" x14ac:dyDescent="0.35">
      <c r="K926" s="4"/>
      <c r="AC926" s="7">
        <v>2022</v>
      </c>
      <c r="AD926" s="7">
        <v>2</v>
      </c>
      <c r="AE926" s="7">
        <v>8</v>
      </c>
      <c r="AF926" s="8">
        <v>0.5</v>
      </c>
      <c r="AG926" s="9">
        <v>7.6</v>
      </c>
      <c r="AH926" s="10">
        <f t="shared" si="29"/>
        <v>8</v>
      </c>
    </row>
    <row r="927" spans="11:34" ht="14.5" x14ac:dyDescent="0.35">
      <c r="K927" s="4"/>
      <c r="AC927" s="7">
        <v>2022</v>
      </c>
      <c r="AD927" s="7">
        <v>2</v>
      </c>
      <c r="AE927" s="7">
        <v>8</v>
      </c>
      <c r="AF927" s="8">
        <v>0.54166666666666663</v>
      </c>
      <c r="AG927" s="9">
        <v>8.1</v>
      </c>
      <c r="AH927" s="10">
        <f t="shared" si="29"/>
        <v>8</v>
      </c>
    </row>
    <row r="928" spans="11:34" ht="14.5" x14ac:dyDescent="0.35">
      <c r="K928" s="4"/>
      <c r="AC928" s="7">
        <v>2022</v>
      </c>
      <c r="AD928" s="7">
        <v>2</v>
      </c>
      <c r="AE928" s="7">
        <v>8</v>
      </c>
      <c r="AF928" s="8">
        <v>0.58333333333333337</v>
      </c>
      <c r="AG928" s="9">
        <v>9.1</v>
      </c>
      <c r="AH928" s="10">
        <f t="shared" si="29"/>
        <v>9</v>
      </c>
    </row>
    <row r="929" spans="11:34" ht="14.5" x14ac:dyDescent="0.35">
      <c r="K929" s="4"/>
      <c r="AC929" s="7">
        <v>2022</v>
      </c>
      <c r="AD929" s="7">
        <v>2</v>
      </c>
      <c r="AE929" s="7">
        <v>8</v>
      </c>
      <c r="AF929" s="8">
        <v>0.625</v>
      </c>
      <c r="AG929" s="9">
        <v>9.1</v>
      </c>
      <c r="AH929" s="10">
        <f t="shared" si="29"/>
        <v>9</v>
      </c>
    </row>
    <row r="930" spans="11:34" ht="14.5" x14ac:dyDescent="0.35">
      <c r="K930" s="4"/>
      <c r="AC930" s="7">
        <v>2022</v>
      </c>
      <c r="AD930" s="7">
        <v>2</v>
      </c>
      <c r="AE930" s="7">
        <v>8</v>
      </c>
      <c r="AF930" s="8">
        <v>0.66666666666666663</v>
      </c>
      <c r="AG930" s="9">
        <v>9</v>
      </c>
      <c r="AH930" s="10">
        <f t="shared" si="29"/>
        <v>9</v>
      </c>
    </row>
    <row r="931" spans="11:34" ht="14.5" x14ac:dyDescent="0.35">
      <c r="K931" s="4"/>
      <c r="AC931" s="7">
        <v>2022</v>
      </c>
      <c r="AD931" s="7">
        <v>2</v>
      </c>
      <c r="AE931" s="7">
        <v>8</v>
      </c>
      <c r="AF931" s="8">
        <v>0.70833333333333337</v>
      </c>
      <c r="AG931" s="9">
        <v>7.7</v>
      </c>
      <c r="AH931" s="10">
        <f t="shared" si="29"/>
        <v>8</v>
      </c>
    </row>
    <row r="932" spans="11:34" ht="14.5" x14ac:dyDescent="0.35">
      <c r="K932" s="4"/>
      <c r="AC932" s="7">
        <v>2022</v>
      </c>
      <c r="AD932" s="7">
        <v>2</v>
      </c>
      <c r="AE932" s="7">
        <v>8</v>
      </c>
      <c r="AF932" s="8">
        <v>0.75</v>
      </c>
      <c r="AG932" s="9">
        <v>6.8</v>
      </c>
      <c r="AH932" s="10">
        <f t="shared" si="29"/>
        <v>7</v>
      </c>
    </row>
    <row r="933" spans="11:34" ht="14.5" x14ac:dyDescent="0.35">
      <c r="K933" s="4"/>
      <c r="AC933" s="7">
        <v>2022</v>
      </c>
      <c r="AD933" s="7">
        <v>2</v>
      </c>
      <c r="AE933" s="7">
        <v>8</v>
      </c>
      <c r="AF933" s="8">
        <v>0.79166666666666663</v>
      </c>
      <c r="AG933" s="9">
        <v>6.4</v>
      </c>
      <c r="AH933" s="10">
        <f t="shared" si="29"/>
        <v>6</v>
      </c>
    </row>
    <row r="934" spans="11:34" ht="14.5" x14ac:dyDescent="0.35">
      <c r="K934" s="4"/>
      <c r="AC934" s="7">
        <v>2022</v>
      </c>
      <c r="AD934" s="7">
        <v>2</v>
      </c>
      <c r="AE934" s="7">
        <v>8</v>
      </c>
      <c r="AF934" s="8">
        <v>0.83333333333333337</v>
      </c>
      <c r="AG934" s="9">
        <v>6.2</v>
      </c>
      <c r="AH934" s="10">
        <f t="shared" si="29"/>
        <v>6</v>
      </c>
    </row>
    <row r="935" spans="11:34" ht="14.5" x14ac:dyDescent="0.35">
      <c r="K935" s="4"/>
      <c r="AC935" s="7">
        <v>2022</v>
      </c>
      <c r="AD935" s="7">
        <v>2</v>
      </c>
      <c r="AE935" s="7">
        <v>8</v>
      </c>
      <c r="AF935" s="8">
        <v>0.875</v>
      </c>
      <c r="AG935" s="9">
        <v>5.7</v>
      </c>
      <c r="AH935" s="10">
        <f t="shared" si="29"/>
        <v>6</v>
      </c>
    </row>
    <row r="936" spans="11:34" ht="14.5" x14ac:dyDescent="0.35">
      <c r="K936" s="4"/>
      <c r="AC936" s="7">
        <v>2022</v>
      </c>
      <c r="AD936" s="7">
        <v>2</v>
      </c>
      <c r="AE936" s="7">
        <v>8</v>
      </c>
      <c r="AF936" s="8">
        <v>0.91666666666666663</v>
      </c>
      <c r="AG936" s="9">
        <v>5.0999999999999996</v>
      </c>
      <c r="AH936" s="10">
        <f t="shared" si="29"/>
        <v>5</v>
      </c>
    </row>
    <row r="937" spans="11:34" ht="14.5" x14ac:dyDescent="0.35">
      <c r="K937" s="4"/>
      <c r="AC937" s="7">
        <v>2022</v>
      </c>
      <c r="AD937" s="7">
        <v>2</v>
      </c>
      <c r="AE937" s="7">
        <v>8</v>
      </c>
      <c r="AF937" s="8">
        <v>0.95833333333333337</v>
      </c>
      <c r="AG937" s="9">
        <v>4.8</v>
      </c>
      <c r="AH937" s="10">
        <f t="shared" si="29"/>
        <v>5</v>
      </c>
    </row>
    <row r="938" spans="11:34" ht="14.5" x14ac:dyDescent="0.35">
      <c r="K938" s="4"/>
      <c r="AC938" s="7">
        <v>2022</v>
      </c>
      <c r="AD938" s="7">
        <v>2</v>
      </c>
      <c r="AE938" s="7">
        <v>9</v>
      </c>
      <c r="AF938" s="8">
        <v>0</v>
      </c>
      <c r="AG938" s="9">
        <v>5.0999999999999996</v>
      </c>
      <c r="AH938" s="10">
        <f t="shared" si="29"/>
        <v>5</v>
      </c>
    </row>
    <row r="939" spans="11:34" ht="14.5" x14ac:dyDescent="0.35">
      <c r="K939" s="4"/>
      <c r="AC939" s="7">
        <v>2022</v>
      </c>
      <c r="AD939" s="7">
        <v>2</v>
      </c>
      <c r="AE939" s="7">
        <v>9</v>
      </c>
      <c r="AF939" s="8">
        <v>4.1666666666666664E-2</v>
      </c>
      <c r="AG939" s="9">
        <v>4.8</v>
      </c>
      <c r="AH939" s="10">
        <f t="shared" si="29"/>
        <v>5</v>
      </c>
    </row>
    <row r="940" spans="11:34" ht="14.5" x14ac:dyDescent="0.35">
      <c r="K940" s="4"/>
      <c r="AC940" s="7">
        <v>2022</v>
      </c>
      <c r="AD940" s="7">
        <v>2</v>
      </c>
      <c r="AE940" s="7">
        <v>9</v>
      </c>
      <c r="AF940" s="8">
        <v>8.3333333333333329E-2</v>
      </c>
      <c r="AG940" s="9">
        <v>2.6</v>
      </c>
      <c r="AH940" s="10">
        <f t="shared" si="29"/>
        <v>3</v>
      </c>
    </row>
    <row r="941" spans="11:34" ht="14.5" x14ac:dyDescent="0.35">
      <c r="K941" s="4"/>
      <c r="AC941" s="7">
        <v>2022</v>
      </c>
      <c r="AD941" s="7">
        <v>2</v>
      </c>
      <c r="AE941" s="7">
        <v>9</v>
      </c>
      <c r="AF941" s="8">
        <v>0.125</v>
      </c>
      <c r="AG941" s="9">
        <v>6.4</v>
      </c>
      <c r="AH941" s="10">
        <f t="shared" si="29"/>
        <v>6</v>
      </c>
    </row>
    <row r="942" spans="11:34" ht="14.5" x14ac:dyDescent="0.35">
      <c r="K942" s="4"/>
      <c r="AC942" s="7">
        <v>2022</v>
      </c>
      <c r="AD942" s="7">
        <v>2</v>
      </c>
      <c r="AE942" s="7">
        <v>9</v>
      </c>
      <c r="AF942" s="8">
        <v>0.16666666666666666</v>
      </c>
      <c r="AG942" s="9">
        <v>6.2</v>
      </c>
      <c r="AH942" s="10">
        <f t="shared" si="29"/>
        <v>6</v>
      </c>
    </row>
    <row r="943" spans="11:34" ht="14.5" x14ac:dyDescent="0.35">
      <c r="K943" s="4"/>
      <c r="AC943" s="7">
        <v>2022</v>
      </c>
      <c r="AD943" s="7">
        <v>2</v>
      </c>
      <c r="AE943" s="7">
        <v>9</v>
      </c>
      <c r="AF943" s="8">
        <v>0.20833333333333334</v>
      </c>
      <c r="AG943" s="9">
        <v>6.8</v>
      </c>
      <c r="AH943" s="10">
        <f t="shared" si="29"/>
        <v>7</v>
      </c>
    </row>
    <row r="944" spans="11:34" ht="14.5" x14ac:dyDescent="0.35">
      <c r="K944" s="4"/>
      <c r="AC944" s="7">
        <v>2022</v>
      </c>
      <c r="AD944" s="7">
        <v>2</v>
      </c>
      <c r="AE944" s="7">
        <v>9</v>
      </c>
      <c r="AF944" s="8">
        <v>0.25</v>
      </c>
      <c r="AG944" s="9">
        <v>7.8</v>
      </c>
      <c r="AH944" s="10">
        <f t="shared" si="29"/>
        <v>8</v>
      </c>
    </row>
    <row r="945" spans="11:34" ht="14.5" x14ac:dyDescent="0.35">
      <c r="K945" s="4"/>
      <c r="AC945" s="7">
        <v>2022</v>
      </c>
      <c r="AD945" s="7">
        <v>2</v>
      </c>
      <c r="AE945" s="7">
        <v>9</v>
      </c>
      <c r="AF945" s="8">
        <v>0.29166666666666669</v>
      </c>
      <c r="AG945" s="9">
        <v>7</v>
      </c>
      <c r="AH945" s="10">
        <f t="shared" si="29"/>
        <v>7</v>
      </c>
    </row>
    <row r="946" spans="11:34" ht="14.5" x14ac:dyDescent="0.35">
      <c r="K946" s="4"/>
      <c r="AC946" s="7">
        <v>2022</v>
      </c>
      <c r="AD946" s="7">
        <v>2</v>
      </c>
      <c r="AE946" s="7">
        <v>9</v>
      </c>
      <c r="AF946" s="8">
        <v>0.33333333333333331</v>
      </c>
      <c r="AG946" s="9">
        <v>7.7</v>
      </c>
      <c r="AH946" s="10">
        <f t="shared" si="29"/>
        <v>8</v>
      </c>
    </row>
    <row r="947" spans="11:34" ht="14.5" x14ac:dyDescent="0.35">
      <c r="K947" s="4"/>
      <c r="AC947" s="7">
        <v>2022</v>
      </c>
      <c r="AD947" s="7">
        <v>2</v>
      </c>
      <c r="AE947" s="7">
        <v>9</v>
      </c>
      <c r="AF947" s="8">
        <v>0.375</v>
      </c>
      <c r="AG947" s="9">
        <v>8</v>
      </c>
      <c r="AH947" s="10">
        <f t="shared" si="29"/>
        <v>8</v>
      </c>
    </row>
    <row r="948" spans="11:34" ht="14.5" x14ac:dyDescent="0.35">
      <c r="K948" s="4"/>
      <c r="AC948" s="7">
        <v>2022</v>
      </c>
      <c r="AD948" s="7">
        <v>2</v>
      </c>
      <c r="AE948" s="7">
        <v>9</v>
      </c>
      <c r="AF948" s="8">
        <v>0.41666666666666669</v>
      </c>
      <c r="AG948" s="9">
        <v>9.5</v>
      </c>
      <c r="AH948" s="10">
        <f t="shared" si="29"/>
        <v>10</v>
      </c>
    </row>
    <row r="949" spans="11:34" ht="14.5" x14ac:dyDescent="0.35">
      <c r="K949" s="4"/>
      <c r="AC949" s="7">
        <v>2022</v>
      </c>
      <c r="AD949" s="7">
        <v>2</v>
      </c>
      <c r="AE949" s="7">
        <v>9</v>
      </c>
      <c r="AF949" s="8">
        <v>0.45833333333333331</v>
      </c>
      <c r="AG949" s="9">
        <v>11.1</v>
      </c>
      <c r="AH949" s="10">
        <f t="shared" si="29"/>
        <v>11</v>
      </c>
    </row>
    <row r="950" spans="11:34" ht="14.5" x14ac:dyDescent="0.35">
      <c r="K950" s="4"/>
      <c r="AC950" s="7">
        <v>2022</v>
      </c>
      <c r="AD950" s="7">
        <v>2</v>
      </c>
      <c r="AE950" s="7">
        <v>9</v>
      </c>
      <c r="AF950" s="8">
        <v>0.5</v>
      </c>
      <c r="AG950" s="9">
        <v>12</v>
      </c>
      <c r="AH950" s="10">
        <f t="shared" si="29"/>
        <v>12</v>
      </c>
    </row>
    <row r="951" spans="11:34" ht="14.5" x14ac:dyDescent="0.35">
      <c r="K951" s="4"/>
      <c r="AC951" s="7">
        <v>2022</v>
      </c>
      <c r="AD951" s="7">
        <v>2</v>
      </c>
      <c r="AE951" s="7">
        <v>9</v>
      </c>
      <c r="AF951" s="8">
        <v>0.54166666666666663</v>
      </c>
      <c r="AG951" s="9">
        <v>12.9</v>
      </c>
      <c r="AH951" s="10">
        <f t="shared" si="29"/>
        <v>13</v>
      </c>
    </row>
    <row r="952" spans="11:34" ht="14.5" x14ac:dyDescent="0.35">
      <c r="K952" s="4"/>
      <c r="AC952" s="7">
        <v>2022</v>
      </c>
      <c r="AD952" s="7">
        <v>2</v>
      </c>
      <c r="AE952" s="7">
        <v>9</v>
      </c>
      <c r="AF952" s="8">
        <v>0.58333333333333337</v>
      </c>
      <c r="AG952" s="9">
        <v>12.8</v>
      </c>
      <c r="AH952" s="10">
        <f t="shared" si="29"/>
        <v>13</v>
      </c>
    </row>
    <row r="953" spans="11:34" ht="14.5" x14ac:dyDescent="0.35">
      <c r="K953" s="4"/>
      <c r="AC953" s="7">
        <v>2022</v>
      </c>
      <c r="AD953" s="7">
        <v>2</v>
      </c>
      <c r="AE953" s="7">
        <v>9</v>
      </c>
      <c r="AF953" s="8">
        <v>0.625</v>
      </c>
      <c r="AG953" s="9">
        <v>13</v>
      </c>
      <c r="AH953" s="10">
        <f t="shared" si="29"/>
        <v>13</v>
      </c>
    </row>
    <row r="954" spans="11:34" ht="14.5" x14ac:dyDescent="0.35">
      <c r="K954" s="4"/>
      <c r="AC954" s="7">
        <v>2022</v>
      </c>
      <c r="AD954" s="7">
        <v>2</v>
      </c>
      <c r="AE954" s="7">
        <v>9</v>
      </c>
      <c r="AF954" s="8">
        <v>0.66666666666666663</v>
      </c>
      <c r="AG954" s="9">
        <v>12.8</v>
      </c>
      <c r="AH954" s="10">
        <f t="shared" si="29"/>
        <v>13</v>
      </c>
    </row>
    <row r="955" spans="11:34" ht="14.5" x14ac:dyDescent="0.35">
      <c r="K955" s="4"/>
      <c r="AC955" s="7">
        <v>2022</v>
      </c>
      <c r="AD955" s="7">
        <v>2</v>
      </c>
      <c r="AE955" s="7">
        <v>9</v>
      </c>
      <c r="AF955" s="8">
        <v>0.70833333333333337</v>
      </c>
      <c r="AG955" s="9">
        <v>11.8</v>
      </c>
      <c r="AH955" s="10">
        <f t="shared" si="29"/>
        <v>12</v>
      </c>
    </row>
    <row r="956" spans="11:34" ht="14.5" x14ac:dyDescent="0.35">
      <c r="K956" s="4"/>
      <c r="AC956" s="7">
        <v>2022</v>
      </c>
      <c r="AD956" s="7">
        <v>2</v>
      </c>
      <c r="AE956" s="7">
        <v>9</v>
      </c>
      <c r="AF956" s="8">
        <v>0.75</v>
      </c>
      <c r="AG956" s="9">
        <v>10.7</v>
      </c>
      <c r="AH956" s="10">
        <f t="shared" si="29"/>
        <v>11</v>
      </c>
    </row>
    <row r="957" spans="11:34" ht="14.5" x14ac:dyDescent="0.35">
      <c r="K957" s="4"/>
      <c r="AC957" s="7">
        <v>2022</v>
      </c>
      <c r="AD957" s="7">
        <v>2</v>
      </c>
      <c r="AE957" s="7">
        <v>9</v>
      </c>
      <c r="AF957" s="8">
        <v>0.79166666666666663</v>
      </c>
      <c r="AG957" s="9">
        <v>10.1</v>
      </c>
      <c r="AH957" s="10">
        <f t="shared" si="29"/>
        <v>10</v>
      </c>
    </row>
    <row r="958" spans="11:34" ht="14.5" x14ac:dyDescent="0.35">
      <c r="K958" s="4"/>
      <c r="AC958" s="7">
        <v>2022</v>
      </c>
      <c r="AD958" s="7">
        <v>2</v>
      </c>
      <c r="AE958" s="7">
        <v>9</v>
      </c>
      <c r="AF958" s="8">
        <v>0.83333333333333337</v>
      </c>
      <c r="AG958" s="9">
        <v>10.6</v>
      </c>
      <c r="AH958" s="10">
        <f t="shared" si="29"/>
        <v>11</v>
      </c>
    </row>
    <row r="959" spans="11:34" ht="14.5" x14ac:dyDescent="0.35">
      <c r="K959" s="4"/>
      <c r="AC959" s="7">
        <v>2022</v>
      </c>
      <c r="AD959" s="7">
        <v>2</v>
      </c>
      <c r="AE959" s="7">
        <v>9</v>
      </c>
      <c r="AF959" s="8">
        <v>0.875</v>
      </c>
      <c r="AG959" s="9">
        <v>11.1</v>
      </c>
      <c r="AH959" s="10">
        <f t="shared" si="29"/>
        <v>11</v>
      </c>
    </row>
    <row r="960" spans="11:34" ht="14.5" x14ac:dyDescent="0.35">
      <c r="K960" s="4"/>
      <c r="AC960" s="7">
        <v>2022</v>
      </c>
      <c r="AD960" s="7">
        <v>2</v>
      </c>
      <c r="AE960" s="7">
        <v>9</v>
      </c>
      <c r="AF960" s="8">
        <v>0.91666666666666663</v>
      </c>
      <c r="AG960" s="9">
        <v>11.6</v>
      </c>
      <c r="AH960" s="10">
        <f t="shared" si="29"/>
        <v>12</v>
      </c>
    </row>
    <row r="961" spans="11:34" ht="14.5" x14ac:dyDescent="0.35">
      <c r="K961" s="4"/>
      <c r="AC961" s="7">
        <v>2022</v>
      </c>
      <c r="AD961" s="7">
        <v>2</v>
      </c>
      <c r="AE961" s="7">
        <v>9</v>
      </c>
      <c r="AF961" s="8">
        <v>0.95833333333333337</v>
      </c>
      <c r="AG961" s="9">
        <v>12.1</v>
      </c>
      <c r="AH961" s="10">
        <f t="shared" si="29"/>
        <v>12</v>
      </c>
    </row>
    <row r="962" spans="11:34" ht="14.5" x14ac:dyDescent="0.35">
      <c r="K962" s="4"/>
      <c r="AC962" s="7">
        <v>2022</v>
      </c>
      <c r="AD962" s="7">
        <v>2</v>
      </c>
      <c r="AE962" s="7">
        <v>10</v>
      </c>
      <c r="AF962" s="8">
        <v>0</v>
      </c>
      <c r="AG962" s="9">
        <v>12.5</v>
      </c>
      <c r="AH962" s="10">
        <f t="shared" si="29"/>
        <v>13</v>
      </c>
    </row>
    <row r="963" spans="11:34" ht="14.5" x14ac:dyDescent="0.35">
      <c r="K963" s="4"/>
      <c r="AC963" s="7">
        <v>2022</v>
      </c>
      <c r="AD963" s="7">
        <v>2</v>
      </c>
      <c r="AE963" s="7">
        <v>10</v>
      </c>
      <c r="AF963" s="8">
        <v>4.1666666666666664E-2</v>
      </c>
      <c r="AG963" s="9">
        <v>12.6</v>
      </c>
      <c r="AH963" s="10">
        <f t="shared" si="29"/>
        <v>13</v>
      </c>
    </row>
    <row r="964" spans="11:34" ht="14.5" x14ac:dyDescent="0.35">
      <c r="K964" s="4"/>
      <c r="AC964" s="7">
        <v>2022</v>
      </c>
      <c r="AD964" s="7">
        <v>2</v>
      </c>
      <c r="AE964" s="7">
        <v>10</v>
      </c>
      <c r="AF964" s="8">
        <v>8.3333333333333329E-2</v>
      </c>
      <c r="AG964" s="9">
        <v>12.9</v>
      </c>
      <c r="AH964" s="10">
        <f t="shared" si="29"/>
        <v>13</v>
      </c>
    </row>
    <row r="965" spans="11:34" ht="14.5" x14ac:dyDescent="0.35">
      <c r="K965" s="4"/>
      <c r="AC965" s="7">
        <v>2022</v>
      </c>
      <c r="AD965" s="7">
        <v>2</v>
      </c>
      <c r="AE965" s="7">
        <v>10</v>
      </c>
      <c r="AF965" s="8">
        <v>0.125</v>
      </c>
      <c r="AG965" s="9">
        <v>12</v>
      </c>
      <c r="AH965" s="10">
        <f t="shared" si="29"/>
        <v>12</v>
      </c>
    </row>
    <row r="966" spans="11:34" ht="14.5" x14ac:dyDescent="0.35">
      <c r="K966" s="4"/>
      <c r="AC966" s="7">
        <v>2022</v>
      </c>
      <c r="AD966" s="7">
        <v>2</v>
      </c>
      <c r="AE966" s="7">
        <v>10</v>
      </c>
      <c r="AF966" s="8">
        <v>0.16666666666666666</v>
      </c>
      <c r="AG966" s="9">
        <v>11.4</v>
      </c>
      <c r="AH966" s="10">
        <f t="shared" si="29"/>
        <v>11</v>
      </c>
    </row>
    <row r="967" spans="11:34" ht="14.5" x14ac:dyDescent="0.35">
      <c r="K967" s="4"/>
      <c r="AC967" s="7">
        <v>2022</v>
      </c>
      <c r="AD967" s="7">
        <v>2</v>
      </c>
      <c r="AE967" s="7">
        <v>10</v>
      </c>
      <c r="AF967" s="8">
        <v>0.20833333333333334</v>
      </c>
      <c r="AG967" s="9">
        <v>12.7</v>
      </c>
      <c r="AH967" s="10">
        <f t="shared" si="29"/>
        <v>13</v>
      </c>
    </row>
    <row r="968" spans="11:34" ht="14.5" x14ac:dyDescent="0.35">
      <c r="K968" s="4"/>
      <c r="AC968" s="7">
        <v>2022</v>
      </c>
      <c r="AD968" s="7">
        <v>2</v>
      </c>
      <c r="AE968" s="7">
        <v>10</v>
      </c>
      <c r="AF968" s="8">
        <v>0.25</v>
      </c>
      <c r="AG968" s="9">
        <v>11.7</v>
      </c>
      <c r="AH968" s="10">
        <f t="shared" si="29"/>
        <v>12</v>
      </c>
    </row>
    <row r="969" spans="11:34" ht="14.5" x14ac:dyDescent="0.35">
      <c r="K969" s="4"/>
      <c r="AC969" s="7">
        <v>2022</v>
      </c>
      <c r="AD969" s="7">
        <v>2</v>
      </c>
      <c r="AE969" s="7">
        <v>10</v>
      </c>
      <c r="AF969" s="8">
        <v>0.29166666666666669</v>
      </c>
      <c r="AG969" s="9">
        <v>12</v>
      </c>
      <c r="AH969" s="10">
        <f t="shared" si="29"/>
        <v>12</v>
      </c>
    </row>
    <row r="970" spans="11:34" ht="14.5" x14ac:dyDescent="0.35">
      <c r="K970" s="4"/>
      <c r="AC970" s="7">
        <v>2022</v>
      </c>
      <c r="AD970" s="7">
        <v>2</v>
      </c>
      <c r="AE970" s="7">
        <v>10</v>
      </c>
      <c r="AF970" s="8">
        <v>0.33333333333333331</v>
      </c>
      <c r="AG970" s="9">
        <v>7.7</v>
      </c>
      <c r="AH970" s="10">
        <f t="shared" si="29"/>
        <v>8</v>
      </c>
    </row>
    <row r="971" spans="11:34" ht="14.5" x14ac:dyDescent="0.35">
      <c r="K971" s="4"/>
      <c r="AC971" s="7">
        <v>2022</v>
      </c>
      <c r="AD971" s="7">
        <v>2</v>
      </c>
      <c r="AE971" s="7">
        <v>10</v>
      </c>
      <c r="AF971" s="8">
        <v>0.375</v>
      </c>
      <c r="AG971" s="9">
        <v>7.1</v>
      </c>
      <c r="AH971" s="10">
        <f t="shared" ref="AH971:AH1034" si="30">ROUND(AG971,0)</f>
        <v>7</v>
      </c>
    </row>
    <row r="972" spans="11:34" ht="14.5" x14ac:dyDescent="0.35">
      <c r="K972" s="4"/>
      <c r="AC972" s="7">
        <v>2022</v>
      </c>
      <c r="AD972" s="7">
        <v>2</v>
      </c>
      <c r="AE972" s="7">
        <v>10</v>
      </c>
      <c r="AF972" s="8">
        <v>0.41666666666666669</v>
      </c>
      <c r="AG972" s="9">
        <v>8</v>
      </c>
      <c r="AH972" s="10">
        <f t="shared" si="30"/>
        <v>8</v>
      </c>
    </row>
    <row r="973" spans="11:34" ht="14.5" x14ac:dyDescent="0.35">
      <c r="K973" s="4"/>
      <c r="AC973" s="7">
        <v>2022</v>
      </c>
      <c r="AD973" s="7">
        <v>2</v>
      </c>
      <c r="AE973" s="7">
        <v>10</v>
      </c>
      <c r="AF973" s="8">
        <v>0.45833333333333331</v>
      </c>
      <c r="AG973" s="9">
        <v>8.4</v>
      </c>
      <c r="AH973" s="10">
        <f t="shared" si="30"/>
        <v>8</v>
      </c>
    </row>
    <row r="974" spans="11:34" ht="14.5" x14ac:dyDescent="0.35">
      <c r="K974" s="4"/>
      <c r="AC974" s="7">
        <v>2022</v>
      </c>
      <c r="AD974" s="7">
        <v>2</v>
      </c>
      <c r="AE974" s="7">
        <v>10</v>
      </c>
      <c r="AF974" s="8">
        <v>0.5</v>
      </c>
      <c r="AG974" s="9">
        <v>8.1999999999999993</v>
      </c>
      <c r="AH974" s="10">
        <f t="shared" si="30"/>
        <v>8</v>
      </c>
    </row>
    <row r="975" spans="11:34" ht="14.5" x14ac:dyDescent="0.35">
      <c r="K975" s="4"/>
      <c r="AC975" s="7">
        <v>2022</v>
      </c>
      <c r="AD975" s="7">
        <v>2</v>
      </c>
      <c r="AE975" s="7">
        <v>10</v>
      </c>
      <c r="AF975" s="8">
        <v>0.54166666666666663</v>
      </c>
      <c r="AG975" s="9">
        <v>8</v>
      </c>
      <c r="AH975" s="10">
        <f t="shared" si="30"/>
        <v>8</v>
      </c>
    </row>
    <row r="976" spans="11:34" ht="14.5" x14ac:dyDescent="0.35">
      <c r="K976" s="4"/>
      <c r="AC976" s="7">
        <v>2022</v>
      </c>
      <c r="AD976" s="7">
        <v>2</v>
      </c>
      <c r="AE976" s="7">
        <v>10</v>
      </c>
      <c r="AF976" s="8">
        <v>0.58333333333333337</v>
      </c>
      <c r="AG976" s="9">
        <v>9.1999999999999993</v>
      </c>
      <c r="AH976" s="10">
        <f t="shared" si="30"/>
        <v>9</v>
      </c>
    </row>
    <row r="977" spans="11:34" ht="14.5" x14ac:dyDescent="0.35">
      <c r="K977" s="4"/>
      <c r="AC977" s="7">
        <v>2022</v>
      </c>
      <c r="AD977" s="7">
        <v>2</v>
      </c>
      <c r="AE977" s="7">
        <v>10</v>
      </c>
      <c r="AF977" s="8">
        <v>0.625</v>
      </c>
      <c r="AG977" s="9">
        <v>7.9</v>
      </c>
      <c r="AH977" s="10">
        <f t="shared" si="30"/>
        <v>8</v>
      </c>
    </row>
    <row r="978" spans="11:34" ht="14.5" x14ac:dyDescent="0.35">
      <c r="K978" s="4"/>
      <c r="AC978" s="7">
        <v>2022</v>
      </c>
      <c r="AD978" s="7">
        <v>2</v>
      </c>
      <c r="AE978" s="7">
        <v>10</v>
      </c>
      <c r="AF978" s="8">
        <v>0.66666666666666663</v>
      </c>
      <c r="AG978" s="9">
        <v>6.8</v>
      </c>
      <c r="AH978" s="10">
        <f t="shared" si="30"/>
        <v>7</v>
      </c>
    </row>
    <row r="979" spans="11:34" ht="14.5" x14ac:dyDescent="0.35">
      <c r="K979" s="4"/>
      <c r="AC979" s="7">
        <v>2022</v>
      </c>
      <c r="AD979" s="7">
        <v>2</v>
      </c>
      <c r="AE979" s="7">
        <v>10</v>
      </c>
      <c r="AF979" s="8">
        <v>0.70833333333333337</v>
      </c>
      <c r="AG979" s="9">
        <v>5.5</v>
      </c>
      <c r="AH979" s="10">
        <f t="shared" si="30"/>
        <v>6</v>
      </c>
    </row>
    <row r="980" spans="11:34" ht="14.5" x14ac:dyDescent="0.35">
      <c r="K980" s="4"/>
      <c r="AC980" s="7">
        <v>2022</v>
      </c>
      <c r="AD980" s="7">
        <v>2</v>
      </c>
      <c r="AE980" s="7">
        <v>10</v>
      </c>
      <c r="AF980" s="8">
        <v>0.75</v>
      </c>
      <c r="AG980" s="9">
        <v>5.7</v>
      </c>
      <c r="AH980" s="10">
        <f t="shared" si="30"/>
        <v>6</v>
      </c>
    </row>
    <row r="981" spans="11:34" ht="14.5" x14ac:dyDescent="0.35">
      <c r="K981" s="4"/>
      <c r="AC981" s="7">
        <v>2022</v>
      </c>
      <c r="AD981" s="7">
        <v>2</v>
      </c>
      <c r="AE981" s="7">
        <v>10</v>
      </c>
      <c r="AF981" s="8">
        <v>0.79166666666666663</v>
      </c>
      <c r="AG981" s="9">
        <v>4.7</v>
      </c>
      <c r="AH981" s="10">
        <f t="shared" si="30"/>
        <v>5</v>
      </c>
    </row>
    <row r="982" spans="11:34" ht="14.5" x14ac:dyDescent="0.35">
      <c r="K982" s="4"/>
      <c r="AC982" s="7">
        <v>2022</v>
      </c>
      <c r="AD982" s="7">
        <v>2</v>
      </c>
      <c r="AE982" s="7">
        <v>10</v>
      </c>
      <c r="AF982" s="8">
        <v>0.83333333333333337</v>
      </c>
      <c r="AG982" s="9">
        <v>2.4</v>
      </c>
      <c r="AH982" s="10">
        <f t="shared" si="30"/>
        <v>2</v>
      </c>
    </row>
    <row r="983" spans="11:34" ht="14.5" x14ac:dyDescent="0.35">
      <c r="K983" s="4"/>
      <c r="AC983" s="7">
        <v>2022</v>
      </c>
      <c r="AD983" s="7">
        <v>2</v>
      </c>
      <c r="AE983" s="7">
        <v>10</v>
      </c>
      <c r="AF983" s="8">
        <v>0.875</v>
      </c>
      <c r="AG983" s="9">
        <v>1.4</v>
      </c>
      <c r="AH983" s="10">
        <f t="shared" si="30"/>
        <v>1</v>
      </c>
    </row>
    <row r="984" spans="11:34" ht="14.5" x14ac:dyDescent="0.35">
      <c r="K984" s="4"/>
      <c r="AC984" s="7">
        <v>2022</v>
      </c>
      <c r="AD984" s="7">
        <v>2</v>
      </c>
      <c r="AE984" s="7">
        <v>10</v>
      </c>
      <c r="AF984" s="8">
        <v>0.91666666666666663</v>
      </c>
      <c r="AG984" s="9">
        <v>-0.8</v>
      </c>
      <c r="AH984" s="10">
        <f t="shared" si="30"/>
        <v>-1</v>
      </c>
    </row>
    <row r="985" spans="11:34" ht="14.5" x14ac:dyDescent="0.35">
      <c r="K985" s="4"/>
      <c r="AC985" s="7">
        <v>2022</v>
      </c>
      <c r="AD985" s="7">
        <v>2</v>
      </c>
      <c r="AE985" s="7">
        <v>10</v>
      </c>
      <c r="AF985" s="8">
        <v>0.95833333333333337</v>
      </c>
      <c r="AG985" s="9">
        <v>-2.9</v>
      </c>
      <c r="AH985" s="10">
        <f t="shared" si="30"/>
        <v>-3</v>
      </c>
    </row>
    <row r="986" spans="11:34" ht="14.5" x14ac:dyDescent="0.35">
      <c r="K986" s="4"/>
      <c r="AC986" s="7">
        <v>2022</v>
      </c>
      <c r="AD986" s="7">
        <v>2</v>
      </c>
      <c r="AE986" s="7">
        <v>11</v>
      </c>
      <c r="AF986" s="8">
        <v>0</v>
      </c>
      <c r="AG986" s="9">
        <v>1.3</v>
      </c>
      <c r="AH986" s="10">
        <f t="shared" si="30"/>
        <v>1</v>
      </c>
    </row>
    <row r="987" spans="11:34" ht="14.5" x14ac:dyDescent="0.35">
      <c r="K987" s="4"/>
      <c r="AC987" s="7">
        <v>2022</v>
      </c>
      <c r="AD987" s="7">
        <v>2</v>
      </c>
      <c r="AE987" s="7">
        <v>11</v>
      </c>
      <c r="AF987" s="8">
        <v>4.1666666666666664E-2</v>
      </c>
      <c r="AG987" s="9">
        <v>1</v>
      </c>
      <c r="AH987" s="10">
        <f t="shared" si="30"/>
        <v>1</v>
      </c>
    </row>
    <row r="988" spans="11:34" ht="14.5" x14ac:dyDescent="0.35">
      <c r="K988" s="4"/>
      <c r="AC988" s="7">
        <v>2022</v>
      </c>
      <c r="AD988" s="7">
        <v>2</v>
      </c>
      <c r="AE988" s="7">
        <v>11</v>
      </c>
      <c r="AF988" s="8">
        <v>8.3333333333333329E-2</v>
      </c>
      <c r="AG988" s="9">
        <v>1.1000000000000001</v>
      </c>
      <c r="AH988" s="10">
        <f t="shared" si="30"/>
        <v>1</v>
      </c>
    </row>
    <row r="989" spans="11:34" ht="14.5" x14ac:dyDescent="0.35">
      <c r="K989" s="4"/>
      <c r="AC989" s="7">
        <v>2022</v>
      </c>
      <c r="AD989" s="7">
        <v>2</v>
      </c>
      <c r="AE989" s="7">
        <v>11</v>
      </c>
      <c r="AF989" s="8">
        <v>0.125</v>
      </c>
      <c r="AG989" s="9">
        <v>1</v>
      </c>
      <c r="AH989" s="10">
        <f t="shared" si="30"/>
        <v>1</v>
      </c>
    </row>
    <row r="990" spans="11:34" ht="14.5" x14ac:dyDescent="0.35">
      <c r="K990" s="4"/>
      <c r="AC990" s="7">
        <v>2022</v>
      </c>
      <c r="AD990" s="7">
        <v>2</v>
      </c>
      <c r="AE990" s="7">
        <v>11</v>
      </c>
      <c r="AF990" s="8">
        <v>0.16666666666666666</v>
      </c>
      <c r="AG990" s="9">
        <v>1.1000000000000001</v>
      </c>
      <c r="AH990" s="10">
        <f t="shared" si="30"/>
        <v>1</v>
      </c>
    </row>
    <row r="991" spans="11:34" ht="14.5" x14ac:dyDescent="0.35">
      <c r="K991" s="4"/>
      <c r="AC991" s="7">
        <v>2022</v>
      </c>
      <c r="AD991" s="7">
        <v>2</v>
      </c>
      <c r="AE991" s="7">
        <v>11</v>
      </c>
      <c r="AF991" s="8">
        <v>0.20833333333333334</v>
      </c>
      <c r="AG991" s="9">
        <v>-0.9</v>
      </c>
      <c r="AH991" s="10">
        <f t="shared" si="30"/>
        <v>-1</v>
      </c>
    </row>
    <row r="992" spans="11:34" ht="14.5" x14ac:dyDescent="0.35">
      <c r="K992" s="4"/>
      <c r="AC992" s="7">
        <v>2022</v>
      </c>
      <c r="AD992" s="7">
        <v>2</v>
      </c>
      <c r="AE992" s="7">
        <v>11</v>
      </c>
      <c r="AF992" s="8">
        <v>0.25</v>
      </c>
      <c r="AG992" s="9">
        <v>-3.2</v>
      </c>
      <c r="AH992" s="10">
        <f t="shared" si="30"/>
        <v>-3</v>
      </c>
    </row>
    <row r="993" spans="11:34" ht="14.5" x14ac:dyDescent="0.35">
      <c r="K993" s="4"/>
      <c r="AC993" s="7">
        <v>2022</v>
      </c>
      <c r="AD993" s="7">
        <v>2</v>
      </c>
      <c r="AE993" s="7">
        <v>11</v>
      </c>
      <c r="AF993" s="8">
        <v>0.29166666666666669</v>
      </c>
      <c r="AG993" s="9">
        <v>-3.5</v>
      </c>
      <c r="AH993" s="10">
        <f t="shared" si="30"/>
        <v>-4</v>
      </c>
    </row>
    <row r="994" spans="11:34" ht="14.5" x14ac:dyDescent="0.35">
      <c r="K994" s="4"/>
      <c r="AC994" s="7">
        <v>2022</v>
      </c>
      <c r="AD994" s="7">
        <v>2</v>
      </c>
      <c r="AE994" s="7">
        <v>11</v>
      </c>
      <c r="AF994" s="8">
        <v>0.33333333333333331</v>
      </c>
      <c r="AG994" s="9">
        <v>-4</v>
      </c>
      <c r="AH994" s="10">
        <f t="shared" si="30"/>
        <v>-4</v>
      </c>
    </row>
    <row r="995" spans="11:34" ht="14.5" x14ac:dyDescent="0.35">
      <c r="K995" s="4"/>
      <c r="AC995" s="7">
        <v>2022</v>
      </c>
      <c r="AD995" s="7">
        <v>2</v>
      </c>
      <c r="AE995" s="7">
        <v>11</v>
      </c>
      <c r="AF995" s="8">
        <v>0.375</v>
      </c>
      <c r="AG995" s="9">
        <v>-3.5</v>
      </c>
      <c r="AH995" s="10">
        <f t="shared" si="30"/>
        <v>-4</v>
      </c>
    </row>
    <row r="996" spans="11:34" ht="14.5" x14ac:dyDescent="0.35">
      <c r="K996" s="4"/>
      <c r="AC996" s="7">
        <v>2022</v>
      </c>
      <c r="AD996" s="7">
        <v>2</v>
      </c>
      <c r="AE996" s="7">
        <v>11</v>
      </c>
      <c r="AF996" s="8">
        <v>0.41666666666666669</v>
      </c>
      <c r="AG996" s="9">
        <v>-2.1</v>
      </c>
      <c r="AH996" s="10">
        <f t="shared" si="30"/>
        <v>-2</v>
      </c>
    </row>
    <row r="997" spans="11:34" ht="14.5" x14ac:dyDescent="0.35">
      <c r="K997" s="4"/>
      <c r="AC997" s="7">
        <v>2022</v>
      </c>
      <c r="AD997" s="7">
        <v>2</v>
      </c>
      <c r="AE997" s="7">
        <v>11</v>
      </c>
      <c r="AF997" s="8">
        <v>0.45833333333333331</v>
      </c>
      <c r="AG997" s="9">
        <v>-1.6</v>
      </c>
      <c r="AH997" s="10">
        <f t="shared" si="30"/>
        <v>-2</v>
      </c>
    </row>
    <row r="998" spans="11:34" ht="14.5" x14ac:dyDescent="0.35">
      <c r="K998" s="4"/>
      <c r="AC998" s="7">
        <v>2022</v>
      </c>
      <c r="AD998" s="7">
        <v>2</v>
      </c>
      <c r="AE998" s="7">
        <v>11</v>
      </c>
      <c r="AF998" s="8">
        <v>0.5</v>
      </c>
      <c r="AG998" s="9">
        <v>-0.9</v>
      </c>
      <c r="AH998" s="10">
        <f t="shared" si="30"/>
        <v>-1</v>
      </c>
    </row>
    <row r="999" spans="11:34" ht="14.5" x14ac:dyDescent="0.35">
      <c r="K999" s="4"/>
      <c r="AC999" s="7">
        <v>2022</v>
      </c>
      <c r="AD999" s="7">
        <v>2</v>
      </c>
      <c r="AE999" s="7">
        <v>11</v>
      </c>
      <c r="AF999" s="8">
        <v>0.54166666666666663</v>
      </c>
      <c r="AG999" s="9">
        <v>0</v>
      </c>
      <c r="AH999" s="10">
        <f t="shared" si="30"/>
        <v>0</v>
      </c>
    </row>
    <row r="1000" spans="11:34" ht="14.5" x14ac:dyDescent="0.35">
      <c r="K1000" s="4"/>
      <c r="AC1000" s="7">
        <v>2022</v>
      </c>
      <c r="AD1000" s="7">
        <v>2</v>
      </c>
      <c r="AE1000" s="7">
        <v>11</v>
      </c>
      <c r="AF1000" s="8">
        <v>0.58333333333333337</v>
      </c>
      <c r="AG1000" s="9">
        <v>0.1</v>
      </c>
      <c r="AH1000" s="10">
        <f t="shared" si="30"/>
        <v>0</v>
      </c>
    </row>
    <row r="1001" spans="11:34" ht="14.5" x14ac:dyDescent="0.35">
      <c r="K1001" s="4"/>
      <c r="AC1001" s="7">
        <v>2022</v>
      </c>
      <c r="AD1001" s="7">
        <v>2</v>
      </c>
      <c r="AE1001" s="7">
        <v>11</v>
      </c>
      <c r="AF1001" s="8">
        <v>0.625</v>
      </c>
      <c r="AG1001" s="9">
        <v>0.4</v>
      </c>
      <c r="AH1001" s="10">
        <f t="shared" si="30"/>
        <v>0</v>
      </c>
    </row>
    <row r="1002" spans="11:34" ht="14.5" x14ac:dyDescent="0.35">
      <c r="K1002" s="4"/>
      <c r="AC1002" s="7">
        <v>2022</v>
      </c>
      <c r="AD1002" s="7">
        <v>2</v>
      </c>
      <c r="AE1002" s="7">
        <v>11</v>
      </c>
      <c r="AF1002" s="8">
        <v>0.66666666666666663</v>
      </c>
      <c r="AG1002" s="9">
        <v>1.1000000000000001</v>
      </c>
      <c r="AH1002" s="10">
        <f t="shared" si="30"/>
        <v>1</v>
      </c>
    </row>
    <row r="1003" spans="11:34" ht="14.5" x14ac:dyDescent="0.35">
      <c r="K1003" s="4"/>
      <c r="AC1003" s="7">
        <v>2022</v>
      </c>
      <c r="AD1003" s="7">
        <v>2</v>
      </c>
      <c r="AE1003" s="7">
        <v>11</v>
      </c>
      <c r="AF1003" s="8">
        <v>0.70833333333333337</v>
      </c>
      <c r="AG1003" s="9">
        <v>-0.1</v>
      </c>
      <c r="AH1003" s="10">
        <f t="shared" si="30"/>
        <v>0</v>
      </c>
    </row>
    <row r="1004" spans="11:34" ht="14.5" x14ac:dyDescent="0.35">
      <c r="K1004" s="4"/>
      <c r="AC1004" s="7">
        <v>2022</v>
      </c>
      <c r="AD1004" s="7">
        <v>2</v>
      </c>
      <c r="AE1004" s="7">
        <v>11</v>
      </c>
      <c r="AF1004" s="8">
        <v>0.75</v>
      </c>
      <c r="AG1004" s="9">
        <v>-3.7</v>
      </c>
      <c r="AH1004" s="10">
        <f t="shared" si="30"/>
        <v>-4</v>
      </c>
    </row>
    <row r="1005" spans="11:34" ht="14.5" x14ac:dyDescent="0.35">
      <c r="K1005" s="4"/>
      <c r="AC1005" s="7">
        <v>2022</v>
      </c>
      <c r="AD1005" s="7">
        <v>2</v>
      </c>
      <c r="AE1005" s="7">
        <v>11</v>
      </c>
      <c r="AF1005" s="8">
        <v>0.79166666666666663</v>
      </c>
      <c r="AG1005" s="9">
        <v>-2.5</v>
      </c>
      <c r="AH1005" s="10">
        <f t="shared" si="30"/>
        <v>-3</v>
      </c>
    </row>
    <row r="1006" spans="11:34" ht="14.5" x14ac:dyDescent="0.35">
      <c r="K1006" s="4"/>
      <c r="AC1006" s="7">
        <v>2022</v>
      </c>
      <c r="AD1006" s="7">
        <v>2</v>
      </c>
      <c r="AE1006" s="7">
        <v>11</v>
      </c>
      <c r="AF1006" s="8">
        <v>0.83333333333333337</v>
      </c>
      <c r="AG1006" s="9">
        <v>-3.2</v>
      </c>
      <c r="AH1006" s="10">
        <f t="shared" si="30"/>
        <v>-3</v>
      </c>
    </row>
    <row r="1007" spans="11:34" ht="14.5" x14ac:dyDescent="0.35">
      <c r="K1007" s="4"/>
      <c r="AC1007" s="7">
        <v>2022</v>
      </c>
      <c r="AD1007" s="7">
        <v>2</v>
      </c>
      <c r="AE1007" s="7">
        <v>11</v>
      </c>
      <c r="AF1007" s="8">
        <v>0.875</v>
      </c>
      <c r="AG1007" s="9">
        <v>-3.7</v>
      </c>
      <c r="AH1007" s="10">
        <f t="shared" si="30"/>
        <v>-4</v>
      </c>
    </row>
    <row r="1008" spans="11:34" ht="14.5" x14ac:dyDescent="0.35">
      <c r="K1008" s="4"/>
      <c r="AC1008" s="7">
        <v>2022</v>
      </c>
      <c r="AD1008" s="7">
        <v>2</v>
      </c>
      <c r="AE1008" s="7">
        <v>11</v>
      </c>
      <c r="AF1008" s="8">
        <v>0.91666666666666663</v>
      </c>
      <c r="AG1008" s="9">
        <v>-3.7</v>
      </c>
      <c r="AH1008" s="10">
        <f t="shared" si="30"/>
        <v>-4</v>
      </c>
    </row>
    <row r="1009" spans="11:34" ht="14.5" x14ac:dyDescent="0.35">
      <c r="K1009" s="4"/>
      <c r="AC1009" s="7">
        <v>2022</v>
      </c>
      <c r="AD1009" s="7">
        <v>2</v>
      </c>
      <c r="AE1009" s="7">
        <v>11</v>
      </c>
      <c r="AF1009" s="8">
        <v>0.95833333333333337</v>
      </c>
      <c r="AG1009" s="9">
        <v>-2.2999999999999998</v>
      </c>
      <c r="AH1009" s="10">
        <f t="shared" si="30"/>
        <v>-2</v>
      </c>
    </row>
    <row r="1010" spans="11:34" ht="14.5" x14ac:dyDescent="0.35">
      <c r="K1010" s="4"/>
      <c r="AC1010" s="7">
        <v>2022</v>
      </c>
      <c r="AD1010" s="7">
        <v>2</v>
      </c>
      <c r="AE1010" s="7">
        <v>12</v>
      </c>
      <c r="AF1010" s="8">
        <v>0</v>
      </c>
      <c r="AG1010" s="9">
        <v>2.1</v>
      </c>
      <c r="AH1010" s="10">
        <f t="shared" si="30"/>
        <v>2</v>
      </c>
    </row>
    <row r="1011" spans="11:34" ht="14.5" x14ac:dyDescent="0.35">
      <c r="K1011" s="4"/>
      <c r="AC1011" s="7">
        <v>2022</v>
      </c>
      <c r="AD1011" s="7">
        <v>2</v>
      </c>
      <c r="AE1011" s="7">
        <v>12</v>
      </c>
      <c r="AF1011" s="8">
        <v>4.1666666666666664E-2</v>
      </c>
      <c r="AG1011" s="9">
        <v>3</v>
      </c>
      <c r="AH1011" s="10">
        <f t="shared" si="30"/>
        <v>3</v>
      </c>
    </row>
    <row r="1012" spans="11:34" ht="14.5" x14ac:dyDescent="0.35">
      <c r="K1012" s="4"/>
      <c r="AC1012" s="7">
        <v>2022</v>
      </c>
      <c r="AD1012" s="7">
        <v>2</v>
      </c>
      <c r="AE1012" s="7">
        <v>12</v>
      </c>
      <c r="AF1012" s="8">
        <v>8.3333333333333329E-2</v>
      </c>
      <c r="AG1012" s="9">
        <v>3.5</v>
      </c>
      <c r="AH1012" s="10">
        <f t="shared" si="30"/>
        <v>4</v>
      </c>
    </row>
    <row r="1013" spans="11:34" ht="14.5" x14ac:dyDescent="0.35">
      <c r="K1013" s="4"/>
      <c r="AC1013" s="7">
        <v>2022</v>
      </c>
      <c r="AD1013" s="7">
        <v>2</v>
      </c>
      <c r="AE1013" s="7">
        <v>12</v>
      </c>
      <c r="AF1013" s="8">
        <v>0.125</v>
      </c>
      <c r="AG1013" s="9">
        <v>2.7</v>
      </c>
      <c r="AH1013" s="10">
        <f t="shared" si="30"/>
        <v>3</v>
      </c>
    </row>
    <row r="1014" spans="11:34" ht="14.5" x14ac:dyDescent="0.35">
      <c r="K1014" s="4"/>
      <c r="AC1014" s="7">
        <v>2022</v>
      </c>
      <c r="AD1014" s="7">
        <v>2</v>
      </c>
      <c r="AE1014" s="7">
        <v>12</v>
      </c>
      <c r="AF1014" s="8">
        <v>0.16666666666666666</v>
      </c>
      <c r="AG1014" s="9">
        <v>0.4</v>
      </c>
      <c r="AH1014" s="10">
        <f t="shared" si="30"/>
        <v>0</v>
      </c>
    </row>
    <row r="1015" spans="11:34" ht="14.5" x14ac:dyDescent="0.35">
      <c r="K1015" s="4"/>
      <c r="AC1015" s="7">
        <v>2022</v>
      </c>
      <c r="AD1015" s="7">
        <v>2</v>
      </c>
      <c r="AE1015" s="7">
        <v>12</v>
      </c>
      <c r="AF1015" s="8">
        <v>0.20833333333333334</v>
      </c>
      <c r="AG1015" s="9">
        <v>1.8</v>
      </c>
      <c r="AH1015" s="10">
        <f t="shared" si="30"/>
        <v>2</v>
      </c>
    </row>
    <row r="1016" spans="11:34" ht="14.5" x14ac:dyDescent="0.35">
      <c r="K1016" s="4"/>
      <c r="AC1016" s="7">
        <v>2022</v>
      </c>
      <c r="AD1016" s="7">
        <v>2</v>
      </c>
      <c r="AE1016" s="7">
        <v>12</v>
      </c>
      <c r="AF1016" s="8">
        <v>0.25</v>
      </c>
      <c r="AG1016" s="9">
        <v>1.3</v>
      </c>
      <c r="AH1016" s="10">
        <f t="shared" si="30"/>
        <v>1</v>
      </c>
    </row>
    <row r="1017" spans="11:34" ht="14.5" x14ac:dyDescent="0.35">
      <c r="K1017" s="4"/>
      <c r="AC1017" s="7">
        <v>2022</v>
      </c>
      <c r="AD1017" s="7">
        <v>2</v>
      </c>
      <c r="AE1017" s="7">
        <v>12</v>
      </c>
      <c r="AF1017" s="8">
        <v>0.29166666666666669</v>
      </c>
      <c r="AG1017" s="9">
        <v>0.8</v>
      </c>
      <c r="AH1017" s="10">
        <f t="shared" si="30"/>
        <v>1</v>
      </c>
    </row>
    <row r="1018" spans="11:34" ht="14.5" x14ac:dyDescent="0.35">
      <c r="K1018" s="4"/>
      <c r="AC1018" s="7">
        <v>2022</v>
      </c>
      <c r="AD1018" s="7">
        <v>2</v>
      </c>
      <c r="AE1018" s="7">
        <v>12</v>
      </c>
      <c r="AF1018" s="8">
        <v>0.33333333333333331</v>
      </c>
      <c r="AG1018" s="9">
        <v>0.5</v>
      </c>
      <c r="AH1018" s="10">
        <f t="shared" si="30"/>
        <v>1</v>
      </c>
    </row>
    <row r="1019" spans="11:34" ht="14.5" x14ac:dyDescent="0.35">
      <c r="K1019" s="4"/>
      <c r="AC1019" s="7">
        <v>2022</v>
      </c>
      <c r="AD1019" s="7">
        <v>2</v>
      </c>
      <c r="AE1019" s="7">
        <v>12</v>
      </c>
      <c r="AF1019" s="8">
        <v>0.375</v>
      </c>
      <c r="AG1019" s="9">
        <v>1</v>
      </c>
      <c r="AH1019" s="10">
        <f t="shared" si="30"/>
        <v>1</v>
      </c>
    </row>
    <row r="1020" spans="11:34" ht="14.5" x14ac:dyDescent="0.35">
      <c r="K1020" s="4"/>
      <c r="AC1020" s="7">
        <v>2022</v>
      </c>
      <c r="AD1020" s="7">
        <v>2</v>
      </c>
      <c r="AE1020" s="7">
        <v>12</v>
      </c>
      <c r="AF1020" s="8">
        <v>0.41666666666666669</v>
      </c>
      <c r="AG1020" s="9">
        <v>2</v>
      </c>
      <c r="AH1020" s="10">
        <f t="shared" si="30"/>
        <v>2</v>
      </c>
    </row>
    <row r="1021" spans="11:34" ht="14.5" x14ac:dyDescent="0.35">
      <c r="K1021" s="4"/>
      <c r="AC1021" s="7">
        <v>2022</v>
      </c>
      <c r="AD1021" s="7">
        <v>2</v>
      </c>
      <c r="AE1021" s="7">
        <v>12</v>
      </c>
      <c r="AF1021" s="8">
        <v>0.45833333333333331</v>
      </c>
      <c r="AG1021" s="9">
        <v>3.3</v>
      </c>
      <c r="AH1021" s="10">
        <f t="shared" si="30"/>
        <v>3</v>
      </c>
    </row>
    <row r="1022" spans="11:34" ht="14.5" x14ac:dyDescent="0.35">
      <c r="K1022" s="4"/>
      <c r="AC1022" s="7">
        <v>2022</v>
      </c>
      <c r="AD1022" s="7">
        <v>2</v>
      </c>
      <c r="AE1022" s="7">
        <v>12</v>
      </c>
      <c r="AF1022" s="8">
        <v>0.5</v>
      </c>
      <c r="AG1022" s="9">
        <v>4</v>
      </c>
      <c r="AH1022" s="10">
        <f t="shared" si="30"/>
        <v>4</v>
      </c>
    </row>
    <row r="1023" spans="11:34" ht="14.5" x14ac:dyDescent="0.35">
      <c r="K1023" s="4"/>
      <c r="AC1023" s="7">
        <v>2022</v>
      </c>
      <c r="AD1023" s="7">
        <v>2</v>
      </c>
      <c r="AE1023" s="7">
        <v>12</v>
      </c>
      <c r="AF1023" s="8">
        <v>0.54166666666666663</v>
      </c>
      <c r="AG1023" s="9">
        <v>5.9</v>
      </c>
      <c r="AH1023" s="10">
        <f t="shared" si="30"/>
        <v>6</v>
      </c>
    </row>
    <row r="1024" spans="11:34" ht="14.5" x14ac:dyDescent="0.35">
      <c r="K1024" s="4"/>
      <c r="AC1024" s="7">
        <v>2022</v>
      </c>
      <c r="AD1024" s="7">
        <v>2</v>
      </c>
      <c r="AE1024" s="7">
        <v>12</v>
      </c>
      <c r="AF1024" s="8">
        <v>0.58333333333333337</v>
      </c>
      <c r="AG1024" s="9">
        <v>6.8</v>
      </c>
      <c r="AH1024" s="10">
        <f t="shared" si="30"/>
        <v>7</v>
      </c>
    </row>
    <row r="1025" spans="11:34" ht="14.5" x14ac:dyDescent="0.35">
      <c r="K1025" s="4"/>
      <c r="AC1025" s="7">
        <v>2022</v>
      </c>
      <c r="AD1025" s="7">
        <v>2</v>
      </c>
      <c r="AE1025" s="7">
        <v>12</v>
      </c>
      <c r="AF1025" s="8">
        <v>0.625</v>
      </c>
      <c r="AG1025" s="9">
        <v>7.2</v>
      </c>
      <c r="AH1025" s="10">
        <f t="shared" si="30"/>
        <v>7</v>
      </c>
    </row>
    <row r="1026" spans="11:34" ht="14.5" x14ac:dyDescent="0.35">
      <c r="K1026" s="4"/>
      <c r="AC1026" s="7">
        <v>2022</v>
      </c>
      <c r="AD1026" s="7">
        <v>2</v>
      </c>
      <c r="AE1026" s="7">
        <v>12</v>
      </c>
      <c r="AF1026" s="8">
        <v>0.66666666666666663</v>
      </c>
      <c r="AG1026" s="9">
        <v>6.7</v>
      </c>
      <c r="AH1026" s="10">
        <f t="shared" si="30"/>
        <v>7</v>
      </c>
    </row>
    <row r="1027" spans="11:34" ht="14.5" x14ac:dyDescent="0.35">
      <c r="K1027" s="4"/>
      <c r="AC1027" s="7">
        <v>2022</v>
      </c>
      <c r="AD1027" s="7">
        <v>2</v>
      </c>
      <c r="AE1027" s="7">
        <v>12</v>
      </c>
      <c r="AF1027" s="8">
        <v>0.70833333333333337</v>
      </c>
      <c r="AG1027" s="9">
        <v>5.3</v>
      </c>
      <c r="AH1027" s="10">
        <f t="shared" si="30"/>
        <v>5</v>
      </c>
    </row>
    <row r="1028" spans="11:34" ht="14.5" x14ac:dyDescent="0.35">
      <c r="K1028" s="4"/>
      <c r="AC1028" s="7">
        <v>2022</v>
      </c>
      <c r="AD1028" s="7">
        <v>2</v>
      </c>
      <c r="AE1028" s="7">
        <v>12</v>
      </c>
      <c r="AF1028" s="8">
        <v>0.75</v>
      </c>
      <c r="AG1028" s="9">
        <v>3.5</v>
      </c>
      <c r="AH1028" s="10">
        <f t="shared" si="30"/>
        <v>4</v>
      </c>
    </row>
    <row r="1029" spans="11:34" ht="14.5" x14ac:dyDescent="0.35">
      <c r="K1029" s="4"/>
      <c r="AC1029" s="7">
        <v>2022</v>
      </c>
      <c r="AD1029" s="7">
        <v>2</v>
      </c>
      <c r="AE1029" s="7">
        <v>12</v>
      </c>
      <c r="AF1029" s="8">
        <v>0.79166666666666663</v>
      </c>
      <c r="AG1029" s="9">
        <v>1.6</v>
      </c>
      <c r="AH1029" s="10">
        <f t="shared" si="30"/>
        <v>2</v>
      </c>
    </row>
    <row r="1030" spans="11:34" ht="14.5" x14ac:dyDescent="0.35">
      <c r="K1030" s="4"/>
      <c r="AC1030" s="7">
        <v>2022</v>
      </c>
      <c r="AD1030" s="7">
        <v>2</v>
      </c>
      <c r="AE1030" s="7">
        <v>12</v>
      </c>
      <c r="AF1030" s="8">
        <v>0.83333333333333337</v>
      </c>
      <c r="AG1030" s="9">
        <v>1.4</v>
      </c>
      <c r="AH1030" s="10">
        <f t="shared" si="30"/>
        <v>1</v>
      </c>
    </row>
    <row r="1031" spans="11:34" ht="14.5" x14ac:dyDescent="0.35">
      <c r="K1031" s="4"/>
      <c r="AC1031" s="7">
        <v>2022</v>
      </c>
      <c r="AD1031" s="7">
        <v>2</v>
      </c>
      <c r="AE1031" s="7">
        <v>12</v>
      </c>
      <c r="AF1031" s="8">
        <v>0.875</v>
      </c>
      <c r="AG1031" s="9">
        <v>2.4</v>
      </c>
      <c r="AH1031" s="10">
        <f t="shared" si="30"/>
        <v>2</v>
      </c>
    </row>
    <row r="1032" spans="11:34" ht="14.5" x14ac:dyDescent="0.35">
      <c r="K1032" s="4"/>
      <c r="AC1032" s="7">
        <v>2022</v>
      </c>
      <c r="AD1032" s="7">
        <v>2</v>
      </c>
      <c r="AE1032" s="7">
        <v>12</v>
      </c>
      <c r="AF1032" s="8">
        <v>0.91666666666666663</v>
      </c>
      <c r="AG1032" s="9">
        <v>6.7</v>
      </c>
      <c r="AH1032" s="10">
        <f t="shared" si="30"/>
        <v>7</v>
      </c>
    </row>
    <row r="1033" spans="11:34" ht="14.5" x14ac:dyDescent="0.35">
      <c r="K1033" s="4"/>
      <c r="AC1033" s="7">
        <v>2022</v>
      </c>
      <c r="AD1033" s="7">
        <v>2</v>
      </c>
      <c r="AE1033" s="7">
        <v>12</v>
      </c>
      <c r="AF1033" s="8">
        <v>0.95833333333333337</v>
      </c>
      <c r="AG1033" s="9">
        <v>6.8</v>
      </c>
      <c r="AH1033" s="10">
        <f t="shared" si="30"/>
        <v>7</v>
      </c>
    </row>
    <row r="1034" spans="11:34" ht="14.5" x14ac:dyDescent="0.35">
      <c r="K1034" s="4"/>
      <c r="AC1034" s="7">
        <v>2022</v>
      </c>
      <c r="AD1034" s="7">
        <v>2</v>
      </c>
      <c r="AE1034" s="7">
        <v>13</v>
      </c>
      <c r="AF1034" s="8">
        <v>0</v>
      </c>
      <c r="AG1034" s="9">
        <v>6.3</v>
      </c>
      <c r="AH1034" s="10">
        <f t="shared" si="30"/>
        <v>6</v>
      </c>
    </row>
    <row r="1035" spans="11:34" ht="14.5" x14ac:dyDescent="0.35">
      <c r="K1035" s="4"/>
      <c r="AC1035" s="7">
        <v>2022</v>
      </c>
      <c r="AD1035" s="7">
        <v>2</v>
      </c>
      <c r="AE1035" s="7">
        <v>13</v>
      </c>
      <c r="AF1035" s="8">
        <v>4.1666666666666664E-2</v>
      </c>
      <c r="AG1035" s="9">
        <v>6.6</v>
      </c>
      <c r="AH1035" s="10">
        <f t="shared" ref="AH1035:AH1098" si="31">ROUND(AG1035,0)</f>
        <v>7</v>
      </c>
    </row>
    <row r="1036" spans="11:34" ht="14.5" x14ac:dyDescent="0.35">
      <c r="K1036" s="4"/>
      <c r="AC1036" s="7">
        <v>2022</v>
      </c>
      <c r="AD1036" s="7">
        <v>2</v>
      </c>
      <c r="AE1036" s="7">
        <v>13</v>
      </c>
      <c r="AF1036" s="8">
        <v>8.3333333333333329E-2</v>
      </c>
      <c r="AG1036" s="9">
        <v>7.1</v>
      </c>
      <c r="AH1036" s="10">
        <f t="shared" si="31"/>
        <v>7</v>
      </c>
    </row>
    <row r="1037" spans="11:34" ht="14.5" x14ac:dyDescent="0.35">
      <c r="K1037" s="4"/>
      <c r="AC1037" s="7">
        <v>2022</v>
      </c>
      <c r="AD1037" s="7">
        <v>2</v>
      </c>
      <c r="AE1037" s="7">
        <v>13</v>
      </c>
      <c r="AF1037" s="8">
        <v>0.125</v>
      </c>
      <c r="AG1037" s="9">
        <v>8</v>
      </c>
      <c r="AH1037" s="10">
        <f t="shared" si="31"/>
        <v>8</v>
      </c>
    </row>
    <row r="1038" spans="11:34" ht="14.5" x14ac:dyDescent="0.35">
      <c r="K1038" s="4"/>
      <c r="AC1038" s="7">
        <v>2022</v>
      </c>
      <c r="AD1038" s="7">
        <v>2</v>
      </c>
      <c r="AE1038" s="7">
        <v>13</v>
      </c>
      <c r="AF1038" s="8">
        <v>0.16666666666666666</v>
      </c>
      <c r="AG1038" s="9">
        <v>8.3000000000000007</v>
      </c>
      <c r="AH1038" s="10">
        <f t="shared" si="31"/>
        <v>8</v>
      </c>
    </row>
    <row r="1039" spans="11:34" ht="14.5" x14ac:dyDescent="0.35">
      <c r="K1039" s="4"/>
      <c r="AC1039" s="7">
        <v>2022</v>
      </c>
      <c r="AD1039" s="7">
        <v>2</v>
      </c>
      <c r="AE1039" s="7">
        <v>13</v>
      </c>
      <c r="AF1039" s="8">
        <v>0.20833333333333334</v>
      </c>
      <c r="AG1039" s="9">
        <v>3.2</v>
      </c>
      <c r="AH1039" s="10">
        <f t="shared" si="31"/>
        <v>3</v>
      </c>
    </row>
    <row r="1040" spans="11:34" ht="14.5" x14ac:dyDescent="0.35">
      <c r="K1040" s="4"/>
      <c r="AC1040" s="7">
        <v>2022</v>
      </c>
      <c r="AD1040" s="7">
        <v>2</v>
      </c>
      <c r="AE1040" s="7">
        <v>13</v>
      </c>
      <c r="AF1040" s="8">
        <v>0.25</v>
      </c>
      <c r="AG1040" s="9">
        <v>-0.4</v>
      </c>
      <c r="AH1040" s="10">
        <f t="shared" si="31"/>
        <v>0</v>
      </c>
    </row>
    <row r="1041" spans="11:34" ht="14.5" x14ac:dyDescent="0.35">
      <c r="K1041" s="4"/>
      <c r="AC1041" s="7">
        <v>2022</v>
      </c>
      <c r="AD1041" s="7">
        <v>2</v>
      </c>
      <c r="AE1041" s="7">
        <v>13</v>
      </c>
      <c r="AF1041" s="8">
        <v>0.29166666666666669</v>
      </c>
      <c r="AG1041" s="9">
        <v>-0.7</v>
      </c>
      <c r="AH1041" s="10">
        <f t="shared" si="31"/>
        <v>-1</v>
      </c>
    </row>
    <row r="1042" spans="11:34" ht="14.5" x14ac:dyDescent="0.35">
      <c r="K1042" s="4"/>
      <c r="AC1042" s="7">
        <v>2022</v>
      </c>
      <c r="AD1042" s="7">
        <v>2</v>
      </c>
      <c r="AE1042" s="7">
        <v>13</v>
      </c>
      <c r="AF1042" s="8">
        <v>0.33333333333333331</v>
      </c>
      <c r="AG1042" s="9">
        <v>0.7</v>
      </c>
      <c r="AH1042" s="10">
        <f t="shared" si="31"/>
        <v>1</v>
      </c>
    </row>
    <row r="1043" spans="11:34" ht="14.5" x14ac:dyDescent="0.35">
      <c r="K1043" s="4"/>
      <c r="AC1043" s="7">
        <v>2022</v>
      </c>
      <c r="AD1043" s="7">
        <v>2</v>
      </c>
      <c r="AE1043" s="7">
        <v>13</v>
      </c>
      <c r="AF1043" s="8">
        <v>0.375</v>
      </c>
      <c r="AG1043" s="9">
        <v>2.2999999999999998</v>
      </c>
      <c r="AH1043" s="10">
        <f t="shared" si="31"/>
        <v>2</v>
      </c>
    </row>
    <row r="1044" spans="11:34" ht="14.5" x14ac:dyDescent="0.35">
      <c r="K1044" s="4"/>
      <c r="AC1044" s="7">
        <v>2022</v>
      </c>
      <c r="AD1044" s="7">
        <v>2</v>
      </c>
      <c r="AE1044" s="7">
        <v>13</v>
      </c>
      <c r="AF1044" s="8">
        <v>0.41666666666666669</v>
      </c>
      <c r="AG1044" s="9">
        <v>5</v>
      </c>
      <c r="AH1044" s="10">
        <f t="shared" si="31"/>
        <v>5</v>
      </c>
    </row>
    <row r="1045" spans="11:34" ht="14.5" x14ac:dyDescent="0.35">
      <c r="K1045" s="4"/>
      <c r="AC1045" s="7">
        <v>2022</v>
      </c>
      <c r="AD1045" s="7">
        <v>2</v>
      </c>
      <c r="AE1045" s="7">
        <v>13</v>
      </c>
      <c r="AF1045" s="8">
        <v>0.45833333333333331</v>
      </c>
      <c r="AG1045" s="9">
        <v>6.2</v>
      </c>
      <c r="AH1045" s="10">
        <f t="shared" si="31"/>
        <v>6</v>
      </c>
    </row>
    <row r="1046" spans="11:34" ht="14.5" x14ac:dyDescent="0.35">
      <c r="K1046" s="4"/>
      <c r="AC1046" s="7">
        <v>2022</v>
      </c>
      <c r="AD1046" s="7">
        <v>2</v>
      </c>
      <c r="AE1046" s="7">
        <v>13</v>
      </c>
      <c r="AF1046" s="8">
        <v>0.5</v>
      </c>
      <c r="AG1046" s="9">
        <v>6.1</v>
      </c>
      <c r="AH1046" s="10">
        <f t="shared" si="31"/>
        <v>6</v>
      </c>
    </row>
    <row r="1047" spans="11:34" ht="14.5" x14ac:dyDescent="0.35">
      <c r="K1047" s="4"/>
      <c r="AC1047" s="7">
        <v>2022</v>
      </c>
      <c r="AD1047" s="7">
        <v>2</v>
      </c>
      <c r="AE1047" s="7">
        <v>13</v>
      </c>
      <c r="AF1047" s="8">
        <v>0.54166666666666663</v>
      </c>
      <c r="AG1047" s="9">
        <v>6</v>
      </c>
      <c r="AH1047" s="10">
        <f t="shared" si="31"/>
        <v>6</v>
      </c>
    </row>
    <row r="1048" spans="11:34" ht="14.5" x14ac:dyDescent="0.35">
      <c r="K1048" s="4"/>
      <c r="AC1048" s="7">
        <v>2022</v>
      </c>
      <c r="AD1048" s="7">
        <v>2</v>
      </c>
      <c r="AE1048" s="7">
        <v>13</v>
      </c>
      <c r="AF1048" s="8">
        <v>0.58333333333333337</v>
      </c>
      <c r="AG1048" s="9">
        <v>5.6</v>
      </c>
      <c r="AH1048" s="10">
        <f t="shared" si="31"/>
        <v>6</v>
      </c>
    </row>
    <row r="1049" spans="11:34" ht="14.5" x14ac:dyDescent="0.35">
      <c r="K1049" s="4"/>
      <c r="AC1049" s="7">
        <v>2022</v>
      </c>
      <c r="AD1049" s="7">
        <v>2</v>
      </c>
      <c r="AE1049" s="7">
        <v>13</v>
      </c>
      <c r="AF1049" s="8">
        <v>0.625</v>
      </c>
      <c r="AG1049" s="9">
        <v>4.4000000000000004</v>
      </c>
      <c r="AH1049" s="10">
        <f t="shared" si="31"/>
        <v>4</v>
      </c>
    </row>
    <row r="1050" spans="11:34" ht="14.5" x14ac:dyDescent="0.35">
      <c r="K1050" s="4"/>
      <c r="AC1050" s="7">
        <v>2022</v>
      </c>
      <c r="AD1050" s="7">
        <v>2</v>
      </c>
      <c r="AE1050" s="7">
        <v>13</v>
      </c>
      <c r="AF1050" s="8">
        <v>0.66666666666666663</v>
      </c>
      <c r="AG1050" s="9">
        <v>3.9</v>
      </c>
      <c r="AH1050" s="10">
        <f t="shared" si="31"/>
        <v>4</v>
      </c>
    </row>
    <row r="1051" spans="11:34" ht="14.5" x14ac:dyDescent="0.35">
      <c r="K1051" s="4"/>
      <c r="AC1051" s="7">
        <v>2022</v>
      </c>
      <c r="AD1051" s="7">
        <v>2</v>
      </c>
      <c r="AE1051" s="7">
        <v>13</v>
      </c>
      <c r="AF1051" s="8">
        <v>0.70833333333333337</v>
      </c>
      <c r="AG1051" s="9">
        <v>3.1</v>
      </c>
      <c r="AH1051" s="10">
        <f t="shared" si="31"/>
        <v>3</v>
      </c>
    </row>
    <row r="1052" spans="11:34" ht="14.5" x14ac:dyDescent="0.35">
      <c r="K1052" s="4"/>
      <c r="AC1052" s="7">
        <v>2022</v>
      </c>
      <c r="AD1052" s="7">
        <v>2</v>
      </c>
      <c r="AE1052" s="7">
        <v>13</v>
      </c>
      <c r="AF1052" s="8">
        <v>0.75</v>
      </c>
      <c r="AG1052" s="9">
        <v>1.2</v>
      </c>
      <c r="AH1052" s="10">
        <f t="shared" si="31"/>
        <v>1</v>
      </c>
    </row>
    <row r="1053" spans="11:34" ht="14.5" x14ac:dyDescent="0.35">
      <c r="K1053" s="4"/>
      <c r="AC1053" s="7">
        <v>2022</v>
      </c>
      <c r="AD1053" s="7">
        <v>2</v>
      </c>
      <c r="AE1053" s="7">
        <v>13</v>
      </c>
      <c r="AF1053" s="8">
        <v>0.79166666666666663</v>
      </c>
      <c r="AG1053" s="9">
        <v>1.6</v>
      </c>
      <c r="AH1053" s="10">
        <f t="shared" si="31"/>
        <v>2</v>
      </c>
    </row>
    <row r="1054" spans="11:34" ht="14.5" x14ac:dyDescent="0.35">
      <c r="K1054" s="4"/>
      <c r="AC1054" s="7">
        <v>2022</v>
      </c>
      <c r="AD1054" s="7">
        <v>2</v>
      </c>
      <c r="AE1054" s="7">
        <v>13</v>
      </c>
      <c r="AF1054" s="8">
        <v>0.83333333333333337</v>
      </c>
      <c r="AG1054" s="9">
        <v>0.9</v>
      </c>
      <c r="AH1054" s="10">
        <f t="shared" si="31"/>
        <v>1</v>
      </c>
    </row>
    <row r="1055" spans="11:34" ht="14.5" x14ac:dyDescent="0.35">
      <c r="K1055" s="4"/>
      <c r="AC1055" s="7">
        <v>2022</v>
      </c>
      <c r="AD1055" s="7">
        <v>2</v>
      </c>
      <c r="AE1055" s="7">
        <v>13</v>
      </c>
      <c r="AF1055" s="8">
        <v>0.875</v>
      </c>
      <c r="AG1055" s="9">
        <v>0.9</v>
      </c>
      <c r="AH1055" s="10">
        <f t="shared" si="31"/>
        <v>1</v>
      </c>
    </row>
    <row r="1056" spans="11:34" ht="14.5" x14ac:dyDescent="0.35">
      <c r="K1056" s="4"/>
      <c r="AC1056" s="7">
        <v>2022</v>
      </c>
      <c r="AD1056" s="7">
        <v>2</v>
      </c>
      <c r="AE1056" s="7">
        <v>13</v>
      </c>
      <c r="AF1056" s="8">
        <v>0.91666666666666663</v>
      </c>
      <c r="AG1056" s="9">
        <v>0.3</v>
      </c>
      <c r="AH1056" s="10">
        <f t="shared" si="31"/>
        <v>0</v>
      </c>
    </row>
    <row r="1057" spans="11:34" ht="14.5" x14ac:dyDescent="0.35">
      <c r="K1057" s="4"/>
      <c r="AC1057" s="7">
        <v>2022</v>
      </c>
      <c r="AD1057" s="7">
        <v>2</v>
      </c>
      <c r="AE1057" s="7">
        <v>13</v>
      </c>
      <c r="AF1057" s="8">
        <v>0.95833333333333337</v>
      </c>
      <c r="AG1057" s="9">
        <v>-0.4</v>
      </c>
      <c r="AH1057" s="10">
        <f t="shared" si="31"/>
        <v>0</v>
      </c>
    </row>
    <row r="1058" spans="11:34" ht="14.5" x14ac:dyDescent="0.35">
      <c r="K1058" s="4"/>
      <c r="AC1058" s="7">
        <v>2022</v>
      </c>
      <c r="AD1058" s="7">
        <v>2</v>
      </c>
      <c r="AE1058" s="7">
        <v>14</v>
      </c>
      <c r="AF1058" s="8">
        <v>0</v>
      </c>
      <c r="AG1058" s="9">
        <v>-1.7</v>
      </c>
      <c r="AH1058" s="10">
        <f t="shared" si="31"/>
        <v>-2</v>
      </c>
    </row>
    <row r="1059" spans="11:34" ht="14.5" x14ac:dyDescent="0.35">
      <c r="K1059" s="4"/>
      <c r="AC1059" s="7">
        <v>2022</v>
      </c>
      <c r="AD1059" s="7">
        <v>2</v>
      </c>
      <c r="AE1059" s="7">
        <v>14</v>
      </c>
      <c r="AF1059" s="8">
        <v>4.1666666666666664E-2</v>
      </c>
      <c r="AG1059" s="9">
        <v>-1.2</v>
      </c>
      <c r="AH1059" s="10">
        <f t="shared" si="31"/>
        <v>-1</v>
      </c>
    </row>
    <row r="1060" spans="11:34" ht="14.5" x14ac:dyDescent="0.35">
      <c r="K1060" s="4"/>
      <c r="AC1060" s="7">
        <v>2022</v>
      </c>
      <c r="AD1060" s="7">
        <v>2</v>
      </c>
      <c r="AE1060" s="7">
        <v>14</v>
      </c>
      <c r="AF1060" s="8">
        <v>8.3333333333333329E-2</v>
      </c>
      <c r="AG1060" s="9">
        <v>-1.7</v>
      </c>
      <c r="AH1060" s="10">
        <f t="shared" si="31"/>
        <v>-2</v>
      </c>
    </row>
    <row r="1061" spans="11:34" ht="14.5" x14ac:dyDescent="0.35">
      <c r="K1061" s="4"/>
      <c r="AC1061" s="7">
        <v>2022</v>
      </c>
      <c r="AD1061" s="7">
        <v>2</v>
      </c>
      <c r="AE1061" s="7">
        <v>14</v>
      </c>
      <c r="AF1061" s="8">
        <v>0.125</v>
      </c>
      <c r="AG1061" s="9">
        <v>-2.2000000000000002</v>
      </c>
      <c r="AH1061" s="10">
        <f t="shared" si="31"/>
        <v>-2</v>
      </c>
    </row>
    <row r="1062" spans="11:34" ht="14.5" x14ac:dyDescent="0.35">
      <c r="K1062" s="4"/>
      <c r="AC1062" s="7">
        <v>2022</v>
      </c>
      <c r="AD1062" s="7">
        <v>2</v>
      </c>
      <c r="AE1062" s="7">
        <v>14</v>
      </c>
      <c r="AF1062" s="8">
        <v>0.16666666666666666</v>
      </c>
      <c r="AG1062" s="9">
        <v>-2.4</v>
      </c>
      <c r="AH1062" s="10">
        <f t="shared" si="31"/>
        <v>-2</v>
      </c>
    </row>
    <row r="1063" spans="11:34" ht="14.5" x14ac:dyDescent="0.35">
      <c r="K1063" s="4"/>
      <c r="AC1063" s="7">
        <v>2022</v>
      </c>
      <c r="AD1063" s="7">
        <v>2</v>
      </c>
      <c r="AE1063" s="7">
        <v>14</v>
      </c>
      <c r="AF1063" s="8">
        <v>0.20833333333333334</v>
      </c>
      <c r="AG1063" s="9">
        <v>-2.5</v>
      </c>
      <c r="AH1063" s="10">
        <f t="shared" si="31"/>
        <v>-3</v>
      </c>
    </row>
    <row r="1064" spans="11:34" ht="14.5" x14ac:dyDescent="0.35">
      <c r="K1064" s="4"/>
      <c r="AC1064" s="7">
        <v>2022</v>
      </c>
      <c r="AD1064" s="7">
        <v>2</v>
      </c>
      <c r="AE1064" s="7">
        <v>14</v>
      </c>
      <c r="AF1064" s="8">
        <v>0.25</v>
      </c>
      <c r="AG1064" s="9">
        <v>-3</v>
      </c>
      <c r="AH1064" s="10">
        <f t="shared" si="31"/>
        <v>-3</v>
      </c>
    </row>
    <row r="1065" spans="11:34" ht="14.5" x14ac:dyDescent="0.35">
      <c r="K1065" s="4"/>
      <c r="AC1065" s="7">
        <v>2022</v>
      </c>
      <c r="AD1065" s="7">
        <v>2</v>
      </c>
      <c r="AE1065" s="7">
        <v>14</v>
      </c>
      <c r="AF1065" s="8">
        <v>0.29166666666666669</v>
      </c>
      <c r="AG1065" s="9">
        <v>-3.6</v>
      </c>
      <c r="AH1065" s="10">
        <f t="shared" si="31"/>
        <v>-4</v>
      </c>
    </row>
    <row r="1066" spans="11:34" ht="14.5" x14ac:dyDescent="0.35">
      <c r="K1066" s="4"/>
      <c r="AC1066" s="7">
        <v>2022</v>
      </c>
      <c r="AD1066" s="7">
        <v>2</v>
      </c>
      <c r="AE1066" s="7">
        <v>14</v>
      </c>
      <c r="AF1066" s="8">
        <v>0.33333333333333331</v>
      </c>
      <c r="AG1066" s="9">
        <v>-3.9</v>
      </c>
      <c r="AH1066" s="10">
        <f t="shared" si="31"/>
        <v>-4</v>
      </c>
    </row>
    <row r="1067" spans="11:34" ht="14.5" x14ac:dyDescent="0.35">
      <c r="K1067" s="4"/>
      <c r="AC1067" s="7">
        <v>2022</v>
      </c>
      <c r="AD1067" s="7">
        <v>2</v>
      </c>
      <c r="AE1067" s="7">
        <v>14</v>
      </c>
      <c r="AF1067" s="8">
        <v>0.375</v>
      </c>
      <c r="AG1067" s="9">
        <v>-4.0999999999999996</v>
      </c>
      <c r="AH1067" s="10">
        <f t="shared" si="31"/>
        <v>-4</v>
      </c>
    </row>
    <row r="1068" spans="11:34" ht="14.5" x14ac:dyDescent="0.35">
      <c r="K1068" s="4"/>
      <c r="AC1068" s="7">
        <v>2022</v>
      </c>
      <c r="AD1068" s="7">
        <v>2</v>
      </c>
      <c r="AE1068" s="7">
        <v>14</v>
      </c>
      <c r="AF1068" s="8">
        <v>0.41666666666666669</v>
      </c>
      <c r="AG1068" s="9">
        <v>-4.2</v>
      </c>
      <c r="AH1068" s="10">
        <f t="shared" si="31"/>
        <v>-4</v>
      </c>
    </row>
    <row r="1069" spans="11:34" ht="14.5" x14ac:dyDescent="0.35">
      <c r="K1069" s="4"/>
      <c r="AC1069" s="7">
        <v>2022</v>
      </c>
      <c r="AD1069" s="7">
        <v>2</v>
      </c>
      <c r="AE1069" s="7">
        <v>14</v>
      </c>
      <c r="AF1069" s="8">
        <v>0.45833333333333331</v>
      </c>
      <c r="AG1069" s="9">
        <v>-3.9</v>
      </c>
      <c r="AH1069" s="10">
        <f t="shared" si="31"/>
        <v>-4</v>
      </c>
    </row>
    <row r="1070" spans="11:34" ht="14.5" x14ac:dyDescent="0.35">
      <c r="K1070" s="4"/>
      <c r="AC1070" s="7">
        <v>2022</v>
      </c>
      <c r="AD1070" s="7">
        <v>2</v>
      </c>
      <c r="AE1070" s="7">
        <v>14</v>
      </c>
      <c r="AF1070" s="8">
        <v>0.5</v>
      </c>
      <c r="AG1070" s="9">
        <v>-3.4</v>
      </c>
      <c r="AH1070" s="10">
        <f t="shared" si="31"/>
        <v>-3</v>
      </c>
    </row>
    <row r="1071" spans="11:34" ht="14.5" x14ac:dyDescent="0.35">
      <c r="K1071" s="4"/>
      <c r="AC1071" s="7">
        <v>2022</v>
      </c>
      <c r="AD1071" s="7">
        <v>2</v>
      </c>
      <c r="AE1071" s="7">
        <v>14</v>
      </c>
      <c r="AF1071" s="8">
        <v>0.54166666666666663</v>
      </c>
      <c r="AG1071" s="9">
        <v>-2.8</v>
      </c>
      <c r="AH1071" s="10">
        <f t="shared" si="31"/>
        <v>-3</v>
      </c>
    </row>
    <row r="1072" spans="11:34" ht="14.5" x14ac:dyDescent="0.35">
      <c r="K1072" s="4"/>
      <c r="AC1072" s="7">
        <v>2022</v>
      </c>
      <c r="AD1072" s="7">
        <v>2</v>
      </c>
      <c r="AE1072" s="7">
        <v>14</v>
      </c>
      <c r="AF1072" s="8">
        <v>0.58333333333333337</v>
      </c>
      <c r="AG1072" s="9">
        <v>-2</v>
      </c>
      <c r="AH1072" s="10">
        <f t="shared" si="31"/>
        <v>-2</v>
      </c>
    </row>
    <row r="1073" spans="11:34" ht="14.5" x14ac:dyDescent="0.35">
      <c r="K1073" s="4"/>
      <c r="AC1073" s="7">
        <v>2022</v>
      </c>
      <c r="AD1073" s="7">
        <v>2</v>
      </c>
      <c r="AE1073" s="7">
        <v>14</v>
      </c>
      <c r="AF1073" s="8">
        <v>0.625</v>
      </c>
      <c r="AG1073" s="9">
        <v>-1</v>
      </c>
      <c r="AH1073" s="10">
        <f t="shared" si="31"/>
        <v>-1</v>
      </c>
    </row>
    <row r="1074" spans="11:34" ht="14.5" x14ac:dyDescent="0.35">
      <c r="K1074" s="4"/>
      <c r="AC1074" s="7">
        <v>2022</v>
      </c>
      <c r="AD1074" s="7">
        <v>2</v>
      </c>
      <c r="AE1074" s="7">
        <v>14</v>
      </c>
      <c r="AF1074" s="8">
        <v>0.66666666666666663</v>
      </c>
      <c r="AG1074" s="9">
        <v>-0.8</v>
      </c>
      <c r="AH1074" s="10">
        <f t="shared" si="31"/>
        <v>-1</v>
      </c>
    </row>
    <row r="1075" spans="11:34" ht="14.5" x14ac:dyDescent="0.35">
      <c r="K1075" s="4"/>
      <c r="AC1075" s="7">
        <v>2022</v>
      </c>
      <c r="AD1075" s="7">
        <v>2</v>
      </c>
      <c r="AE1075" s="7">
        <v>14</v>
      </c>
      <c r="AF1075" s="8">
        <v>0.70833333333333337</v>
      </c>
      <c r="AG1075" s="9">
        <v>-0.9</v>
      </c>
      <c r="AH1075" s="10">
        <f t="shared" si="31"/>
        <v>-1</v>
      </c>
    </row>
    <row r="1076" spans="11:34" ht="14.5" x14ac:dyDescent="0.35">
      <c r="K1076" s="4"/>
      <c r="AC1076" s="7">
        <v>2022</v>
      </c>
      <c r="AD1076" s="7">
        <v>2</v>
      </c>
      <c r="AE1076" s="7">
        <v>14</v>
      </c>
      <c r="AF1076" s="8">
        <v>0.75</v>
      </c>
      <c r="AG1076" s="9">
        <v>-1.1000000000000001</v>
      </c>
      <c r="AH1076" s="10">
        <f t="shared" si="31"/>
        <v>-1</v>
      </c>
    </row>
    <row r="1077" spans="11:34" ht="14.5" x14ac:dyDescent="0.35">
      <c r="K1077" s="4"/>
      <c r="AC1077" s="7">
        <v>2022</v>
      </c>
      <c r="AD1077" s="7">
        <v>2</v>
      </c>
      <c r="AE1077" s="7">
        <v>14</v>
      </c>
      <c r="AF1077" s="8">
        <v>0.79166666666666663</v>
      </c>
      <c r="AG1077" s="9">
        <v>-2.1</v>
      </c>
      <c r="AH1077" s="10">
        <f t="shared" si="31"/>
        <v>-2</v>
      </c>
    </row>
    <row r="1078" spans="11:34" ht="14.5" x14ac:dyDescent="0.35">
      <c r="K1078" s="4"/>
      <c r="AC1078" s="7">
        <v>2022</v>
      </c>
      <c r="AD1078" s="7">
        <v>2</v>
      </c>
      <c r="AE1078" s="7">
        <v>14</v>
      </c>
      <c r="AF1078" s="8">
        <v>0.83333333333333337</v>
      </c>
      <c r="AG1078" s="9">
        <v>-2.2999999999999998</v>
      </c>
      <c r="AH1078" s="10">
        <f t="shared" si="31"/>
        <v>-2</v>
      </c>
    </row>
    <row r="1079" spans="11:34" ht="14.5" x14ac:dyDescent="0.35">
      <c r="K1079" s="4"/>
      <c r="AC1079" s="7">
        <v>2022</v>
      </c>
      <c r="AD1079" s="7">
        <v>2</v>
      </c>
      <c r="AE1079" s="7">
        <v>14</v>
      </c>
      <c r="AF1079" s="8">
        <v>0.875</v>
      </c>
      <c r="AG1079" s="9">
        <v>-2.4</v>
      </c>
      <c r="AH1079" s="10">
        <f t="shared" si="31"/>
        <v>-2</v>
      </c>
    </row>
    <row r="1080" spans="11:34" ht="14.5" x14ac:dyDescent="0.35">
      <c r="K1080" s="4"/>
      <c r="AC1080" s="7">
        <v>2022</v>
      </c>
      <c r="AD1080" s="7">
        <v>2</v>
      </c>
      <c r="AE1080" s="7">
        <v>14</v>
      </c>
      <c r="AF1080" s="8">
        <v>0.91666666666666663</v>
      </c>
      <c r="AG1080" s="9">
        <v>-2.5</v>
      </c>
      <c r="AH1080" s="10">
        <f t="shared" si="31"/>
        <v>-3</v>
      </c>
    </row>
    <row r="1081" spans="11:34" ht="14.5" x14ac:dyDescent="0.35">
      <c r="K1081" s="4"/>
      <c r="AC1081" s="7">
        <v>2022</v>
      </c>
      <c r="AD1081" s="7">
        <v>2</v>
      </c>
      <c r="AE1081" s="7">
        <v>14</v>
      </c>
      <c r="AF1081" s="8">
        <v>0.95833333333333337</v>
      </c>
      <c r="AG1081" s="9">
        <v>-4</v>
      </c>
      <c r="AH1081" s="10">
        <f t="shared" si="31"/>
        <v>-4</v>
      </c>
    </row>
    <row r="1082" spans="11:34" ht="14.5" x14ac:dyDescent="0.35">
      <c r="K1082" s="4"/>
      <c r="AC1082" s="7">
        <v>2022</v>
      </c>
      <c r="AD1082" s="7">
        <v>2</v>
      </c>
      <c r="AE1082" s="7">
        <v>15</v>
      </c>
      <c r="AF1082" s="8">
        <v>0</v>
      </c>
      <c r="AG1082" s="9">
        <v>-3.3</v>
      </c>
      <c r="AH1082" s="10">
        <f t="shared" si="31"/>
        <v>-3</v>
      </c>
    </row>
    <row r="1083" spans="11:34" ht="14.5" x14ac:dyDescent="0.35">
      <c r="K1083" s="4"/>
      <c r="AC1083" s="7">
        <v>2022</v>
      </c>
      <c r="AD1083" s="7">
        <v>2</v>
      </c>
      <c r="AE1083" s="7">
        <v>15</v>
      </c>
      <c r="AF1083" s="8">
        <v>4.1666666666666664E-2</v>
      </c>
      <c r="AG1083" s="9">
        <v>-4.0999999999999996</v>
      </c>
      <c r="AH1083" s="10">
        <f t="shared" si="31"/>
        <v>-4</v>
      </c>
    </row>
    <row r="1084" spans="11:34" ht="14.5" x14ac:dyDescent="0.35">
      <c r="K1084" s="4"/>
      <c r="AC1084" s="7">
        <v>2022</v>
      </c>
      <c r="AD1084" s="7">
        <v>2</v>
      </c>
      <c r="AE1084" s="7">
        <v>15</v>
      </c>
      <c r="AF1084" s="8">
        <v>8.3333333333333329E-2</v>
      </c>
      <c r="AG1084" s="9">
        <v>-4.5999999999999996</v>
      </c>
      <c r="AH1084" s="10">
        <f t="shared" si="31"/>
        <v>-5</v>
      </c>
    </row>
    <row r="1085" spans="11:34" ht="14.5" x14ac:dyDescent="0.35">
      <c r="K1085" s="4"/>
      <c r="AC1085" s="7">
        <v>2022</v>
      </c>
      <c r="AD1085" s="7">
        <v>2</v>
      </c>
      <c r="AE1085" s="7">
        <v>15</v>
      </c>
      <c r="AF1085" s="8">
        <v>0.125</v>
      </c>
      <c r="AG1085" s="9">
        <v>-4.3</v>
      </c>
      <c r="AH1085" s="10">
        <f t="shared" si="31"/>
        <v>-4</v>
      </c>
    </row>
    <row r="1086" spans="11:34" ht="14.5" x14ac:dyDescent="0.35">
      <c r="K1086" s="4"/>
      <c r="AC1086" s="7">
        <v>2022</v>
      </c>
      <c r="AD1086" s="7">
        <v>2</v>
      </c>
      <c r="AE1086" s="7">
        <v>15</v>
      </c>
      <c r="AF1086" s="8">
        <v>0.16666666666666666</v>
      </c>
      <c r="AG1086" s="9">
        <v>-3</v>
      </c>
      <c r="AH1086" s="10">
        <f t="shared" si="31"/>
        <v>-3</v>
      </c>
    </row>
    <row r="1087" spans="11:34" ht="14.5" x14ac:dyDescent="0.35">
      <c r="K1087" s="4"/>
      <c r="AC1087" s="7">
        <v>2022</v>
      </c>
      <c r="AD1087" s="7">
        <v>2</v>
      </c>
      <c r="AE1087" s="7">
        <v>15</v>
      </c>
      <c r="AF1087" s="8">
        <v>0.20833333333333334</v>
      </c>
      <c r="AG1087" s="9">
        <v>-2.6</v>
      </c>
      <c r="AH1087" s="10">
        <f t="shared" si="31"/>
        <v>-3</v>
      </c>
    </row>
    <row r="1088" spans="11:34" ht="14.5" x14ac:dyDescent="0.35">
      <c r="K1088" s="4"/>
      <c r="AC1088" s="7">
        <v>2022</v>
      </c>
      <c r="AD1088" s="7">
        <v>2</v>
      </c>
      <c r="AE1088" s="7">
        <v>15</v>
      </c>
      <c r="AF1088" s="8">
        <v>0.25</v>
      </c>
      <c r="AG1088" s="9">
        <v>-2.6</v>
      </c>
      <c r="AH1088" s="10">
        <f t="shared" si="31"/>
        <v>-3</v>
      </c>
    </row>
    <row r="1089" spans="11:34" ht="14.5" x14ac:dyDescent="0.35">
      <c r="K1089" s="4"/>
      <c r="AC1089" s="7">
        <v>2022</v>
      </c>
      <c r="AD1089" s="7">
        <v>2</v>
      </c>
      <c r="AE1089" s="7">
        <v>15</v>
      </c>
      <c r="AF1089" s="8">
        <v>0.29166666666666669</v>
      </c>
      <c r="AG1089" s="9">
        <v>-3.7</v>
      </c>
      <c r="AH1089" s="10">
        <f t="shared" si="31"/>
        <v>-4</v>
      </c>
    </row>
    <row r="1090" spans="11:34" ht="14.5" x14ac:dyDescent="0.35">
      <c r="K1090" s="4"/>
      <c r="AC1090" s="7">
        <v>2022</v>
      </c>
      <c r="AD1090" s="7">
        <v>2</v>
      </c>
      <c r="AE1090" s="7">
        <v>15</v>
      </c>
      <c r="AF1090" s="8">
        <v>0.33333333333333331</v>
      </c>
      <c r="AG1090" s="9">
        <v>-2.7</v>
      </c>
      <c r="AH1090" s="10">
        <f t="shared" si="31"/>
        <v>-3</v>
      </c>
    </row>
    <row r="1091" spans="11:34" ht="14.5" x14ac:dyDescent="0.35">
      <c r="K1091" s="4"/>
      <c r="AC1091" s="7">
        <v>2022</v>
      </c>
      <c r="AD1091" s="7">
        <v>2</v>
      </c>
      <c r="AE1091" s="7">
        <v>15</v>
      </c>
      <c r="AF1091" s="8">
        <v>0.375</v>
      </c>
      <c r="AG1091" s="9">
        <v>-2.8</v>
      </c>
      <c r="AH1091" s="10">
        <f t="shared" si="31"/>
        <v>-3</v>
      </c>
    </row>
    <row r="1092" spans="11:34" ht="14.5" x14ac:dyDescent="0.35">
      <c r="K1092" s="4"/>
      <c r="AC1092" s="7">
        <v>2022</v>
      </c>
      <c r="AD1092" s="7">
        <v>2</v>
      </c>
      <c r="AE1092" s="7">
        <v>15</v>
      </c>
      <c r="AF1092" s="8">
        <v>0.41666666666666669</v>
      </c>
      <c r="AG1092" s="9">
        <v>-2.4</v>
      </c>
      <c r="AH1092" s="10">
        <f t="shared" si="31"/>
        <v>-2</v>
      </c>
    </row>
    <row r="1093" spans="11:34" ht="14.5" x14ac:dyDescent="0.35">
      <c r="K1093" s="4"/>
      <c r="AC1093" s="7">
        <v>2022</v>
      </c>
      <c r="AD1093" s="7">
        <v>2</v>
      </c>
      <c r="AE1093" s="7">
        <v>15</v>
      </c>
      <c r="AF1093" s="8">
        <v>0.45833333333333331</v>
      </c>
      <c r="AG1093" s="9">
        <v>-2.2999999999999998</v>
      </c>
      <c r="AH1093" s="10">
        <f t="shared" si="31"/>
        <v>-2</v>
      </c>
    </row>
    <row r="1094" spans="11:34" ht="14.5" x14ac:dyDescent="0.35">
      <c r="K1094" s="4"/>
      <c r="AC1094" s="7">
        <v>2022</v>
      </c>
      <c r="AD1094" s="7">
        <v>2</v>
      </c>
      <c r="AE1094" s="7">
        <v>15</v>
      </c>
      <c r="AF1094" s="8">
        <v>0.5</v>
      </c>
      <c r="AG1094" s="9">
        <v>-2.2000000000000002</v>
      </c>
      <c r="AH1094" s="10">
        <f t="shared" si="31"/>
        <v>-2</v>
      </c>
    </row>
    <row r="1095" spans="11:34" ht="14.5" x14ac:dyDescent="0.35">
      <c r="K1095" s="4"/>
      <c r="AC1095" s="7">
        <v>2022</v>
      </c>
      <c r="AD1095" s="7">
        <v>2</v>
      </c>
      <c r="AE1095" s="7">
        <v>15</v>
      </c>
      <c r="AF1095" s="8">
        <v>0.54166666666666663</v>
      </c>
      <c r="AG1095" s="9">
        <v>-1.8</v>
      </c>
      <c r="AH1095" s="10">
        <f t="shared" si="31"/>
        <v>-2</v>
      </c>
    </row>
    <row r="1096" spans="11:34" ht="14.5" x14ac:dyDescent="0.35">
      <c r="K1096" s="4"/>
      <c r="AC1096" s="7">
        <v>2022</v>
      </c>
      <c r="AD1096" s="7">
        <v>2</v>
      </c>
      <c r="AE1096" s="7">
        <v>15</v>
      </c>
      <c r="AF1096" s="8">
        <v>0.58333333333333337</v>
      </c>
      <c r="AG1096" s="9">
        <v>-1.8</v>
      </c>
      <c r="AH1096" s="10">
        <f t="shared" si="31"/>
        <v>-2</v>
      </c>
    </row>
    <row r="1097" spans="11:34" ht="14.5" x14ac:dyDescent="0.35">
      <c r="K1097" s="4"/>
      <c r="AC1097" s="7">
        <v>2022</v>
      </c>
      <c r="AD1097" s="7">
        <v>2</v>
      </c>
      <c r="AE1097" s="7">
        <v>15</v>
      </c>
      <c r="AF1097" s="8">
        <v>0.625</v>
      </c>
      <c r="AG1097" s="9">
        <v>-1.6</v>
      </c>
      <c r="AH1097" s="10">
        <f t="shared" si="31"/>
        <v>-2</v>
      </c>
    </row>
    <row r="1098" spans="11:34" ht="14.5" x14ac:dyDescent="0.35">
      <c r="K1098" s="4"/>
      <c r="AC1098" s="7">
        <v>2022</v>
      </c>
      <c r="AD1098" s="7">
        <v>2</v>
      </c>
      <c r="AE1098" s="7">
        <v>15</v>
      </c>
      <c r="AF1098" s="8">
        <v>0.66666666666666663</v>
      </c>
      <c r="AG1098" s="9">
        <v>-1.9</v>
      </c>
      <c r="AH1098" s="10">
        <f t="shared" si="31"/>
        <v>-2</v>
      </c>
    </row>
    <row r="1099" spans="11:34" ht="14.5" x14ac:dyDescent="0.35">
      <c r="K1099" s="4"/>
      <c r="AC1099" s="7">
        <v>2022</v>
      </c>
      <c r="AD1099" s="7">
        <v>2</v>
      </c>
      <c r="AE1099" s="7">
        <v>15</v>
      </c>
      <c r="AF1099" s="8">
        <v>0.70833333333333337</v>
      </c>
      <c r="AG1099" s="9">
        <v>-2.6</v>
      </c>
      <c r="AH1099" s="10">
        <f t="shared" ref="AH1099:AH1162" si="32">ROUND(AG1099,0)</f>
        <v>-3</v>
      </c>
    </row>
    <row r="1100" spans="11:34" ht="14.5" x14ac:dyDescent="0.35">
      <c r="K1100" s="4"/>
      <c r="AC1100" s="7">
        <v>2022</v>
      </c>
      <c r="AD1100" s="7">
        <v>2</v>
      </c>
      <c r="AE1100" s="7">
        <v>15</v>
      </c>
      <c r="AF1100" s="8">
        <v>0.75</v>
      </c>
      <c r="AG1100" s="9">
        <v>-3.3</v>
      </c>
      <c r="AH1100" s="10">
        <f t="shared" si="32"/>
        <v>-3</v>
      </c>
    </row>
    <row r="1101" spans="11:34" ht="14.5" x14ac:dyDescent="0.35">
      <c r="K1101" s="4"/>
      <c r="AC1101" s="7">
        <v>2022</v>
      </c>
      <c r="AD1101" s="7">
        <v>2</v>
      </c>
      <c r="AE1101" s="7">
        <v>15</v>
      </c>
      <c r="AF1101" s="8">
        <v>0.79166666666666663</v>
      </c>
      <c r="AG1101" s="9">
        <v>-4.2</v>
      </c>
      <c r="AH1101" s="10">
        <f t="shared" si="32"/>
        <v>-4</v>
      </c>
    </row>
    <row r="1102" spans="11:34" ht="14.5" x14ac:dyDescent="0.35">
      <c r="K1102" s="4"/>
      <c r="AC1102" s="7">
        <v>2022</v>
      </c>
      <c r="AD1102" s="7">
        <v>2</v>
      </c>
      <c r="AE1102" s="7">
        <v>15</v>
      </c>
      <c r="AF1102" s="8">
        <v>0.83333333333333337</v>
      </c>
      <c r="AG1102" s="9">
        <v>-5.0999999999999996</v>
      </c>
      <c r="AH1102" s="10">
        <f t="shared" si="32"/>
        <v>-5</v>
      </c>
    </row>
    <row r="1103" spans="11:34" ht="14.5" x14ac:dyDescent="0.35">
      <c r="K1103" s="4"/>
      <c r="AC1103" s="7">
        <v>2022</v>
      </c>
      <c r="AD1103" s="7">
        <v>2</v>
      </c>
      <c r="AE1103" s="7">
        <v>15</v>
      </c>
      <c r="AF1103" s="8">
        <v>0.875</v>
      </c>
      <c r="AG1103" s="9">
        <v>-5.5</v>
      </c>
      <c r="AH1103" s="10">
        <f t="shared" si="32"/>
        <v>-6</v>
      </c>
    </row>
    <row r="1104" spans="11:34" ht="14.5" x14ac:dyDescent="0.35">
      <c r="K1104" s="4"/>
      <c r="AC1104" s="7">
        <v>2022</v>
      </c>
      <c r="AD1104" s="7">
        <v>2</v>
      </c>
      <c r="AE1104" s="7">
        <v>15</v>
      </c>
      <c r="AF1104" s="8">
        <v>0.91666666666666663</v>
      </c>
      <c r="AG1104" s="9">
        <v>-5.5</v>
      </c>
      <c r="AH1104" s="10">
        <f t="shared" si="32"/>
        <v>-6</v>
      </c>
    </row>
    <row r="1105" spans="11:34" ht="14.5" x14ac:dyDescent="0.35">
      <c r="K1105" s="4"/>
      <c r="AC1105" s="7">
        <v>2022</v>
      </c>
      <c r="AD1105" s="7">
        <v>2</v>
      </c>
      <c r="AE1105" s="7">
        <v>15</v>
      </c>
      <c r="AF1105" s="8">
        <v>0.95833333333333337</v>
      </c>
      <c r="AG1105" s="9">
        <v>-7.3</v>
      </c>
      <c r="AH1105" s="10">
        <f t="shared" si="32"/>
        <v>-7</v>
      </c>
    </row>
    <row r="1106" spans="11:34" ht="14.5" x14ac:dyDescent="0.35">
      <c r="K1106" s="4"/>
      <c r="AC1106" s="7">
        <v>2022</v>
      </c>
      <c r="AD1106" s="7">
        <v>2</v>
      </c>
      <c r="AE1106" s="7">
        <v>16</v>
      </c>
      <c r="AF1106" s="8">
        <v>0</v>
      </c>
      <c r="AG1106" s="9">
        <v>-8.5</v>
      </c>
      <c r="AH1106" s="10">
        <f t="shared" si="32"/>
        <v>-9</v>
      </c>
    </row>
    <row r="1107" spans="11:34" ht="14.5" x14ac:dyDescent="0.35">
      <c r="K1107" s="4"/>
      <c r="AC1107" s="7">
        <v>2022</v>
      </c>
      <c r="AD1107" s="7">
        <v>2</v>
      </c>
      <c r="AE1107" s="7">
        <v>16</v>
      </c>
      <c r="AF1107" s="8">
        <v>4.1666666666666664E-2</v>
      </c>
      <c r="AG1107" s="9">
        <v>-9.5</v>
      </c>
      <c r="AH1107" s="10">
        <f t="shared" si="32"/>
        <v>-10</v>
      </c>
    </row>
    <row r="1108" spans="11:34" ht="14.5" x14ac:dyDescent="0.35">
      <c r="K1108" s="4"/>
      <c r="AC1108" s="7">
        <v>2022</v>
      </c>
      <c r="AD1108" s="7">
        <v>2</v>
      </c>
      <c r="AE1108" s="7">
        <v>16</v>
      </c>
      <c r="AF1108" s="8">
        <v>8.3333333333333329E-2</v>
      </c>
      <c r="AG1108" s="9">
        <v>-9.6</v>
      </c>
      <c r="AH1108" s="10">
        <f t="shared" si="32"/>
        <v>-10</v>
      </c>
    </row>
    <row r="1109" spans="11:34" ht="14.5" x14ac:dyDescent="0.35">
      <c r="K1109" s="4"/>
      <c r="AC1109" s="7">
        <v>2022</v>
      </c>
      <c r="AD1109" s="7">
        <v>2</v>
      </c>
      <c r="AE1109" s="7">
        <v>16</v>
      </c>
      <c r="AF1109" s="8">
        <v>0.125</v>
      </c>
      <c r="AG1109" s="9">
        <v>-9.8000000000000007</v>
      </c>
      <c r="AH1109" s="10">
        <f t="shared" si="32"/>
        <v>-10</v>
      </c>
    </row>
    <row r="1110" spans="11:34" ht="14.5" x14ac:dyDescent="0.35">
      <c r="K1110" s="4"/>
      <c r="AC1110" s="7">
        <v>2022</v>
      </c>
      <c r="AD1110" s="7">
        <v>2</v>
      </c>
      <c r="AE1110" s="7">
        <v>16</v>
      </c>
      <c r="AF1110" s="8">
        <v>0.16666666666666666</v>
      </c>
      <c r="AG1110" s="9">
        <v>-10.1</v>
      </c>
      <c r="AH1110" s="10">
        <f t="shared" si="32"/>
        <v>-10</v>
      </c>
    </row>
    <row r="1111" spans="11:34" ht="14.5" x14ac:dyDescent="0.35">
      <c r="K1111" s="4"/>
      <c r="AC1111" s="7">
        <v>2022</v>
      </c>
      <c r="AD1111" s="7">
        <v>2</v>
      </c>
      <c r="AE1111" s="7">
        <v>16</v>
      </c>
      <c r="AF1111" s="8">
        <v>0.20833333333333334</v>
      </c>
      <c r="AG1111" s="9">
        <v>-10.4</v>
      </c>
      <c r="AH1111" s="10">
        <f t="shared" si="32"/>
        <v>-10</v>
      </c>
    </row>
    <row r="1112" spans="11:34" ht="14.5" x14ac:dyDescent="0.35">
      <c r="K1112" s="4"/>
      <c r="AC1112" s="7">
        <v>2022</v>
      </c>
      <c r="AD1112" s="7">
        <v>2</v>
      </c>
      <c r="AE1112" s="7">
        <v>16</v>
      </c>
      <c r="AF1112" s="8">
        <v>0.25</v>
      </c>
      <c r="AG1112" s="9">
        <v>-13</v>
      </c>
      <c r="AH1112" s="10">
        <f t="shared" si="32"/>
        <v>-13</v>
      </c>
    </row>
    <row r="1113" spans="11:34" ht="14.5" x14ac:dyDescent="0.35">
      <c r="K1113" s="4"/>
      <c r="AC1113" s="7">
        <v>2022</v>
      </c>
      <c r="AD1113" s="7">
        <v>2</v>
      </c>
      <c r="AE1113" s="7">
        <v>16</v>
      </c>
      <c r="AF1113" s="8">
        <v>0.29166666666666669</v>
      </c>
      <c r="AG1113" s="9">
        <v>-13.4</v>
      </c>
      <c r="AH1113" s="10">
        <f t="shared" si="32"/>
        <v>-13</v>
      </c>
    </row>
    <row r="1114" spans="11:34" ht="14.5" x14ac:dyDescent="0.35">
      <c r="K1114" s="4"/>
      <c r="AC1114" s="7">
        <v>2022</v>
      </c>
      <c r="AD1114" s="7">
        <v>2</v>
      </c>
      <c r="AE1114" s="7">
        <v>16</v>
      </c>
      <c r="AF1114" s="8">
        <v>0.33333333333333331</v>
      </c>
      <c r="AG1114" s="9">
        <v>-14.4</v>
      </c>
      <c r="AH1114" s="10">
        <f t="shared" si="32"/>
        <v>-14</v>
      </c>
    </row>
    <row r="1115" spans="11:34" ht="14.5" x14ac:dyDescent="0.35">
      <c r="K1115" s="4"/>
      <c r="AC1115" s="7">
        <v>2022</v>
      </c>
      <c r="AD1115" s="7">
        <v>2</v>
      </c>
      <c r="AE1115" s="7">
        <v>16</v>
      </c>
      <c r="AF1115" s="8">
        <v>0.375</v>
      </c>
      <c r="AG1115" s="9">
        <v>-11.1</v>
      </c>
      <c r="AH1115" s="10">
        <f t="shared" si="32"/>
        <v>-11</v>
      </c>
    </row>
    <row r="1116" spans="11:34" ht="14.5" x14ac:dyDescent="0.35">
      <c r="K1116" s="4"/>
      <c r="AC1116" s="7">
        <v>2022</v>
      </c>
      <c r="AD1116" s="7">
        <v>2</v>
      </c>
      <c r="AE1116" s="7">
        <v>16</v>
      </c>
      <c r="AF1116" s="8">
        <v>0.41666666666666669</v>
      </c>
      <c r="AG1116" s="9">
        <v>-9.8000000000000007</v>
      </c>
      <c r="AH1116" s="10">
        <f t="shared" si="32"/>
        <v>-10</v>
      </c>
    </row>
    <row r="1117" spans="11:34" ht="14.5" x14ac:dyDescent="0.35">
      <c r="K1117" s="4"/>
      <c r="AC1117" s="7">
        <v>2022</v>
      </c>
      <c r="AD1117" s="7">
        <v>2</v>
      </c>
      <c r="AE1117" s="7">
        <v>16</v>
      </c>
      <c r="AF1117" s="8">
        <v>0.45833333333333331</v>
      </c>
      <c r="AG1117" s="9">
        <v>-8.4</v>
      </c>
      <c r="AH1117" s="10">
        <f t="shared" si="32"/>
        <v>-8</v>
      </c>
    </row>
    <row r="1118" spans="11:34" ht="14.5" x14ac:dyDescent="0.35">
      <c r="K1118" s="4"/>
      <c r="AC1118" s="7">
        <v>2022</v>
      </c>
      <c r="AD1118" s="7">
        <v>2</v>
      </c>
      <c r="AE1118" s="7">
        <v>16</v>
      </c>
      <c r="AF1118" s="8">
        <v>0.5</v>
      </c>
      <c r="AG1118" s="9">
        <v>-6.9</v>
      </c>
      <c r="AH1118" s="10">
        <f t="shared" si="32"/>
        <v>-7</v>
      </c>
    </row>
    <row r="1119" spans="11:34" ht="14.5" x14ac:dyDescent="0.35">
      <c r="K1119" s="4"/>
      <c r="AC1119" s="7">
        <v>2022</v>
      </c>
      <c r="AD1119" s="7">
        <v>2</v>
      </c>
      <c r="AE1119" s="7">
        <v>16</v>
      </c>
      <c r="AF1119" s="8">
        <v>0.54166666666666663</v>
      </c>
      <c r="AG1119" s="9">
        <v>-5.2</v>
      </c>
      <c r="AH1119" s="10">
        <f t="shared" si="32"/>
        <v>-5</v>
      </c>
    </row>
    <row r="1120" spans="11:34" ht="14.5" x14ac:dyDescent="0.35">
      <c r="K1120" s="4"/>
      <c r="AC1120" s="7">
        <v>2022</v>
      </c>
      <c r="AD1120" s="7">
        <v>2</v>
      </c>
      <c r="AE1120" s="7">
        <v>16</v>
      </c>
      <c r="AF1120" s="8">
        <v>0.58333333333333337</v>
      </c>
      <c r="AG1120" s="9">
        <v>-3.5</v>
      </c>
      <c r="AH1120" s="10">
        <f t="shared" si="32"/>
        <v>-4</v>
      </c>
    </row>
    <row r="1121" spans="11:34" ht="14.5" x14ac:dyDescent="0.35">
      <c r="K1121" s="4"/>
      <c r="AC1121" s="7">
        <v>2022</v>
      </c>
      <c r="AD1121" s="7">
        <v>2</v>
      </c>
      <c r="AE1121" s="7">
        <v>16</v>
      </c>
      <c r="AF1121" s="8">
        <v>0.625</v>
      </c>
      <c r="AG1121" s="9">
        <v>-3.4</v>
      </c>
      <c r="AH1121" s="10">
        <f t="shared" si="32"/>
        <v>-3</v>
      </c>
    </row>
    <row r="1122" spans="11:34" ht="14.5" x14ac:dyDescent="0.35">
      <c r="K1122" s="4"/>
      <c r="AC1122" s="7">
        <v>2022</v>
      </c>
      <c r="AD1122" s="7">
        <v>2</v>
      </c>
      <c r="AE1122" s="7">
        <v>16</v>
      </c>
      <c r="AF1122" s="8">
        <v>0.66666666666666663</v>
      </c>
      <c r="AG1122" s="9">
        <v>-3.5</v>
      </c>
      <c r="AH1122" s="10">
        <f t="shared" si="32"/>
        <v>-4</v>
      </c>
    </row>
    <row r="1123" spans="11:34" ht="14.5" x14ac:dyDescent="0.35">
      <c r="K1123" s="4"/>
      <c r="AC1123" s="7">
        <v>2022</v>
      </c>
      <c r="AD1123" s="7">
        <v>2</v>
      </c>
      <c r="AE1123" s="7">
        <v>16</v>
      </c>
      <c r="AF1123" s="8">
        <v>0.70833333333333337</v>
      </c>
      <c r="AG1123" s="9">
        <v>-4.5</v>
      </c>
      <c r="AH1123" s="10">
        <f t="shared" si="32"/>
        <v>-5</v>
      </c>
    </row>
    <row r="1124" spans="11:34" ht="14.5" x14ac:dyDescent="0.35">
      <c r="K1124" s="4"/>
      <c r="AC1124" s="7">
        <v>2022</v>
      </c>
      <c r="AD1124" s="7">
        <v>2</v>
      </c>
      <c r="AE1124" s="7">
        <v>16</v>
      </c>
      <c r="AF1124" s="8">
        <v>0.75</v>
      </c>
      <c r="AG1124" s="9">
        <v>-5.5</v>
      </c>
      <c r="AH1124" s="10">
        <f t="shared" si="32"/>
        <v>-6</v>
      </c>
    </row>
    <row r="1125" spans="11:34" ht="14.5" x14ac:dyDescent="0.35">
      <c r="K1125" s="4"/>
      <c r="AC1125" s="7">
        <v>2022</v>
      </c>
      <c r="AD1125" s="7">
        <v>2</v>
      </c>
      <c r="AE1125" s="7">
        <v>16</v>
      </c>
      <c r="AF1125" s="8">
        <v>0.79166666666666663</v>
      </c>
      <c r="AG1125" s="9">
        <v>-6.2</v>
      </c>
      <c r="AH1125" s="10">
        <f t="shared" si="32"/>
        <v>-6</v>
      </c>
    </row>
    <row r="1126" spans="11:34" ht="14.5" x14ac:dyDescent="0.35">
      <c r="K1126" s="4"/>
      <c r="AC1126" s="7">
        <v>2022</v>
      </c>
      <c r="AD1126" s="7">
        <v>2</v>
      </c>
      <c r="AE1126" s="7">
        <v>16</v>
      </c>
      <c r="AF1126" s="8">
        <v>0.83333333333333337</v>
      </c>
      <c r="AG1126" s="9">
        <v>-7.6</v>
      </c>
      <c r="AH1126" s="10">
        <f t="shared" si="32"/>
        <v>-8</v>
      </c>
    </row>
    <row r="1127" spans="11:34" ht="14.5" x14ac:dyDescent="0.35">
      <c r="K1127" s="4"/>
      <c r="AC1127" s="7">
        <v>2022</v>
      </c>
      <c r="AD1127" s="7">
        <v>2</v>
      </c>
      <c r="AE1127" s="7">
        <v>16</v>
      </c>
      <c r="AF1127" s="8">
        <v>0.875</v>
      </c>
      <c r="AG1127" s="9">
        <v>-6.9</v>
      </c>
      <c r="AH1127" s="10">
        <f t="shared" si="32"/>
        <v>-7</v>
      </c>
    </row>
    <row r="1128" spans="11:34" ht="14.5" x14ac:dyDescent="0.35">
      <c r="K1128" s="4"/>
      <c r="AC1128" s="7">
        <v>2022</v>
      </c>
      <c r="AD1128" s="7">
        <v>2</v>
      </c>
      <c r="AE1128" s="7">
        <v>16</v>
      </c>
      <c r="AF1128" s="8">
        <v>0.91666666666666663</v>
      </c>
      <c r="AG1128" s="9">
        <v>-7.3</v>
      </c>
      <c r="AH1128" s="10">
        <f t="shared" si="32"/>
        <v>-7</v>
      </c>
    </row>
    <row r="1129" spans="11:34" ht="14.5" x14ac:dyDescent="0.35">
      <c r="K1129" s="4"/>
      <c r="AC1129" s="7">
        <v>2022</v>
      </c>
      <c r="AD1129" s="7">
        <v>2</v>
      </c>
      <c r="AE1129" s="7">
        <v>16</v>
      </c>
      <c r="AF1129" s="8">
        <v>0.95833333333333337</v>
      </c>
      <c r="AG1129" s="9">
        <v>-9</v>
      </c>
      <c r="AH1129" s="10">
        <f t="shared" si="32"/>
        <v>-9</v>
      </c>
    </row>
    <row r="1130" spans="11:34" ht="14.5" x14ac:dyDescent="0.35">
      <c r="K1130" s="4"/>
      <c r="AC1130" s="7">
        <v>2022</v>
      </c>
      <c r="AD1130" s="7">
        <v>2</v>
      </c>
      <c r="AE1130" s="7">
        <v>17</v>
      </c>
      <c r="AF1130" s="8">
        <v>0</v>
      </c>
      <c r="AG1130" s="9">
        <v>-7.6</v>
      </c>
      <c r="AH1130" s="10">
        <f t="shared" si="32"/>
        <v>-8</v>
      </c>
    </row>
    <row r="1131" spans="11:34" ht="14.5" x14ac:dyDescent="0.35">
      <c r="K1131" s="4"/>
      <c r="AC1131" s="7">
        <v>2022</v>
      </c>
      <c r="AD1131" s="7">
        <v>2</v>
      </c>
      <c r="AE1131" s="7">
        <v>17</v>
      </c>
      <c r="AF1131" s="8">
        <v>4.1666666666666664E-2</v>
      </c>
      <c r="AG1131" s="9">
        <v>-9.3000000000000007</v>
      </c>
      <c r="AH1131" s="10">
        <f t="shared" si="32"/>
        <v>-9</v>
      </c>
    </row>
    <row r="1132" spans="11:34" ht="14.5" x14ac:dyDescent="0.35">
      <c r="K1132" s="4"/>
      <c r="AC1132" s="7">
        <v>2022</v>
      </c>
      <c r="AD1132" s="7">
        <v>2</v>
      </c>
      <c r="AE1132" s="7">
        <v>17</v>
      </c>
      <c r="AF1132" s="8">
        <v>8.3333333333333329E-2</v>
      </c>
      <c r="AG1132" s="9">
        <v>-8.6</v>
      </c>
      <c r="AH1132" s="10">
        <f t="shared" si="32"/>
        <v>-9</v>
      </c>
    </row>
    <row r="1133" spans="11:34" ht="14.5" x14ac:dyDescent="0.35">
      <c r="K1133" s="4"/>
      <c r="AC1133" s="7">
        <v>2022</v>
      </c>
      <c r="AD1133" s="7">
        <v>2</v>
      </c>
      <c r="AE1133" s="7">
        <v>17</v>
      </c>
      <c r="AF1133" s="8">
        <v>0.125</v>
      </c>
      <c r="AG1133" s="9">
        <v>-8.9</v>
      </c>
      <c r="AH1133" s="10">
        <f t="shared" si="32"/>
        <v>-9</v>
      </c>
    </row>
    <row r="1134" spans="11:34" ht="14.5" x14ac:dyDescent="0.35">
      <c r="K1134" s="4"/>
      <c r="AC1134" s="7">
        <v>2022</v>
      </c>
      <c r="AD1134" s="7">
        <v>2</v>
      </c>
      <c r="AE1134" s="7">
        <v>17</v>
      </c>
      <c r="AF1134" s="8">
        <v>0.16666666666666666</v>
      </c>
      <c r="AG1134" s="9">
        <v>-8</v>
      </c>
      <c r="AH1134" s="10">
        <f t="shared" si="32"/>
        <v>-8</v>
      </c>
    </row>
    <row r="1135" spans="11:34" ht="14.5" x14ac:dyDescent="0.35">
      <c r="K1135" s="4"/>
      <c r="AC1135" s="7">
        <v>2022</v>
      </c>
      <c r="AD1135" s="7">
        <v>2</v>
      </c>
      <c r="AE1135" s="7">
        <v>17</v>
      </c>
      <c r="AF1135" s="8">
        <v>0.20833333333333334</v>
      </c>
      <c r="AG1135" s="9">
        <v>-7.9</v>
      </c>
      <c r="AH1135" s="10">
        <f t="shared" si="32"/>
        <v>-8</v>
      </c>
    </row>
    <row r="1136" spans="11:34" ht="14.5" x14ac:dyDescent="0.35">
      <c r="K1136" s="4"/>
      <c r="AC1136" s="7">
        <v>2022</v>
      </c>
      <c r="AD1136" s="7">
        <v>2</v>
      </c>
      <c r="AE1136" s="7">
        <v>17</v>
      </c>
      <c r="AF1136" s="8">
        <v>0.25</v>
      </c>
      <c r="AG1136" s="9">
        <v>-7.5</v>
      </c>
      <c r="AH1136" s="10">
        <f t="shared" si="32"/>
        <v>-8</v>
      </c>
    </row>
    <row r="1137" spans="11:34" ht="14.5" x14ac:dyDescent="0.35">
      <c r="K1137" s="4"/>
      <c r="AC1137" s="7">
        <v>2022</v>
      </c>
      <c r="AD1137" s="7">
        <v>2</v>
      </c>
      <c r="AE1137" s="7">
        <v>17</v>
      </c>
      <c r="AF1137" s="8">
        <v>0.29166666666666669</v>
      </c>
      <c r="AG1137" s="9">
        <v>2.1</v>
      </c>
      <c r="AH1137" s="10">
        <f t="shared" si="32"/>
        <v>2</v>
      </c>
    </row>
    <row r="1138" spans="11:34" ht="14.5" x14ac:dyDescent="0.35">
      <c r="K1138" s="4"/>
      <c r="AC1138" s="7">
        <v>2022</v>
      </c>
      <c r="AD1138" s="7">
        <v>2</v>
      </c>
      <c r="AE1138" s="7">
        <v>17</v>
      </c>
      <c r="AF1138" s="8">
        <v>0.33333333333333331</v>
      </c>
      <c r="AG1138" s="9">
        <v>2.9</v>
      </c>
      <c r="AH1138" s="10">
        <f t="shared" si="32"/>
        <v>3</v>
      </c>
    </row>
    <row r="1139" spans="11:34" ht="14.5" x14ac:dyDescent="0.35">
      <c r="K1139" s="4"/>
      <c r="AC1139" s="7">
        <v>2022</v>
      </c>
      <c r="AD1139" s="7">
        <v>2</v>
      </c>
      <c r="AE1139" s="7">
        <v>17</v>
      </c>
      <c r="AF1139" s="8">
        <v>0.375</v>
      </c>
      <c r="AG1139" s="9">
        <v>3.6</v>
      </c>
      <c r="AH1139" s="10">
        <f t="shared" si="32"/>
        <v>4</v>
      </c>
    </row>
    <row r="1140" spans="11:34" ht="14.5" x14ac:dyDescent="0.35">
      <c r="K1140" s="4"/>
      <c r="AC1140" s="7">
        <v>2022</v>
      </c>
      <c r="AD1140" s="7">
        <v>2</v>
      </c>
      <c r="AE1140" s="7">
        <v>17</v>
      </c>
      <c r="AF1140" s="8">
        <v>0.41666666666666669</v>
      </c>
      <c r="AG1140" s="9">
        <v>4.3</v>
      </c>
      <c r="AH1140" s="10">
        <f t="shared" si="32"/>
        <v>4</v>
      </c>
    </row>
    <row r="1141" spans="11:34" ht="14.5" x14ac:dyDescent="0.35">
      <c r="K1141" s="4"/>
      <c r="AC1141" s="7">
        <v>2022</v>
      </c>
      <c r="AD1141" s="7">
        <v>2</v>
      </c>
      <c r="AE1141" s="7">
        <v>17</v>
      </c>
      <c r="AF1141" s="8">
        <v>0.45833333333333331</v>
      </c>
      <c r="AG1141" s="9">
        <v>4.2</v>
      </c>
      <c r="AH1141" s="10">
        <f t="shared" si="32"/>
        <v>4</v>
      </c>
    </row>
    <row r="1142" spans="11:34" ht="14.5" x14ac:dyDescent="0.35">
      <c r="K1142" s="4"/>
      <c r="AC1142" s="7">
        <v>2022</v>
      </c>
      <c r="AD1142" s="7">
        <v>2</v>
      </c>
      <c r="AE1142" s="7">
        <v>17</v>
      </c>
      <c r="AF1142" s="8">
        <v>0.5</v>
      </c>
      <c r="AG1142" s="9">
        <v>5.0999999999999996</v>
      </c>
      <c r="AH1142" s="10">
        <f t="shared" si="32"/>
        <v>5</v>
      </c>
    </row>
    <row r="1143" spans="11:34" ht="14.5" x14ac:dyDescent="0.35">
      <c r="K1143" s="4"/>
      <c r="AC1143" s="7">
        <v>2022</v>
      </c>
      <c r="AD1143" s="7">
        <v>2</v>
      </c>
      <c r="AE1143" s="7">
        <v>17</v>
      </c>
      <c r="AF1143" s="8">
        <v>0.54166666666666663</v>
      </c>
      <c r="AG1143" s="9">
        <v>6.5</v>
      </c>
      <c r="AH1143" s="10">
        <f t="shared" si="32"/>
        <v>7</v>
      </c>
    </row>
    <row r="1144" spans="11:34" ht="14.5" x14ac:dyDescent="0.35">
      <c r="K1144" s="4"/>
      <c r="AC1144" s="7">
        <v>2022</v>
      </c>
      <c r="AD1144" s="7">
        <v>2</v>
      </c>
      <c r="AE1144" s="7">
        <v>17</v>
      </c>
      <c r="AF1144" s="8">
        <v>0.58333333333333337</v>
      </c>
      <c r="AG1144" s="9">
        <v>6.7</v>
      </c>
      <c r="AH1144" s="10">
        <f t="shared" si="32"/>
        <v>7</v>
      </c>
    </row>
    <row r="1145" spans="11:34" ht="14.5" x14ac:dyDescent="0.35">
      <c r="K1145" s="4"/>
      <c r="AC1145" s="7">
        <v>2022</v>
      </c>
      <c r="AD1145" s="7">
        <v>2</v>
      </c>
      <c r="AE1145" s="7">
        <v>17</v>
      </c>
      <c r="AF1145" s="8">
        <v>0.625</v>
      </c>
      <c r="AG1145" s="9">
        <v>6.3</v>
      </c>
      <c r="AH1145" s="10">
        <f t="shared" si="32"/>
        <v>6</v>
      </c>
    </row>
    <row r="1146" spans="11:34" ht="14.5" x14ac:dyDescent="0.35">
      <c r="K1146" s="4"/>
      <c r="AC1146" s="7">
        <v>2022</v>
      </c>
      <c r="AD1146" s="7">
        <v>2</v>
      </c>
      <c r="AE1146" s="7">
        <v>17</v>
      </c>
      <c r="AF1146" s="8">
        <v>0.66666666666666663</v>
      </c>
      <c r="AG1146" s="9">
        <v>6.2</v>
      </c>
      <c r="AH1146" s="10">
        <f t="shared" si="32"/>
        <v>6</v>
      </c>
    </row>
    <row r="1147" spans="11:34" ht="14.5" x14ac:dyDescent="0.35">
      <c r="K1147" s="4"/>
      <c r="AC1147" s="7">
        <v>2022</v>
      </c>
      <c r="AD1147" s="7">
        <v>2</v>
      </c>
      <c r="AE1147" s="7">
        <v>17</v>
      </c>
      <c r="AF1147" s="8">
        <v>0.70833333333333337</v>
      </c>
      <c r="AG1147" s="9">
        <v>5.7</v>
      </c>
      <c r="AH1147" s="10">
        <f t="shared" si="32"/>
        <v>6</v>
      </c>
    </row>
    <row r="1148" spans="11:34" ht="14.5" x14ac:dyDescent="0.35">
      <c r="K1148" s="4"/>
      <c r="AC1148" s="7">
        <v>2022</v>
      </c>
      <c r="AD1148" s="7">
        <v>2</v>
      </c>
      <c r="AE1148" s="7">
        <v>17</v>
      </c>
      <c r="AF1148" s="8">
        <v>0.75</v>
      </c>
      <c r="AG1148" s="9">
        <v>2.9</v>
      </c>
      <c r="AH1148" s="10">
        <f t="shared" si="32"/>
        <v>3</v>
      </c>
    </row>
    <row r="1149" spans="11:34" ht="14.5" x14ac:dyDescent="0.35">
      <c r="K1149" s="4"/>
      <c r="AC1149" s="7">
        <v>2022</v>
      </c>
      <c r="AD1149" s="7">
        <v>2</v>
      </c>
      <c r="AE1149" s="7">
        <v>17</v>
      </c>
      <c r="AF1149" s="8">
        <v>0.79166666666666663</v>
      </c>
      <c r="AG1149" s="9">
        <v>0.9</v>
      </c>
      <c r="AH1149" s="10">
        <f t="shared" si="32"/>
        <v>1</v>
      </c>
    </row>
    <row r="1150" spans="11:34" ht="14.5" x14ac:dyDescent="0.35">
      <c r="K1150" s="4"/>
      <c r="AC1150" s="7">
        <v>2022</v>
      </c>
      <c r="AD1150" s="7">
        <v>2</v>
      </c>
      <c r="AE1150" s="7">
        <v>17</v>
      </c>
      <c r="AF1150" s="8">
        <v>0.83333333333333337</v>
      </c>
      <c r="AG1150" s="9">
        <v>0.5</v>
      </c>
      <c r="AH1150" s="10">
        <f t="shared" si="32"/>
        <v>1</v>
      </c>
    </row>
    <row r="1151" spans="11:34" ht="14.5" x14ac:dyDescent="0.35">
      <c r="K1151" s="4"/>
      <c r="AC1151" s="7">
        <v>2022</v>
      </c>
      <c r="AD1151" s="7">
        <v>2</v>
      </c>
      <c r="AE1151" s="7">
        <v>17</v>
      </c>
      <c r="AF1151" s="8">
        <v>0.875</v>
      </c>
      <c r="AG1151" s="9">
        <v>-0.4</v>
      </c>
      <c r="AH1151" s="10">
        <f t="shared" si="32"/>
        <v>0</v>
      </c>
    </row>
    <row r="1152" spans="11:34" ht="14.5" x14ac:dyDescent="0.35">
      <c r="K1152" s="4"/>
      <c r="AC1152" s="7">
        <v>2022</v>
      </c>
      <c r="AD1152" s="7">
        <v>2</v>
      </c>
      <c r="AE1152" s="7">
        <v>17</v>
      </c>
      <c r="AF1152" s="8">
        <v>0.91666666666666663</v>
      </c>
      <c r="AG1152" s="9">
        <v>-1.5</v>
      </c>
      <c r="AH1152" s="10">
        <f t="shared" si="32"/>
        <v>-2</v>
      </c>
    </row>
    <row r="1153" spans="11:34" ht="14.5" x14ac:dyDescent="0.35">
      <c r="K1153" s="4"/>
      <c r="AC1153" s="7">
        <v>2022</v>
      </c>
      <c r="AD1153" s="7">
        <v>2</v>
      </c>
      <c r="AE1153" s="7">
        <v>17</v>
      </c>
      <c r="AF1153" s="8">
        <v>0.95833333333333337</v>
      </c>
      <c r="AG1153" s="9">
        <v>-1.1000000000000001</v>
      </c>
      <c r="AH1153" s="10">
        <f t="shared" si="32"/>
        <v>-1</v>
      </c>
    </row>
    <row r="1154" spans="11:34" ht="14.5" x14ac:dyDescent="0.35">
      <c r="K1154" s="4"/>
      <c r="AC1154" s="7">
        <v>2022</v>
      </c>
      <c r="AD1154" s="7">
        <v>2</v>
      </c>
      <c r="AE1154" s="7">
        <v>18</v>
      </c>
      <c r="AF1154" s="8">
        <v>0</v>
      </c>
      <c r="AG1154" s="9">
        <v>-0.4</v>
      </c>
      <c r="AH1154" s="10">
        <f t="shared" si="32"/>
        <v>0</v>
      </c>
    </row>
    <row r="1155" spans="11:34" ht="14.5" x14ac:dyDescent="0.35">
      <c r="K1155" s="4"/>
      <c r="AC1155" s="7">
        <v>2022</v>
      </c>
      <c r="AD1155" s="7">
        <v>2</v>
      </c>
      <c r="AE1155" s="7">
        <v>18</v>
      </c>
      <c r="AF1155" s="8">
        <v>4.1666666666666664E-2</v>
      </c>
      <c r="AG1155" s="9">
        <v>-0.8</v>
      </c>
      <c r="AH1155" s="10">
        <f t="shared" si="32"/>
        <v>-1</v>
      </c>
    </row>
    <row r="1156" spans="11:34" ht="14.5" x14ac:dyDescent="0.35">
      <c r="K1156" s="4"/>
      <c r="AC1156" s="7">
        <v>2022</v>
      </c>
      <c r="AD1156" s="7">
        <v>2</v>
      </c>
      <c r="AE1156" s="7">
        <v>18</v>
      </c>
      <c r="AF1156" s="8">
        <v>8.3333333333333329E-2</v>
      </c>
      <c r="AG1156" s="9">
        <v>-2.2000000000000002</v>
      </c>
      <c r="AH1156" s="10">
        <f t="shared" si="32"/>
        <v>-2</v>
      </c>
    </row>
    <row r="1157" spans="11:34" ht="14.5" x14ac:dyDescent="0.35">
      <c r="K1157" s="4"/>
      <c r="AC1157" s="7">
        <v>2022</v>
      </c>
      <c r="AD1157" s="7">
        <v>2</v>
      </c>
      <c r="AE1157" s="7">
        <v>18</v>
      </c>
      <c r="AF1157" s="8">
        <v>0.125</v>
      </c>
      <c r="AG1157" s="9">
        <v>-2.1</v>
      </c>
      <c r="AH1157" s="10">
        <f t="shared" si="32"/>
        <v>-2</v>
      </c>
    </row>
    <row r="1158" spans="11:34" ht="14.5" x14ac:dyDescent="0.35">
      <c r="K1158" s="4"/>
      <c r="AC1158" s="7">
        <v>2022</v>
      </c>
      <c r="AD1158" s="7">
        <v>2</v>
      </c>
      <c r="AE1158" s="7">
        <v>18</v>
      </c>
      <c r="AF1158" s="8">
        <v>0.16666666666666666</v>
      </c>
      <c r="AG1158" s="9">
        <v>-2.5</v>
      </c>
      <c r="AH1158" s="10">
        <f t="shared" si="32"/>
        <v>-3</v>
      </c>
    </row>
    <row r="1159" spans="11:34" ht="14.5" x14ac:dyDescent="0.35">
      <c r="K1159" s="4"/>
      <c r="AC1159" s="7">
        <v>2022</v>
      </c>
      <c r="AD1159" s="7">
        <v>2</v>
      </c>
      <c r="AE1159" s="7">
        <v>18</v>
      </c>
      <c r="AF1159" s="8">
        <v>0.20833333333333334</v>
      </c>
      <c r="AG1159" s="9">
        <v>-3.4</v>
      </c>
      <c r="AH1159" s="10">
        <f t="shared" si="32"/>
        <v>-3</v>
      </c>
    </row>
    <row r="1160" spans="11:34" ht="14.5" x14ac:dyDescent="0.35">
      <c r="K1160" s="4"/>
      <c r="AC1160" s="7">
        <v>2022</v>
      </c>
      <c r="AD1160" s="7">
        <v>2</v>
      </c>
      <c r="AE1160" s="7">
        <v>18</v>
      </c>
      <c r="AF1160" s="8">
        <v>0.25</v>
      </c>
      <c r="AG1160" s="9">
        <v>-7.8</v>
      </c>
      <c r="AH1160" s="10">
        <f t="shared" si="32"/>
        <v>-8</v>
      </c>
    </row>
    <row r="1161" spans="11:34" ht="14.5" x14ac:dyDescent="0.35">
      <c r="K1161" s="4"/>
      <c r="AC1161" s="7">
        <v>2022</v>
      </c>
      <c r="AD1161" s="7">
        <v>2</v>
      </c>
      <c r="AE1161" s="7">
        <v>18</v>
      </c>
      <c r="AF1161" s="8">
        <v>0.29166666666666669</v>
      </c>
      <c r="AG1161" s="9">
        <v>-9.4</v>
      </c>
      <c r="AH1161" s="10">
        <f t="shared" si="32"/>
        <v>-9</v>
      </c>
    </row>
    <row r="1162" spans="11:34" ht="14.5" x14ac:dyDescent="0.35">
      <c r="K1162" s="4"/>
      <c r="AC1162" s="7">
        <v>2022</v>
      </c>
      <c r="AD1162" s="7">
        <v>2</v>
      </c>
      <c r="AE1162" s="7">
        <v>18</v>
      </c>
      <c r="AF1162" s="8">
        <v>0.33333333333333331</v>
      </c>
      <c r="AG1162" s="9">
        <v>-10.6</v>
      </c>
      <c r="AH1162" s="10">
        <f t="shared" si="32"/>
        <v>-11</v>
      </c>
    </row>
    <row r="1163" spans="11:34" ht="14.5" x14ac:dyDescent="0.35">
      <c r="K1163" s="4"/>
      <c r="AC1163" s="7">
        <v>2022</v>
      </c>
      <c r="AD1163" s="7">
        <v>2</v>
      </c>
      <c r="AE1163" s="7">
        <v>18</v>
      </c>
      <c r="AF1163" s="8">
        <v>0.375</v>
      </c>
      <c r="AG1163" s="9">
        <v>-10.9</v>
      </c>
      <c r="AH1163" s="10">
        <f t="shared" ref="AH1163:AH1226" si="33">ROUND(AG1163,0)</f>
        <v>-11</v>
      </c>
    </row>
    <row r="1164" spans="11:34" ht="14.5" x14ac:dyDescent="0.35">
      <c r="K1164" s="4"/>
      <c r="AC1164" s="7">
        <v>2022</v>
      </c>
      <c r="AD1164" s="7">
        <v>2</v>
      </c>
      <c r="AE1164" s="7">
        <v>18</v>
      </c>
      <c r="AF1164" s="8">
        <v>0.41666666666666669</v>
      </c>
      <c r="AG1164" s="9">
        <v>-10.5</v>
      </c>
      <c r="AH1164" s="10">
        <f t="shared" si="33"/>
        <v>-11</v>
      </c>
    </row>
    <row r="1165" spans="11:34" ht="14.5" x14ac:dyDescent="0.35">
      <c r="K1165" s="4"/>
      <c r="AC1165" s="7">
        <v>2022</v>
      </c>
      <c r="AD1165" s="7">
        <v>2</v>
      </c>
      <c r="AE1165" s="7">
        <v>18</v>
      </c>
      <c r="AF1165" s="8">
        <v>0.45833333333333331</v>
      </c>
      <c r="AG1165" s="9">
        <v>-9.6999999999999993</v>
      </c>
      <c r="AH1165" s="10">
        <f t="shared" si="33"/>
        <v>-10</v>
      </c>
    </row>
    <row r="1166" spans="11:34" ht="14.5" x14ac:dyDescent="0.35">
      <c r="K1166" s="4"/>
      <c r="AC1166" s="7">
        <v>2022</v>
      </c>
      <c r="AD1166" s="7">
        <v>2</v>
      </c>
      <c r="AE1166" s="7">
        <v>18</v>
      </c>
      <c r="AF1166" s="8">
        <v>0.5</v>
      </c>
      <c r="AG1166" s="9">
        <v>-8.8000000000000007</v>
      </c>
      <c r="AH1166" s="10">
        <f t="shared" si="33"/>
        <v>-9</v>
      </c>
    </row>
    <row r="1167" spans="11:34" ht="14.5" x14ac:dyDescent="0.35">
      <c r="K1167" s="4"/>
      <c r="AC1167" s="7">
        <v>2022</v>
      </c>
      <c r="AD1167" s="7">
        <v>2</v>
      </c>
      <c r="AE1167" s="7">
        <v>18</v>
      </c>
      <c r="AF1167" s="8">
        <v>0.54166666666666663</v>
      </c>
      <c r="AG1167" s="9">
        <v>-8.4</v>
      </c>
      <c r="AH1167" s="10">
        <f t="shared" si="33"/>
        <v>-8</v>
      </c>
    </row>
    <row r="1168" spans="11:34" ht="14.5" x14ac:dyDescent="0.35">
      <c r="K1168" s="4"/>
      <c r="AC1168" s="7">
        <v>2022</v>
      </c>
      <c r="AD1168" s="7">
        <v>2</v>
      </c>
      <c r="AE1168" s="7">
        <v>18</v>
      </c>
      <c r="AF1168" s="8">
        <v>0.58333333333333337</v>
      </c>
      <c r="AG1168" s="9">
        <v>-7.2</v>
      </c>
      <c r="AH1168" s="10">
        <f t="shared" si="33"/>
        <v>-7</v>
      </c>
    </row>
    <row r="1169" spans="11:34" ht="14.5" x14ac:dyDescent="0.35">
      <c r="K1169" s="4"/>
      <c r="AC1169" s="7">
        <v>2022</v>
      </c>
      <c r="AD1169" s="7">
        <v>2</v>
      </c>
      <c r="AE1169" s="7">
        <v>18</v>
      </c>
      <c r="AF1169" s="8">
        <v>0.625</v>
      </c>
      <c r="AG1169" s="9">
        <v>-7.2</v>
      </c>
      <c r="AH1169" s="10">
        <f t="shared" si="33"/>
        <v>-7</v>
      </c>
    </row>
    <row r="1170" spans="11:34" ht="14.5" x14ac:dyDescent="0.35">
      <c r="K1170" s="4"/>
      <c r="AC1170" s="7">
        <v>2022</v>
      </c>
      <c r="AD1170" s="7">
        <v>2</v>
      </c>
      <c r="AE1170" s="7">
        <v>18</v>
      </c>
      <c r="AF1170" s="8">
        <v>0.66666666666666663</v>
      </c>
      <c r="AG1170" s="9">
        <v>-7.8</v>
      </c>
      <c r="AH1170" s="10">
        <f t="shared" si="33"/>
        <v>-8</v>
      </c>
    </row>
    <row r="1171" spans="11:34" ht="14.5" x14ac:dyDescent="0.35">
      <c r="K1171" s="4"/>
      <c r="AC1171" s="7">
        <v>2022</v>
      </c>
      <c r="AD1171" s="7">
        <v>2</v>
      </c>
      <c r="AE1171" s="7">
        <v>18</v>
      </c>
      <c r="AF1171" s="8">
        <v>0.70833333333333337</v>
      </c>
      <c r="AG1171" s="9">
        <v>-7.7</v>
      </c>
      <c r="AH1171" s="10">
        <f t="shared" si="33"/>
        <v>-8</v>
      </c>
    </row>
    <row r="1172" spans="11:34" ht="14.5" x14ac:dyDescent="0.35">
      <c r="K1172" s="4"/>
      <c r="AC1172" s="7">
        <v>2022</v>
      </c>
      <c r="AD1172" s="7">
        <v>2</v>
      </c>
      <c r="AE1172" s="7">
        <v>18</v>
      </c>
      <c r="AF1172" s="8">
        <v>0.75</v>
      </c>
      <c r="AG1172" s="9">
        <v>-7.2</v>
      </c>
      <c r="AH1172" s="10">
        <f t="shared" si="33"/>
        <v>-7</v>
      </c>
    </row>
    <row r="1173" spans="11:34" ht="14.5" x14ac:dyDescent="0.35">
      <c r="K1173" s="4"/>
      <c r="AC1173" s="7">
        <v>2022</v>
      </c>
      <c r="AD1173" s="7">
        <v>2</v>
      </c>
      <c r="AE1173" s="7">
        <v>18</v>
      </c>
      <c r="AF1173" s="8">
        <v>0.79166666666666663</v>
      </c>
      <c r="AG1173" s="9">
        <v>-6.8</v>
      </c>
      <c r="AH1173" s="10">
        <f t="shared" si="33"/>
        <v>-7</v>
      </c>
    </row>
    <row r="1174" spans="11:34" ht="14.5" x14ac:dyDescent="0.35">
      <c r="K1174" s="4"/>
      <c r="AC1174" s="7">
        <v>2022</v>
      </c>
      <c r="AD1174" s="7">
        <v>2</v>
      </c>
      <c r="AE1174" s="7">
        <v>18</v>
      </c>
      <c r="AF1174" s="8">
        <v>0.83333333333333337</v>
      </c>
      <c r="AG1174" s="9">
        <v>-6.7</v>
      </c>
      <c r="AH1174" s="10">
        <f t="shared" si="33"/>
        <v>-7</v>
      </c>
    </row>
    <row r="1175" spans="11:34" ht="14.5" x14ac:dyDescent="0.35">
      <c r="K1175" s="4"/>
      <c r="AC1175" s="7">
        <v>2022</v>
      </c>
      <c r="AD1175" s="7">
        <v>2</v>
      </c>
      <c r="AE1175" s="7">
        <v>18</v>
      </c>
      <c r="AF1175" s="8">
        <v>0.875</v>
      </c>
      <c r="AG1175" s="9">
        <v>-6.7</v>
      </c>
      <c r="AH1175" s="10">
        <f t="shared" si="33"/>
        <v>-7</v>
      </c>
    </row>
    <row r="1176" spans="11:34" ht="14.5" x14ac:dyDescent="0.35">
      <c r="K1176" s="4"/>
      <c r="AC1176" s="7">
        <v>2022</v>
      </c>
      <c r="AD1176" s="7">
        <v>2</v>
      </c>
      <c r="AE1176" s="7">
        <v>18</v>
      </c>
      <c r="AF1176" s="8">
        <v>0.91666666666666663</v>
      </c>
      <c r="AG1176" s="9">
        <v>-6.6</v>
      </c>
      <c r="AH1176" s="10">
        <f t="shared" si="33"/>
        <v>-7</v>
      </c>
    </row>
    <row r="1177" spans="11:34" ht="14.5" x14ac:dyDescent="0.35">
      <c r="K1177" s="4"/>
      <c r="AC1177" s="7">
        <v>2022</v>
      </c>
      <c r="AD1177" s="7">
        <v>2</v>
      </c>
      <c r="AE1177" s="7">
        <v>18</v>
      </c>
      <c r="AF1177" s="8">
        <v>0.95833333333333337</v>
      </c>
      <c r="AG1177" s="9">
        <v>-5.3</v>
      </c>
      <c r="AH1177" s="10">
        <f t="shared" si="33"/>
        <v>-5</v>
      </c>
    </row>
    <row r="1178" spans="11:34" ht="14.5" x14ac:dyDescent="0.35">
      <c r="K1178" s="4"/>
      <c r="AC1178" s="7">
        <v>2022</v>
      </c>
      <c r="AD1178" s="7">
        <v>2</v>
      </c>
      <c r="AE1178" s="7">
        <v>19</v>
      </c>
      <c r="AF1178" s="8">
        <v>0</v>
      </c>
      <c r="AG1178" s="9">
        <v>-1.7</v>
      </c>
      <c r="AH1178" s="10">
        <f t="shared" si="33"/>
        <v>-2</v>
      </c>
    </row>
    <row r="1179" spans="11:34" ht="14.5" x14ac:dyDescent="0.35">
      <c r="K1179" s="4"/>
      <c r="AC1179" s="7">
        <v>2022</v>
      </c>
      <c r="AD1179" s="7">
        <v>2</v>
      </c>
      <c r="AE1179" s="7">
        <v>19</v>
      </c>
      <c r="AF1179" s="8">
        <v>4.1666666666666664E-2</v>
      </c>
      <c r="AG1179" s="9">
        <v>5.3</v>
      </c>
      <c r="AH1179" s="10">
        <f t="shared" si="33"/>
        <v>5</v>
      </c>
    </row>
    <row r="1180" spans="11:34" ht="14.5" x14ac:dyDescent="0.35">
      <c r="K1180" s="4"/>
      <c r="AC1180" s="7">
        <v>2022</v>
      </c>
      <c r="AD1180" s="7">
        <v>2</v>
      </c>
      <c r="AE1180" s="7">
        <v>19</v>
      </c>
      <c r="AF1180" s="8">
        <v>8.3333333333333329E-2</v>
      </c>
      <c r="AG1180" s="9">
        <v>6.8</v>
      </c>
      <c r="AH1180" s="10">
        <f t="shared" si="33"/>
        <v>7</v>
      </c>
    </row>
    <row r="1181" spans="11:34" ht="14.5" x14ac:dyDescent="0.35">
      <c r="K1181" s="4"/>
      <c r="AC1181" s="7">
        <v>2022</v>
      </c>
      <c r="AD1181" s="7">
        <v>2</v>
      </c>
      <c r="AE1181" s="7">
        <v>19</v>
      </c>
      <c r="AF1181" s="8">
        <v>0.125</v>
      </c>
      <c r="AG1181" s="9">
        <v>7.8</v>
      </c>
      <c r="AH1181" s="10">
        <f t="shared" si="33"/>
        <v>8</v>
      </c>
    </row>
    <row r="1182" spans="11:34" ht="14.5" x14ac:dyDescent="0.35">
      <c r="K1182" s="4"/>
      <c r="AC1182" s="7">
        <v>2022</v>
      </c>
      <c r="AD1182" s="7">
        <v>2</v>
      </c>
      <c r="AE1182" s="7">
        <v>19</v>
      </c>
      <c r="AF1182" s="8">
        <v>0.16666666666666666</v>
      </c>
      <c r="AG1182" s="9">
        <v>6.8</v>
      </c>
      <c r="AH1182" s="10">
        <f t="shared" si="33"/>
        <v>7</v>
      </c>
    </row>
    <row r="1183" spans="11:34" ht="14.5" x14ac:dyDescent="0.35">
      <c r="K1183" s="4"/>
      <c r="AC1183" s="7">
        <v>2022</v>
      </c>
      <c r="AD1183" s="7">
        <v>2</v>
      </c>
      <c r="AE1183" s="7">
        <v>19</v>
      </c>
      <c r="AF1183" s="8">
        <v>0.20833333333333334</v>
      </c>
      <c r="AG1183" s="9">
        <v>7.6</v>
      </c>
      <c r="AH1183" s="10">
        <f t="shared" si="33"/>
        <v>8</v>
      </c>
    </row>
    <row r="1184" spans="11:34" ht="14.5" x14ac:dyDescent="0.35">
      <c r="K1184" s="4"/>
      <c r="AC1184" s="7">
        <v>2022</v>
      </c>
      <c r="AD1184" s="7">
        <v>2</v>
      </c>
      <c r="AE1184" s="7">
        <v>19</v>
      </c>
      <c r="AF1184" s="8">
        <v>0.25</v>
      </c>
      <c r="AG1184" s="9">
        <v>5.3</v>
      </c>
      <c r="AH1184" s="10">
        <f t="shared" si="33"/>
        <v>5</v>
      </c>
    </row>
    <row r="1185" spans="11:34" ht="14.5" x14ac:dyDescent="0.35">
      <c r="K1185" s="4"/>
      <c r="AC1185" s="7">
        <v>2022</v>
      </c>
      <c r="AD1185" s="7">
        <v>2</v>
      </c>
      <c r="AE1185" s="7">
        <v>19</v>
      </c>
      <c r="AF1185" s="8">
        <v>0.29166666666666669</v>
      </c>
      <c r="AG1185" s="9">
        <v>4.9000000000000004</v>
      </c>
      <c r="AH1185" s="10">
        <f t="shared" si="33"/>
        <v>5</v>
      </c>
    </row>
    <row r="1186" spans="11:34" ht="14.5" x14ac:dyDescent="0.35">
      <c r="K1186" s="4"/>
      <c r="AC1186" s="7">
        <v>2022</v>
      </c>
      <c r="AD1186" s="7">
        <v>2</v>
      </c>
      <c r="AE1186" s="7">
        <v>19</v>
      </c>
      <c r="AF1186" s="8">
        <v>0.33333333333333331</v>
      </c>
      <c r="AG1186" s="9">
        <v>3.4</v>
      </c>
      <c r="AH1186" s="10">
        <f t="shared" si="33"/>
        <v>3</v>
      </c>
    </row>
    <row r="1187" spans="11:34" ht="14.5" x14ac:dyDescent="0.35">
      <c r="K1187" s="4"/>
      <c r="AC1187" s="7">
        <v>2022</v>
      </c>
      <c r="AD1187" s="7">
        <v>2</v>
      </c>
      <c r="AE1187" s="7">
        <v>19</v>
      </c>
      <c r="AF1187" s="8">
        <v>0.375</v>
      </c>
      <c r="AG1187" s="9">
        <v>4.4000000000000004</v>
      </c>
      <c r="AH1187" s="10">
        <f t="shared" si="33"/>
        <v>4</v>
      </c>
    </row>
    <row r="1188" spans="11:34" ht="14.5" x14ac:dyDescent="0.35">
      <c r="K1188" s="4"/>
      <c r="AC1188" s="7">
        <v>2022</v>
      </c>
      <c r="AD1188" s="7">
        <v>2</v>
      </c>
      <c r="AE1188" s="7">
        <v>19</v>
      </c>
      <c r="AF1188" s="8">
        <v>0.41666666666666669</v>
      </c>
      <c r="AG1188" s="9">
        <v>6.1</v>
      </c>
      <c r="AH1188" s="10">
        <f t="shared" si="33"/>
        <v>6</v>
      </c>
    </row>
    <row r="1189" spans="11:34" ht="14.5" x14ac:dyDescent="0.35">
      <c r="K1189" s="4"/>
      <c r="AC1189" s="7">
        <v>2022</v>
      </c>
      <c r="AD1189" s="7">
        <v>2</v>
      </c>
      <c r="AE1189" s="7">
        <v>19</v>
      </c>
      <c r="AF1189" s="8">
        <v>0.45833333333333331</v>
      </c>
      <c r="AG1189" s="9">
        <v>8.3000000000000007</v>
      </c>
      <c r="AH1189" s="10">
        <f t="shared" si="33"/>
        <v>8</v>
      </c>
    </row>
    <row r="1190" spans="11:34" ht="14.5" x14ac:dyDescent="0.35">
      <c r="K1190" s="4"/>
      <c r="AC1190" s="7">
        <v>2022</v>
      </c>
      <c r="AD1190" s="7">
        <v>2</v>
      </c>
      <c r="AE1190" s="7">
        <v>19</v>
      </c>
      <c r="AF1190" s="8">
        <v>0.5</v>
      </c>
      <c r="AG1190" s="9">
        <v>7.9</v>
      </c>
      <c r="AH1190" s="10">
        <f t="shared" si="33"/>
        <v>8</v>
      </c>
    </row>
    <row r="1191" spans="11:34" ht="14.5" x14ac:dyDescent="0.35">
      <c r="K1191" s="4"/>
      <c r="AC1191" s="7">
        <v>2022</v>
      </c>
      <c r="AD1191" s="7">
        <v>2</v>
      </c>
      <c r="AE1191" s="7">
        <v>19</v>
      </c>
      <c r="AF1191" s="8">
        <v>0.54166666666666663</v>
      </c>
      <c r="AG1191" s="9">
        <v>3.1</v>
      </c>
      <c r="AH1191" s="10">
        <f t="shared" si="33"/>
        <v>3</v>
      </c>
    </row>
    <row r="1192" spans="11:34" ht="14.5" x14ac:dyDescent="0.35">
      <c r="K1192" s="4"/>
      <c r="AC1192" s="7">
        <v>2022</v>
      </c>
      <c r="AD1192" s="7">
        <v>2</v>
      </c>
      <c r="AE1192" s="7">
        <v>19</v>
      </c>
      <c r="AF1192" s="8">
        <v>0.58333333333333337</v>
      </c>
      <c r="AG1192" s="9">
        <v>2.5</v>
      </c>
      <c r="AH1192" s="10">
        <f t="shared" si="33"/>
        <v>3</v>
      </c>
    </row>
    <row r="1193" spans="11:34" ht="14.5" x14ac:dyDescent="0.35">
      <c r="K1193" s="4"/>
      <c r="AC1193" s="7">
        <v>2022</v>
      </c>
      <c r="AD1193" s="7">
        <v>2</v>
      </c>
      <c r="AE1193" s="7">
        <v>19</v>
      </c>
      <c r="AF1193" s="8">
        <v>0.625</v>
      </c>
      <c r="AG1193" s="9">
        <v>2.2999999999999998</v>
      </c>
      <c r="AH1193" s="10">
        <f t="shared" si="33"/>
        <v>2</v>
      </c>
    </row>
    <row r="1194" spans="11:34" ht="14.5" x14ac:dyDescent="0.35">
      <c r="K1194" s="4"/>
      <c r="AC1194" s="7">
        <v>2022</v>
      </c>
      <c r="AD1194" s="7">
        <v>2</v>
      </c>
      <c r="AE1194" s="7">
        <v>19</v>
      </c>
      <c r="AF1194" s="8">
        <v>0.66666666666666663</v>
      </c>
      <c r="AG1194" s="9">
        <v>1.3</v>
      </c>
      <c r="AH1194" s="10">
        <f t="shared" si="33"/>
        <v>1</v>
      </c>
    </row>
    <row r="1195" spans="11:34" ht="14.5" x14ac:dyDescent="0.35">
      <c r="K1195" s="4"/>
      <c r="AC1195" s="7">
        <v>2022</v>
      </c>
      <c r="AD1195" s="7">
        <v>2</v>
      </c>
      <c r="AE1195" s="7">
        <v>19</v>
      </c>
      <c r="AF1195" s="8">
        <v>0.70833333333333337</v>
      </c>
      <c r="AG1195" s="9">
        <v>1.7</v>
      </c>
      <c r="AH1195" s="10">
        <f t="shared" si="33"/>
        <v>2</v>
      </c>
    </row>
    <row r="1196" spans="11:34" ht="14.5" x14ac:dyDescent="0.35">
      <c r="K1196" s="4"/>
      <c r="AC1196" s="7">
        <v>2022</v>
      </c>
      <c r="AD1196" s="7">
        <v>2</v>
      </c>
      <c r="AE1196" s="7">
        <v>19</v>
      </c>
      <c r="AF1196" s="8">
        <v>0.75</v>
      </c>
      <c r="AG1196" s="9">
        <v>1.2</v>
      </c>
      <c r="AH1196" s="10">
        <f t="shared" si="33"/>
        <v>1</v>
      </c>
    </row>
    <row r="1197" spans="11:34" ht="14.5" x14ac:dyDescent="0.35">
      <c r="K1197" s="4"/>
      <c r="AC1197" s="7">
        <v>2022</v>
      </c>
      <c r="AD1197" s="7">
        <v>2</v>
      </c>
      <c r="AE1197" s="7">
        <v>19</v>
      </c>
      <c r="AF1197" s="8">
        <v>0.79166666666666663</v>
      </c>
      <c r="AG1197" s="9">
        <v>0.9</v>
      </c>
      <c r="AH1197" s="10">
        <f t="shared" si="33"/>
        <v>1</v>
      </c>
    </row>
    <row r="1198" spans="11:34" ht="14.5" x14ac:dyDescent="0.35">
      <c r="K1198" s="4"/>
      <c r="AC1198" s="7">
        <v>2022</v>
      </c>
      <c r="AD1198" s="7">
        <v>2</v>
      </c>
      <c r="AE1198" s="7">
        <v>19</v>
      </c>
      <c r="AF1198" s="8">
        <v>0.83333333333333337</v>
      </c>
      <c r="AG1198" s="9">
        <v>0.7</v>
      </c>
      <c r="AH1198" s="10">
        <f t="shared" si="33"/>
        <v>1</v>
      </c>
    </row>
    <row r="1199" spans="11:34" ht="14.5" x14ac:dyDescent="0.35">
      <c r="K1199" s="4"/>
      <c r="AC1199" s="7">
        <v>2022</v>
      </c>
      <c r="AD1199" s="7">
        <v>2</v>
      </c>
      <c r="AE1199" s="7">
        <v>19</v>
      </c>
      <c r="AF1199" s="8">
        <v>0.875</v>
      </c>
      <c r="AG1199" s="9">
        <v>0.7</v>
      </c>
      <c r="AH1199" s="10">
        <f t="shared" si="33"/>
        <v>1</v>
      </c>
    </row>
    <row r="1200" spans="11:34" ht="14.5" x14ac:dyDescent="0.35">
      <c r="K1200" s="4"/>
      <c r="AC1200" s="7">
        <v>2022</v>
      </c>
      <c r="AD1200" s="7">
        <v>2</v>
      </c>
      <c r="AE1200" s="7">
        <v>19</v>
      </c>
      <c r="AF1200" s="8">
        <v>0.91666666666666663</v>
      </c>
      <c r="AG1200" s="9">
        <v>-0.1</v>
      </c>
      <c r="AH1200" s="10">
        <f t="shared" si="33"/>
        <v>0</v>
      </c>
    </row>
    <row r="1201" spans="11:34" ht="14.5" x14ac:dyDescent="0.35">
      <c r="K1201" s="4"/>
      <c r="AC1201" s="7">
        <v>2022</v>
      </c>
      <c r="AD1201" s="7">
        <v>2</v>
      </c>
      <c r="AE1201" s="7">
        <v>19</v>
      </c>
      <c r="AF1201" s="8">
        <v>0.95833333333333337</v>
      </c>
      <c r="AG1201" s="9">
        <v>-5</v>
      </c>
      <c r="AH1201" s="10">
        <f t="shared" si="33"/>
        <v>-5</v>
      </c>
    </row>
    <row r="1202" spans="11:34" ht="14.5" x14ac:dyDescent="0.35">
      <c r="K1202" s="4"/>
      <c r="AC1202" s="7">
        <v>2022</v>
      </c>
      <c r="AD1202" s="7">
        <v>2</v>
      </c>
      <c r="AE1202" s="7">
        <v>20</v>
      </c>
      <c r="AF1202" s="8">
        <v>0</v>
      </c>
      <c r="AG1202" s="9">
        <v>-9.1999999999999993</v>
      </c>
      <c r="AH1202" s="10">
        <f t="shared" si="33"/>
        <v>-9</v>
      </c>
    </row>
    <row r="1203" spans="11:34" ht="14.5" x14ac:dyDescent="0.35">
      <c r="K1203" s="4"/>
      <c r="AC1203" s="7">
        <v>2022</v>
      </c>
      <c r="AD1203" s="7">
        <v>2</v>
      </c>
      <c r="AE1203" s="7">
        <v>20</v>
      </c>
      <c r="AF1203" s="8">
        <v>4.1666666666666664E-2</v>
      </c>
      <c r="AG1203" s="9">
        <v>-11.7</v>
      </c>
      <c r="AH1203" s="10">
        <f t="shared" si="33"/>
        <v>-12</v>
      </c>
    </row>
    <row r="1204" spans="11:34" ht="14.5" x14ac:dyDescent="0.35">
      <c r="K1204" s="4"/>
      <c r="AC1204" s="7">
        <v>2022</v>
      </c>
      <c r="AD1204" s="7">
        <v>2</v>
      </c>
      <c r="AE1204" s="7">
        <v>20</v>
      </c>
      <c r="AF1204" s="8">
        <v>8.3333333333333329E-2</v>
      </c>
      <c r="AG1204" s="9">
        <v>-12.6</v>
      </c>
      <c r="AH1204" s="10">
        <f t="shared" si="33"/>
        <v>-13</v>
      </c>
    </row>
    <row r="1205" spans="11:34" ht="14.5" x14ac:dyDescent="0.35">
      <c r="K1205" s="4"/>
      <c r="AC1205" s="7">
        <v>2022</v>
      </c>
      <c r="AD1205" s="7">
        <v>2</v>
      </c>
      <c r="AE1205" s="7">
        <v>20</v>
      </c>
      <c r="AF1205" s="8">
        <v>0.125</v>
      </c>
      <c r="AG1205" s="9">
        <v>-13.5</v>
      </c>
      <c r="AH1205" s="10">
        <f t="shared" si="33"/>
        <v>-14</v>
      </c>
    </row>
    <row r="1206" spans="11:34" ht="14.5" x14ac:dyDescent="0.35">
      <c r="K1206" s="4"/>
      <c r="AC1206" s="7">
        <v>2022</v>
      </c>
      <c r="AD1206" s="7">
        <v>2</v>
      </c>
      <c r="AE1206" s="7">
        <v>20</v>
      </c>
      <c r="AF1206" s="8">
        <v>0.16666666666666666</v>
      </c>
      <c r="AG1206" s="9">
        <v>-14.4</v>
      </c>
      <c r="AH1206" s="10">
        <f t="shared" si="33"/>
        <v>-14</v>
      </c>
    </row>
    <row r="1207" spans="11:34" ht="14.5" x14ac:dyDescent="0.35">
      <c r="K1207" s="4"/>
      <c r="AC1207" s="7">
        <v>2022</v>
      </c>
      <c r="AD1207" s="7">
        <v>2</v>
      </c>
      <c r="AE1207" s="7">
        <v>20</v>
      </c>
      <c r="AF1207" s="8">
        <v>0.20833333333333334</v>
      </c>
      <c r="AG1207" s="9">
        <v>-14.8</v>
      </c>
      <c r="AH1207" s="10">
        <f t="shared" si="33"/>
        <v>-15</v>
      </c>
    </row>
    <row r="1208" spans="11:34" ht="14.5" x14ac:dyDescent="0.35">
      <c r="K1208" s="4"/>
      <c r="AC1208" s="7">
        <v>2022</v>
      </c>
      <c r="AD1208" s="7">
        <v>2</v>
      </c>
      <c r="AE1208" s="7">
        <v>20</v>
      </c>
      <c r="AF1208" s="8">
        <v>0.25</v>
      </c>
      <c r="AG1208" s="9">
        <v>-15.4</v>
      </c>
      <c r="AH1208" s="10">
        <f t="shared" si="33"/>
        <v>-15</v>
      </c>
    </row>
    <row r="1209" spans="11:34" ht="14.5" x14ac:dyDescent="0.35">
      <c r="K1209" s="4"/>
      <c r="AC1209" s="7">
        <v>2022</v>
      </c>
      <c r="AD1209" s="7">
        <v>2</v>
      </c>
      <c r="AE1209" s="7">
        <v>20</v>
      </c>
      <c r="AF1209" s="8">
        <v>0.29166666666666669</v>
      </c>
      <c r="AG1209" s="9">
        <v>-16.399999999999999</v>
      </c>
      <c r="AH1209" s="10">
        <f t="shared" si="33"/>
        <v>-16</v>
      </c>
    </row>
    <row r="1210" spans="11:34" ht="14.5" x14ac:dyDescent="0.35">
      <c r="K1210" s="4"/>
      <c r="AC1210" s="7">
        <v>2022</v>
      </c>
      <c r="AD1210" s="7">
        <v>2</v>
      </c>
      <c r="AE1210" s="7">
        <v>20</v>
      </c>
      <c r="AF1210" s="8">
        <v>0.33333333333333331</v>
      </c>
      <c r="AG1210" s="9">
        <v>-17.2</v>
      </c>
      <c r="AH1210" s="10">
        <f t="shared" si="33"/>
        <v>-17</v>
      </c>
    </row>
    <row r="1211" spans="11:34" ht="14.5" x14ac:dyDescent="0.35">
      <c r="K1211" s="4"/>
      <c r="AC1211" s="7">
        <v>2022</v>
      </c>
      <c r="AD1211" s="7">
        <v>2</v>
      </c>
      <c r="AE1211" s="7">
        <v>20</v>
      </c>
      <c r="AF1211" s="8">
        <v>0.375</v>
      </c>
      <c r="AG1211" s="9">
        <v>-17.100000000000001</v>
      </c>
      <c r="AH1211" s="10">
        <f t="shared" si="33"/>
        <v>-17</v>
      </c>
    </row>
    <row r="1212" spans="11:34" ht="14.5" x14ac:dyDescent="0.35">
      <c r="K1212" s="4"/>
      <c r="AC1212" s="7">
        <v>2022</v>
      </c>
      <c r="AD1212" s="7">
        <v>2</v>
      </c>
      <c r="AE1212" s="7">
        <v>20</v>
      </c>
      <c r="AF1212" s="8">
        <v>0.41666666666666669</v>
      </c>
      <c r="AG1212" s="9">
        <v>-17.2</v>
      </c>
      <c r="AH1212" s="10">
        <f t="shared" si="33"/>
        <v>-17</v>
      </c>
    </row>
    <row r="1213" spans="11:34" ht="14.5" x14ac:dyDescent="0.35">
      <c r="K1213" s="4"/>
      <c r="AC1213" s="7">
        <v>2022</v>
      </c>
      <c r="AD1213" s="7">
        <v>2</v>
      </c>
      <c r="AE1213" s="7">
        <v>20</v>
      </c>
      <c r="AF1213" s="8">
        <v>0.45833333333333331</v>
      </c>
      <c r="AG1213" s="9">
        <v>-16.899999999999999</v>
      </c>
      <c r="AH1213" s="10">
        <f t="shared" si="33"/>
        <v>-17</v>
      </c>
    </row>
    <row r="1214" spans="11:34" ht="14.5" x14ac:dyDescent="0.35">
      <c r="K1214" s="4"/>
      <c r="AC1214" s="7">
        <v>2022</v>
      </c>
      <c r="AD1214" s="7">
        <v>2</v>
      </c>
      <c r="AE1214" s="7">
        <v>20</v>
      </c>
      <c r="AF1214" s="8">
        <v>0.5</v>
      </c>
      <c r="AG1214" s="9">
        <v>-16.899999999999999</v>
      </c>
      <c r="AH1214" s="10">
        <f t="shared" si="33"/>
        <v>-17</v>
      </c>
    </row>
    <row r="1215" spans="11:34" ht="14.5" x14ac:dyDescent="0.35">
      <c r="K1215" s="4"/>
      <c r="AC1215" s="7">
        <v>2022</v>
      </c>
      <c r="AD1215" s="7">
        <v>2</v>
      </c>
      <c r="AE1215" s="7">
        <v>20</v>
      </c>
      <c r="AF1215" s="8">
        <v>0.54166666666666663</v>
      </c>
      <c r="AG1215" s="9">
        <v>-17.100000000000001</v>
      </c>
      <c r="AH1215" s="10">
        <f t="shared" si="33"/>
        <v>-17</v>
      </c>
    </row>
    <row r="1216" spans="11:34" ht="14.5" x14ac:dyDescent="0.35">
      <c r="K1216" s="4"/>
      <c r="AC1216" s="7">
        <v>2022</v>
      </c>
      <c r="AD1216" s="7">
        <v>2</v>
      </c>
      <c r="AE1216" s="7">
        <v>20</v>
      </c>
      <c r="AF1216" s="8">
        <v>0.58333333333333337</v>
      </c>
      <c r="AG1216" s="9">
        <v>-16.899999999999999</v>
      </c>
      <c r="AH1216" s="10">
        <f t="shared" si="33"/>
        <v>-17</v>
      </c>
    </row>
    <row r="1217" spans="11:34" ht="14.5" x14ac:dyDescent="0.35">
      <c r="K1217" s="4"/>
      <c r="AC1217" s="7">
        <v>2022</v>
      </c>
      <c r="AD1217" s="7">
        <v>2</v>
      </c>
      <c r="AE1217" s="7">
        <v>20</v>
      </c>
      <c r="AF1217" s="8">
        <v>0.625</v>
      </c>
      <c r="AG1217" s="9">
        <v>-16.899999999999999</v>
      </c>
      <c r="AH1217" s="10">
        <f t="shared" si="33"/>
        <v>-17</v>
      </c>
    </row>
    <row r="1218" spans="11:34" ht="14.5" x14ac:dyDescent="0.35">
      <c r="K1218" s="4"/>
      <c r="AC1218" s="7">
        <v>2022</v>
      </c>
      <c r="AD1218" s="7">
        <v>2</v>
      </c>
      <c r="AE1218" s="7">
        <v>20</v>
      </c>
      <c r="AF1218" s="8">
        <v>0.66666666666666663</v>
      </c>
      <c r="AG1218" s="9">
        <v>-17.2</v>
      </c>
      <c r="AH1218" s="10">
        <f t="shared" si="33"/>
        <v>-17</v>
      </c>
    </row>
    <row r="1219" spans="11:34" ht="14.5" x14ac:dyDescent="0.35">
      <c r="K1219" s="4"/>
      <c r="AC1219" s="7">
        <v>2022</v>
      </c>
      <c r="AD1219" s="7">
        <v>2</v>
      </c>
      <c r="AE1219" s="7">
        <v>20</v>
      </c>
      <c r="AF1219" s="8">
        <v>0.70833333333333337</v>
      </c>
      <c r="AG1219" s="9">
        <v>-17.600000000000001</v>
      </c>
      <c r="AH1219" s="10">
        <f t="shared" si="33"/>
        <v>-18</v>
      </c>
    </row>
    <row r="1220" spans="11:34" ht="14.5" x14ac:dyDescent="0.35">
      <c r="K1220" s="4"/>
      <c r="AC1220" s="7">
        <v>2022</v>
      </c>
      <c r="AD1220" s="7">
        <v>2</v>
      </c>
      <c r="AE1220" s="7">
        <v>20</v>
      </c>
      <c r="AF1220" s="8">
        <v>0.75</v>
      </c>
      <c r="AG1220" s="9">
        <v>-18.2</v>
      </c>
      <c r="AH1220" s="10">
        <f t="shared" si="33"/>
        <v>-18</v>
      </c>
    </row>
    <row r="1221" spans="11:34" ht="14.5" x14ac:dyDescent="0.35">
      <c r="K1221" s="4"/>
      <c r="AC1221" s="7">
        <v>2022</v>
      </c>
      <c r="AD1221" s="7">
        <v>2</v>
      </c>
      <c r="AE1221" s="7">
        <v>20</v>
      </c>
      <c r="AF1221" s="8">
        <v>0.79166666666666663</v>
      </c>
      <c r="AG1221" s="9">
        <v>-18.5</v>
      </c>
      <c r="AH1221" s="10">
        <f t="shared" si="33"/>
        <v>-19</v>
      </c>
    </row>
    <row r="1222" spans="11:34" ht="14.5" x14ac:dyDescent="0.35">
      <c r="K1222" s="4"/>
      <c r="AC1222" s="7">
        <v>2022</v>
      </c>
      <c r="AD1222" s="7">
        <v>2</v>
      </c>
      <c r="AE1222" s="7">
        <v>20</v>
      </c>
      <c r="AF1222" s="8">
        <v>0.83333333333333337</v>
      </c>
      <c r="AG1222" s="9">
        <v>-18.7</v>
      </c>
      <c r="AH1222" s="10">
        <f t="shared" si="33"/>
        <v>-19</v>
      </c>
    </row>
    <row r="1223" spans="11:34" ht="14.5" x14ac:dyDescent="0.35">
      <c r="K1223" s="4"/>
      <c r="AC1223" s="7">
        <v>2022</v>
      </c>
      <c r="AD1223" s="7">
        <v>2</v>
      </c>
      <c r="AE1223" s="7">
        <v>20</v>
      </c>
      <c r="AF1223" s="8">
        <v>0.875</v>
      </c>
      <c r="AG1223" s="9">
        <v>-19.399999999999999</v>
      </c>
      <c r="AH1223" s="10">
        <f t="shared" si="33"/>
        <v>-19</v>
      </c>
    </row>
    <row r="1224" spans="11:34" ht="14.5" x14ac:dyDescent="0.35">
      <c r="K1224" s="4"/>
      <c r="AC1224" s="7">
        <v>2022</v>
      </c>
      <c r="AD1224" s="7">
        <v>2</v>
      </c>
      <c r="AE1224" s="7">
        <v>20</v>
      </c>
      <c r="AF1224" s="8">
        <v>0.91666666666666663</v>
      </c>
      <c r="AG1224" s="9">
        <v>-20.100000000000001</v>
      </c>
      <c r="AH1224" s="10">
        <f t="shared" si="33"/>
        <v>-20</v>
      </c>
    </row>
    <row r="1225" spans="11:34" ht="14.5" x14ac:dyDescent="0.35">
      <c r="K1225" s="4"/>
      <c r="AC1225" s="7">
        <v>2022</v>
      </c>
      <c r="AD1225" s="7">
        <v>2</v>
      </c>
      <c r="AE1225" s="7">
        <v>20</v>
      </c>
      <c r="AF1225" s="8">
        <v>0.95833333333333337</v>
      </c>
      <c r="AG1225" s="9">
        <v>-21.3</v>
      </c>
      <c r="AH1225" s="10">
        <f t="shared" si="33"/>
        <v>-21</v>
      </c>
    </row>
    <row r="1226" spans="11:34" ht="14.5" x14ac:dyDescent="0.35">
      <c r="K1226" s="4"/>
      <c r="AC1226" s="7">
        <v>2022</v>
      </c>
      <c r="AD1226" s="7">
        <v>2</v>
      </c>
      <c r="AE1226" s="7">
        <v>21</v>
      </c>
      <c r="AF1226" s="8">
        <v>0</v>
      </c>
      <c r="AG1226" s="9">
        <v>-20.100000000000001</v>
      </c>
      <c r="AH1226" s="10">
        <f t="shared" si="33"/>
        <v>-20</v>
      </c>
    </row>
    <row r="1227" spans="11:34" ht="14.5" x14ac:dyDescent="0.35">
      <c r="K1227" s="4"/>
      <c r="AC1227" s="7">
        <v>2022</v>
      </c>
      <c r="AD1227" s="7">
        <v>2</v>
      </c>
      <c r="AE1227" s="7">
        <v>21</v>
      </c>
      <c r="AF1227" s="8">
        <v>4.1666666666666664E-2</v>
      </c>
      <c r="AG1227" s="9">
        <v>-19.8</v>
      </c>
      <c r="AH1227" s="10">
        <f t="shared" ref="AH1227:AH1290" si="34">ROUND(AG1227,0)</f>
        <v>-20</v>
      </c>
    </row>
    <row r="1228" spans="11:34" ht="14.5" x14ac:dyDescent="0.35">
      <c r="K1228" s="4"/>
      <c r="AC1228" s="7">
        <v>2022</v>
      </c>
      <c r="AD1228" s="7">
        <v>2</v>
      </c>
      <c r="AE1228" s="7">
        <v>21</v>
      </c>
      <c r="AF1228" s="8">
        <v>8.3333333333333329E-2</v>
      </c>
      <c r="AG1228" s="9">
        <v>-19.7</v>
      </c>
      <c r="AH1228" s="10">
        <f t="shared" si="34"/>
        <v>-20</v>
      </c>
    </row>
    <row r="1229" spans="11:34" ht="14.5" x14ac:dyDescent="0.35">
      <c r="K1229" s="4"/>
      <c r="AC1229" s="7">
        <v>2022</v>
      </c>
      <c r="AD1229" s="7">
        <v>2</v>
      </c>
      <c r="AE1229" s="7">
        <v>21</v>
      </c>
      <c r="AF1229" s="8">
        <v>0.125</v>
      </c>
      <c r="AG1229" s="9">
        <v>-19.8</v>
      </c>
      <c r="AH1229" s="10">
        <f t="shared" si="34"/>
        <v>-20</v>
      </c>
    </row>
    <row r="1230" spans="11:34" ht="14.5" x14ac:dyDescent="0.35">
      <c r="K1230" s="4"/>
      <c r="AC1230" s="7">
        <v>2022</v>
      </c>
      <c r="AD1230" s="7">
        <v>2</v>
      </c>
      <c r="AE1230" s="7">
        <v>21</v>
      </c>
      <c r="AF1230" s="8">
        <v>0.16666666666666666</v>
      </c>
      <c r="AG1230" s="9">
        <v>-19.899999999999999</v>
      </c>
      <c r="AH1230" s="10">
        <f t="shared" si="34"/>
        <v>-20</v>
      </c>
    </row>
    <row r="1231" spans="11:34" ht="14.5" x14ac:dyDescent="0.35">
      <c r="K1231" s="4"/>
      <c r="AC1231" s="7">
        <v>2022</v>
      </c>
      <c r="AD1231" s="7">
        <v>2</v>
      </c>
      <c r="AE1231" s="7">
        <v>21</v>
      </c>
      <c r="AF1231" s="8">
        <v>0.20833333333333334</v>
      </c>
      <c r="AG1231" s="9">
        <v>-20.399999999999999</v>
      </c>
      <c r="AH1231" s="10">
        <f t="shared" si="34"/>
        <v>-20</v>
      </c>
    </row>
    <row r="1232" spans="11:34" ht="14.5" x14ac:dyDescent="0.35">
      <c r="K1232" s="4"/>
      <c r="AC1232" s="7">
        <v>2022</v>
      </c>
      <c r="AD1232" s="7">
        <v>2</v>
      </c>
      <c r="AE1232" s="7">
        <v>21</v>
      </c>
      <c r="AF1232" s="8">
        <v>0.25</v>
      </c>
      <c r="AG1232" s="9">
        <v>-21.2</v>
      </c>
      <c r="AH1232" s="10">
        <f t="shared" si="34"/>
        <v>-21</v>
      </c>
    </row>
    <row r="1233" spans="11:34" ht="14.5" x14ac:dyDescent="0.35">
      <c r="K1233" s="4"/>
      <c r="AC1233" s="7">
        <v>2022</v>
      </c>
      <c r="AD1233" s="7">
        <v>2</v>
      </c>
      <c r="AE1233" s="7">
        <v>21</v>
      </c>
      <c r="AF1233" s="8">
        <v>0.29166666666666669</v>
      </c>
      <c r="AG1233" s="9">
        <v>-21.4</v>
      </c>
      <c r="AH1233" s="10">
        <f t="shared" si="34"/>
        <v>-21</v>
      </c>
    </row>
    <row r="1234" spans="11:34" ht="14.5" x14ac:dyDescent="0.35">
      <c r="K1234" s="4"/>
      <c r="AC1234" s="7">
        <v>2022</v>
      </c>
      <c r="AD1234" s="7">
        <v>2</v>
      </c>
      <c r="AE1234" s="7">
        <v>21</v>
      </c>
      <c r="AF1234" s="8">
        <v>0.33333333333333331</v>
      </c>
      <c r="AG1234" s="9">
        <v>-20.9</v>
      </c>
      <c r="AH1234" s="10">
        <f t="shared" si="34"/>
        <v>-21</v>
      </c>
    </row>
    <row r="1235" spans="11:34" ht="14.5" x14ac:dyDescent="0.35">
      <c r="K1235" s="4"/>
      <c r="AC1235" s="7">
        <v>2022</v>
      </c>
      <c r="AD1235" s="7">
        <v>2</v>
      </c>
      <c r="AE1235" s="7">
        <v>21</v>
      </c>
      <c r="AF1235" s="8">
        <v>0.375</v>
      </c>
      <c r="AG1235" s="9">
        <v>-21.2</v>
      </c>
      <c r="AH1235" s="10">
        <f t="shared" si="34"/>
        <v>-21</v>
      </c>
    </row>
    <row r="1236" spans="11:34" ht="14.5" x14ac:dyDescent="0.35">
      <c r="K1236" s="4"/>
      <c r="AC1236" s="7">
        <v>2022</v>
      </c>
      <c r="AD1236" s="7">
        <v>2</v>
      </c>
      <c r="AE1236" s="7">
        <v>21</v>
      </c>
      <c r="AF1236" s="8">
        <v>0.41666666666666669</v>
      </c>
      <c r="AG1236" s="9">
        <v>-21</v>
      </c>
      <c r="AH1236" s="10">
        <f t="shared" si="34"/>
        <v>-21</v>
      </c>
    </row>
    <row r="1237" spans="11:34" ht="14.5" x14ac:dyDescent="0.35">
      <c r="K1237" s="4"/>
      <c r="AC1237" s="7">
        <v>2022</v>
      </c>
      <c r="AD1237" s="7">
        <v>2</v>
      </c>
      <c r="AE1237" s="7">
        <v>21</v>
      </c>
      <c r="AF1237" s="8">
        <v>0.45833333333333331</v>
      </c>
      <c r="AG1237" s="9">
        <v>-21</v>
      </c>
      <c r="AH1237" s="10">
        <f t="shared" si="34"/>
        <v>-21</v>
      </c>
    </row>
    <row r="1238" spans="11:34" ht="14.5" x14ac:dyDescent="0.35">
      <c r="K1238" s="4"/>
      <c r="AC1238" s="7">
        <v>2022</v>
      </c>
      <c r="AD1238" s="7">
        <v>2</v>
      </c>
      <c r="AE1238" s="7">
        <v>21</v>
      </c>
      <c r="AF1238" s="8">
        <v>0.5</v>
      </c>
      <c r="AG1238" s="9">
        <v>-20.5</v>
      </c>
      <c r="AH1238" s="10">
        <f t="shared" si="34"/>
        <v>-21</v>
      </c>
    </row>
    <row r="1239" spans="11:34" ht="14.5" x14ac:dyDescent="0.35">
      <c r="K1239" s="4"/>
      <c r="AC1239" s="7">
        <v>2022</v>
      </c>
      <c r="AD1239" s="7">
        <v>2</v>
      </c>
      <c r="AE1239" s="7">
        <v>21</v>
      </c>
      <c r="AF1239" s="8">
        <v>0.54166666666666663</v>
      </c>
      <c r="AG1239" s="9">
        <v>-20.7</v>
      </c>
      <c r="AH1239" s="10">
        <f t="shared" si="34"/>
        <v>-21</v>
      </c>
    </row>
    <row r="1240" spans="11:34" ht="14.5" x14ac:dyDescent="0.35">
      <c r="K1240" s="4"/>
      <c r="AC1240" s="7">
        <v>2022</v>
      </c>
      <c r="AD1240" s="7">
        <v>2</v>
      </c>
      <c r="AE1240" s="7">
        <v>21</v>
      </c>
      <c r="AF1240" s="8">
        <v>0.58333333333333337</v>
      </c>
      <c r="AG1240" s="9">
        <v>-20.5</v>
      </c>
      <c r="AH1240" s="10">
        <f t="shared" si="34"/>
        <v>-21</v>
      </c>
    </row>
    <row r="1241" spans="11:34" ht="14.5" x14ac:dyDescent="0.35">
      <c r="K1241" s="4"/>
      <c r="AC1241" s="7">
        <v>2022</v>
      </c>
      <c r="AD1241" s="7">
        <v>2</v>
      </c>
      <c r="AE1241" s="7">
        <v>21</v>
      </c>
      <c r="AF1241" s="8">
        <v>0.625</v>
      </c>
      <c r="AG1241" s="9">
        <v>-20.5</v>
      </c>
      <c r="AH1241" s="10">
        <f t="shared" si="34"/>
        <v>-21</v>
      </c>
    </row>
    <row r="1242" spans="11:34" ht="14.5" x14ac:dyDescent="0.35">
      <c r="K1242" s="4"/>
      <c r="AC1242" s="7">
        <v>2022</v>
      </c>
      <c r="AD1242" s="7">
        <v>2</v>
      </c>
      <c r="AE1242" s="7">
        <v>21</v>
      </c>
      <c r="AF1242" s="8">
        <v>0.66666666666666663</v>
      </c>
      <c r="AG1242" s="9">
        <v>-20.9</v>
      </c>
      <c r="AH1242" s="10">
        <f t="shared" si="34"/>
        <v>-21</v>
      </c>
    </row>
    <row r="1243" spans="11:34" ht="14.5" x14ac:dyDescent="0.35">
      <c r="K1243" s="4"/>
      <c r="AC1243" s="7">
        <v>2022</v>
      </c>
      <c r="AD1243" s="7">
        <v>2</v>
      </c>
      <c r="AE1243" s="7">
        <v>21</v>
      </c>
      <c r="AF1243" s="8">
        <v>0.70833333333333337</v>
      </c>
      <c r="AG1243" s="9">
        <v>-21.1</v>
      </c>
      <c r="AH1243" s="10">
        <f t="shared" si="34"/>
        <v>-21</v>
      </c>
    </row>
    <row r="1244" spans="11:34" ht="14.5" x14ac:dyDescent="0.35">
      <c r="K1244" s="4"/>
      <c r="AC1244" s="7">
        <v>2022</v>
      </c>
      <c r="AD1244" s="7">
        <v>2</v>
      </c>
      <c r="AE1244" s="7">
        <v>21</v>
      </c>
      <c r="AF1244" s="8">
        <v>0.75</v>
      </c>
      <c r="AG1244" s="9">
        <v>-21.8</v>
      </c>
      <c r="AH1244" s="10">
        <f t="shared" si="34"/>
        <v>-22</v>
      </c>
    </row>
    <row r="1245" spans="11:34" ht="14.5" x14ac:dyDescent="0.35">
      <c r="K1245" s="4"/>
      <c r="AC1245" s="7">
        <v>2022</v>
      </c>
      <c r="AD1245" s="7">
        <v>2</v>
      </c>
      <c r="AE1245" s="7">
        <v>21</v>
      </c>
      <c r="AF1245" s="8">
        <v>0.79166666666666663</v>
      </c>
      <c r="AG1245" s="9">
        <v>-22.3</v>
      </c>
      <c r="AH1245" s="10">
        <f t="shared" si="34"/>
        <v>-22</v>
      </c>
    </row>
    <row r="1246" spans="11:34" ht="14.5" x14ac:dyDescent="0.35">
      <c r="K1246" s="4"/>
      <c r="AC1246" s="7">
        <v>2022</v>
      </c>
      <c r="AD1246" s="7">
        <v>2</v>
      </c>
      <c r="AE1246" s="7">
        <v>21</v>
      </c>
      <c r="AF1246" s="8">
        <v>0.83333333333333337</v>
      </c>
      <c r="AG1246" s="9">
        <v>-22.2</v>
      </c>
      <c r="AH1246" s="10">
        <f t="shared" si="34"/>
        <v>-22</v>
      </c>
    </row>
    <row r="1247" spans="11:34" ht="14.5" x14ac:dyDescent="0.35">
      <c r="K1247" s="4"/>
      <c r="AC1247" s="7">
        <v>2022</v>
      </c>
      <c r="AD1247" s="7">
        <v>2</v>
      </c>
      <c r="AE1247" s="7">
        <v>21</v>
      </c>
      <c r="AF1247" s="8">
        <v>0.875</v>
      </c>
      <c r="AG1247" s="9">
        <v>-22.8</v>
      </c>
      <c r="AH1247" s="10">
        <f t="shared" si="34"/>
        <v>-23</v>
      </c>
    </row>
    <row r="1248" spans="11:34" ht="14.5" x14ac:dyDescent="0.35">
      <c r="K1248" s="4"/>
      <c r="AC1248" s="7">
        <v>2022</v>
      </c>
      <c r="AD1248" s="7">
        <v>2</v>
      </c>
      <c r="AE1248" s="7">
        <v>21</v>
      </c>
      <c r="AF1248" s="8">
        <v>0.91666666666666663</v>
      </c>
      <c r="AG1248" s="9">
        <v>-23.6</v>
      </c>
      <c r="AH1248" s="10">
        <f t="shared" si="34"/>
        <v>-24</v>
      </c>
    </row>
    <row r="1249" spans="11:34" ht="14.5" x14ac:dyDescent="0.35">
      <c r="K1249" s="4"/>
      <c r="AC1249" s="7">
        <v>2022</v>
      </c>
      <c r="AD1249" s="7">
        <v>2</v>
      </c>
      <c r="AE1249" s="7">
        <v>21</v>
      </c>
      <c r="AF1249" s="8">
        <v>0.95833333333333337</v>
      </c>
      <c r="AG1249" s="9">
        <v>-24.7</v>
      </c>
      <c r="AH1249" s="10">
        <f t="shared" si="34"/>
        <v>-25</v>
      </c>
    </row>
    <row r="1250" spans="11:34" ht="14.5" x14ac:dyDescent="0.35">
      <c r="K1250" s="4"/>
      <c r="AC1250" s="7">
        <v>2022</v>
      </c>
      <c r="AD1250" s="7">
        <v>2</v>
      </c>
      <c r="AE1250" s="7">
        <v>22</v>
      </c>
      <c r="AF1250" s="8">
        <v>0</v>
      </c>
      <c r="AG1250" s="9">
        <v>-25.9</v>
      </c>
      <c r="AH1250" s="10">
        <f t="shared" si="34"/>
        <v>-26</v>
      </c>
    </row>
    <row r="1251" spans="11:34" ht="14.5" x14ac:dyDescent="0.35">
      <c r="K1251" s="4"/>
      <c r="AC1251" s="7">
        <v>2022</v>
      </c>
      <c r="AD1251" s="7">
        <v>2</v>
      </c>
      <c r="AE1251" s="7">
        <v>22</v>
      </c>
      <c r="AF1251" s="8">
        <v>4.1666666666666664E-2</v>
      </c>
      <c r="AG1251" s="9">
        <v>-25</v>
      </c>
      <c r="AH1251" s="10">
        <f t="shared" si="34"/>
        <v>-25</v>
      </c>
    </row>
    <row r="1252" spans="11:34" ht="14.5" x14ac:dyDescent="0.35">
      <c r="K1252" s="4"/>
      <c r="AC1252" s="7">
        <v>2022</v>
      </c>
      <c r="AD1252" s="7">
        <v>2</v>
      </c>
      <c r="AE1252" s="7">
        <v>22</v>
      </c>
      <c r="AF1252" s="8">
        <v>8.3333333333333329E-2</v>
      </c>
      <c r="AG1252" s="9">
        <v>-25.9</v>
      </c>
      <c r="AH1252" s="10">
        <f t="shared" si="34"/>
        <v>-26</v>
      </c>
    </row>
    <row r="1253" spans="11:34" ht="14.5" x14ac:dyDescent="0.35">
      <c r="K1253" s="4"/>
      <c r="AC1253" s="7">
        <v>2022</v>
      </c>
      <c r="AD1253" s="7">
        <v>2</v>
      </c>
      <c r="AE1253" s="7">
        <v>22</v>
      </c>
      <c r="AF1253" s="8">
        <v>0.125</v>
      </c>
      <c r="AG1253" s="9">
        <v>-26.4</v>
      </c>
      <c r="AH1253" s="10">
        <f t="shared" si="34"/>
        <v>-26</v>
      </c>
    </row>
    <row r="1254" spans="11:34" ht="14.5" x14ac:dyDescent="0.35">
      <c r="K1254" s="4"/>
      <c r="AC1254" s="7">
        <v>2022</v>
      </c>
      <c r="AD1254" s="7">
        <v>2</v>
      </c>
      <c r="AE1254" s="7">
        <v>22</v>
      </c>
      <c r="AF1254" s="8">
        <v>0.16666666666666666</v>
      </c>
      <c r="AG1254" s="9">
        <v>-25.7</v>
      </c>
      <c r="AH1254" s="10">
        <f t="shared" si="34"/>
        <v>-26</v>
      </c>
    </row>
    <row r="1255" spans="11:34" ht="14.5" x14ac:dyDescent="0.35">
      <c r="K1255" s="4"/>
      <c r="AC1255" s="7">
        <v>2022</v>
      </c>
      <c r="AD1255" s="7">
        <v>2</v>
      </c>
      <c r="AE1255" s="7">
        <v>22</v>
      </c>
      <c r="AF1255" s="8">
        <v>0.20833333333333334</v>
      </c>
      <c r="AG1255" s="9">
        <v>-25.4</v>
      </c>
      <c r="AH1255" s="10">
        <f t="shared" si="34"/>
        <v>-25</v>
      </c>
    </row>
    <row r="1256" spans="11:34" ht="14.5" x14ac:dyDescent="0.35">
      <c r="K1256" s="4"/>
      <c r="AC1256" s="7">
        <v>2022</v>
      </c>
      <c r="AD1256" s="7">
        <v>2</v>
      </c>
      <c r="AE1256" s="7">
        <v>22</v>
      </c>
      <c r="AF1256" s="8">
        <v>0.25</v>
      </c>
      <c r="AG1256" s="9">
        <v>-25.3</v>
      </c>
      <c r="AH1256" s="10">
        <f t="shared" si="34"/>
        <v>-25</v>
      </c>
    </row>
    <row r="1257" spans="11:34" ht="14.5" x14ac:dyDescent="0.35">
      <c r="K1257" s="4"/>
      <c r="AC1257" s="7">
        <v>2022</v>
      </c>
      <c r="AD1257" s="7">
        <v>2</v>
      </c>
      <c r="AE1257" s="7">
        <v>22</v>
      </c>
      <c r="AF1257" s="8">
        <v>0.29166666666666669</v>
      </c>
      <c r="AG1257" s="9">
        <v>-25.9</v>
      </c>
      <c r="AH1257" s="10">
        <f t="shared" si="34"/>
        <v>-26</v>
      </c>
    </row>
    <row r="1258" spans="11:34" ht="14.5" x14ac:dyDescent="0.35">
      <c r="K1258" s="4"/>
      <c r="AC1258" s="7">
        <v>2022</v>
      </c>
      <c r="AD1258" s="7">
        <v>2</v>
      </c>
      <c r="AE1258" s="7">
        <v>22</v>
      </c>
      <c r="AF1258" s="8">
        <v>0.33333333333333331</v>
      </c>
      <c r="AG1258" s="9">
        <v>-26.5</v>
      </c>
      <c r="AH1258" s="10">
        <f t="shared" si="34"/>
        <v>-27</v>
      </c>
    </row>
    <row r="1259" spans="11:34" ht="14.5" x14ac:dyDescent="0.35">
      <c r="K1259" s="4"/>
      <c r="AC1259" s="7">
        <v>2022</v>
      </c>
      <c r="AD1259" s="7">
        <v>2</v>
      </c>
      <c r="AE1259" s="7">
        <v>22</v>
      </c>
      <c r="AF1259" s="8">
        <v>0.375</v>
      </c>
      <c r="AG1259" s="9">
        <v>-25</v>
      </c>
      <c r="AH1259" s="10">
        <f t="shared" si="34"/>
        <v>-25</v>
      </c>
    </row>
    <row r="1260" spans="11:34" ht="14.5" x14ac:dyDescent="0.35">
      <c r="K1260" s="4"/>
      <c r="AC1260" s="7">
        <v>2022</v>
      </c>
      <c r="AD1260" s="7">
        <v>2</v>
      </c>
      <c r="AE1260" s="7">
        <v>22</v>
      </c>
      <c r="AF1260" s="8">
        <v>0.41666666666666669</v>
      </c>
      <c r="AG1260" s="9">
        <v>-23</v>
      </c>
      <c r="AH1260" s="10">
        <f t="shared" si="34"/>
        <v>-23</v>
      </c>
    </row>
    <row r="1261" spans="11:34" ht="14.5" x14ac:dyDescent="0.35">
      <c r="K1261" s="4"/>
      <c r="AC1261" s="7">
        <v>2022</v>
      </c>
      <c r="AD1261" s="7">
        <v>2</v>
      </c>
      <c r="AE1261" s="7">
        <v>22</v>
      </c>
      <c r="AF1261" s="8">
        <v>0.45833333333333331</v>
      </c>
      <c r="AG1261" s="9">
        <v>-20.8</v>
      </c>
      <c r="AH1261" s="10">
        <f t="shared" si="34"/>
        <v>-21</v>
      </c>
    </row>
    <row r="1262" spans="11:34" ht="14.5" x14ac:dyDescent="0.35">
      <c r="K1262" s="4"/>
      <c r="AC1262" s="7">
        <v>2022</v>
      </c>
      <c r="AD1262" s="7">
        <v>2</v>
      </c>
      <c r="AE1262" s="7">
        <v>22</v>
      </c>
      <c r="AF1262" s="8">
        <v>0.5</v>
      </c>
      <c r="AG1262" s="9">
        <v>-20.3</v>
      </c>
      <c r="AH1262" s="10">
        <f t="shared" si="34"/>
        <v>-20</v>
      </c>
    </row>
    <row r="1263" spans="11:34" ht="14.5" x14ac:dyDescent="0.35">
      <c r="K1263" s="4"/>
      <c r="AC1263" s="7">
        <v>2022</v>
      </c>
      <c r="AD1263" s="7">
        <v>2</v>
      </c>
      <c r="AE1263" s="7">
        <v>22</v>
      </c>
      <c r="AF1263" s="8">
        <v>0.54166666666666663</v>
      </c>
      <c r="AG1263" s="9">
        <v>-19.7</v>
      </c>
      <c r="AH1263" s="10">
        <f t="shared" si="34"/>
        <v>-20</v>
      </c>
    </row>
    <row r="1264" spans="11:34" ht="14.5" x14ac:dyDescent="0.35">
      <c r="K1264" s="4"/>
      <c r="AC1264" s="7">
        <v>2022</v>
      </c>
      <c r="AD1264" s="7">
        <v>2</v>
      </c>
      <c r="AE1264" s="7">
        <v>22</v>
      </c>
      <c r="AF1264" s="8">
        <v>0.58333333333333337</v>
      </c>
      <c r="AG1264" s="9">
        <v>-18.7</v>
      </c>
      <c r="AH1264" s="10">
        <f t="shared" si="34"/>
        <v>-19</v>
      </c>
    </row>
    <row r="1265" spans="11:34" ht="14.5" x14ac:dyDescent="0.35">
      <c r="K1265" s="4"/>
      <c r="AC1265" s="7">
        <v>2022</v>
      </c>
      <c r="AD1265" s="7">
        <v>2</v>
      </c>
      <c r="AE1265" s="7">
        <v>22</v>
      </c>
      <c r="AF1265" s="8">
        <v>0.625</v>
      </c>
      <c r="AG1265" s="9">
        <v>-19</v>
      </c>
      <c r="AH1265" s="10">
        <f t="shared" si="34"/>
        <v>-19</v>
      </c>
    </row>
    <row r="1266" spans="11:34" ht="14.5" x14ac:dyDescent="0.35">
      <c r="K1266" s="4"/>
      <c r="AC1266" s="7">
        <v>2022</v>
      </c>
      <c r="AD1266" s="7">
        <v>2</v>
      </c>
      <c r="AE1266" s="7">
        <v>22</v>
      </c>
      <c r="AF1266" s="8">
        <v>0.66666666666666663</v>
      </c>
      <c r="AG1266" s="9">
        <v>-18</v>
      </c>
      <c r="AH1266" s="10">
        <f t="shared" si="34"/>
        <v>-18</v>
      </c>
    </row>
    <row r="1267" spans="11:34" ht="14.5" x14ac:dyDescent="0.35">
      <c r="K1267" s="4"/>
      <c r="AC1267" s="7">
        <v>2022</v>
      </c>
      <c r="AD1267" s="7">
        <v>2</v>
      </c>
      <c r="AE1267" s="7">
        <v>22</v>
      </c>
      <c r="AF1267" s="8">
        <v>0.70833333333333337</v>
      </c>
      <c r="AG1267" s="9">
        <v>-20.399999999999999</v>
      </c>
      <c r="AH1267" s="10">
        <f t="shared" si="34"/>
        <v>-20</v>
      </c>
    </row>
    <row r="1268" spans="11:34" ht="14.5" x14ac:dyDescent="0.35">
      <c r="K1268" s="4"/>
      <c r="AC1268" s="7">
        <v>2022</v>
      </c>
      <c r="AD1268" s="7">
        <v>2</v>
      </c>
      <c r="AE1268" s="7">
        <v>22</v>
      </c>
      <c r="AF1268" s="8">
        <v>0.75</v>
      </c>
      <c r="AG1268" s="9">
        <v>-22</v>
      </c>
      <c r="AH1268" s="10">
        <f t="shared" si="34"/>
        <v>-22</v>
      </c>
    </row>
    <row r="1269" spans="11:34" ht="14.5" x14ac:dyDescent="0.35">
      <c r="K1269" s="4"/>
      <c r="AC1269" s="7">
        <v>2022</v>
      </c>
      <c r="AD1269" s="7">
        <v>2</v>
      </c>
      <c r="AE1269" s="7">
        <v>22</v>
      </c>
      <c r="AF1269" s="8">
        <v>0.79166666666666663</v>
      </c>
      <c r="AG1269" s="9">
        <v>-23</v>
      </c>
      <c r="AH1269" s="10">
        <f t="shared" si="34"/>
        <v>-23</v>
      </c>
    </row>
    <row r="1270" spans="11:34" ht="14.5" x14ac:dyDescent="0.35">
      <c r="K1270" s="4"/>
      <c r="AC1270" s="7">
        <v>2022</v>
      </c>
      <c r="AD1270" s="7">
        <v>2</v>
      </c>
      <c r="AE1270" s="7">
        <v>22</v>
      </c>
      <c r="AF1270" s="8">
        <v>0.83333333333333337</v>
      </c>
      <c r="AG1270" s="9">
        <v>-22.4</v>
      </c>
      <c r="AH1270" s="10">
        <f t="shared" si="34"/>
        <v>-22</v>
      </c>
    </row>
    <row r="1271" spans="11:34" ht="14.5" x14ac:dyDescent="0.35">
      <c r="K1271" s="4"/>
      <c r="AC1271" s="7">
        <v>2022</v>
      </c>
      <c r="AD1271" s="7">
        <v>2</v>
      </c>
      <c r="AE1271" s="7">
        <v>22</v>
      </c>
      <c r="AF1271" s="8">
        <v>0.875</v>
      </c>
      <c r="AG1271" s="9">
        <v>-22.9</v>
      </c>
      <c r="AH1271" s="10">
        <f t="shared" si="34"/>
        <v>-23</v>
      </c>
    </row>
    <row r="1272" spans="11:34" ht="14.5" x14ac:dyDescent="0.35">
      <c r="K1272" s="4"/>
      <c r="AC1272" s="7">
        <v>2022</v>
      </c>
      <c r="AD1272" s="7">
        <v>2</v>
      </c>
      <c r="AE1272" s="7">
        <v>22</v>
      </c>
      <c r="AF1272" s="8">
        <v>0.91666666666666663</v>
      </c>
      <c r="AG1272" s="9">
        <v>-23.5</v>
      </c>
      <c r="AH1272" s="10">
        <f t="shared" si="34"/>
        <v>-24</v>
      </c>
    </row>
    <row r="1273" spans="11:34" ht="14.5" x14ac:dyDescent="0.35">
      <c r="K1273" s="4"/>
      <c r="AC1273" s="7">
        <v>2022</v>
      </c>
      <c r="AD1273" s="7">
        <v>2</v>
      </c>
      <c r="AE1273" s="7">
        <v>22</v>
      </c>
      <c r="AF1273" s="8">
        <v>0.95833333333333337</v>
      </c>
      <c r="AG1273" s="9">
        <v>-23.3</v>
      </c>
      <c r="AH1273" s="10">
        <f t="shared" si="34"/>
        <v>-23</v>
      </c>
    </row>
    <row r="1274" spans="11:34" ht="14.5" x14ac:dyDescent="0.35">
      <c r="K1274" s="4"/>
      <c r="AC1274" s="7">
        <v>2022</v>
      </c>
      <c r="AD1274" s="7">
        <v>2</v>
      </c>
      <c r="AE1274" s="7">
        <v>23</v>
      </c>
      <c r="AF1274" s="8">
        <v>0</v>
      </c>
      <c r="AG1274" s="9">
        <v>-23.3</v>
      </c>
      <c r="AH1274" s="10">
        <f t="shared" si="34"/>
        <v>-23</v>
      </c>
    </row>
    <row r="1275" spans="11:34" ht="14.5" x14ac:dyDescent="0.35">
      <c r="K1275" s="4"/>
      <c r="AC1275" s="7">
        <v>2022</v>
      </c>
      <c r="AD1275" s="7">
        <v>2</v>
      </c>
      <c r="AE1275" s="7">
        <v>23</v>
      </c>
      <c r="AF1275" s="8">
        <v>4.1666666666666664E-2</v>
      </c>
      <c r="AG1275" s="9">
        <v>-24.5</v>
      </c>
      <c r="AH1275" s="10">
        <f t="shared" si="34"/>
        <v>-25</v>
      </c>
    </row>
    <row r="1276" spans="11:34" ht="14.5" x14ac:dyDescent="0.35">
      <c r="K1276" s="4"/>
      <c r="AC1276" s="7">
        <v>2022</v>
      </c>
      <c r="AD1276" s="7">
        <v>2</v>
      </c>
      <c r="AE1276" s="7">
        <v>23</v>
      </c>
      <c r="AF1276" s="8">
        <v>8.3333333333333329E-2</v>
      </c>
      <c r="AG1276" s="9">
        <v>-26.4</v>
      </c>
      <c r="AH1276" s="10">
        <f t="shared" si="34"/>
        <v>-26</v>
      </c>
    </row>
    <row r="1277" spans="11:34" ht="14.5" x14ac:dyDescent="0.35">
      <c r="K1277" s="4"/>
      <c r="AC1277" s="7">
        <v>2022</v>
      </c>
      <c r="AD1277" s="7">
        <v>2</v>
      </c>
      <c r="AE1277" s="7">
        <v>23</v>
      </c>
      <c r="AF1277" s="8">
        <v>0.125</v>
      </c>
      <c r="AG1277" s="9">
        <v>-25.5</v>
      </c>
      <c r="AH1277" s="10">
        <f t="shared" si="34"/>
        <v>-26</v>
      </c>
    </row>
    <row r="1278" spans="11:34" ht="14.5" x14ac:dyDescent="0.35">
      <c r="K1278" s="4"/>
      <c r="AC1278" s="7">
        <v>2022</v>
      </c>
      <c r="AD1278" s="7">
        <v>2</v>
      </c>
      <c r="AE1278" s="7">
        <v>23</v>
      </c>
      <c r="AF1278" s="8">
        <v>0.16666666666666666</v>
      </c>
      <c r="AG1278" s="9">
        <v>-26.2</v>
      </c>
      <c r="AH1278" s="10">
        <f t="shared" si="34"/>
        <v>-26</v>
      </c>
    </row>
    <row r="1279" spans="11:34" ht="14.5" x14ac:dyDescent="0.35">
      <c r="K1279" s="4"/>
      <c r="AC1279" s="7">
        <v>2022</v>
      </c>
      <c r="AD1279" s="7">
        <v>2</v>
      </c>
      <c r="AE1279" s="7">
        <v>23</v>
      </c>
      <c r="AF1279" s="8">
        <v>0.20833333333333334</v>
      </c>
      <c r="AG1279" s="9">
        <v>-26.1</v>
      </c>
      <c r="AH1279" s="10">
        <f t="shared" si="34"/>
        <v>-26</v>
      </c>
    </row>
    <row r="1280" spans="11:34" ht="14.5" x14ac:dyDescent="0.35">
      <c r="K1280" s="4"/>
      <c r="AC1280" s="7">
        <v>2022</v>
      </c>
      <c r="AD1280" s="7">
        <v>2</v>
      </c>
      <c r="AE1280" s="7">
        <v>23</v>
      </c>
      <c r="AF1280" s="8">
        <v>0.25</v>
      </c>
      <c r="AG1280" s="9">
        <v>-26.8</v>
      </c>
      <c r="AH1280" s="10">
        <f t="shared" si="34"/>
        <v>-27</v>
      </c>
    </row>
    <row r="1281" spans="11:34" ht="14.5" x14ac:dyDescent="0.35">
      <c r="K1281" s="4"/>
      <c r="AC1281" s="7">
        <v>2022</v>
      </c>
      <c r="AD1281" s="7">
        <v>2</v>
      </c>
      <c r="AE1281" s="7">
        <v>23</v>
      </c>
      <c r="AF1281" s="8">
        <v>0.29166666666666669</v>
      </c>
      <c r="AG1281" s="9">
        <v>-26.2</v>
      </c>
      <c r="AH1281" s="10">
        <f t="shared" si="34"/>
        <v>-26</v>
      </c>
    </row>
    <row r="1282" spans="11:34" ht="14.5" x14ac:dyDescent="0.35">
      <c r="K1282" s="4"/>
      <c r="AC1282" s="7">
        <v>2022</v>
      </c>
      <c r="AD1282" s="7">
        <v>2</v>
      </c>
      <c r="AE1282" s="7">
        <v>23</v>
      </c>
      <c r="AF1282" s="8">
        <v>0.33333333333333331</v>
      </c>
      <c r="AG1282" s="9">
        <v>-25.9</v>
      </c>
      <c r="AH1282" s="10">
        <f t="shared" si="34"/>
        <v>-26</v>
      </c>
    </row>
    <row r="1283" spans="11:34" ht="14.5" x14ac:dyDescent="0.35">
      <c r="K1283" s="4"/>
      <c r="AC1283" s="7">
        <v>2022</v>
      </c>
      <c r="AD1283" s="7">
        <v>2</v>
      </c>
      <c r="AE1283" s="7">
        <v>23</v>
      </c>
      <c r="AF1283" s="8">
        <v>0.375</v>
      </c>
      <c r="AG1283" s="9">
        <v>-22.9</v>
      </c>
      <c r="AH1283" s="10">
        <f t="shared" si="34"/>
        <v>-23</v>
      </c>
    </row>
    <row r="1284" spans="11:34" ht="14.5" x14ac:dyDescent="0.35">
      <c r="K1284" s="4"/>
      <c r="AC1284" s="7">
        <v>2022</v>
      </c>
      <c r="AD1284" s="7">
        <v>2</v>
      </c>
      <c r="AE1284" s="7">
        <v>23</v>
      </c>
      <c r="AF1284" s="8">
        <v>0.41666666666666669</v>
      </c>
      <c r="AG1284" s="9">
        <v>-20.5</v>
      </c>
      <c r="AH1284" s="10">
        <f t="shared" si="34"/>
        <v>-21</v>
      </c>
    </row>
    <row r="1285" spans="11:34" ht="14.5" x14ac:dyDescent="0.35">
      <c r="K1285" s="4"/>
      <c r="AC1285" s="7">
        <v>2022</v>
      </c>
      <c r="AD1285" s="7">
        <v>2</v>
      </c>
      <c r="AE1285" s="7">
        <v>23</v>
      </c>
      <c r="AF1285" s="8">
        <v>0.45833333333333331</v>
      </c>
      <c r="AG1285" s="9">
        <v>-17.5</v>
      </c>
      <c r="AH1285" s="10">
        <f t="shared" si="34"/>
        <v>-18</v>
      </c>
    </row>
    <row r="1286" spans="11:34" ht="14.5" x14ac:dyDescent="0.35">
      <c r="K1286" s="4"/>
      <c r="AC1286" s="7">
        <v>2022</v>
      </c>
      <c r="AD1286" s="7">
        <v>2</v>
      </c>
      <c r="AE1286" s="7">
        <v>23</v>
      </c>
      <c r="AF1286" s="8">
        <v>0.5</v>
      </c>
      <c r="AG1286" s="9">
        <v>-15.2</v>
      </c>
      <c r="AH1286" s="10">
        <f t="shared" si="34"/>
        <v>-15</v>
      </c>
    </row>
    <row r="1287" spans="11:34" ht="14.5" x14ac:dyDescent="0.35">
      <c r="K1287" s="4"/>
      <c r="AC1287" s="7">
        <v>2022</v>
      </c>
      <c r="AD1287" s="7">
        <v>2</v>
      </c>
      <c r="AE1287" s="7">
        <v>23</v>
      </c>
      <c r="AF1287" s="8">
        <v>0.54166666666666663</v>
      </c>
      <c r="AG1287" s="9">
        <v>-12.9</v>
      </c>
      <c r="AH1287" s="10">
        <f t="shared" si="34"/>
        <v>-13</v>
      </c>
    </row>
    <row r="1288" spans="11:34" ht="14.5" x14ac:dyDescent="0.35">
      <c r="K1288" s="4"/>
      <c r="AC1288" s="7">
        <v>2022</v>
      </c>
      <c r="AD1288" s="7">
        <v>2</v>
      </c>
      <c r="AE1288" s="7">
        <v>23</v>
      </c>
      <c r="AF1288" s="8">
        <v>0.58333333333333337</v>
      </c>
      <c r="AG1288" s="9">
        <v>-12.3</v>
      </c>
      <c r="AH1288" s="10">
        <f t="shared" si="34"/>
        <v>-12</v>
      </c>
    </row>
    <row r="1289" spans="11:34" ht="14.5" x14ac:dyDescent="0.35">
      <c r="K1289" s="4"/>
      <c r="AC1289" s="7">
        <v>2022</v>
      </c>
      <c r="AD1289" s="7">
        <v>2</v>
      </c>
      <c r="AE1289" s="7">
        <v>23</v>
      </c>
      <c r="AF1289" s="8">
        <v>0.625</v>
      </c>
      <c r="AG1289" s="9">
        <v>-14</v>
      </c>
      <c r="AH1289" s="10">
        <f t="shared" si="34"/>
        <v>-14</v>
      </c>
    </row>
    <row r="1290" spans="11:34" ht="14.5" x14ac:dyDescent="0.35">
      <c r="K1290" s="4"/>
      <c r="AC1290" s="7">
        <v>2022</v>
      </c>
      <c r="AD1290" s="7">
        <v>2</v>
      </c>
      <c r="AE1290" s="7">
        <v>23</v>
      </c>
      <c r="AF1290" s="8">
        <v>0.66666666666666663</v>
      </c>
      <c r="AG1290" s="9">
        <v>-13.3</v>
      </c>
      <c r="AH1290" s="10">
        <f t="shared" si="34"/>
        <v>-13</v>
      </c>
    </row>
    <row r="1291" spans="11:34" ht="14.5" x14ac:dyDescent="0.35">
      <c r="K1291" s="4"/>
      <c r="AC1291" s="7">
        <v>2022</v>
      </c>
      <c r="AD1291" s="7">
        <v>2</v>
      </c>
      <c r="AE1291" s="7">
        <v>23</v>
      </c>
      <c r="AF1291" s="8">
        <v>0.70833333333333337</v>
      </c>
      <c r="AG1291" s="9">
        <v>-11.6</v>
      </c>
      <c r="AH1291" s="10">
        <f t="shared" ref="AH1291:AH1354" si="35">ROUND(AG1291,0)</f>
        <v>-12</v>
      </c>
    </row>
    <row r="1292" spans="11:34" ht="14.5" x14ac:dyDescent="0.35">
      <c r="K1292" s="4"/>
      <c r="AC1292" s="7">
        <v>2022</v>
      </c>
      <c r="AD1292" s="7">
        <v>2</v>
      </c>
      <c r="AE1292" s="7">
        <v>23</v>
      </c>
      <c r="AF1292" s="8">
        <v>0.75</v>
      </c>
      <c r="AG1292" s="9">
        <v>-11.9</v>
      </c>
      <c r="AH1292" s="10">
        <f t="shared" si="35"/>
        <v>-12</v>
      </c>
    </row>
    <row r="1293" spans="11:34" ht="14.5" x14ac:dyDescent="0.35">
      <c r="K1293" s="4"/>
      <c r="AC1293" s="7">
        <v>2022</v>
      </c>
      <c r="AD1293" s="7">
        <v>2</v>
      </c>
      <c r="AE1293" s="7">
        <v>23</v>
      </c>
      <c r="AF1293" s="8">
        <v>0.79166666666666663</v>
      </c>
      <c r="AG1293" s="9">
        <v>-10.5</v>
      </c>
      <c r="AH1293" s="10">
        <f t="shared" si="35"/>
        <v>-11</v>
      </c>
    </row>
    <row r="1294" spans="11:34" ht="14.5" x14ac:dyDescent="0.35">
      <c r="K1294" s="4"/>
      <c r="AC1294" s="7">
        <v>2022</v>
      </c>
      <c r="AD1294" s="7">
        <v>2</v>
      </c>
      <c r="AE1294" s="7">
        <v>23</v>
      </c>
      <c r="AF1294" s="8">
        <v>0.83333333333333337</v>
      </c>
      <c r="AG1294" s="9">
        <v>-10.3</v>
      </c>
      <c r="AH1294" s="10">
        <f t="shared" si="35"/>
        <v>-10</v>
      </c>
    </row>
    <row r="1295" spans="11:34" ht="14.5" x14ac:dyDescent="0.35">
      <c r="K1295" s="4"/>
      <c r="AC1295" s="7">
        <v>2022</v>
      </c>
      <c r="AD1295" s="7">
        <v>2</v>
      </c>
      <c r="AE1295" s="7">
        <v>23</v>
      </c>
      <c r="AF1295" s="8">
        <v>0.875</v>
      </c>
      <c r="AG1295" s="9">
        <v>-10.1</v>
      </c>
      <c r="AH1295" s="10">
        <f t="shared" si="35"/>
        <v>-10</v>
      </c>
    </row>
    <row r="1296" spans="11:34" ht="14.5" x14ac:dyDescent="0.35">
      <c r="K1296" s="4"/>
      <c r="AC1296" s="7">
        <v>2022</v>
      </c>
      <c r="AD1296" s="7">
        <v>2</v>
      </c>
      <c r="AE1296" s="7">
        <v>23</v>
      </c>
      <c r="AF1296" s="8">
        <v>0.91666666666666663</v>
      </c>
      <c r="AG1296" s="9">
        <v>-10.7</v>
      </c>
      <c r="AH1296" s="10">
        <f t="shared" si="35"/>
        <v>-11</v>
      </c>
    </row>
    <row r="1297" spans="11:34" ht="14.5" x14ac:dyDescent="0.35">
      <c r="K1297" s="4"/>
      <c r="AC1297" s="7">
        <v>2022</v>
      </c>
      <c r="AD1297" s="7">
        <v>2</v>
      </c>
      <c r="AE1297" s="7">
        <v>23</v>
      </c>
      <c r="AF1297" s="8">
        <v>0.95833333333333337</v>
      </c>
      <c r="AG1297" s="9">
        <v>-9.4</v>
      </c>
      <c r="AH1297" s="10">
        <f t="shared" si="35"/>
        <v>-9</v>
      </c>
    </row>
    <row r="1298" spans="11:34" ht="14.5" x14ac:dyDescent="0.35">
      <c r="K1298" s="4"/>
      <c r="AC1298" s="7">
        <v>2022</v>
      </c>
      <c r="AD1298" s="7">
        <v>2</v>
      </c>
      <c r="AE1298" s="7">
        <v>24</v>
      </c>
      <c r="AF1298" s="8">
        <v>0</v>
      </c>
      <c r="AG1298" s="9">
        <v>-10.1</v>
      </c>
      <c r="AH1298" s="10">
        <f t="shared" si="35"/>
        <v>-10</v>
      </c>
    </row>
    <row r="1299" spans="11:34" ht="14.5" x14ac:dyDescent="0.35">
      <c r="K1299" s="4"/>
      <c r="AC1299" s="7">
        <v>2022</v>
      </c>
      <c r="AD1299" s="7">
        <v>2</v>
      </c>
      <c r="AE1299" s="7">
        <v>24</v>
      </c>
      <c r="AF1299" s="8">
        <v>4.1666666666666664E-2</v>
      </c>
      <c r="AG1299" s="9">
        <v>-8.6999999999999993</v>
      </c>
      <c r="AH1299" s="10">
        <f t="shared" si="35"/>
        <v>-9</v>
      </c>
    </row>
    <row r="1300" spans="11:34" ht="14.5" x14ac:dyDescent="0.35">
      <c r="K1300" s="4"/>
      <c r="AC1300" s="7">
        <v>2022</v>
      </c>
      <c r="AD1300" s="7">
        <v>2</v>
      </c>
      <c r="AE1300" s="7">
        <v>24</v>
      </c>
      <c r="AF1300" s="8">
        <v>8.3333333333333329E-2</v>
      </c>
      <c r="AG1300" s="9">
        <v>-8.5</v>
      </c>
      <c r="AH1300" s="10">
        <f t="shared" si="35"/>
        <v>-9</v>
      </c>
    </row>
    <row r="1301" spans="11:34" ht="14.5" x14ac:dyDescent="0.35">
      <c r="K1301" s="4"/>
      <c r="AC1301" s="7">
        <v>2022</v>
      </c>
      <c r="AD1301" s="7">
        <v>2</v>
      </c>
      <c r="AE1301" s="7">
        <v>24</v>
      </c>
      <c r="AF1301" s="8">
        <v>0.125</v>
      </c>
      <c r="AG1301" s="9">
        <v>-8.6999999999999993</v>
      </c>
      <c r="AH1301" s="10">
        <f t="shared" si="35"/>
        <v>-9</v>
      </c>
    </row>
    <row r="1302" spans="11:34" ht="14.5" x14ac:dyDescent="0.35">
      <c r="K1302" s="4"/>
      <c r="AC1302" s="7">
        <v>2022</v>
      </c>
      <c r="AD1302" s="7">
        <v>2</v>
      </c>
      <c r="AE1302" s="7">
        <v>24</v>
      </c>
      <c r="AF1302" s="8">
        <v>0.16666666666666666</v>
      </c>
      <c r="AG1302" s="9">
        <v>-8.6</v>
      </c>
      <c r="AH1302" s="10">
        <f t="shared" si="35"/>
        <v>-9</v>
      </c>
    </row>
    <row r="1303" spans="11:34" ht="14.5" x14ac:dyDescent="0.35">
      <c r="K1303" s="4"/>
      <c r="AC1303" s="7">
        <v>2022</v>
      </c>
      <c r="AD1303" s="7">
        <v>2</v>
      </c>
      <c r="AE1303" s="7">
        <v>24</v>
      </c>
      <c r="AF1303" s="8">
        <v>0.20833333333333334</v>
      </c>
      <c r="AG1303" s="9">
        <v>-8.1999999999999993</v>
      </c>
      <c r="AH1303" s="10">
        <f t="shared" si="35"/>
        <v>-8</v>
      </c>
    </row>
    <row r="1304" spans="11:34" ht="14.5" x14ac:dyDescent="0.35">
      <c r="K1304" s="4"/>
      <c r="AC1304" s="7">
        <v>2022</v>
      </c>
      <c r="AD1304" s="7">
        <v>2</v>
      </c>
      <c r="AE1304" s="7">
        <v>24</v>
      </c>
      <c r="AF1304" s="8">
        <v>0.25</v>
      </c>
      <c r="AG1304" s="9">
        <v>-9</v>
      </c>
      <c r="AH1304" s="10">
        <f t="shared" si="35"/>
        <v>-9</v>
      </c>
    </row>
    <row r="1305" spans="11:34" ht="14.5" x14ac:dyDescent="0.35">
      <c r="K1305" s="4"/>
      <c r="AC1305" s="7">
        <v>2022</v>
      </c>
      <c r="AD1305" s="7">
        <v>2</v>
      </c>
      <c r="AE1305" s="7">
        <v>24</v>
      </c>
      <c r="AF1305" s="8">
        <v>0.29166666666666669</v>
      </c>
      <c r="AG1305" s="9">
        <v>-8.6999999999999993</v>
      </c>
      <c r="AH1305" s="10">
        <f t="shared" si="35"/>
        <v>-9</v>
      </c>
    </row>
    <row r="1306" spans="11:34" ht="14.5" x14ac:dyDescent="0.35">
      <c r="K1306" s="4"/>
      <c r="AC1306" s="7">
        <v>2022</v>
      </c>
      <c r="AD1306" s="7">
        <v>2</v>
      </c>
      <c r="AE1306" s="7">
        <v>24</v>
      </c>
      <c r="AF1306" s="8">
        <v>0.33333333333333331</v>
      </c>
      <c r="AG1306" s="9">
        <v>-8.4</v>
      </c>
      <c r="AH1306" s="10">
        <f t="shared" si="35"/>
        <v>-8</v>
      </c>
    </row>
    <row r="1307" spans="11:34" ht="14.5" x14ac:dyDescent="0.35">
      <c r="K1307" s="4"/>
      <c r="AC1307" s="7">
        <v>2022</v>
      </c>
      <c r="AD1307" s="7">
        <v>2</v>
      </c>
      <c r="AE1307" s="7">
        <v>24</v>
      </c>
      <c r="AF1307" s="8">
        <v>0.375</v>
      </c>
      <c r="AG1307" s="9">
        <v>-8</v>
      </c>
      <c r="AH1307" s="10">
        <f t="shared" si="35"/>
        <v>-8</v>
      </c>
    </row>
    <row r="1308" spans="11:34" ht="14.5" x14ac:dyDescent="0.35">
      <c r="K1308" s="4"/>
      <c r="AC1308" s="7">
        <v>2022</v>
      </c>
      <c r="AD1308" s="7">
        <v>2</v>
      </c>
      <c r="AE1308" s="7">
        <v>24</v>
      </c>
      <c r="AF1308" s="8">
        <v>0.41666666666666669</v>
      </c>
      <c r="AG1308" s="9">
        <v>-7.4</v>
      </c>
      <c r="AH1308" s="10">
        <f t="shared" si="35"/>
        <v>-7</v>
      </c>
    </row>
    <row r="1309" spans="11:34" ht="14.5" x14ac:dyDescent="0.35">
      <c r="K1309" s="4"/>
      <c r="AC1309" s="7">
        <v>2022</v>
      </c>
      <c r="AD1309" s="7">
        <v>2</v>
      </c>
      <c r="AE1309" s="7">
        <v>24</v>
      </c>
      <c r="AF1309" s="8">
        <v>0.45833333333333331</v>
      </c>
      <c r="AG1309" s="9">
        <v>-6.6</v>
      </c>
      <c r="AH1309" s="10">
        <f t="shared" si="35"/>
        <v>-7</v>
      </c>
    </row>
    <row r="1310" spans="11:34" ht="14.5" x14ac:dyDescent="0.35">
      <c r="K1310" s="4"/>
      <c r="AC1310" s="7">
        <v>2022</v>
      </c>
      <c r="AD1310" s="7">
        <v>2</v>
      </c>
      <c r="AE1310" s="7">
        <v>24</v>
      </c>
      <c r="AF1310" s="8">
        <v>0.5</v>
      </c>
      <c r="AG1310" s="9">
        <v>-6.4</v>
      </c>
      <c r="AH1310" s="10">
        <f t="shared" si="35"/>
        <v>-6</v>
      </c>
    </row>
    <row r="1311" spans="11:34" ht="14.5" x14ac:dyDescent="0.35">
      <c r="K1311" s="4"/>
      <c r="AC1311" s="7">
        <v>2022</v>
      </c>
      <c r="AD1311" s="7">
        <v>2</v>
      </c>
      <c r="AE1311" s="7">
        <v>24</v>
      </c>
      <c r="AF1311" s="8">
        <v>0.54166666666666663</v>
      </c>
      <c r="AG1311" s="9">
        <v>-6</v>
      </c>
      <c r="AH1311" s="10">
        <f t="shared" si="35"/>
        <v>-6</v>
      </c>
    </row>
    <row r="1312" spans="11:34" ht="14.5" x14ac:dyDescent="0.35">
      <c r="K1312" s="4"/>
      <c r="AC1312" s="7">
        <v>2022</v>
      </c>
      <c r="AD1312" s="7">
        <v>2</v>
      </c>
      <c r="AE1312" s="7">
        <v>24</v>
      </c>
      <c r="AF1312" s="8">
        <v>0.58333333333333337</v>
      </c>
      <c r="AG1312" s="9">
        <v>-6</v>
      </c>
      <c r="AH1312" s="10">
        <f t="shared" si="35"/>
        <v>-6</v>
      </c>
    </row>
    <row r="1313" spans="11:34" ht="14.5" x14ac:dyDescent="0.35">
      <c r="K1313" s="4"/>
      <c r="AC1313" s="7">
        <v>2022</v>
      </c>
      <c r="AD1313" s="7">
        <v>2</v>
      </c>
      <c r="AE1313" s="7">
        <v>24</v>
      </c>
      <c r="AF1313" s="8">
        <v>0.625</v>
      </c>
      <c r="AG1313" s="9">
        <v>-5.8</v>
      </c>
      <c r="AH1313" s="10">
        <f t="shared" si="35"/>
        <v>-6</v>
      </c>
    </row>
    <row r="1314" spans="11:34" ht="14.5" x14ac:dyDescent="0.35">
      <c r="K1314" s="4"/>
      <c r="AC1314" s="7">
        <v>2022</v>
      </c>
      <c r="AD1314" s="7">
        <v>2</v>
      </c>
      <c r="AE1314" s="7">
        <v>24</v>
      </c>
      <c r="AF1314" s="8">
        <v>0.66666666666666663</v>
      </c>
      <c r="AG1314" s="9">
        <v>-6.5</v>
      </c>
      <c r="AH1314" s="10">
        <f t="shared" si="35"/>
        <v>-7</v>
      </c>
    </row>
    <row r="1315" spans="11:34" ht="14.5" x14ac:dyDescent="0.35">
      <c r="K1315" s="4"/>
      <c r="AC1315" s="7">
        <v>2022</v>
      </c>
      <c r="AD1315" s="7">
        <v>2</v>
      </c>
      <c r="AE1315" s="7">
        <v>24</v>
      </c>
      <c r="AF1315" s="8">
        <v>0.70833333333333337</v>
      </c>
      <c r="AG1315" s="9">
        <v>-6.7</v>
      </c>
      <c r="AH1315" s="10">
        <f t="shared" si="35"/>
        <v>-7</v>
      </c>
    </row>
    <row r="1316" spans="11:34" ht="14.5" x14ac:dyDescent="0.35">
      <c r="K1316" s="4"/>
      <c r="AC1316" s="7">
        <v>2022</v>
      </c>
      <c r="AD1316" s="7">
        <v>2</v>
      </c>
      <c r="AE1316" s="7">
        <v>24</v>
      </c>
      <c r="AF1316" s="8">
        <v>0.75</v>
      </c>
      <c r="AG1316" s="9">
        <v>-6.6</v>
      </c>
      <c r="AH1316" s="10">
        <f t="shared" si="35"/>
        <v>-7</v>
      </c>
    </row>
    <row r="1317" spans="11:34" ht="14.5" x14ac:dyDescent="0.35">
      <c r="K1317" s="4"/>
      <c r="AC1317" s="7">
        <v>2022</v>
      </c>
      <c r="AD1317" s="7">
        <v>2</v>
      </c>
      <c r="AE1317" s="7">
        <v>24</v>
      </c>
      <c r="AF1317" s="8">
        <v>0.79166666666666663</v>
      </c>
      <c r="AG1317" s="9">
        <v>-9</v>
      </c>
      <c r="AH1317" s="10">
        <f t="shared" si="35"/>
        <v>-9</v>
      </c>
    </row>
    <row r="1318" spans="11:34" ht="14.5" x14ac:dyDescent="0.35">
      <c r="K1318" s="4"/>
      <c r="AC1318" s="7">
        <v>2022</v>
      </c>
      <c r="AD1318" s="7">
        <v>2</v>
      </c>
      <c r="AE1318" s="7">
        <v>24</v>
      </c>
      <c r="AF1318" s="8">
        <v>0.83333333333333337</v>
      </c>
      <c r="AG1318" s="9">
        <v>-8.5</v>
      </c>
      <c r="AH1318" s="10">
        <f t="shared" si="35"/>
        <v>-9</v>
      </c>
    </row>
    <row r="1319" spans="11:34" ht="14.5" x14ac:dyDescent="0.35">
      <c r="K1319" s="4"/>
      <c r="AC1319" s="7">
        <v>2022</v>
      </c>
      <c r="AD1319" s="7">
        <v>2</v>
      </c>
      <c r="AE1319" s="7">
        <v>24</v>
      </c>
      <c r="AF1319" s="8">
        <v>0.875</v>
      </c>
      <c r="AG1319" s="9">
        <v>-8.9</v>
      </c>
      <c r="AH1319" s="10">
        <f t="shared" si="35"/>
        <v>-9</v>
      </c>
    </row>
    <row r="1320" spans="11:34" ht="14.5" x14ac:dyDescent="0.35">
      <c r="K1320" s="4"/>
      <c r="AC1320" s="7">
        <v>2022</v>
      </c>
      <c r="AD1320" s="7">
        <v>2</v>
      </c>
      <c r="AE1320" s="7">
        <v>24</v>
      </c>
      <c r="AF1320" s="8">
        <v>0.91666666666666663</v>
      </c>
      <c r="AG1320" s="9">
        <v>-8.6999999999999993</v>
      </c>
      <c r="AH1320" s="10">
        <f t="shared" si="35"/>
        <v>-9</v>
      </c>
    </row>
    <row r="1321" spans="11:34" ht="14.5" x14ac:dyDescent="0.35">
      <c r="K1321" s="4"/>
      <c r="AC1321" s="7">
        <v>2022</v>
      </c>
      <c r="AD1321" s="7">
        <v>2</v>
      </c>
      <c r="AE1321" s="7">
        <v>24</v>
      </c>
      <c r="AF1321" s="8">
        <v>0.95833333333333337</v>
      </c>
      <c r="AG1321" s="9">
        <v>-11.3</v>
      </c>
      <c r="AH1321" s="10">
        <f t="shared" si="35"/>
        <v>-11</v>
      </c>
    </row>
    <row r="1322" spans="11:34" ht="14.5" x14ac:dyDescent="0.35">
      <c r="K1322" s="4"/>
      <c r="AC1322" s="7">
        <v>2022</v>
      </c>
      <c r="AD1322" s="7">
        <v>2</v>
      </c>
      <c r="AE1322" s="7">
        <v>25</v>
      </c>
      <c r="AF1322" s="8">
        <v>0</v>
      </c>
      <c r="AG1322" s="9">
        <v>-12.1</v>
      </c>
      <c r="AH1322" s="10">
        <f t="shared" si="35"/>
        <v>-12</v>
      </c>
    </row>
    <row r="1323" spans="11:34" ht="14.5" x14ac:dyDescent="0.35">
      <c r="K1323" s="4"/>
      <c r="AC1323" s="7">
        <v>2022</v>
      </c>
      <c r="AD1323" s="7">
        <v>2</v>
      </c>
      <c r="AE1323" s="7">
        <v>25</v>
      </c>
      <c r="AF1323" s="8">
        <v>4.1666666666666664E-2</v>
      </c>
      <c r="AG1323" s="9">
        <v>-13.3</v>
      </c>
      <c r="AH1323" s="10">
        <f t="shared" si="35"/>
        <v>-13</v>
      </c>
    </row>
    <row r="1324" spans="11:34" ht="14.5" x14ac:dyDescent="0.35">
      <c r="K1324" s="4"/>
      <c r="AC1324" s="7">
        <v>2022</v>
      </c>
      <c r="AD1324" s="7">
        <v>2</v>
      </c>
      <c r="AE1324" s="7">
        <v>25</v>
      </c>
      <c r="AF1324" s="8">
        <v>8.3333333333333329E-2</v>
      </c>
      <c r="AG1324" s="9">
        <v>-12.2</v>
      </c>
      <c r="AH1324" s="10">
        <f t="shared" si="35"/>
        <v>-12</v>
      </c>
    </row>
    <row r="1325" spans="11:34" ht="14.5" x14ac:dyDescent="0.35">
      <c r="K1325" s="4"/>
      <c r="AC1325" s="7">
        <v>2022</v>
      </c>
      <c r="AD1325" s="7">
        <v>2</v>
      </c>
      <c r="AE1325" s="7">
        <v>25</v>
      </c>
      <c r="AF1325" s="8">
        <v>0.125</v>
      </c>
      <c r="AG1325" s="9">
        <v>-9.9</v>
      </c>
      <c r="AH1325" s="10">
        <f t="shared" si="35"/>
        <v>-10</v>
      </c>
    </row>
    <row r="1326" spans="11:34" ht="14.5" x14ac:dyDescent="0.35">
      <c r="K1326" s="4"/>
      <c r="AC1326" s="7">
        <v>2022</v>
      </c>
      <c r="AD1326" s="7">
        <v>2</v>
      </c>
      <c r="AE1326" s="7">
        <v>25</v>
      </c>
      <c r="AF1326" s="8">
        <v>0.16666666666666666</v>
      </c>
      <c r="AG1326" s="9">
        <v>-14.1</v>
      </c>
      <c r="AH1326" s="10">
        <f t="shared" si="35"/>
        <v>-14</v>
      </c>
    </row>
    <row r="1327" spans="11:34" ht="14.5" x14ac:dyDescent="0.35">
      <c r="K1327" s="4"/>
      <c r="AC1327" s="7">
        <v>2022</v>
      </c>
      <c r="AD1327" s="7">
        <v>2</v>
      </c>
      <c r="AE1327" s="7">
        <v>25</v>
      </c>
      <c r="AF1327" s="8">
        <v>0.20833333333333334</v>
      </c>
      <c r="AG1327" s="9">
        <v>-14.7</v>
      </c>
      <c r="AH1327" s="10">
        <f t="shared" si="35"/>
        <v>-15</v>
      </c>
    </row>
    <row r="1328" spans="11:34" ht="14.5" x14ac:dyDescent="0.35">
      <c r="K1328" s="4"/>
      <c r="AC1328" s="7">
        <v>2022</v>
      </c>
      <c r="AD1328" s="7">
        <v>2</v>
      </c>
      <c r="AE1328" s="7">
        <v>25</v>
      </c>
      <c r="AF1328" s="8">
        <v>0.25</v>
      </c>
      <c r="AG1328" s="9">
        <v>-14.1</v>
      </c>
      <c r="AH1328" s="10">
        <f t="shared" si="35"/>
        <v>-14</v>
      </c>
    </row>
    <row r="1329" spans="11:34" ht="14.5" x14ac:dyDescent="0.35">
      <c r="K1329" s="4"/>
      <c r="AC1329" s="7">
        <v>2022</v>
      </c>
      <c r="AD1329" s="7">
        <v>2</v>
      </c>
      <c r="AE1329" s="7">
        <v>25</v>
      </c>
      <c r="AF1329" s="8">
        <v>0.29166666666666669</v>
      </c>
      <c r="AG1329" s="9">
        <v>-11.7</v>
      </c>
      <c r="AH1329" s="10">
        <f t="shared" si="35"/>
        <v>-12</v>
      </c>
    </row>
    <row r="1330" spans="11:34" ht="14.5" x14ac:dyDescent="0.35">
      <c r="K1330" s="4"/>
      <c r="AC1330" s="7">
        <v>2022</v>
      </c>
      <c r="AD1330" s="7">
        <v>2</v>
      </c>
      <c r="AE1330" s="7">
        <v>25</v>
      </c>
      <c r="AF1330" s="8">
        <v>0.33333333333333331</v>
      </c>
      <c r="AG1330" s="9">
        <v>-12.6</v>
      </c>
      <c r="AH1330" s="10">
        <f t="shared" si="35"/>
        <v>-13</v>
      </c>
    </row>
    <row r="1331" spans="11:34" ht="14.5" x14ac:dyDescent="0.35">
      <c r="K1331" s="4"/>
      <c r="AC1331" s="7">
        <v>2022</v>
      </c>
      <c r="AD1331" s="7">
        <v>2</v>
      </c>
      <c r="AE1331" s="7">
        <v>25</v>
      </c>
      <c r="AF1331" s="8">
        <v>0.375</v>
      </c>
      <c r="AG1331" s="9">
        <v>-10.5</v>
      </c>
      <c r="AH1331" s="10">
        <f t="shared" si="35"/>
        <v>-11</v>
      </c>
    </row>
    <row r="1332" spans="11:34" ht="14.5" x14ac:dyDescent="0.35">
      <c r="K1332" s="4"/>
      <c r="AC1332" s="7">
        <v>2022</v>
      </c>
      <c r="AD1332" s="7">
        <v>2</v>
      </c>
      <c r="AE1332" s="7">
        <v>25</v>
      </c>
      <c r="AF1332" s="8">
        <v>0.41666666666666669</v>
      </c>
      <c r="AG1332" s="9">
        <v>-6.5</v>
      </c>
      <c r="AH1332" s="10">
        <f t="shared" si="35"/>
        <v>-7</v>
      </c>
    </row>
    <row r="1333" spans="11:34" ht="14.5" x14ac:dyDescent="0.35">
      <c r="K1333" s="4"/>
      <c r="AC1333" s="7">
        <v>2022</v>
      </c>
      <c r="AD1333" s="7">
        <v>2</v>
      </c>
      <c r="AE1333" s="7">
        <v>25</v>
      </c>
      <c r="AF1333" s="8">
        <v>0.45833333333333331</v>
      </c>
      <c r="AG1333" s="9">
        <v>-4.5999999999999996</v>
      </c>
      <c r="AH1333" s="10">
        <f t="shared" si="35"/>
        <v>-5</v>
      </c>
    </row>
    <row r="1334" spans="11:34" ht="14.5" x14ac:dyDescent="0.35">
      <c r="K1334" s="4"/>
      <c r="AC1334" s="7">
        <v>2022</v>
      </c>
      <c r="AD1334" s="7">
        <v>2</v>
      </c>
      <c r="AE1334" s="7">
        <v>25</v>
      </c>
      <c r="AF1334" s="8">
        <v>0.5</v>
      </c>
      <c r="AG1334" s="9">
        <v>-2.6</v>
      </c>
      <c r="AH1334" s="10">
        <f t="shared" si="35"/>
        <v>-3</v>
      </c>
    </row>
    <row r="1335" spans="11:34" ht="14.5" x14ac:dyDescent="0.35">
      <c r="K1335" s="4"/>
      <c r="AC1335" s="7">
        <v>2022</v>
      </c>
      <c r="AD1335" s="7">
        <v>2</v>
      </c>
      <c r="AE1335" s="7">
        <v>25</v>
      </c>
      <c r="AF1335" s="8">
        <v>0.54166666666666663</v>
      </c>
      <c r="AG1335" s="9">
        <v>-1.1000000000000001</v>
      </c>
      <c r="AH1335" s="10">
        <f t="shared" si="35"/>
        <v>-1</v>
      </c>
    </row>
    <row r="1336" spans="11:34" ht="14.5" x14ac:dyDescent="0.35">
      <c r="K1336" s="4"/>
      <c r="AC1336" s="7">
        <v>2022</v>
      </c>
      <c r="AD1336" s="7">
        <v>2</v>
      </c>
      <c r="AE1336" s="7">
        <v>25</v>
      </c>
      <c r="AF1336" s="8">
        <v>0.58333333333333337</v>
      </c>
      <c r="AG1336" s="9">
        <v>0.2</v>
      </c>
      <c r="AH1336" s="10">
        <f t="shared" si="35"/>
        <v>0</v>
      </c>
    </row>
    <row r="1337" spans="11:34" ht="14.5" x14ac:dyDescent="0.35">
      <c r="K1337" s="4"/>
      <c r="AC1337" s="7">
        <v>2022</v>
      </c>
      <c r="AD1337" s="7">
        <v>2</v>
      </c>
      <c r="AE1337" s="7">
        <v>25</v>
      </c>
      <c r="AF1337" s="8">
        <v>0.625</v>
      </c>
      <c r="AG1337" s="9">
        <v>2.5</v>
      </c>
      <c r="AH1337" s="10">
        <f t="shared" si="35"/>
        <v>3</v>
      </c>
    </row>
    <row r="1338" spans="11:34" ht="14.5" x14ac:dyDescent="0.35">
      <c r="K1338" s="4"/>
      <c r="AC1338" s="7">
        <v>2022</v>
      </c>
      <c r="AD1338" s="7">
        <v>2</v>
      </c>
      <c r="AE1338" s="7">
        <v>25</v>
      </c>
      <c r="AF1338" s="8">
        <v>0.66666666666666663</v>
      </c>
      <c r="AG1338" s="9">
        <v>1.5</v>
      </c>
      <c r="AH1338" s="10">
        <f t="shared" si="35"/>
        <v>2</v>
      </c>
    </row>
    <row r="1339" spans="11:34" ht="14.5" x14ac:dyDescent="0.35">
      <c r="K1339" s="4"/>
      <c r="AC1339" s="7">
        <v>2022</v>
      </c>
      <c r="AD1339" s="7">
        <v>2</v>
      </c>
      <c r="AE1339" s="7">
        <v>25</v>
      </c>
      <c r="AF1339" s="8">
        <v>0.70833333333333337</v>
      </c>
      <c r="AG1339" s="9">
        <v>0.8</v>
      </c>
      <c r="AH1339" s="10">
        <f t="shared" si="35"/>
        <v>1</v>
      </c>
    </row>
    <row r="1340" spans="11:34" ht="14.5" x14ac:dyDescent="0.35">
      <c r="K1340" s="4"/>
      <c r="AC1340" s="7">
        <v>2022</v>
      </c>
      <c r="AD1340" s="7">
        <v>2</v>
      </c>
      <c r="AE1340" s="7">
        <v>25</v>
      </c>
      <c r="AF1340" s="8">
        <v>0.75</v>
      </c>
      <c r="AG1340" s="9">
        <v>-2.5</v>
      </c>
      <c r="AH1340" s="10">
        <f t="shared" si="35"/>
        <v>-3</v>
      </c>
    </row>
    <row r="1341" spans="11:34" ht="14.5" x14ac:dyDescent="0.35">
      <c r="K1341" s="4"/>
      <c r="AC1341" s="7">
        <v>2022</v>
      </c>
      <c r="AD1341" s="7">
        <v>2</v>
      </c>
      <c r="AE1341" s="7">
        <v>25</v>
      </c>
      <c r="AF1341" s="8">
        <v>0.79166666666666663</v>
      </c>
      <c r="AG1341" s="9">
        <v>-4.5</v>
      </c>
      <c r="AH1341" s="10">
        <f t="shared" si="35"/>
        <v>-5</v>
      </c>
    </row>
    <row r="1342" spans="11:34" ht="14.5" x14ac:dyDescent="0.35">
      <c r="K1342" s="4"/>
      <c r="AC1342" s="7">
        <v>2022</v>
      </c>
      <c r="AD1342" s="7">
        <v>2</v>
      </c>
      <c r="AE1342" s="7">
        <v>25</v>
      </c>
      <c r="AF1342" s="8">
        <v>0.83333333333333337</v>
      </c>
      <c r="AG1342" s="9">
        <v>-1.5</v>
      </c>
      <c r="AH1342" s="10">
        <f t="shared" si="35"/>
        <v>-2</v>
      </c>
    </row>
    <row r="1343" spans="11:34" ht="14.5" x14ac:dyDescent="0.35">
      <c r="K1343" s="4"/>
      <c r="AC1343" s="7">
        <v>2022</v>
      </c>
      <c r="AD1343" s="7">
        <v>2</v>
      </c>
      <c r="AE1343" s="7">
        <v>25</v>
      </c>
      <c r="AF1343" s="8">
        <v>0.875</v>
      </c>
      <c r="AG1343" s="9">
        <v>-2.4</v>
      </c>
      <c r="AH1343" s="10">
        <f t="shared" si="35"/>
        <v>-2</v>
      </c>
    </row>
    <row r="1344" spans="11:34" ht="14.5" x14ac:dyDescent="0.35">
      <c r="K1344" s="4"/>
      <c r="AC1344" s="7">
        <v>2022</v>
      </c>
      <c r="AD1344" s="7">
        <v>2</v>
      </c>
      <c r="AE1344" s="7">
        <v>25</v>
      </c>
      <c r="AF1344" s="8">
        <v>0.91666666666666663</v>
      </c>
      <c r="AG1344" s="9">
        <v>-2.2999999999999998</v>
      </c>
      <c r="AH1344" s="10">
        <f t="shared" si="35"/>
        <v>-2</v>
      </c>
    </row>
    <row r="1345" spans="11:34" ht="14.5" x14ac:dyDescent="0.35">
      <c r="K1345" s="4"/>
      <c r="AC1345" s="7">
        <v>2022</v>
      </c>
      <c r="AD1345" s="7">
        <v>2</v>
      </c>
      <c r="AE1345" s="7">
        <v>25</v>
      </c>
      <c r="AF1345" s="8">
        <v>0.95833333333333337</v>
      </c>
      <c r="AG1345" s="9">
        <v>-1.3</v>
      </c>
      <c r="AH1345" s="10">
        <f t="shared" si="35"/>
        <v>-1</v>
      </c>
    </row>
    <row r="1346" spans="11:34" ht="14.5" x14ac:dyDescent="0.35">
      <c r="K1346" s="4"/>
      <c r="AC1346" s="7">
        <v>2022</v>
      </c>
      <c r="AD1346" s="7">
        <v>2</v>
      </c>
      <c r="AE1346" s="7">
        <v>26</v>
      </c>
      <c r="AF1346" s="8">
        <v>0</v>
      </c>
      <c r="AG1346" s="9">
        <v>-2.6</v>
      </c>
      <c r="AH1346" s="10">
        <f t="shared" si="35"/>
        <v>-3</v>
      </c>
    </row>
    <row r="1347" spans="11:34" ht="14.5" x14ac:dyDescent="0.35">
      <c r="K1347" s="4"/>
      <c r="AC1347" s="7">
        <v>2022</v>
      </c>
      <c r="AD1347" s="7">
        <v>2</v>
      </c>
      <c r="AE1347" s="7">
        <v>26</v>
      </c>
      <c r="AF1347" s="8">
        <v>4.1666666666666664E-2</v>
      </c>
      <c r="AG1347" s="9">
        <v>-3.1</v>
      </c>
      <c r="AH1347" s="10">
        <f t="shared" si="35"/>
        <v>-3</v>
      </c>
    </row>
    <row r="1348" spans="11:34" ht="14.5" x14ac:dyDescent="0.35">
      <c r="K1348" s="4"/>
      <c r="AC1348" s="7">
        <v>2022</v>
      </c>
      <c r="AD1348" s="7">
        <v>2</v>
      </c>
      <c r="AE1348" s="7">
        <v>26</v>
      </c>
      <c r="AF1348" s="8">
        <v>8.3333333333333329E-2</v>
      </c>
      <c r="AG1348" s="9">
        <v>-4.3</v>
      </c>
      <c r="AH1348" s="10">
        <f t="shared" si="35"/>
        <v>-4</v>
      </c>
    </row>
    <row r="1349" spans="11:34" ht="14.5" x14ac:dyDescent="0.35">
      <c r="K1349" s="4"/>
      <c r="AC1349" s="7">
        <v>2022</v>
      </c>
      <c r="AD1349" s="7">
        <v>2</v>
      </c>
      <c r="AE1349" s="7">
        <v>26</v>
      </c>
      <c r="AF1349" s="8">
        <v>0.125</v>
      </c>
      <c r="AG1349" s="9">
        <v>-4.5999999999999996</v>
      </c>
      <c r="AH1349" s="10">
        <f t="shared" si="35"/>
        <v>-5</v>
      </c>
    </row>
    <row r="1350" spans="11:34" ht="14.5" x14ac:dyDescent="0.35">
      <c r="K1350" s="4"/>
      <c r="AC1350" s="7">
        <v>2022</v>
      </c>
      <c r="AD1350" s="7">
        <v>2</v>
      </c>
      <c r="AE1350" s="7">
        <v>26</v>
      </c>
      <c r="AF1350" s="8">
        <v>0.16666666666666666</v>
      </c>
      <c r="AG1350" s="9">
        <v>-7.5</v>
      </c>
      <c r="AH1350" s="10">
        <f t="shared" si="35"/>
        <v>-8</v>
      </c>
    </row>
    <row r="1351" spans="11:34" ht="14.5" x14ac:dyDescent="0.35">
      <c r="K1351" s="4"/>
      <c r="AC1351" s="7">
        <v>2022</v>
      </c>
      <c r="AD1351" s="7">
        <v>2</v>
      </c>
      <c r="AE1351" s="7">
        <v>26</v>
      </c>
      <c r="AF1351" s="8">
        <v>0.20833333333333334</v>
      </c>
      <c r="AG1351" s="9">
        <v>-8.6</v>
      </c>
      <c r="AH1351" s="10">
        <f t="shared" si="35"/>
        <v>-9</v>
      </c>
    </row>
    <row r="1352" spans="11:34" ht="14.5" x14ac:dyDescent="0.35">
      <c r="K1352" s="4"/>
      <c r="AC1352" s="7">
        <v>2022</v>
      </c>
      <c r="AD1352" s="7">
        <v>2</v>
      </c>
      <c r="AE1352" s="7">
        <v>26</v>
      </c>
      <c r="AF1352" s="8">
        <v>0.25</v>
      </c>
      <c r="AG1352" s="9">
        <v>-8.1999999999999993</v>
      </c>
      <c r="AH1352" s="10">
        <f t="shared" si="35"/>
        <v>-8</v>
      </c>
    </row>
    <row r="1353" spans="11:34" ht="14.5" x14ac:dyDescent="0.35">
      <c r="K1353" s="4"/>
      <c r="AC1353" s="7">
        <v>2022</v>
      </c>
      <c r="AD1353" s="7">
        <v>2</v>
      </c>
      <c r="AE1353" s="7">
        <v>26</v>
      </c>
      <c r="AF1353" s="8">
        <v>0.29166666666666669</v>
      </c>
      <c r="AG1353" s="9">
        <v>-7.9</v>
      </c>
      <c r="AH1353" s="10">
        <f t="shared" si="35"/>
        <v>-8</v>
      </c>
    </row>
    <row r="1354" spans="11:34" ht="14.5" x14ac:dyDescent="0.35">
      <c r="K1354" s="4"/>
      <c r="AC1354" s="7">
        <v>2022</v>
      </c>
      <c r="AD1354" s="7">
        <v>2</v>
      </c>
      <c r="AE1354" s="7">
        <v>26</v>
      </c>
      <c r="AF1354" s="8">
        <v>0.33333333333333331</v>
      </c>
      <c r="AG1354" s="9">
        <v>-7.6</v>
      </c>
      <c r="AH1354" s="10">
        <f t="shared" si="35"/>
        <v>-8</v>
      </c>
    </row>
    <row r="1355" spans="11:34" ht="14.5" x14ac:dyDescent="0.35">
      <c r="K1355" s="4"/>
      <c r="AC1355" s="7">
        <v>2022</v>
      </c>
      <c r="AD1355" s="7">
        <v>2</v>
      </c>
      <c r="AE1355" s="7">
        <v>26</v>
      </c>
      <c r="AF1355" s="8">
        <v>0.375</v>
      </c>
      <c r="AG1355" s="9">
        <v>-4.8</v>
      </c>
      <c r="AH1355" s="10">
        <f t="shared" ref="AH1355:AH1418" si="36">ROUND(AG1355,0)</f>
        <v>-5</v>
      </c>
    </row>
    <row r="1356" spans="11:34" ht="14.5" x14ac:dyDescent="0.35">
      <c r="K1356" s="4"/>
      <c r="AC1356" s="7">
        <v>2022</v>
      </c>
      <c r="AD1356" s="7">
        <v>2</v>
      </c>
      <c r="AE1356" s="7">
        <v>26</v>
      </c>
      <c r="AF1356" s="8">
        <v>0.41666666666666669</v>
      </c>
      <c r="AG1356" s="9">
        <v>-1.3</v>
      </c>
      <c r="AH1356" s="10">
        <f t="shared" si="36"/>
        <v>-1</v>
      </c>
    </row>
    <row r="1357" spans="11:34" ht="14.5" x14ac:dyDescent="0.35">
      <c r="K1357" s="4"/>
      <c r="AC1357" s="7">
        <v>2022</v>
      </c>
      <c r="AD1357" s="7">
        <v>2</v>
      </c>
      <c r="AE1357" s="7">
        <v>26</v>
      </c>
      <c r="AF1357" s="8">
        <v>0.45833333333333331</v>
      </c>
      <c r="AG1357" s="9">
        <v>-0.2</v>
      </c>
      <c r="AH1357" s="10">
        <f t="shared" si="36"/>
        <v>0</v>
      </c>
    </row>
    <row r="1358" spans="11:34" ht="14.5" x14ac:dyDescent="0.35">
      <c r="K1358" s="4"/>
      <c r="AC1358" s="7">
        <v>2022</v>
      </c>
      <c r="AD1358" s="7">
        <v>2</v>
      </c>
      <c r="AE1358" s="7">
        <v>26</v>
      </c>
      <c r="AF1358" s="8">
        <v>0.5</v>
      </c>
      <c r="AG1358" s="9">
        <v>3.1</v>
      </c>
      <c r="AH1358" s="10">
        <f t="shared" si="36"/>
        <v>3</v>
      </c>
    </row>
    <row r="1359" spans="11:34" ht="14.5" x14ac:dyDescent="0.35">
      <c r="K1359" s="4"/>
      <c r="AC1359" s="7">
        <v>2022</v>
      </c>
      <c r="AD1359" s="7">
        <v>2</v>
      </c>
      <c r="AE1359" s="7">
        <v>26</v>
      </c>
      <c r="AF1359" s="8">
        <v>0.54166666666666663</v>
      </c>
      <c r="AG1359" s="9">
        <v>4.5999999999999996</v>
      </c>
      <c r="AH1359" s="10">
        <f t="shared" si="36"/>
        <v>5</v>
      </c>
    </row>
    <row r="1360" spans="11:34" ht="14.5" x14ac:dyDescent="0.35">
      <c r="K1360" s="4"/>
      <c r="AC1360" s="7">
        <v>2022</v>
      </c>
      <c r="AD1360" s="7">
        <v>2</v>
      </c>
      <c r="AE1360" s="7">
        <v>26</v>
      </c>
      <c r="AF1360" s="8">
        <v>0.58333333333333337</v>
      </c>
      <c r="AG1360" s="9">
        <v>7.2</v>
      </c>
      <c r="AH1360" s="10">
        <f t="shared" si="36"/>
        <v>7</v>
      </c>
    </row>
    <row r="1361" spans="11:34" ht="14.5" x14ac:dyDescent="0.35">
      <c r="K1361" s="4"/>
      <c r="AC1361" s="7">
        <v>2022</v>
      </c>
      <c r="AD1361" s="7">
        <v>2</v>
      </c>
      <c r="AE1361" s="7">
        <v>26</v>
      </c>
      <c r="AF1361" s="8">
        <v>0.625</v>
      </c>
      <c r="AG1361" s="9">
        <v>7.3</v>
      </c>
      <c r="AH1361" s="10">
        <f t="shared" si="36"/>
        <v>7</v>
      </c>
    </row>
    <row r="1362" spans="11:34" ht="14.5" x14ac:dyDescent="0.35">
      <c r="K1362" s="4"/>
      <c r="AC1362" s="7">
        <v>2022</v>
      </c>
      <c r="AD1362" s="7">
        <v>2</v>
      </c>
      <c r="AE1362" s="7">
        <v>26</v>
      </c>
      <c r="AF1362" s="8">
        <v>0.66666666666666663</v>
      </c>
      <c r="AG1362" s="9">
        <v>6.6</v>
      </c>
      <c r="AH1362" s="10">
        <f t="shared" si="36"/>
        <v>7</v>
      </c>
    </row>
    <row r="1363" spans="11:34" ht="14.5" x14ac:dyDescent="0.35">
      <c r="K1363" s="4"/>
      <c r="AC1363" s="7">
        <v>2022</v>
      </c>
      <c r="AD1363" s="7">
        <v>2</v>
      </c>
      <c r="AE1363" s="7">
        <v>26</v>
      </c>
      <c r="AF1363" s="8">
        <v>0.70833333333333337</v>
      </c>
      <c r="AG1363" s="9">
        <v>6.4</v>
      </c>
      <c r="AH1363" s="10">
        <f t="shared" si="36"/>
        <v>6</v>
      </c>
    </row>
    <row r="1364" spans="11:34" ht="14.5" x14ac:dyDescent="0.35">
      <c r="K1364" s="4"/>
      <c r="AC1364" s="7">
        <v>2022</v>
      </c>
      <c r="AD1364" s="7">
        <v>2</v>
      </c>
      <c r="AE1364" s="7">
        <v>26</v>
      </c>
      <c r="AF1364" s="8">
        <v>0.75</v>
      </c>
      <c r="AG1364" s="9">
        <v>7.4</v>
      </c>
      <c r="AH1364" s="10">
        <f t="shared" si="36"/>
        <v>7</v>
      </c>
    </row>
    <row r="1365" spans="11:34" ht="14.5" x14ac:dyDescent="0.35">
      <c r="K1365" s="4"/>
      <c r="AC1365" s="7">
        <v>2022</v>
      </c>
      <c r="AD1365" s="7">
        <v>2</v>
      </c>
      <c r="AE1365" s="7">
        <v>26</v>
      </c>
      <c r="AF1365" s="8">
        <v>0.79166666666666663</v>
      </c>
      <c r="AG1365" s="9">
        <v>6.4</v>
      </c>
      <c r="AH1365" s="10">
        <f t="shared" si="36"/>
        <v>6</v>
      </c>
    </row>
    <row r="1366" spans="11:34" ht="14.5" x14ac:dyDescent="0.35">
      <c r="K1366" s="4"/>
      <c r="AC1366" s="7">
        <v>2022</v>
      </c>
      <c r="AD1366" s="7">
        <v>2</v>
      </c>
      <c r="AE1366" s="7">
        <v>26</v>
      </c>
      <c r="AF1366" s="8">
        <v>0.83333333333333337</v>
      </c>
      <c r="AG1366" s="9">
        <v>5.5</v>
      </c>
      <c r="AH1366" s="10">
        <f t="shared" si="36"/>
        <v>6</v>
      </c>
    </row>
    <row r="1367" spans="11:34" ht="14.5" x14ac:dyDescent="0.35">
      <c r="K1367" s="4"/>
      <c r="AC1367" s="7">
        <v>2022</v>
      </c>
      <c r="AD1367" s="7">
        <v>2</v>
      </c>
      <c r="AE1367" s="7">
        <v>26</v>
      </c>
      <c r="AF1367" s="8">
        <v>0.875</v>
      </c>
      <c r="AG1367" s="9">
        <v>5.7</v>
      </c>
      <c r="AH1367" s="10">
        <f t="shared" si="36"/>
        <v>6</v>
      </c>
    </row>
    <row r="1368" spans="11:34" ht="14.5" x14ac:dyDescent="0.35">
      <c r="K1368" s="4"/>
      <c r="AC1368" s="7">
        <v>2022</v>
      </c>
      <c r="AD1368" s="7">
        <v>2</v>
      </c>
      <c r="AE1368" s="7">
        <v>26</v>
      </c>
      <c r="AF1368" s="8">
        <v>0.91666666666666663</v>
      </c>
      <c r="AG1368" s="9">
        <v>5.9</v>
      </c>
      <c r="AH1368" s="10">
        <f t="shared" si="36"/>
        <v>6</v>
      </c>
    </row>
    <row r="1369" spans="11:34" ht="14.5" x14ac:dyDescent="0.35">
      <c r="K1369" s="4"/>
      <c r="AC1369" s="7">
        <v>2022</v>
      </c>
      <c r="AD1369" s="7">
        <v>2</v>
      </c>
      <c r="AE1369" s="7">
        <v>26</v>
      </c>
      <c r="AF1369" s="8">
        <v>0.95833333333333337</v>
      </c>
      <c r="AG1369" s="9">
        <v>5.2</v>
      </c>
      <c r="AH1369" s="10">
        <f t="shared" si="36"/>
        <v>5</v>
      </c>
    </row>
    <row r="1370" spans="11:34" ht="14.5" x14ac:dyDescent="0.35">
      <c r="K1370" s="4"/>
      <c r="AC1370" s="7">
        <v>2022</v>
      </c>
      <c r="AD1370" s="7">
        <v>2</v>
      </c>
      <c r="AE1370" s="7">
        <v>27</v>
      </c>
      <c r="AF1370" s="8">
        <v>0</v>
      </c>
      <c r="AG1370" s="9">
        <v>5.0999999999999996</v>
      </c>
      <c r="AH1370" s="10">
        <f t="shared" si="36"/>
        <v>5</v>
      </c>
    </row>
    <row r="1371" spans="11:34" ht="14.5" x14ac:dyDescent="0.35">
      <c r="K1371" s="4"/>
      <c r="AC1371" s="7">
        <v>2022</v>
      </c>
      <c r="AD1371" s="7">
        <v>2</v>
      </c>
      <c r="AE1371" s="7">
        <v>27</v>
      </c>
      <c r="AF1371" s="8">
        <v>4.1666666666666664E-2</v>
      </c>
      <c r="AG1371" s="9">
        <v>5</v>
      </c>
      <c r="AH1371" s="10">
        <f t="shared" si="36"/>
        <v>5</v>
      </c>
    </row>
    <row r="1372" spans="11:34" ht="14.5" x14ac:dyDescent="0.35">
      <c r="K1372" s="4"/>
      <c r="AC1372" s="7">
        <v>2022</v>
      </c>
      <c r="AD1372" s="7">
        <v>2</v>
      </c>
      <c r="AE1372" s="7">
        <v>27</v>
      </c>
      <c r="AF1372" s="8">
        <v>8.3333333333333329E-2</v>
      </c>
      <c r="AG1372" s="9">
        <v>5.0999999999999996</v>
      </c>
      <c r="AH1372" s="10">
        <f t="shared" si="36"/>
        <v>5</v>
      </c>
    </row>
    <row r="1373" spans="11:34" ht="14.5" x14ac:dyDescent="0.35">
      <c r="K1373" s="4"/>
      <c r="AC1373" s="7">
        <v>2022</v>
      </c>
      <c r="AD1373" s="7">
        <v>2</v>
      </c>
      <c r="AE1373" s="7">
        <v>27</v>
      </c>
      <c r="AF1373" s="8">
        <v>0.125</v>
      </c>
      <c r="AG1373" s="9">
        <v>4</v>
      </c>
      <c r="AH1373" s="10">
        <f t="shared" si="36"/>
        <v>4</v>
      </c>
    </row>
    <row r="1374" spans="11:34" ht="14.5" x14ac:dyDescent="0.35">
      <c r="K1374" s="4"/>
      <c r="AC1374" s="7">
        <v>2022</v>
      </c>
      <c r="AD1374" s="7">
        <v>2</v>
      </c>
      <c r="AE1374" s="7">
        <v>27</v>
      </c>
      <c r="AF1374" s="8">
        <v>0.16666666666666666</v>
      </c>
      <c r="AG1374" s="9">
        <v>3.6</v>
      </c>
      <c r="AH1374" s="10">
        <f t="shared" si="36"/>
        <v>4</v>
      </c>
    </row>
    <row r="1375" spans="11:34" ht="14.5" x14ac:dyDescent="0.35">
      <c r="K1375" s="4"/>
      <c r="AC1375" s="7">
        <v>2022</v>
      </c>
      <c r="AD1375" s="7">
        <v>2</v>
      </c>
      <c r="AE1375" s="7">
        <v>27</v>
      </c>
      <c r="AF1375" s="8">
        <v>0.20833333333333334</v>
      </c>
      <c r="AG1375" s="9">
        <v>4.2</v>
      </c>
      <c r="AH1375" s="10">
        <f t="shared" si="36"/>
        <v>4</v>
      </c>
    </row>
    <row r="1376" spans="11:34" ht="14.5" x14ac:dyDescent="0.35">
      <c r="K1376" s="4"/>
      <c r="AC1376" s="7">
        <v>2022</v>
      </c>
      <c r="AD1376" s="7">
        <v>2</v>
      </c>
      <c r="AE1376" s="7">
        <v>27</v>
      </c>
      <c r="AF1376" s="8">
        <v>0.25</v>
      </c>
      <c r="AG1376" s="9">
        <v>3.9</v>
      </c>
      <c r="AH1376" s="10">
        <f t="shared" si="36"/>
        <v>4</v>
      </c>
    </row>
    <row r="1377" spans="11:34" ht="14.5" x14ac:dyDescent="0.35">
      <c r="K1377" s="4"/>
      <c r="AC1377" s="7">
        <v>2022</v>
      </c>
      <c r="AD1377" s="7">
        <v>2</v>
      </c>
      <c r="AE1377" s="7">
        <v>27</v>
      </c>
      <c r="AF1377" s="8">
        <v>0.29166666666666669</v>
      </c>
      <c r="AG1377" s="9">
        <v>3.5</v>
      </c>
      <c r="AH1377" s="10">
        <f t="shared" si="36"/>
        <v>4</v>
      </c>
    </row>
    <row r="1378" spans="11:34" ht="14.5" x14ac:dyDescent="0.35">
      <c r="K1378" s="4"/>
      <c r="AC1378" s="7">
        <v>2022</v>
      </c>
      <c r="AD1378" s="7">
        <v>2</v>
      </c>
      <c r="AE1378" s="7">
        <v>27</v>
      </c>
      <c r="AF1378" s="8">
        <v>0.33333333333333331</v>
      </c>
      <c r="AG1378" s="9">
        <v>3.7</v>
      </c>
      <c r="AH1378" s="10">
        <f t="shared" si="36"/>
        <v>4</v>
      </c>
    </row>
    <row r="1379" spans="11:34" ht="14.5" x14ac:dyDescent="0.35">
      <c r="K1379" s="4"/>
      <c r="AC1379" s="7">
        <v>2022</v>
      </c>
      <c r="AD1379" s="7">
        <v>2</v>
      </c>
      <c r="AE1379" s="7">
        <v>27</v>
      </c>
      <c r="AF1379" s="8">
        <v>0.375</v>
      </c>
      <c r="AG1379" s="9">
        <v>3.5</v>
      </c>
      <c r="AH1379" s="10">
        <f t="shared" si="36"/>
        <v>4</v>
      </c>
    </row>
    <row r="1380" spans="11:34" ht="14.5" x14ac:dyDescent="0.35">
      <c r="K1380" s="4"/>
      <c r="AC1380" s="7">
        <v>2022</v>
      </c>
      <c r="AD1380" s="7">
        <v>2</v>
      </c>
      <c r="AE1380" s="7">
        <v>27</v>
      </c>
      <c r="AF1380" s="8">
        <v>0.41666666666666669</v>
      </c>
      <c r="AG1380" s="9">
        <v>4.2</v>
      </c>
      <c r="AH1380" s="10">
        <f t="shared" si="36"/>
        <v>4</v>
      </c>
    </row>
    <row r="1381" spans="11:34" ht="14.5" x14ac:dyDescent="0.35">
      <c r="K1381" s="4"/>
      <c r="AC1381" s="7">
        <v>2022</v>
      </c>
      <c r="AD1381" s="7">
        <v>2</v>
      </c>
      <c r="AE1381" s="7">
        <v>27</v>
      </c>
      <c r="AF1381" s="8">
        <v>0.45833333333333331</v>
      </c>
      <c r="AG1381" s="9">
        <v>4.0999999999999996</v>
      </c>
      <c r="AH1381" s="10">
        <f t="shared" si="36"/>
        <v>4</v>
      </c>
    </row>
    <row r="1382" spans="11:34" ht="14.5" x14ac:dyDescent="0.35">
      <c r="K1382" s="4"/>
      <c r="AC1382" s="7">
        <v>2022</v>
      </c>
      <c r="AD1382" s="7">
        <v>2</v>
      </c>
      <c r="AE1382" s="7">
        <v>27</v>
      </c>
      <c r="AF1382" s="8">
        <v>0.5</v>
      </c>
      <c r="AG1382" s="9">
        <v>5.3</v>
      </c>
      <c r="AH1382" s="10">
        <f t="shared" si="36"/>
        <v>5</v>
      </c>
    </row>
    <row r="1383" spans="11:34" ht="14.5" x14ac:dyDescent="0.35">
      <c r="K1383" s="4"/>
      <c r="AC1383" s="7">
        <v>2022</v>
      </c>
      <c r="AD1383" s="7">
        <v>2</v>
      </c>
      <c r="AE1383" s="7">
        <v>27</v>
      </c>
      <c r="AF1383" s="8">
        <v>0.54166666666666663</v>
      </c>
      <c r="AG1383" s="9">
        <v>6.5</v>
      </c>
      <c r="AH1383" s="10">
        <f t="shared" si="36"/>
        <v>7</v>
      </c>
    </row>
    <row r="1384" spans="11:34" ht="14.5" x14ac:dyDescent="0.35">
      <c r="K1384" s="4"/>
      <c r="AC1384" s="7">
        <v>2022</v>
      </c>
      <c r="AD1384" s="7">
        <v>2</v>
      </c>
      <c r="AE1384" s="7">
        <v>27</v>
      </c>
      <c r="AF1384" s="8">
        <v>0.58333333333333337</v>
      </c>
      <c r="AG1384" s="9">
        <v>8</v>
      </c>
      <c r="AH1384" s="10">
        <f t="shared" si="36"/>
        <v>8</v>
      </c>
    </row>
    <row r="1385" spans="11:34" ht="14.5" x14ac:dyDescent="0.35">
      <c r="K1385" s="4"/>
      <c r="AC1385" s="7">
        <v>2022</v>
      </c>
      <c r="AD1385" s="7">
        <v>2</v>
      </c>
      <c r="AE1385" s="7">
        <v>27</v>
      </c>
      <c r="AF1385" s="8">
        <v>0.625</v>
      </c>
      <c r="AG1385" s="9">
        <v>8.4</v>
      </c>
      <c r="AH1385" s="10">
        <f t="shared" si="36"/>
        <v>8</v>
      </c>
    </row>
    <row r="1386" spans="11:34" ht="14.5" x14ac:dyDescent="0.35">
      <c r="K1386" s="4"/>
      <c r="AC1386" s="7">
        <v>2022</v>
      </c>
      <c r="AD1386" s="7">
        <v>2</v>
      </c>
      <c r="AE1386" s="7">
        <v>27</v>
      </c>
      <c r="AF1386" s="8">
        <v>0.66666666666666663</v>
      </c>
      <c r="AG1386" s="9">
        <v>7.8</v>
      </c>
      <c r="AH1386" s="10">
        <f t="shared" si="36"/>
        <v>8</v>
      </c>
    </row>
    <row r="1387" spans="11:34" ht="14.5" x14ac:dyDescent="0.35">
      <c r="K1387" s="4"/>
      <c r="AC1387" s="7">
        <v>2022</v>
      </c>
      <c r="AD1387" s="7">
        <v>2</v>
      </c>
      <c r="AE1387" s="7">
        <v>27</v>
      </c>
      <c r="AF1387" s="8">
        <v>0.70833333333333337</v>
      </c>
      <c r="AG1387" s="9">
        <v>7</v>
      </c>
      <c r="AH1387" s="10">
        <f t="shared" si="36"/>
        <v>7</v>
      </c>
    </row>
    <row r="1388" spans="11:34" ht="14.5" x14ac:dyDescent="0.35">
      <c r="K1388" s="4"/>
      <c r="AC1388" s="7">
        <v>2022</v>
      </c>
      <c r="AD1388" s="7">
        <v>2</v>
      </c>
      <c r="AE1388" s="7">
        <v>27</v>
      </c>
      <c r="AF1388" s="8">
        <v>0.75</v>
      </c>
      <c r="AG1388" s="9">
        <v>6.2</v>
      </c>
      <c r="AH1388" s="10">
        <f t="shared" si="36"/>
        <v>6</v>
      </c>
    </row>
    <row r="1389" spans="11:34" ht="14.5" x14ac:dyDescent="0.35">
      <c r="K1389" s="4"/>
      <c r="AC1389" s="7">
        <v>2022</v>
      </c>
      <c r="AD1389" s="7">
        <v>2</v>
      </c>
      <c r="AE1389" s="7">
        <v>27</v>
      </c>
      <c r="AF1389" s="8">
        <v>0.79166666666666663</v>
      </c>
      <c r="AG1389" s="9">
        <v>5</v>
      </c>
      <c r="AH1389" s="10">
        <f t="shared" si="36"/>
        <v>5</v>
      </c>
    </row>
    <row r="1390" spans="11:34" ht="14.5" x14ac:dyDescent="0.35">
      <c r="K1390" s="4"/>
      <c r="AC1390" s="7">
        <v>2022</v>
      </c>
      <c r="AD1390" s="7">
        <v>2</v>
      </c>
      <c r="AE1390" s="7">
        <v>27</v>
      </c>
      <c r="AF1390" s="8">
        <v>0.83333333333333337</v>
      </c>
      <c r="AG1390" s="9">
        <v>4.5999999999999996</v>
      </c>
      <c r="AH1390" s="10">
        <f t="shared" si="36"/>
        <v>5</v>
      </c>
    </row>
    <row r="1391" spans="11:34" ht="14.5" x14ac:dyDescent="0.35">
      <c r="K1391" s="4"/>
      <c r="AC1391" s="7">
        <v>2022</v>
      </c>
      <c r="AD1391" s="7">
        <v>2</v>
      </c>
      <c r="AE1391" s="7">
        <v>27</v>
      </c>
      <c r="AF1391" s="8">
        <v>0.875</v>
      </c>
      <c r="AG1391" s="9">
        <v>4</v>
      </c>
      <c r="AH1391" s="10">
        <f t="shared" si="36"/>
        <v>4</v>
      </c>
    </row>
    <row r="1392" spans="11:34" ht="14.5" x14ac:dyDescent="0.35">
      <c r="K1392" s="4"/>
      <c r="AC1392" s="7">
        <v>2022</v>
      </c>
      <c r="AD1392" s="7">
        <v>2</v>
      </c>
      <c r="AE1392" s="7">
        <v>27</v>
      </c>
      <c r="AF1392" s="8">
        <v>0.91666666666666663</v>
      </c>
      <c r="AG1392" s="9">
        <v>3.7</v>
      </c>
      <c r="AH1392" s="10">
        <f t="shared" si="36"/>
        <v>4</v>
      </c>
    </row>
    <row r="1393" spans="11:34" ht="14.5" x14ac:dyDescent="0.35">
      <c r="K1393" s="4"/>
      <c r="AC1393" s="7">
        <v>2022</v>
      </c>
      <c r="AD1393" s="7">
        <v>2</v>
      </c>
      <c r="AE1393" s="7">
        <v>27</v>
      </c>
      <c r="AF1393" s="8">
        <v>0.95833333333333337</v>
      </c>
      <c r="AG1393" s="9">
        <v>3.4</v>
      </c>
      <c r="AH1393" s="10">
        <f t="shared" si="36"/>
        <v>3</v>
      </c>
    </row>
    <row r="1394" spans="11:34" ht="14.5" x14ac:dyDescent="0.35">
      <c r="K1394" s="4"/>
      <c r="AC1394" s="7">
        <v>2022</v>
      </c>
      <c r="AD1394" s="7">
        <v>2</v>
      </c>
      <c r="AE1394" s="7">
        <v>28</v>
      </c>
      <c r="AF1394" s="8">
        <v>0</v>
      </c>
      <c r="AG1394" s="9">
        <v>2</v>
      </c>
      <c r="AH1394" s="10">
        <f t="shared" si="36"/>
        <v>2</v>
      </c>
    </row>
    <row r="1395" spans="11:34" ht="14.5" x14ac:dyDescent="0.35">
      <c r="K1395" s="4"/>
      <c r="AC1395" s="7">
        <v>2022</v>
      </c>
      <c r="AD1395" s="7">
        <v>2</v>
      </c>
      <c r="AE1395" s="7">
        <v>28</v>
      </c>
      <c r="AF1395" s="8">
        <v>4.1666666666666664E-2</v>
      </c>
      <c r="AG1395" s="9">
        <v>1</v>
      </c>
      <c r="AH1395" s="10">
        <f t="shared" si="36"/>
        <v>1</v>
      </c>
    </row>
    <row r="1396" spans="11:34" ht="14.5" x14ac:dyDescent="0.35">
      <c r="K1396" s="4"/>
      <c r="AC1396" s="7">
        <v>2022</v>
      </c>
      <c r="AD1396" s="7">
        <v>2</v>
      </c>
      <c r="AE1396" s="7">
        <v>28</v>
      </c>
      <c r="AF1396" s="8">
        <v>8.3333333333333329E-2</v>
      </c>
      <c r="AG1396" s="9">
        <v>2.5</v>
      </c>
      <c r="AH1396" s="10">
        <f t="shared" si="36"/>
        <v>3</v>
      </c>
    </row>
    <row r="1397" spans="11:34" ht="14.5" x14ac:dyDescent="0.35">
      <c r="K1397" s="4"/>
      <c r="AC1397" s="7">
        <v>2022</v>
      </c>
      <c r="AD1397" s="7">
        <v>2</v>
      </c>
      <c r="AE1397" s="7">
        <v>28</v>
      </c>
      <c r="AF1397" s="8">
        <v>0.125</v>
      </c>
      <c r="AG1397" s="9">
        <v>3.4</v>
      </c>
      <c r="AH1397" s="10">
        <f t="shared" si="36"/>
        <v>3</v>
      </c>
    </row>
    <row r="1398" spans="11:34" ht="14.5" x14ac:dyDescent="0.35">
      <c r="K1398" s="4"/>
      <c r="AC1398" s="7">
        <v>2022</v>
      </c>
      <c r="AD1398" s="7">
        <v>2</v>
      </c>
      <c r="AE1398" s="7">
        <v>28</v>
      </c>
      <c r="AF1398" s="8">
        <v>0.16666666666666666</v>
      </c>
      <c r="AG1398" s="9">
        <v>3.8</v>
      </c>
      <c r="AH1398" s="10">
        <f t="shared" si="36"/>
        <v>4</v>
      </c>
    </row>
    <row r="1399" spans="11:34" ht="14.5" x14ac:dyDescent="0.35">
      <c r="K1399" s="4"/>
      <c r="AC1399" s="7">
        <v>2022</v>
      </c>
      <c r="AD1399" s="7">
        <v>2</v>
      </c>
      <c r="AE1399" s="7">
        <v>28</v>
      </c>
      <c r="AF1399" s="8">
        <v>0.20833333333333334</v>
      </c>
      <c r="AG1399" s="9">
        <v>3.6</v>
      </c>
      <c r="AH1399" s="10">
        <f t="shared" si="36"/>
        <v>4</v>
      </c>
    </row>
    <row r="1400" spans="11:34" ht="14.5" x14ac:dyDescent="0.35">
      <c r="K1400" s="4"/>
      <c r="AC1400" s="7">
        <v>2022</v>
      </c>
      <c r="AD1400" s="7">
        <v>2</v>
      </c>
      <c r="AE1400" s="7">
        <v>28</v>
      </c>
      <c r="AF1400" s="8">
        <v>0.25</v>
      </c>
      <c r="AG1400" s="9">
        <v>0.5</v>
      </c>
      <c r="AH1400" s="10">
        <f t="shared" si="36"/>
        <v>1</v>
      </c>
    </row>
    <row r="1401" spans="11:34" ht="14.5" x14ac:dyDescent="0.35">
      <c r="K1401" s="4"/>
      <c r="AC1401" s="7">
        <v>2022</v>
      </c>
      <c r="AD1401" s="7">
        <v>2</v>
      </c>
      <c r="AE1401" s="7">
        <v>28</v>
      </c>
      <c r="AF1401" s="8">
        <v>0.29166666666666669</v>
      </c>
      <c r="AG1401" s="9">
        <v>0</v>
      </c>
      <c r="AH1401" s="10">
        <f t="shared" si="36"/>
        <v>0</v>
      </c>
    </row>
    <row r="1402" spans="11:34" ht="14.5" x14ac:dyDescent="0.35">
      <c r="K1402" s="4"/>
      <c r="AC1402" s="7">
        <v>2022</v>
      </c>
      <c r="AD1402" s="7">
        <v>2</v>
      </c>
      <c r="AE1402" s="7">
        <v>28</v>
      </c>
      <c r="AF1402" s="8">
        <v>0.33333333333333331</v>
      </c>
      <c r="AG1402" s="9">
        <v>-0.9</v>
      </c>
      <c r="AH1402" s="10">
        <f t="shared" si="36"/>
        <v>-1</v>
      </c>
    </row>
    <row r="1403" spans="11:34" ht="14.5" x14ac:dyDescent="0.35">
      <c r="K1403" s="4"/>
      <c r="AC1403" s="7">
        <v>2022</v>
      </c>
      <c r="AD1403" s="7">
        <v>2</v>
      </c>
      <c r="AE1403" s="7">
        <v>28</v>
      </c>
      <c r="AF1403" s="8">
        <v>0.375</v>
      </c>
      <c r="AG1403" s="9">
        <v>-0.1</v>
      </c>
      <c r="AH1403" s="10">
        <f t="shared" si="36"/>
        <v>0</v>
      </c>
    </row>
    <row r="1404" spans="11:34" ht="14.5" x14ac:dyDescent="0.35">
      <c r="K1404" s="4"/>
      <c r="AC1404" s="7">
        <v>2022</v>
      </c>
      <c r="AD1404" s="7">
        <v>2</v>
      </c>
      <c r="AE1404" s="7">
        <v>28</v>
      </c>
      <c r="AF1404" s="8">
        <v>0.41666666666666669</v>
      </c>
      <c r="AG1404" s="9">
        <v>1.9</v>
      </c>
      <c r="AH1404" s="10">
        <f t="shared" si="36"/>
        <v>2</v>
      </c>
    </row>
    <row r="1405" spans="11:34" ht="14.5" x14ac:dyDescent="0.35">
      <c r="K1405" s="4"/>
      <c r="AC1405" s="7">
        <v>2022</v>
      </c>
      <c r="AD1405" s="7">
        <v>2</v>
      </c>
      <c r="AE1405" s="7">
        <v>28</v>
      </c>
      <c r="AF1405" s="8">
        <v>0.45833333333333331</v>
      </c>
      <c r="AG1405" s="9">
        <v>2.7</v>
      </c>
      <c r="AH1405" s="10">
        <f t="shared" si="36"/>
        <v>3</v>
      </c>
    </row>
    <row r="1406" spans="11:34" ht="14.5" x14ac:dyDescent="0.35">
      <c r="K1406" s="4"/>
      <c r="AC1406" s="7">
        <v>2022</v>
      </c>
      <c r="AD1406" s="7">
        <v>2</v>
      </c>
      <c r="AE1406" s="7">
        <v>28</v>
      </c>
      <c r="AF1406" s="8">
        <v>0.5</v>
      </c>
      <c r="AG1406" s="9">
        <v>3.9</v>
      </c>
      <c r="AH1406" s="10">
        <f t="shared" si="36"/>
        <v>4</v>
      </c>
    </row>
    <row r="1407" spans="11:34" ht="14.5" x14ac:dyDescent="0.35">
      <c r="K1407" s="4"/>
      <c r="AC1407" s="7">
        <v>2022</v>
      </c>
      <c r="AD1407" s="7">
        <v>2</v>
      </c>
      <c r="AE1407" s="7">
        <v>28</v>
      </c>
      <c r="AF1407" s="8">
        <v>0.54166666666666663</v>
      </c>
      <c r="AG1407" s="9">
        <v>5.3</v>
      </c>
      <c r="AH1407" s="10">
        <f t="shared" si="36"/>
        <v>5</v>
      </c>
    </row>
    <row r="1408" spans="11:34" ht="14.5" x14ac:dyDescent="0.35">
      <c r="K1408" s="4"/>
      <c r="AC1408" s="7">
        <v>2022</v>
      </c>
      <c r="AD1408" s="7">
        <v>2</v>
      </c>
      <c r="AE1408" s="7">
        <v>28</v>
      </c>
      <c r="AF1408" s="8">
        <v>0.58333333333333337</v>
      </c>
      <c r="AG1408" s="9">
        <v>4.0999999999999996</v>
      </c>
      <c r="AH1408" s="10">
        <f t="shared" si="36"/>
        <v>4</v>
      </c>
    </row>
    <row r="1409" spans="11:34" ht="14.5" x14ac:dyDescent="0.35">
      <c r="K1409" s="4"/>
      <c r="AC1409" s="7">
        <v>2022</v>
      </c>
      <c r="AD1409" s="7">
        <v>2</v>
      </c>
      <c r="AE1409" s="7">
        <v>28</v>
      </c>
      <c r="AF1409" s="8">
        <v>0.625</v>
      </c>
      <c r="AG1409" s="9">
        <v>0.7</v>
      </c>
      <c r="AH1409" s="10">
        <f t="shared" si="36"/>
        <v>1</v>
      </c>
    </row>
    <row r="1410" spans="11:34" ht="14.5" x14ac:dyDescent="0.35">
      <c r="K1410" s="4"/>
      <c r="AC1410" s="7">
        <v>2022</v>
      </c>
      <c r="AD1410" s="7">
        <v>2</v>
      </c>
      <c r="AE1410" s="7">
        <v>28</v>
      </c>
      <c r="AF1410" s="8">
        <v>0.66666666666666663</v>
      </c>
      <c r="AG1410" s="9">
        <v>-0.2</v>
      </c>
      <c r="AH1410" s="10">
        <f t="shared" si="36"/>
        <v>0</v>
      </c>
    </row>
    <row r="1411" spans="11:34" ht="14.5" x14ac:dyDescent="0.35">
      <c r="K1411" s="4"/>
      <c r="AC1411" s="7">
        <v>2022</v>
      </c>
      <c r="AD1411" s="7">
        <v>2</v>
      </c>
      <c r="AE1411" s="7">
        <v>28</v>
      </c>
      <c r="AF1411" s="8">
        <v>0.70833333333333337</v>
      </c>
      <c r="AG1411" s="9">
        <v>-1.8</v>
      </c>
      <c r="AH1411" s="10">
        <f t="shared" si="36"/>
        <v>-2</v>
      </c>
    </row>
    <row r="1412" spans="11:34" ht="14.5" x14ac:dyDescent="0.35">
      <c r="K1412" s="4"/>
      <c r="AC1412" s="7">
        <v>2022</v>
      </c>
      <c r="AD1412" s="7">
        <v>2</v>
      </c>
      <c r="AE1412" s="7">
        <v>28</v>
      </c>
      <c r="AF1412" s="8">
        <v>0.75</v>
      </c>
      <c r="AG1412" s="9">
        <v>-2.8</v>
      </c>
      <c r="AH1412" s="10">
        <f t="shared" si="36"/>
        <v>-3</v>
      </c>
    </row>
    <row r="1413" spans="11:34" ht="14.5" x14ac:dyDescent="0.35">
      <c r="K1413" s="4"/>
      <c r="AC1413" s="7">
        <v>2022</v>
      </c>
      <c r="AD1413" s="7">
        <v>2</v>
      </c>
      <c r="AE1413" s="7">
        <v>28</v>
      </c>
      <c r="AF1413" s="8">
        <v>0.79166666666666663</v>
      </c>
      <c r="AG1413" s="9">
        <v>-3.3</v>
      </c>
      <c r="AH1413" s="10">
        <f t="shared" si="36"/>
        <v>-3</v>
      </c>
    </row>
    <row r="1414" spans="11:34" ht="14.5" x14ac:dyDescent="0.35">
      <c r="K1414" s="4"/>
      <c r="AC1414" s="7">
        <v>2022</v>
      </c>
      <c r="AD1414" s="7">
        <v>2</v>
      </c>
      <c r="AE1414" s="7">
        <v>28</v>
      </c>
      <c r="AF1414" s="8">
        <v>0.83333333333333337</v>
      </c>
      <c r="AG1414" s="9">
        <v>-3.8</v>
      </c>
      <c r="AH1414" s="10">
        <f t="shared" si="36"/>
        <v>-4</v>
      </c>
    </row>
    <row r="1415" spans="11:34" ht="14.5" x14ac:dyDescent="0.35">
      <c r="K1415" s="4"/>
      <c r="AC1415" s="7">
        <v>2022</v>
      </c>
      <c r="AD1415" s="7">
        <v>2</v>
      </c>
      <c r="AE1415" s="7">
        <v>28</v>
      </c>
      <c r="AF1415" s="8">
        <v>0.875</v>
      </c>
      <c r="AG1415" s="9">
        <v>-4.4000000000000004</v>
      </c>
      <c r="AH1415" s="10">
        <f t="shared" si="36"/>
        <v>-4</v>
      </c>
    </row>
    <row r="1416" spans="11:34" ht="14.5" x14ac:dyDescent="0.35">
      <c r="K1416" s="4"/>
      <c r="AC1416" s="7">
        <v>2022</v>
      </c>
      <c r="AD1416" s="7">
        <v>2</v>
      </c>
      <c r="AE1416" s="7">
        <v>28</v>
      </c>
      <c r="AF1416" s="8">
        <v>0.91666666666666663</v>
      </c>
      <c r="AG1416" s="9">
        <v>-4.8</v>
      </c>
      <c r="AH1416" s="10">
        <f t="shared" si="36"/>
        <v>-5</v>
      </c>
    </row>
    <row r="1417" spans="11:34" ht="14.5" x14ac:dyDescent="0.35">
      <c r="K1417" s="4"/>
      <c r="AC1417" s="7">
        <v>2022</v>
      </c>
      <c r="AD1417" s="7">
        <v>2</v>
      </c>
      <c r="AE1417" s="7">
        <v>28</v>
      </c>
      <c r="AF1417" s="8">
        <v>0.95833333333333337</v>
      </c>
      <c r="AG1417" s="9">
        <v>-5.0999999999999996</v>
      </c>
      <c r="AH1417" s="10">
        <f t="shared" si="36"/>
        <v>-5</v>
      </c>
    </row>
    <row r="1418" spans="11:34" ht="14.5" x14ac:dyDescent="0.35">
      <c r="K1418" s="4"/>
      <c r="AC1418" s="7">
        <v>2022</v>
      </c>
      <c r="AD1418" s="7">
        <v>3</v>
      </c>
      <c r="AE1418" s="7">
        <v>1</v>
      </c>
      <c r="AF1418" s="8">
        <v>0</v>
      </c>
      <c r="AG1418" s="9">
        <v>-5</v>
      </c>
      <c r="AH1418" s="10">
        <f t="shared" si="36"/>
        <v>-5</v>
      </c>
    </row>
    <row r="1419" spans="11:34" ht="14.5" x14ac:dyDescent="0.35">
      <c r="K1419" s="4"/>
      <c r="AC1419" s="7">
        <v>2022</v>
      </c>
      <c r="AD1419" s="7">
        <v>3</v>
      </c>
      <c r="AE1419" s="7">
        <v>1</v>
      </c>
      <c r="AF1419" s="8">
        <v>4.1666666666666664E-2</v>
      </c>
      <c r="AG1419" s="9">
        <v>-4.7</v>
      </c>
      <c r="AH1419" s="10">
        <f t="shared" ref="AH1419:AH1482" si="37">ROUND(AG1419,0)</f>
        <v>-5</v>
      </c>
    </row>
    <row r="1420" spans="11:34" ht="14.5" x14ac:dyDescent="0.35">
      <c r="K1420" s="4"/>
      <c r="AC1420" s="7">
        <v>2022</v>
      </c>
      <c r="AD1420" s="7">
        <v>3</v>
      </c>
      <c r="AE1420" s="7">
        <v>1</v>
      </c>
      <c r="AF1420" s="8">
        <v>8.3333333333333329E-2</v>
      </c>
      <c r="AG1420" s="9">
        <v>-5.9</v>
      </c>
      <c r="AH1420" s="10">
        <f t="shared" si="37"/>
        <v>-6</v>
      </c>
    </row>
    <row r="1421" spans="11:34" ht="14.5" x14ac:dyDescent="0.35">
      <c r="K1421" s="4"/>
      <c r="AC1421" s="7">
        <v>2022</v>
      </c>
      <c r="AD1421" s="7">
        <v>3</v>
      </c>
      <c r="AE1421" s="7">
        <v>1</v>
      </c>
      <c r="AF1421" s="8">
        <v>0.125</v>
      </c>
      <c r="AG1421" s="9">
        <v>-6.3</v>
      </c>
      <c r="AH1421" s="10">
        <f t="shared" si="37"/>
        <v>-6</v>
      </c>
    </row>
    <row r="1422" spans="11:34" ht="14.5" x14ac:dyDescent="0.35">
      <c r="K1422" s="4"/>
      <c r="AC1422" s="7">
        <v>2022</v>
      </c>
      <c r="AD1422" s="7">
        <v>3</v>
      </c>
      <c r="AE1422" s="7">
        <v>1</v>
      </c>
      <c r="AF1422" s="8">
        <v>0.16666666666666666</v>
      </c>
      <c r="AG1422" s="9">
        <v>-6.1</v>
      </c>
      <c r="AH1422" s="10">
        <f t="shared" si="37"/>
        <v>-6</v>
      </c>
    </row>
    <row r="1423" spans="11:34" ht="14.5" x14ac:dyDescent="0.35">
      <c r="K1423" s="4"/>
      <c r="AC1423" s="7">
        <v>2022</v>
      </c>
      <c r="AD1423" s="7">
        <v>3</v>
      </c>
      <c r="AE1423" s="7">
        <v>1</v>
      </c>
      <c r="AF1423" s="8">
        <v>0.20833333333333334</v>
      </c>
      <c r="AG1423" s="9">
        <v>-5.8</v>
      </c>
      <c r="AH1423" s="10">
        <f t="shared" si="37"/>
        <v>-6</v>
      </c>
    </row>
    <row r="1424" spans="11:34" ht="14.5" x14ac:dyDescent="0.35">
      <c r="K1424" s="4"/>
      <c r="AC1424" s="7">
        <v>2022</v>
      </c>
      <c r="AD1424" s="7">
        <v>3</v>
      </c>
      <c r="AE1424" s="7">
        <v>1</v>
      </c>
      <c r="AF1424" s="8">
        <v>0.25</v>
      </c>
      <c r="AG1424" s="9">
        <v>-6.3</v>
      </c>
      <c r="AH1424" s="10">
        <f t="shared" si="37"/>
        <v>-6</v>
      </c>
    </row>
    <row r="1425" spans="11:34" ht="14.5" x14ac:dyDescent="0.35">
      <c r="K1425" s="4"/>
      <c r="AC1425" s="7">
        <v>2022</v>
      </c>
      <c r="AD1425" s="7">
        <v>3</v>
      </c>
      <c r="AE1425" s="7">
        <v>1</v>
      </c>
      <c r="AF1425" s="8">
        <v>0.29166666666666669</v>
      </c>
      <c r="AG1425" s="9">
        <v>-7.2</v>
      </c>
      <c r="AH1425" s="10">
        <f t="shared" si="37"/>
        <v>-7</v>
      </c>
    </row>
    <row r="1426" spans="11:34" ht="14.5" x14ac:dyDescent="0.35">
      <c r="K1426" s="4"/>
      <c r="AC1426" s="7">
        <v>2022</v>
      </c>
      <c r="AD1426" s="7">
        <v>3</v>
      </c>
      <c r="AE1426" s="7">
        <v>1</v>
      </c>
      <c r="AF1426" s="8">
        <v>0.33333333333333331</v>
      </c>
      <c r="AG1426" s="9">
        <v>-6.7</v>
      </c>
      <c r="AH1426" s="10">
        <f t="shared" si="37"/>
        <v>-7</v>
      </c>
    </row>
    <row r="1427" spans="11:34" ht="14.5" x14ac:dyDescent="0.35">
      <c r="K1427" s="4"/>
      <c r="AC1427" s="7">
        <v>2022</v>
      </c>
      <c r="AD1427" s="7">
        <v>3</v>
      </c>
      <c r="AE1427" s="7">
        <v>1</v>
      </c>
      <c r="AF1427" s="8">
        <v>0.375</v>
      </c>
      <c r="AG1427" s="9">
        <v>-5.0999999999999996</v>
      </c>
      <c r="AH1427" s="10">
        <f t="shared" si="37"/>
        <v>-5</v>
      </c>
    </row>
    <row r="1428" spans="11:34" ht="14.5" x14ac:dyDescent="0.35">
      <c r="K1428" s="4"/>
      <c r="AC1428" s="7">
        <v>2022</v>
      </c>
      <c r="AD1428" s="7">
        <v>3</v>
      </c>
      <c r="AE1428" s="7">
        <v>1</v>
      </c>
      <c r="AF1428" s="8">
        <v>0.41666666666666669</v>
      </c>
      <c r="AG1428" s="9">
        <v>-4.3</v>
      </c>
      <c r="AH1428" s="10">
        <f t="shared" si="37"/>
        <v>-4</v>
      </c>
    </row>
    <row r="1429" spans="11:34" ht="14.5" x14ac:dyDescent="0.35">
      <c r="K1429" s="4"/>
      <c r="AC1429" s="7">
        <v>2022</v>
      </c>
      <c r="AD1429" s="7">
        <v>3</v>
      </c>
      <c r="AE1429" s="7">
        <v>1</v>
      </c>
      <c r="AF1429" s="8">
        <v>0.45833333333333331</v>
      </c>
      <c r="AG1429" s="9">
        <v>-1.8</v>
      </c>
      <c r="AH1429" s="10">
        <f t="shared" si="37"/>
        <v>-2</v>
      </c>
    </row>
    <row r="1430" spans="11:34" ht="14.5" x14ac:dyDescent="0.35">
      <c r="K1430" s="4"/>
      <c r="AC1430" s="7">
        <v>2022</v>
      </c>
      <c r="AD1430" s="7">
        <v>3</v>
      </c>
      <c r="AE1430" s="7">
        <v>1</v>
      </c>
      <c r="AF1430" s="8">
        <v>0.5</v>
      </c>
      <c r="AG1430" s="9">
        <v>1.5</v>
      </c>
      <c r="AH1430" s="10">
        <f t="shared" si="37"/>
        <v>2</v>
      </c>
    </row>
    <row r="1431" spans="11:34" ht="14.5" x14ac:dyDescent="0.35">
      <c r="K1431" s="4"/>
      <c r="AC1431" s="7">
        <v>2022</v>
      </c>
      <c r="AD1431" s="7">
        <v>3</v>
      </c>
      <c r="AE1431" s="7">
        <v>1</v>
      </c>
      <c r="AF1431" s="8">
        <v>0.54166666666666663</v>
      </c>
      <c r="AG1431" s="9">
        <v>4.5999999999999996</v>
      </c>
      <c r="AH1431" s="10">
        <f t="shared" si="37"/>
        <v>5</v>
      </c>
    </row>
    <row r="1432" spans="11:34" ht="14.5" x14ac:dyDescent="0.35">
      <c r="K1432" s="4"/>
      <c r="AC1432" s="7">
        <v>2022</v>
      </c>
      <c r="AD1432" s="7">
        <v>3</v>
      </c>
      <c r="AE1432" s="7">
        <v>1</v>
      </c>
      <c r="AF1432" s="8">
        <v>0.58333333333333337</v>
      </c>
      <c r="AG1432" s="9">
        <v>9.1999999999999993</v>
      </c>
      <c r="AH1432" s="10">
        <f t="shared" si="37"/>
        <v>9</v>
      </c>
    </row>
    <row r="1433" spans="11:34" ht="14.5" x14ac:dyDescent="0.35">
      <c r="K1433" s="4"/>
      <c r="AC1433" s="7">
        <v>2022</v>
      </c>
      <c r="AD1433" s="7">
        <v>3</v>
      </c>
      <c r="AE1433" s="7">
        <v>1</v>
      </c>
      <c r="AF1433" s="8">
        <v>0.625</v>
      </c>
      <c r="AG1433" s="9">
        <v>11.4</v>
      </c>
      <c r="AH1433" s="10">
        <f t="shared" si="37"/>
        <v>11</v>
      </c>
    </row>
    <row r="1434" spans="11:34" ht="14.5" x14ac:dyDescent="0.35">
      <c r="K1434" s="4"/>
      <c r="AC1434" s="7">
        <v>2022</v>
      </c>
      <c r="AD1434" s="7">
        <v>3</v>
      </c>
      <c r="AE1434" s="7">
        <v>1</v>
      </c>
      <c r="AF1434" s="8">
        <v>0.66666666666666663</v>
      </c>
      <c r="AG1434" s="9">
        <v>4.4000000000000004</v>
      </c>
      <c r="AH1434" s="10">
        <f t="shared" si="37"/>
        <v>4</v>
      </c>
    </row>
    <row r="1435" spans="11:34" ht="14.5" x14ac:dyDescent="0.35">
      <c r="K1435" s="4"/>
      <c r="AC1435" s="7">
        <v>2022</v>
      </c>
      <c r="AD1435" s="7">
        <v>3</v>
      </c>
      <c r="AE1435" s="7">
        <v>1</v>
      </c>
      <c r="AF1435" s="8">
        <v>0.70833333333333337</v>
      </c>
      <c r="AG1435" s="9">
        <v>-0.8</v>
      </c>
      <c r="AH1435" s="10">
        <f t="shared" si="37"/>
        <v>-1</v>
      </c>
    </row>
    <row r="1436" spans="11:34" ht="14.5" x14ac:dyDescent="0.35">
      <c r="K1436" s="4"/>
      <c r="AC1436" s="7">
        <v>2022</v>
      </c>
      <c r="AD1436" s="7">
        <v>3</v>
      </c>
      <c r="AE1436" s="7">
        <v>1</v>
      </c>
      <c r="AF1436" s="8">
        <v>0.75</v>
      </c>
      <c r="AG1436" s="9">
        <v>-2</v>
      </c>
      <c r="AH1436" s="10">
        <f t="shared" si="37"/>
        <v>-2</v>
      </c>
    </row>
    <row r="1437" spans="11:34" ht="14.5" x14ac:dyDescent="0.35">
      <c r="K1437" s="4"/>
      <c r="AC1437" s="7">
        <v>2022</v>
      </c>
      <c r="AD1437" s="7">
        <v>3</v>
      </c>
      <c r="AE1437" s="7">
        <v>1</v>
      </c>
      <c r="AF1437" s="8">
        <v>0.79166666666666663</v>
      </c>
      <c r="AG1437" s="9">
        <v>-2.6</v>
      </c>
      <c r="AH1437" s="10">
        <f t="shared" si="37"/>
        <v>-3</v>
      </c>
    </row>
    <row r="1438" spans="11:34" ht="14.5" x14ac:dyDescent="0.35">
      <c r="K1438" s="4"/>
      <c r="AC1438" s="7">
        <v>2022</v>
      </c>
      <c r="AD1438" s="7">
        <v>3</v>
      </c>
      <c r="AE1438" s="7">
        <v>1</v>
      </c>
      <c r="AF1438" s="8">
        <v>0.83333333333333337</v>
      </c>
      <c r="AG1438" s="9">
        <v>-3.1</v>
      </c>
      <c r="AH1438" s="10">
        <f t="shared" si="37"/>
        <v>-3</v>
      </c>
    </row>
    <row r="1439" spans="11:34" ht="14.5" x14ac:dyDescent="0.35">
      <c r="K1439" s="4"/>
      <c r="AC1439" s="7">
        <v>2022</v>
      </c>
      <c r="AD1439" s="7">
        <v>3</v>
      </c>
      <c r="AE1439" s="7">
        <v>1</v>
      </c>
      <c r="AF1439" s="8">
        <v>0.875</v>
      </c>
      <c r="AG1439" s="9">
        <v>-4.2</v>
      </c>
      <c r="AH1439" s="10">
        <f t="shared" si="37"/>
        <v>-4</v>
      </c>
    </row>
    <row r="1440" spans="11:34" ht="14.5" x14ac:dyDescent="0.35">
      <c r="K1440" s="4"/>
      <c r="AC1440" s="7">
        <v>2022</v>
      </c>
      <c r="AD1440" s="7">
        <v>3</v>
      </c>
      <c r="AE1440" s="7">
        <v>1</v>
      </c>
      <c r="AF1440" s="8">
        <v>0.91666666666666663</v>
      </c>
      <c r="AG1440" s="9">
        <v>-5.0999999999999996</v>
      </c>
      <c r="AH1440" s="10">
        <f t="shared" si="37"/>
        <v>-5</v>
      </c>
    </row>
    <row r="1441" spans="11:34" ht="14.5" x14ac:dyDescent="0.35">
      <c r="K1441" s="4"/>
      <c r="AC1441" s="7">
        <v>2022</v>
      </c>
      <c r="AD1441" s="7">
        <v>3</v>
      </c>
      <c r="AE1441" s="7">
        <v>1</v>
      </c>
      <c r="AF1441" s="8">
        <v>0.95833333333333337</v>
      </c>
      <c r="AG1441" s="9">
        <v>-5.6</v>
      </c>
      <c r="AH1441" s="10">
        <f t="shared" si="37"/>
        <v>-6</v>
      </c>
    </row>
    <row r="1442" spans="11:34" ht="14.5" x14ac:dyDescent="0.35">
      <c r="K1442" s="4"/>
      <c r="AC1442" s="7">
        <v>2022</v>
      </c>
      <c r="AD1442" s="7">
        <v>3</v>
      </c>
      <c r="AE1442" s="7">
        <v>2</v>
      </c>
      <c r="AF1442" s="8">
        <v>0</v>
      </c>
      <c r="AG1442" s="9">
        <v>-6.1</v>
      </c>
      <c r="AH1442" s="10">
        <f t="shared" si="37"/>
        <v>-6</v>
      </c>
    </row>
    <row r="1443" spans="11:34" ht="14.5" x14ac:dyDescent="0.35">
      <c r="K1443" s="4"/>
      <c r="AC1443" s="7">
        <v>2022</v>
      </c>
      <c r="AD1443" s="7">
        <v>3</v>
      </c>
      <c r="AE1443" s="7">
        <v>2</v>
      </c>
      <c r="AF1443" s="8">
        <v>4.1666666666666664E-2</v>
      </c>
      <c r="AG1443" s="9">
        <v>-6</v>
      </c>
      <c r="AH1443" s="10">
        <f t="shared" si="37"/>
        <v>-6</v>
      </c>
    </row>
    <row r="1444" spans="11:34" ht="14.5" x14ac:dyDescent="0.35">
      <c r="K1444" s="4"/>
      <c r="AC1444" s="7">
        <v>2022</v>
      </c>
      <c r="AD1444" s="7">
        <v>3</v>
      </c>
      <c r="AE1444" s="7">
        <v>2</v>
      </c>
      <c r="AF1444" s="8">
        <v>8.3333333333333329E-2</v>
      </c>
      <c r="AG1444" s="9">
        <v>-6.7</v>
      </c>
      <c r="AH1444" s="10">
        <f t="shared" si="37"/>
        <v>-7</v>
      </c>
    </row>
    <row r="1445" spans="11:34" ht="14.5" x14ac:dyDescent="0.35">
      <c r="K1445" s="4"/>
      <c r="AC1445" s="7">
        <v>2022</v>
      </c>
      <c r="AD1445" s="7">
        <v>3</v>
      </c>
      <c r="AE1445" s="7">
        <v>2</v>
      </c>
      <c r="AF1445" s="8">
        <v>0.125</v>
      </c>
      <c r="AG1445" s="9">
        <v>-6.7</v>
      </c>
      <c r="AH1445" s="10">
        <f t="shared" si="37"/>
        <v>-7</v>
      </c>
    </row>
    <row r="1446" spans="11:34" ht="14.5" x14ac:dyDescent="0.35">
      <c r="K1446" s="4"/>
      <c r="AC1446" s="7">
        <v>2022</v>
      </c>
      <c r="AD1446" s="7">
        <v>3</v>
      </c>
      <c r="AE1446" s="7">
        <v>2</v>
      </c>
      <c r="AF1446" s="8">
        <v>0.16666666666666666</v>
      </c>
      <c r="AG1446" s="9">
        <v>-6.8</v>
      </c>
      <c r="AH1446" s="10">
        <f t="shared" si="37"/>
        <v>-7</v>
      </c>
    </row>
    <row r="1447" spans="11:34" ht="14.5" x14ac:dyDescent="0.35">
      <c r="K1447" s="4"/>
      <c r="AC1447" s="7">
        <v>2022</v>
      </c>
      <c r="AD1447" s="7">
        <v>3</v>
      </c>
      <c r="AE1447" s="7">
        <v>2</v>
      </c>
      <c r="AF1447" s="8">
        <v>0.20833333333333334</v>
      </c>
      <c r="AG1447" s="9">
        <v>-7</v>
      </c>
      <c r="AH1447" s="10">
        <f t="shared" si="37"/>
        <v>-7</v>
      </c>
    </row>
    <row r="1448" spans="11:34" ht="14.5" x14ac:dyDescent="0.35">
      <c r="K1448" s="4"/>
      <c r="AC1448" s="7">
        <v>2022</v>
      </c>
      <c r="AD1448" s="7">
        <v>3</v>
      </c>
      <c r="AE1448" s="7">
        <v>2</v>
      </c>
      <c r="AF1448" s="8">
        <v>0.25</v>
      </c>
      <c r="AG1448" s="9">
        <v>-7.2</v>
      </c>
      <c r="AH1448" s="10">
        <f t="shared" si="37"/>
        <v>-7</v>
      </c>
    </row>
    <row r="1449" spans="11:34" ht="14.5" x14ac:dyDescent="0.35">
      <c r="K1449" s="4"/>
      <c r="AC1449" s="7">
        <v>2022</v>
      </c>
      <c r="AD1449" s="7">
        <v>3</v>
      </c>
      <c r="AE1449" s="7">
        <v>2</v>
      </c>
      <c r="AF1449" s="8">
        <v>0.29166666666666669</v>
      </c>
      <c r="AG1449" s="9">
        <v>-7.2</v>
      </c>
      <c r="AH1449" s="10">
        <f t="shared" si="37"/>
        <v>-7</v>
      </c>
    </row>
    <row r="1450" spans="11:34" ht="14.5" x14ac:dyDescent="0.35">
      <c r="K1450" s="4"/>
      <c r="AC1450" s="7">
        <v>2022</v>
      </c>
      <c r="AD1450" s="7">
        <v>3</v>
      </c>
      <c r="AE1450" s="7">
        <v>2</v>
      </c>
      <c r="AF1450" s="8">
        <v>0.33333333333333331</v>
      </c>
      <c r="AG1450" s="9">
        <v>-6.8</v>
      </c>
      <c r="AH1450" s="10">
        <f t="shared" si="37"/>
        <v>-7</v>
      </c>
    </row>
    <row r="1451" spans="11:34" ht="14.5" x14ac:dyDescent="0.35">
      <c r="K1451" s="4"/>
      <c r="AC1451" s="7">
        <v>2022</v>
      </c>
      <c r="AD1451" s="7">
        <v>3</v>
      </c>
      <c r="AE1451" s="7">
        <v>2</v>
      </c>
      <c r="AF1451" s="8">
        <v>0.375</v>
      </c>
      <c r="AG1451" s="9">
        <v>-7</v>
      </c>
      <c r="AH1451" s="10">
        <f t="shared" si="37"/>
        <v>-7</v>
      </c>
    </row>
    <row r="1452" spans="11:34" ht="14.5" x14ac:dyDescent="0.35">
      <c r="K1452" s="4"/>
      <c r="AC1452" s="7">
        <v>2022</v>
      </c>
      <c r="AD1452" s="7">
        <v>3</v>
      </c>
      <c r="AE1452" s="7">
        <v>2</v>
      </c>
      <c r="AF1452" s="8">
        <v>0.41666666666666669</v>
      </c>
      <c r="AG1452" s="9">
        <v>-6.5</v>
      </c>
      <c r="AH1452" s="10">
        <f t="shared" si="37"/>
        <v>-7</v>
      </c>
    </row>
    <row r="1453" spans="11:34" ht="14.5" x14ac:dyDescent="0.35">
      <c r="K1453" s="4"/>
      <c r="AC1453" s="7">
        <v>2022</v>
      </c>
      <c r="AD1453" s="7">
        <v>3</v>
      </c>
      <c r="AE1453" s="7">
        <v>2</v>
      </c>
      <c r="AF1453" s="8">
        <v>0.45833333333333331</v>
      </c>
      <c r="AG1453" s="9">
        <v>-6.3</v>
      </c>
      <c r="AH1453" s="10">
        <f t="shared" si="37"/>
        <v>-6</v>
      </c>
    </row>
    <row r="1454" spans="11:34" ht="14.5" x14ac:dyDescent="0.35">
      <c r="K1454" s="4"/>
      <c r="AC1454" s="7">
        <v>2022</v>
      </c>
      <c r="AD1454" s="7">
        <v>3</v>
      </c>
      <c r="AE1454" s="7">
        <v>2</v>
      </c>
      <c r="AF1454" s="8">
        <v>0.5</v>
      </c>
      <c r="AG1454" s="9">
        <v>-6.3</v>
      </c>
      <c r="AH1454" s="10">
        <f t="shared" si="37"/>
        <v>-6</v>
      </c>
    </row>
    <row r="1455" spans="11:34" ht="14.5" x14ac:dyDescent="0.35">
      <c r="K1455" s="4"/>
      <c r="AC1455" s="7">
        <v>2022</v>
      </c>
      <c r="AD1455" s="7">
        <v>3</v>
      </c>
      <c r="AE1455" s="7">
        <v>2</v>
      </c>
      <c r="AF1455" s="8">
        <v>0.54166666666666663</v>
      </c>
      <c r="AG1455" s="9">
        <v>-6.4</v>
      </c>
      <c r="AH1455" s="10">
        <f t="shared" si="37"/>
        <v>-6</v>
      </c>
    </row>
    <row r="1456" spans="11:34" ht="14.5" x14ac:dyDescent="0.35">
      <c r="K1456" s="4"/>
      <c r="AC1456" s="7">
        <v>2022</v>
      </c>
      <c r="AD1456" s="7">
        <v>3</v>
      </c>
      <c r="AE1456" s="7">
        <v>2</v>
      </c>
      <c r="AF1456" s="8">
        <v>0.58333333333333337</v>
      </c>
      <c r="AG1456" s="9">
        <v>-6.7</v>
      </c>
      <c r="AH1456" s="10">
        <f t="shared" si="37"/>
        <v>-7</v>
      </c>
    </row>
    <row r="1457" spans="11:34" ht="14.5" x14ac:dyDescent="0.35">
      <c r="K1457" s="4"/>
      <c r="AC1457" s="7">
        <v>2022</v>
      </c>
      <c r="AD1457" s="7">
        <v>3</v>
      </c>
      <c r="AE1457" s="7">
        <v>2</v>
      </c>
      <c r="AF1457" s="8">
        <v>0.625</v>
      </c>
      <c r="AG1457" s="9">
        <v>-6.8</v>
      </c>
      <c r="AH1457" s="10">
        <f t="shared" si="37"/>
        <v>-7</v>
      </c>
    </row>
    <row r="1458" spans="11:34" ht="14.5" x14ac:dyDescent="0.35">
      <c r="K1458" s="4"/>
      <c r="AC1458" s="7">
        <v>2022</v>
      </c>
      <c r="AD1458" s="7">
        <v>3</v>
      </c>
      <c r="AE1458" s="7">
        <v>2</v>
      </c>
      <c r="AF1458" s="8">
        <v>0.66666666666666663</v>
      </c>
      <c r="AG1458" s="9">
        <v>-7</v>
      </c>
      <c r="AH1458" s="10">
        <f t="shared" si="37"/>
        <v>-7</v>
      </c>
    </row>
    <row r="1459" spans="11:34" ht="14.5" x14ac:dyDescent="0.35">
      <c r="K1459" s="4"/>
      <c r="AC1459" s="7">
        <v>2022</v>
      </c>
      <c r="AD1459" s="7">
        <v>3</v>
      </c>
      <c r="AE1459" s="7">
        <v>2</v>
      </c>
      <c r="AF1459" s="8">
        <v>0.70833333333333337</v>
      </c>
      <c r="AG1459" s="9">
        <v>-6.9</v>
      </c>
      <c r="AH1459" s="10">
        <f t="shared" si="37"/>
        <v>-7</v>
      </c>
    </row>
    <row r="1460" spans="11:34" ht="14.5" x14ac:dyDescent="0.35">
      <c r="K1460" s="4"/>
      <c r="AC1460" s="7">
        <v>2022</v>
      </c>
      <c r="AD1460" s="7">
        <v>3</v>
      </c>
      <c r="AE1460" s="7">
        <v>2</v>
      </c>
      <c r="AF1460" s="8">
        <v>0.75</v>
      </c>
      <c r="AG1460" s="9">
        <v>-7.3</v>
      </c>
      <c r="AH1460" s="10">
        <f t="shared" si="37"/>
        <v>-7</v>
      </c>
    </row>
    <row r="1461" spans="11:34" ht="14.5" x14ac:dyDescent="0.35">
      <c r="K1461" s="4"/>
      <c r="AC1461" s="7">
        <v>2022</v>
      </c>
      <c r="AD1461" s="7">
        <v>3</v>
      </c>
      <c r="AE1461" s="7">
        <v>2</v>
      </c>
      <c r="AF1461" s="8">
        <v>0.79166666666666663</v>
      </c>
      <c r="AG1461" s="9">
        <v>-7.7</v>
      </c>
      <c r="AH1461" s="10">
        <f t="shared" si="37"/>
        <v>-8</v>
      </c>
    </row>
    <row r="1462" spans="11:34" ht="14.5" x14ac:dyDescent="0.35">
      <c r="K1462" s="4"/>
      <c r="AC1462" s="7">
        <v>2022</v>
      </c>
      <c r="AD1462" s="7">
        <v>3</v>
      </c>
      <c r="AE1462" s="7">
        <v>2</v>
      </c>
      <c r="AF1462" s="8">
        <v>0.83333333333333337</v>
      </c>
      <c r="AG1462" s="9">
        <v>-7.8</v>
      </c>
      <c r="AH1462" s="10">
        <f t="shared" si="37"/>
        <v>-8</v>
      </c>
    </row>
    <row r="1463" spans="11:34" ht="14.5" x14ac:dyDescent="0.35">
      <c r="K1463" s="4"/>
      <c r="AC1463" s="7">
        <v>2022</v>
      </c>
      <c r="AD1463" s="7">
        <v>3</v>
      </c>
      <c r="AE1463" s="7">
        <v>2</v>
      </c>
      <c r="AF1463" s="8">
        <v>0.875</v>
      </c>
      <c r="AG1463" s="9">
        <v>-7.8</v>
      </c>
      <c r="AH1463" s="10">
        <f t="shared" si="37"/>
        <v>-8</v>
      </c>
    </row>
    <row r="1464" spans="11:34" ht="14.5" x14ac:dyDescent="0.35">
      <c r="K1464" s="4"/>
      <c r="AC1464" s="7">
        <v>2022</v>
      </c>
      <c r="AD1464" s="7">
        <v>3</v>
      </c>
      <c r="AE1464" s="7">
        <v>2</v>
      </c>
      <c r="AF1464" s="8">
        <v>0.91666666666666663</v>
      </c>
      <c r="AG1464" s="9">
        <v>-7.8</v>
      </c>
      <c r="AH1464" s="10">
        <f t="shared" si="37"/>
        <v>-8</v>
      </c>
    </row>
    <row r="1465" spans="11:34" ht="14.5" x14ac:dyDescent="0.35">
      <c r="K1465" s="4"/>
      <c r="AC1465" s="7">
        <v>2022</v>
      </c>
      <c r="AD1465" s="7">
        <v>3</v>
      </c>
      <c r="AE1465" s="7">
        <v>2</v>
      </c>
      <c r="AF1465" s="8">
        <v>0.95833333333333337</v>
      </c>
      <c r="AG1465" s="9">
        <v>-7.7</v>
      </c>
      <c r="AH1465" s="10">
        <f t="shared" si="37"/>
        <v>-8</v>
      </c>
    </row>
    <row r="1466" spans="11:34" ht="14.5" x14ac:dyDescent="0.35">
      <c r="K1466" s="4"/>
      <c r="AC1466" s="7">
        <v>2022</v>
      </c>
      <c r="AD1466" s="7">
        <v>3</v>
      </c>
      <c r="AE1466" s="7">
        <v>3</v>
      </c>
      <c r="AF1466" s="8">
        <v>0</v>
      </c>
      <c r="AG1466" s="9">
        <v>-7.8</v>
      </c>
      <c r="AH1466" s="10">
        <f t="shared" si="37"/>
        <v>-8</v>
      </c>
    </row>
    <row r="1467" spans="11:34" ht="14.5" x14ac:dyDescent="0.35">
      <c r="K1467" s="4"/>
      <c r="AC1467" s="7">
        <v>2022</v>
      </c>
      <c r="AD1467" s="7">
        <v>3</v>
      </c>
      <c r="AE1467" s="7">
        <v>3</v>
      </c>
      <c r="AF1467" s="8">
        <v>4.1666666666666664E-2</v>
      </c>
      <c r="AG1467" s="9">
        <v>-7.8</v>
      </c>
      <c r="AH1467" s="10">
        <f t="shared" si="37"/>
        <v>-8</v>
      </c>
    </row>
    <row r="1468" spans="11:34" ht="14.5" x14ac:dyDescent="0.35">
      <c r="K1468" s="4"/>
      <c r="AC1468" s="7">
        <v>2022</v>
      </c>
      <c r="AD1468" s="7">
        <v>3</v>
      </c>
      <c r="AE1468" s="7">
        <v>3</v>
      </c>
      <c r="AF1468" s="8">
        <v>8.3333333333333329E-2</v>
      </c>
      <c r="AG1468" s="9">
        <v>-7.7</v>
      </c>
      <c r="AH1468" s="10">
        <f t="shared" si="37"/>
        <v>-8</v>
      </c>
    </row>
    <row r="1469" spans="11:34" ht="14.5" x14ac:dyDescent="0.35">
      <c r="K1469" s="4"/>
      <c r="AC1469" s="7">
        <v>2022</v>
      </c>
      <c r="AD1469" s="7">
        <v>3</v>
      </c>
      <c r="AE1469" s="7">
        <v>3</v>
      </c>
      <c r="AF1469" s="8">
        <v>0.125</v>
      </c>
      <c r="AG1469" s="9">
        <v>-7.8</v>
      </c>
      <c r="AH1469" s="10">
        <f t="shared" si="37"/>
        <v>-8</v>
      </c>
    </row>
    <row r="1470" spans="11:34" ht="14.5" x14ac:dyDescent="0.35">
      <c r="K1470" s="4"/>
      <c r="AC1470" s="7">
        <v>2022</v>
      </c>
      <c r="AD1470" s="7">
        <v>3</v>
      </c>
      <c r="AE1470" s="7">
        <v>3</v>
      </c>
      <c r="AF1470" s="8">
        <v>0.16666666666666666</v>
      </c>
      <c r="AG1470" s="9">
        <v>-7.8</v>
      </c>
      <c r="AH1470" s="10">
        <f t="shared" si="37"/>
        <v>-8</v>
      </c>
    </row>
    <row r="1471" spans="11:34" ht="14.5" x14ac:dyDescent="0.35">
      <c r="K1471" s="4"/>
      <c r="AC1471" s="7">
        <v>2022</v>
      </c>
      <c r="AD1471" s="7">
        <v>3</v>
      </c>
      <c r="AE1471" s="7">
        <v>3</v>
      </c>
      <c r="AF1471" s="8">
        <v>0.20833333333333334</v>
      </c>
      <c r="AG1471" s="9">
        <v>-7.9</v>
      </c>
      <c r="AH1471" s="10">
        <f t="shared" si="37"/>
        <v>-8</v>
      </c>
    </row>
    <row r="1472" spans="11:34" ht="14.5" x14ac:dyDescent="0.35">
      <c r="K1472" s="4"/>
      <c r="AC1472" s="7">
        <v>2022</v>
      </c>
      <c r="AD1472" s="7">
        <v>3</v>
      </c>
      <c r="AE1472" s="7">
        <v>3</v>
      </c>
      <c r="AF1472" s="8">
        <v>0.25</v>
      </c>
      <c r="AG1472" s="9">
        <v>-8.1999999999999993</v>
      </c>
      <c r="AH1472" s="10">
        <f t="shared" si="37"/>
        <v>-8</v>
      </c>
    </row>
    <row r="1473" spans="11:34" ht="14.5" x14ac:dyDescent="0.35">
      <c r="K1473" s="4"/>
      <c r="AC1473" s="7">
        <v>2022</v>
      </c>
      <c r="AD1473" s="7">
        <v>3</v>
      </c>
      <c r="AE1473" s="7">
        <v>3</v>
      </c>
      <c r="AF1473" s="8">
        <v>0.29166666666666669</v>
      </c>
      <c r="AG1473" s="9">
        <v>-8.5</v>
      </c>
      <c r="AH1473" s="10">
        <f t="shared" si="37"/>
        <v>-9</v>
      </c>
    </row>
    <row r="1474" spans="11:34" ht="14.5" x14ac:dyDescent="0.35">
      <c r="K1474" s="4"/>
      <c r="AC1474" s="7">
        <v>2022</v>
      </c>
      <c r="AD1474" s="7">
        <v>3</v>
      </c>
      <c r="AE1474" s="7">
        <v>3</v>
      </c>
      <c r="AF1474" s="8">
        <v>0.33333333333333331</v>
      </c>
      <c r="AG1474" s="9">
        <v>-8.3000000000000007</v>
      </c>
      <c r="AH1474" s="10">
        <f t="shared" si="37"/>
        <v>-8</v>
      </c>
    </row>
    <row r="1475" spans="11:34" ht="14.5" x14ac:dyDescent="0.35">
      <c r="K1475" s="4"/>
      <c r="AC1475" s="7">
        <v>2022</v>
      </c>
      <c r="AD1475" s="7">
        <v>3</v>
      </c>
      <c r="AE1475" s="7">
        <v>3</v>
      </c>
      <c r="AF1475" s="8">
        <v>0.375</v>
      </c>
      <c r="AG1475" s="9">
        <v>-8.3000000000000007</v>
      </c>
      <c r="AH1475" s="10">
        <f t="shared" si="37"/>
        <v>-8</v>
      </c>
    </row>
    <row r="1476" spans="11:34" ht="14.5" x14ac:dyDescent="0.35">
      <c r="K1476" s="4"/>
      <c r="AC1476" s="7">
        <v>2022</v>
      </c>
      <c r="AD1476" s="7">
        <v>3</v>
      </c>
      <c r="AE1476" s="7">
        <v>3</v>
      </c>
      <c r="AF1476" s="8">
        <v>0.41666666666666669</v>
      </c>
      <c r="AG1476" s="9">
        <v>-8.4</v>
      </c>
      <c r="AH1476" s="10">
        <f t="shared" si="37"/>
        <v>-8</v>
      </c>
    </row>
    <row r="1477" spans="11:34" ht="14.5" x14ac:dyDescent="0.35">
      <c r="K1477" s="4"/>
      <c r="AC1477" s="7">
        <v>2022</v>
      </c>
      <c r="AD1477" s="7">
        <v>3</v>
      </c>
      <c r="AE1477" s="7">
        <v>3</v>
      </c>
      <c r="AF1477" s="8">
        <v>0.45833333333333331</v>
      </c>
      <c r="AG1477" s="9">
        <v>-8.1999999999999993</v>
      </c>
      <c r="AH1477" s="10">
        <f t="shared" si="37"/>
        <v>-8</v>
      </c>
    </row>
    <row r="1478" spans="11:34" ht="14.5" x14ac:dyDescent="0.35">
      <c r="K1478" s="4"/>
      <c r="AC1478" s="7">
        <v>2022</v>
      </c>
      <c r="AD1478" s="7">
        <v>3</v>
      </c>
      <c r="AE1478" s="7">
        <v>3</v>
      </c>
      <c r="AF1478" s="8">
        <v>0.5</v>
      </c>
      <c r="AG1478" s="9">
        <v>-7.5</v>
      </c>
      <c r="AH1478" s="10">
        <f t="shared" si="37"/>
        <v>-8</v>
      </c>
    </row>
    <row r="1479" spans="11:34" ht="14.5" x14ac:dyDescent="0.35">
      <c r="K1479" s="4"/>
      <c r="AC1479" s="7">
        <v>2022</v>
      </c>
      <c r="AD1479" s="7">
        <v>3</v>
      </c>
      <c r="AE1479" s="7">
        <v>3</v>
      </c>
      <c r="AF1479" s="8">
        <v>0.54166666666666663</v>
      </c>
      <c r="AG1479" s="9">
        <v>-6.9</v>
      </c>
      <c r="AH1479" s="10">
        <f t="shared" si="37"/>
        <v>-7</v>
      </c>
    </row>
    <row r="1480" spans="11:34" ht="14.5" x14ac:dyDescent="0.35">
      <c r="K1480" s="4"/>
      <c r="AC1480" s="7">
        <v>2022</v>
      </c>
      <c r="AD1480" s="7">
        <v>3</v>
      </c>
      <c r="AE1480" s="7">
        <v>3</v>
      </c>
      <c r="AF1480" s="8">
        <v>0.58333333333333337</v>
      </c>
      <c r="AG1480" s="9">
        <v>-6.7</v>
      </c>
      <c r="AH1480" s="10">
        <f t="shared" si="37"/>
        <v>-7</v>
      </c>
    </row>
    <row r="1481" spans="11:34" ht="14.5" x14ac:dyDescent="0.35">
      <c r="K1481" s="4"/>
      <c r="AC1481" s="7">
        <v>2022</v>
      </c>
      <c r="AD1481" s="7">
        <v>3</v>
      </c>
      <c r="AE1481" s="7">
        <v>3</v>
      </c>
      <c r="AF1481" s="8">
        <v>0.625</v>
      </c>
      <c r="AG1481" s="9">
        <v>-7.4</v>
      </c>
      <c r="AH1481" s="10">
        <f t="shared" si="37"/>
        <v>-7</v>
      </c>
    </row>
    <row r="1482" spans="11:34" ht="14.5" x14ac:dyDescent="0.35">
      <c r="K1482" s="4"/>
      <c r="AC1482" s="7">
        <v>2022</v>
      </c>
      <c r="AD1482" s="7">
        <v>3</v>
      </c>
      <c r="AE1482" s="7">
        <v>3</v>
      </c>
      <c r="AF1482" s="8">
        <v>0.66666666666666663</v>
      </c>
      <c r="AG1482" s="9">
        <v>-8</v>
      </c>
      <c r="AH1482" s="10">
        <f t="shared" si="37"/>
        <v>-8</v>
      </c>
    </row>
    <row r="1483" spans="11:34" ht="14.5" x14ac:dyDescent="0.35">
      <c r="K1483" s="4"/>
      <c r="AC1483" s="7">
        <v>2022</v>
      </c>
      <c r="AD1483" s="7">
        <v>3</v>
      </c>
      <c r="AE1483" s="7">
        <v>3</v>
      </c>
      <c r="AF1483" s="8">
        <v>0.70833333333333337</v>
      </c>
      <c r="AG1483" s="9">
        <v>-8.5</v>
      </c>
      <c r="AH1483" s="10">
        <f t="shared" ref="AH1483:AH1546" si="38">ROUND(AG1483,0)</f>
        <v>-9</v>
      </c>
    </row>
    <row r="1484" spans="11:34" ht="14.5" x14ac:dyDescent="0.35">
      <c r="K1484" s="4"/>
      <c r="AC1484" s="7">
        <v>2022</v>
      </c>
      <c r="AD1484" s="7">
        <v>3</v>
      </c>
      <c r="AE1484" s="7">
        <v>3</v>
      </c>
      <c r="AF1484" s="8">
        <v>0.75</v>
      </c>
      <c r="AG1484" s="9">
        <v>-8.9</v>
      </c>
      <c r="AH1484" s="10">
        <f t="shared" si="38"/>
        <v>-9</v>
      </c>
    </row>
    <row r="1485" spans="11:34" ht="14.5" x14ac:dyDescent="0.35">
      <c r="K1485" s="4"/>
      <c r="AC1485" s="7">
        <v>2022</v>
      </c>
      <c r="AD1485" s="7">
        <v>3</v>
      </c>
      <c r="AE1485" s="7">
        <v>3</v>
      </c>
      <c r="AF1485" s="8">
        <v>0.79166666666666663</v>
      </c>
      <c r="AG1485" s="9">
        <v>-9.1</v>
      </c>
      <c r="AH1485" s="10">
        <f t="shared" si="38"/>
        <v>-9</v>
      </c>
    </row>
    <row r="1486" spans="11:34" ht="14.5" x14ac:dyDescent="0.35">
      <c r="K1486" s="4"/>
      <c r="AC1486" s="7">
        <v>2022</v>
      </c>
      <c r="AD1486" s="7">
        <v>3</v>
      </c>
      <c r="AE1486" s="7">
        <v>3</v>
      </c>
      <c r="AF1486" s="8">
        <v>0.83333333333333337</v>
      </c>
      <c r="AG1486" s="9">
        <v>-9</v>
      </c>
      <c r="AH1486" s="10">
        <f t="shared" si="38"/>
        <v>-9</v>
      </c>
    </row>
    <row r="1487" spans="11:34" ht="14.5" x14ac:dyDescent="0.35">
      <c r="K1487" s="4"/>
      <c r="AC1487" s="7">
        <v>2022</v>
      </c>
      <c r="AD1487" s="7">
        <v>3</v>
      </c>
      <c r="AE1487" s="7">
        <v>3</v>
      </c>
      <c r="AF1487" s="8">
        <v>0.875</v>
      </c>
      <c r="AG1487" s="9">
        <v>-8.8000000000000007</v>
      </c>
      <c r="AH1487" s="10">
        <f t="shared" si="38"/>
        <v>-9</v>
      </c>
    </row>
    <row r="1488" spans="11:34" ht="14.5" x14ac:dyDescent="0.35">
      <c r="K1488" s="4"/>
      <c r="AC1488" s="7">
        <v>2022</v>
      </c>
      <c r="AD1488" s="7">
        <v>3</v>
      </c>
      <c r="AE1488" s="7">
        <v>3</v>
      </c>
      <c r="AF1488" s="8">
        <v>0.91666666666666663</v>
      </c>
      <c r="AG1488" s="9">
        <v>-9.3000000000000007</v>
      </c>
      <c r="AH1488" s="10">
        <f t="shared" si="38"/>
        <v>-9</v>
      </c>
    </row>
    <row r="1489" spans="11:34" ht="14.5" x14ac:dyDescent="0.35">
      <c r="K1489" s="4"/>
      <c r="AC1489" s="7">
        <v>2022</v>
      </c>
      <c r="AD1489" s="7">
        <v>3</v>
      </c>
      <c r="AE1489" s="7">
        <v>3</v>
      </c>
      <c r="AF1489" s="8">
        <v>0.95833333333333337</v>
      </c>
      <c r="AG1489" s="9">
        <v>-9.6999999999999993</v>
      </c>
      <c r="AH1489" s="10">
        <f t="shared" si="38"/>
        <v>-10</v>
      </c>
    </row>
    <row r="1490" spans="11:34" ht="14.5" x14ac:dyDescent="0.35">
      <c r="K1490" s="4"/>
      <c r="AC1490" s="7">
        <v>2022</v>
      </c>
      <c r="AD1490" s="7">
        <v>3</v>
      </c>
      <c r="AE1490" s="7">
        <v>4</v>
      </c>
      <c r="AF1490" s="8">
        <v>0</v>
      </c>
      <c r="AG1490" s="9">
        <v>-10.3</v>
      </c>
      <c r="AH1490" s="10">
        <f t="shared" si="38"/>
        <v>-10</v>
      </c>
    </row>
    <row r="1491" spans="11:34" ht="14.5" x14ac:dyDescent="0.35">
      <c r="K1491" s="4"/>
      <c r="AC1491" s="7">
        <v>2022</v>
      </c>
      <c r="AD1491" s="7">
        <v>3</v>
      </c>
      <c r="AE1491" s="7">
        <v>4</v>
      </c>
      <c r="AF1491" s="8">
        <v>4.1666666666666664E-2</v>
      </c>
      <c r="AG1491" s="9">
        <v>-10.6</v>
      </c>
      <c r="AH1491" s="10">
        <f t="shared" si="38"/>
        <v>-11</v>
      </c>
    </row>
    <row r="1492" spans="11:34" ht="14.5" x14ac:dyDescent="0.35">
      <c r="K1492" s="4"/>
      <c r="AC1492" s="7">
        <v>2022</v>
      </c>
      <c r="AD1492" s="7">
        <v>3</v>
      </c>
      <c r="AE1492" s="7">
        <v>4</v>
      </c>
      <c r="AF1492" s="8">
        <v>8.3333333333333329E-2</v>
      </c>
      <c r="AG1492" s="9">
        <v>-10.5</v>
      </c>
      <c r="AH1492" s="10">
        <f t="shared" si="38"/>
        <v>-11</v>
      </c>
    </row>
    <row r="1493" spans="11:34" ht="14.5" x14ac:dyDescent="0.35">
      <c r="K1493" s="4"/>
      <c r="AC1493" s="7">
        <v>2022</v>
      </c>
      <c r="AD1493" s="7">
        <v>3</v>
      </c>
      <c r="AE1493" s="7">
        <v>4</v>
      </c>
      <c r="AF1493" s="8">
        <v>0.125</v>
      </c>
      <c r="AG1493" s="9">
        <v>-10.6</v>
      </c>
      <c r="AH1493" s="10">
        <f t="shared" si="38"/>
        <v>-11</v>
      </c>
    </row>
    <row r="1494" spans="11:34" ht="14.5" x14ac:dyDescent="0.35">
      <c r="K1494" s="4"/>
      <c r="AC1494" s="7">
        <v>2022</v>
      </c>
      <c r="AD1494" s="7">
        <v>3</v>
      </c>
      <c r="AE1494" s="7">
        <v>4</v>
      </c>
      <c r="AF1494" s="8">
        <v>0.16666666666666666</v>
      </c>
      <c r="AG1494" s="9">
        <v>-10.7</v>
      </c>
      <c r="AH1494" s="10">
        <f t="shared" si="38"/>
        <v>-11</v>
      </c>
    </row>
    <row r="1495" spans="11:34" ht="14.5" x14ac:dyDescent="0.35">
      <c r="K1495" s="4"/>
      <c r="AC1495" s="7">
        <v>2022</v>
      </c>
      <c r="AD1495" s="7">
        <v>3</v>
      </c>
      <c r="AE1495" s="7">
        <v>4</v>
      </c>
      <c r="AF1495" s="8">
        <v>0.20833333333333334</v>
      </c>
      <c r="AG1495" s="9">
        <v>-10.8</v>
      </c>
      <c r="AH1495" s="10">
        <f t="shared" si="38"/>
        <v>-11</v>
      </c>
    </row>
    <row r="1496" spans="11:34" ht="14.5" x14ac:dyDescent="0.35">
      <c r="K1496" s="4"/>
      <c r="AC1496" s="7">
        <v>2022</v>
      </c>
      <c r="AD1496" s="7">
        <v>3</v>
      </c>
      <c r="AE1496" s="7">
        <v>4</v>
      </c>
      <c r="AF1496" s="8">
        <v>0.25</v>
      </c>
      <c r="AG1496" s="9">
        <v>-10.8</v>
      </c>
      <c r="AH1496" s="10">
        <f t="shared" si="38"/>
        <v>-11</v>
      </c>
    </row>
    <row r="1497" spans="11:34" ht="14.5" x14ac:dyDescent="0.35">
      <c r="K1497" s="4"/>
      <c r="AC1497" s="7">
        <v>2022</v>
      </c>
      <c r="AD1497" s="7">
        <v>3</v>
      </c>
      <c r="AE1497" s="7">
        <v>4</v>
      </c>
      <c r="AF1497" s="8">
        <v>0.29166666666666669</v>
      </c>
      <c r="AG1497" s="9">
        <v>-10.6</v>
      </c>
      <c r="AH1497" s="10">
        <f t="shared" si="38"/>
        <v>-11</v>
      </c>
    </row>
    <row r="1498" spans="11:34" ht="14.5" x14ac:dyDescent="0.35">
      <c r="K1498" s="4"/>
      <c r="AC1498" s="7">
        <v>2022</v>
      </c>
      <c r="AD1498" s="7">
        <v>3</v>
      </c>
      <c r="AE1498" s="7">
        <v>4</v>
      </c>
      <c r="AF1498" s="8">
        <v>0.33333333333333331</v>
      </c>
      <c r="AG1498" s="9">
        <v>-10.4</v>
      </c>
      <c r="AH1498" s="10">
        <f t="shared" si="38"/>
        <v>-10</v>
      </c>
    </row>
    <row r="1499" spans="11:34" ht="14.5" x14ac:dyDescent="0.35">
      <c r="K1499" s="4"/>
      <c r="AC1499" s="7">
        <v>2022</v>
      </c>
      <c r="AD1499" s="7">
        <v>3</v>
      </c>
      <c r="AE1499" s="7">
        <v>4</v>
      </c>
      <c r="AF1499" s="8">
        <v>0.375</v>
      </c>
      <c r="AG1499" s="9">
        <v>-9.9</v>
      </c>
      <c r="AH1499" s="10">
        <f t="shared" si="38"/>
        <v>-10</v>
      </c>
    </row>
    <row r="1500" spans="11:34" ht="14.5" x14ac:dyDescent="0.35">
      <c r="K1500" s="4"/>
      <c r="AC1500" s="7">
        <v>2022</v>
      </c>
      <c r="AD1500" s="7">
        <v>3</v>
      </c>
      <c r="AE1500" s="7">
        <v>4</v>
      </c>
      <c r="AF1500" s="8">
        <v>0.41666666666666669</v>
      </c>
      <c r="AG1500" s="9">
        <v>-9.6</v>
      </c>
      <c r="AH1500" s="10">
        <f t="shared" si="38"/>
        <v>-10</v>
      </c>
    </row>
    <row r="1501" spans="11:34" ht="14.5" x14ac:dyDescent="0.35">
      <c r="K1501" s="4"/>
      <c r="AC1501" s="7">
        <v>2022</v>
      </c>
      <c r="AD1501" s="7">
        <v>3</v>
      </c>
      <c r="AE1501" s="7">
        <v>4</v>
      </c>
      <c r="AF1501" s="8">
        <v>0.45833333333333331</v>
      </c>
      <c r="AG1501" s="9">
        <v>-9.1999999999999993</v>
      </c>
      <c r="AH1501" s="10">
        <f t="shared" si="38"/>
        <v>-9</v>
      </c>
    </row>
    <row r="1502" spans="11:34" ht="14.5" x14ac:dyDescent="0.35">
      <c r="K1502" s="4"/>
      <c r="AC1502" s="7">
        <v>2022</v>
      </c>
      <c r="AD1502" s="7">
        <v>3</v>
      </c>
      <c r="AE1502" s="7">
        <v>4</v>
      </c>
      <c r="AF1502" s="8">
        <v>0.5</v>
      </c>
      <c r="AG1502" s="9">
        <v>-8.3000000000000007</v>
      </c>
      <c r="AH1502" s="10">
        <f t="shared" si="38"/>
        <v>-8</v>
      </c>
    </row>
    <row r="1503" spans="11:34" ht="14.5" x14ac:dyDescent="0.35">
      <c r="K1503" s="4"/>
      <c r="AC1503" s="7">
        <v>2022</v>
      </c>
      <c r="AD1503" s="7">
        <v>3</v>
      </c>
      <c r="AE1503" s="7">
        <v>4</v>
      </c>
      <c r="AF1503" s="8">
        <v>0.54166666666666663</v>
      </c>
      <c r="AG1503" s="9">
        <v>-7.2</v>
      </c>
      <c r="AH1503" s="10">
        <f t="shared" si="38"/>
        <v>-7</v>
      </c>
    </row>
    <row r="1504" spans="11:34" ht="14.5" x14ac:dyDescent="0.35">
      <c r="K1504" s="4"/>
      <c r="AC1504" s="7">
        <v>2022</v>
      </c>
      <c r="AD1504" s="7">
        <v>3</v>
      </c>
      <c r="AE1504" s="7">
        <v>4</v>
      </c>
      <c r="AF1504" s="8">
        <v>0.58333333333333337</v>
      </c>
      <c r="AG1504" s="9">
        <v>-6.7</v>
      </c>
      <c r="AH1504" s="10">
        <f t="shared" si="38"/>
        <v>-7</v>
      </c>
    </row>
    <row r="1505" spans="11:34" ht="14.5" x14ac:dyDescent="0.35">
      <c r="K1505" s="4"/>
      <c r="AC1505" s="7">
        <v>2022</v>
      </c>
      <c r="AD1505" s="7">
        <v>3</v>
      </c>
      <c r="AE1505" s="7">
        <v>4</v>
      </c>
      <c r="AF1505" s="8">
        <v>0.625</v>
      </c>
      <c r="AG1505" s="9">
        <v>-6.7</v>
      </c>
      <c r="AH1505" s="10">
        <f t="shared" si="38"/>
        <v>-7</v>
      </c>
    </row>
    <row r="1506" spans="11:34" ht="14.5" x14ac:dyDescent="0.35">
      <c r="K1506" s="4"/>
      <c r="AC1506" s="7">
        <v>2022</v>
      </c>
      <c r="AD1506" s="7">
        <v>3</v>
      </c>
      <c r="AE1506" s="7">
        <v>4</v>
      </c>
      <c r="AF1506" s="8">
        <v>0.66666666666666663</v>
      </c>
      <c r="AG1506" s="9">
        <v>-6.6</v>
      </c>
      <c r="AH1506" s="10">
        <f t="shared" si="38"/>
        <v>-7</v>
      </c>
    </row>
    <row r="1507" spans="11:34" ht="14.5" x14ac:dyDescent="0.35">
      <c r="K1507" s="4"/>
      <c r="AC1507" s="7">
        <v>2022</v>
      </c>
      <c r="AD1507" s="7">
        <v>3</v>
      </c>
      <c r="AE1507" s="7">
        <v>4</v>
      </c>
      <c r="AF1507" s="8">
        <v>0.70833333333333337</v>
      </c>
      <c r="AG1507" s="9">
        <v>-6.7</v>
      </c>
      <c r="AH1507" s="10">
        <f t="shared" si="38"/>
        <v>-7</v>
      </c>
    </row>
    <row r="1508" spans="11:34" ht="14.5" x14ac:dyDescent="0.35">
      <c r="K1508" s="4"/>
      <c r="AC1508" s="7">
        <v>2022</v>
      </c>
      <c r="AD1508" s="7">
        <v>3</v>
      </c>
      <c r="AE1508" s="7">
        <v>4</v>
      </c>
      <c r="AF1508" s="8">
        <v>0.75</v>
      </c>
      <c r="AG1508" s="9">
        <v>-8</v>
      </c>
      <c r="AH1508" s="10">
        <f t="shared" si="38"/>
        <v>-8</v>
      </c>
    </row>
    <row r="1509" spans="11:34" ht="14.5" x14ac:dyDescent="0.35">
      <c r="K1509" s="4"/>
      <c r="AC1509" s="7">
        <v>2022</v>
      </c>
      <c r="AD1509" s="7">
        <v>3</v>
      </c>
      <c r="AE1509" s="7">
        <v>4</v>
      </c>
      <c r="AF1509" s="8">
        <v>0.79166666666666663</v>
      </c>
      <c r="AG1509" s="9">
        <v>-8.6</v>
      </c>
      <c r="AH1509" s="10">
        <f t="shared" si="38"/>
        <v>-9</v>
      </c>
    </row>
    <row r="1510" spans="11:34" ht="14.5" x14ac:dyDescent="0.35">
      <c r="K1510" s="4"/>
      <c r="AC1510" s="7">
        <v>2022</v>
      </c>
      <c r="AD1510" s="7">
        <v>3</v>
      </c>
      <c r="AE1510" s="7">
        <v>4</v>
      </c>
      <c r="AF1510" s="8">
        <v>0.83333333333333337</v>
      </c>
      <c r="AG1510" s="9">
        <v>-8.6999999999999993</v>
      </c>
      <c r="AH1510" s="10">
        <f t="shared" si="38"/>
        <v>-9</v>
      </c>
    </row>
    <row r="1511" spans="11:34" ht="14.5" x14ac:dyDescent="0.35">
      <c r="K1511" s="4"/>
      <c r="AC1511" s="7">
        <v>2022</v>
      </c>
      <c r="AD1511" s="7">
        <v>3</v>
      </c>
      <c r="AE1511" s="7">
        <v>4</v>
      </c>
      <c r="AF1511" s="8">
        <v>0.875</v>
      </c>
      <c r="AG1511" s="9">
        <v>-9</v>
      </c>
      <c r="AH1511" s="10">
        <f t="shared" si="38"/>
        <v>-9</v>
      </c>
    </row>
    <row r="1512" spans="11:34" ht="14.5" x14ac:dyDescent="0.35">
      <c r="K1512" s="4"/>
      <c r="AC1512" s="7">
        <v>2022</v>
      </c>
      <c r="AD1512" s="7">
        <v>3</v>
      </c>
      <c r="AE1512" s="7">
        <v>4</v>
      </c>
      <c r="AF1512" s="8">
        <v>0.91666666666666663</v>
      </c>
      <c r="AG1512" s="9">
        <v>-8.9</v>
      </c>
      <c r="AH1512" s="10">
        <f t="shared" si="38"/>
        <v>-9</v>
      </c>
    </row>
    <row r="1513" spans="11:34" ht="14.5" x14ac:dyDescent="0.35">
      <c r="K1513" s="4"/>
      <c r="AC1513" s="7">
        <v>2022</v>
      </c>
      <c r="AD1513" s="7">
        <v>3</v>
      </c>
      <c r="AE1513" s="7">
        <v>4</v>
      </c>
      <c r="AF1513" s="8">
        <v>0.95833333333333337</v>
      </c>
      <c r="AG1513" s="9">
        <v>-9</v>
      </c>
      <c r="AH1513" s="10">
        <f t="shared" si="38"/>
        <v>-9</v>
      </c>
    </row>
    <row r="1514" spans="11:34" ht="14.5" x14ac:dyDescent="0.35">
      <c r="K1514" s="4"/>
      <c r="AC1514" s="7">
        <v>2022</v>
      </c>
      <c r="AD1514" s="7">
        <v>3</v>
      </c>
      <c r="AE1514" s="7">
        <v>5</v>
      </c>
      <c r="AF1514" s="8">
        <v>0</v>
      </c>
      <c r="AG1514" s="9">
        <v>-8.9</v>
      </c>
      <c r="AH1514" s="10">
        <f t="shared" si="38"/>
        <v>-9</v>
      </c>
    </row>
    <row r="1515" spans="11:34" ht="14.5" x14ac:dyDescent="0.35">
      <c r="K1515" s="4"/>
      <c r="AC1515" s="7">
        <v>2022</v>
      </c>
      <c r="AD1515" s="7">
        <v>3</v>
      </c>
      <c r="AE1515" s="7">
        <v>5</v>
      </c>
      <c r="AF1515" s="8">
        <v>4.1666666666666664E-2</v>
      </c>
      <c r="AG1515" s="9">
        <v>-9.1</v>
      </c>
      <c r="AH1515" s="10">
        <f t="shared" si="38"/>
        <v>-9</v>
      </c>
    </row>
    <row r="1516" spans="11:34" ht="14.5" x14ac:dyDescent="0.35">
      <c r="K1516" s="4"/>
      <c r="AC1516" s="7">
        <v>2022</v>
      </c>
      <c r="AD1516" s="7">
        <v>3</v>
      </c>
      <c r="AE1516" s="7">
        <v>5</v>
      </c>
      <c r="AF1516" s="8">
        <v>8.3333333333333329E-2</v>
      </c>
      <c r="AG1516" s="9">
        <v>-9.1</v>
      </c>
      <c r="AH1516" s="10">
        <f t="shared" si="38"/>
        <v>-9</v>
      </c>
    </row>
    <row r="1517" spans="11:34" ht="14.5" x14ac:dyDescent="0.35">
      <c r="K1517" s="4"/>
      <c r="AC1517" s="7">
        <v>2022</v>
      </c>
      <c r="AD1517" s="7">
        <v>3</v>
      </c>
      <c r="AE1517" s="7">
        <v>5</v>
      </c>
      <c r="AF1517" s="8">
        <v>0.125</v>
      </c>
      <c r="AG1517" s="9">
        <v>-9.1</v>
      </c>
      <c r="AH1517" s="10">
        <f t="shared" si="38"/>
        <v>-9</v>
      </c>
    </row>
    <row r="1518" spans="11:34" ht="14.5" x14ac:dyDescent="0.35">
      <c r="K1518" s="4"/>
      <c r="AC1518" s="7">
        <v>2022</v>
      </c>
      <c r="AD1518" s="7">
        <v>3</v>
      </c>
      <c r="AE1518" s="7">
        <v>5</v>
      </c>
      <c r="AF1518" s="8">
        <v>0.16666666666666666</v>
      </c>
      <c r="AG1518" s="9">
        <v>-9</v>
      </c>
      <c r="AH1518" s="10">
        <f t="shared" si="38"/>
        <v>-9</v>
      </c>
    </row>
    <row r="1519" spans="11:34" ht="14.5" x14ac:dyDescent="0.35">
      <c r="K1519" s="4"/>
      <c r="AC1519" s="7">
        <v>2022</v>
      </c>
      <c r="AD1519" s="7">
        <v>3</v>
      </c>
      <c r="AE1519" s="7">
        <v>5</v>
      </c>
      <c r="AF1519" s="8">
        <v>0.20833333333333334</v>
      </c>
      <c r="AG1519" s="9">
        <v>-8.6999999999999993</v>
      </c>
      <c r="AH1519" s="10">
        <f t="shared" si="38"/>
        <v>-9</v>
      </c>
    </row>
    <row r="1520" spans="11:34" ht="14.5" x14ac:dyDescent="0.35">
      <c r="K1520" s="4"/>
      <c r="AC1520" s="7">
        <v>2022</v>
      </c>
      <c r="AD1520" s="7">
        <v>3</v>
      </c>
      <c r="AE1520" s="7">
        <v>5</v>
      </c>
      <c r="AF1520" s="8">
        <v>0.25</v>
      </c>
      <c r="AG1520" s="9">
        <v>-10.5</v>
      </c>
      <c r="AH1520" s="10">
        <f t="shared" si="38"/>
        <v>-11</v>
      </c>
    </row>
    <row r="1521" spans="11:34" ht="14.5" x14ac:dyDescent="0.35">
      <c r="K1521" s="4"/>
      <c r="AC1521" s="7">
        <v>2022</v>
      </c>
      <c r="AD1521" s="7">
        <v>3</v>
      </c>
      <c r="AE1521" s="7">
        <v>5</v>
      </c>
      <c r="AF1521" s="8">
        <v>0.29166666666666669</v>
      </c>
      <c r="AG1521" s="9">
        <v>-9.1</v>
      </c>
      <c r="AH1521" s="10">
        <f t="shared" si="38"/>
        <v>-9</v>
      </c>
    </row>
    <row r="1522" spans="11:34" ht="14.5" x14ac:dyDescent="0.35">
      <c r="K1522" s="4"/>
      <c r="AC1522" s="7">
        <v>2022</v>
      </c>
      <c r="AD1522" s="7">
        <v>3</v>
      </c>
      <c r="AE1522" s="7">
        <v>5</v>
      </c>
      <c r="AF1522" s="8">
        <v>0.33333333333333331</v>
      </c>
      <c r="AG1522" s="9">
        <v>-8.9</v>
      </c>
      <c r="AH1522" s="10">
        <f t="shared" si="38"/>
        <v>-9</v>
      </c>
    </row>
    <row r="1523" spans="11:34" ht="14.5" x14ac:dyDescent="0.35">
      <c r="K1523" s="4"/>
      <c r="AC1523" s="7">
        <v>2022</v>
      </c>
      <c r="AD1523" s="7">
        <v>3</v>
      </c>
      <c r="AE1523" s="7">
        <v>5</v>
      </c>
      <c r="AF1523" s="8">
        <v>0.375</v>
      </c>
      <c r="AG1523" s="9">
        <v>-7.2</v>
      </c>
      <c r="AH1523" s="10">
        <f t="shared" si="38"/>
        <v>-7</v>
      </c>
    </row>
    <row r="1524" spans="11:34" ht="14.5" x14ac:dyDescent="0.35">
      <c r="K1524" s="4"/>
      <c r="AC1524" s="7">
        <v>2022</v>
      </c>
      <c r="AD1524" s="7">
        <v>3</v>
      </c>
      <c r="AE1524" s="7">
        <v>5</v>
      </c>
      <c r="AF1524" s="8">
        <v>0.41666666666666669</v>
      </c>
      <c r="AG1524" s="9">
        <v>-5.7</v>
      </c>
      <c r="AH1524" s="10">
        <f t="shared" si="38"/>
        <v>-6</v>
      </c>
    </row>
    <row r="1525" spans="11:34" ht="14.5" x14ac:dyDescent="0.35">
      <c r="K1525" s="4"/>
      <c r="AC1525" s="7">
        <v>2022</v>
      </c>
      <c r="AD1525" s="7">
        <v>3</v>
      </c>
      <c r="AE1525" s="7">
        <v>5</v>
      </c>
      <c r="AF1525" s="8">
        <v>0.45833333333333331</v>
      </c>
      <c r="AG1525" s="9">
        <v>-5.3</v>
      </c>
      <c r="AH1525" s="10">
        <f t="shared" si="38"/>
        <v>-5</v>
      </c>
    </row>
    <row r="1526" spans="11:34" ht="14.5" x14ac:dyDescent="0.35">
      <c r="K1526" s="4"/>
      <c r="AC1526" s="7">
        <v>2022</v>
      </c>
      <c r="AD1526" s="7">
        <v>3</v>
      </c>
      <c r="AE1526" s="7">
        <v>5</v>
      </c>
      <c r="AF1526" s="8">
        <v>0.5</v>
      </c>
      <c r="AG1526" s="9">
        <v>-4.9000000000000004</v>
      </c>
      <c r="AH1526" s="10">
        <f t="shared" si="38"/>
        <v>-5</v>
      </c>
    </row>
    <row r="1527" spans="11:34" ht="14.5" x14ac:dyDescent="0.35">
      <c r="K1527" s="4"/>
      <c r="AC1527" s="7">
        <v>2022</v>
      </c>
      <c r="AD1527" s="7">
        <v>3</v>
      </c>
      <c r="AE1527" s="7">
        <v>5</v>
      </c>
      <c r="AF1527" s="8">
        <v>0.54166666666666663</v>
      </c>
      <c r="AG1527" s="9">
        <v>-4.3</v>
      </c>
      <c r="AH1527" s="10">
        <f t="shared" si="38"/>
        <v>-4</v>
      </c>
    </row>
    <row r="1528" spans="11:34" ht="14.5" x14ac:dyDescent="0.35">
      <c r="K1528" s="4"/>
      <c r="AC1528" s="7">
        <v>2022</v>
      </c>
      <c r="AD1528" s="7">
        <v>3</v>
      </c>
      <c r="AE1528" s="7">
        <v>5</v>
      </c>
      <c r="AF1528" s="8">
        <v>0.58333333333333337</v>
      </c>
      <c r="AG1528" s="9">
        <v>-3.5</v>
      </c>
      <c r="AH1528" s="10">
        <f t="shared" si="38"/>
        <v>-4</v>
      </c>
    </row>
    <row r="1529" spans="11:34" ht="14.5" x14ac:dyDescent="0.35">
      <c r="K1529" s="4"/>
      <c r="AC1529" s="7">
        <v>2022</v>
      </c>
      <c r="AD1529" s="7">
        <v>3</v>
      </c>
      <c r="AE1529" s="7">
        <v>5</v>
      </c>
      <c r="AF1529" s="8">
        <v>0.625</v>
      </c>
      <c r="AG1529" s="9">
        <v>-2.7</v>
      </c>
      <c r="AH1529" s="10">
        <f t="shared" si="38"/>
        <v>-3</v>
      </c>
    </row>
    <row r="1530" spans="11:34" ht="14.5" x14ac:dyDescent="0.35">
      <c r="K1530" s="4"/>
      <c r="AC1530" s="7">
        <v>2022</v>
      </c>
      <c r="AD1530" s="7">
        <v>3</v>
      </c>
      <c r="AE1530" s="7">
        <v>5</v>
      </c>
      <c r="AF1530" s="8">
        <v>0.66666666666666663</v>
      </c>
      <c r="AG1530" s="9">
        <v>-2.6</v>
      </c>
      <c r="AH1530" s="10">
        <f t="shared" si="38"/>
        <v>-3</v>
      </c>
    </row>
    <row r="1531" spans="11:34" ht="14.5" x14ac:dyDescent="0.35">
      <c r="K1531" s="4"/>
      <c r="AC1531" s="7">
        <v>2022</v>
      </c>
      <c r="AD1531" s="7">
        <v>3</v>
      </c>
      <c r="AE1531" s="7">
        <v>5</v>
      </c>
      <c r="AF1531" s="8">
        <v>0.70833333333333337</v>
      </c>
      <c r="AG1531" s="9">
        <v>-4</v>
      </c>
      <c r="AH1531" s="10">
        <f t="shared" si="38"/>
        <v>-4</v>
      </c>
    </row>
    <row r="1532" spans="11:34" ht="14.5" x14ac:dyDescent="0.35">
      <c r="K1532" s="4"/>
      <c r="AC1532" s="7">
        <v>2022</v>
      </c>
      <c r="AD1532" s="7">
        <v>3</v>
      </c>
      <c r="AE1532" s="7">
        <v>5</v>
      </c>
      <c r="AF1532" s="8">
        <v>0.75</v>
      </c>
      <c r="AG1532" s="9">
        <v>-4.5999999999999996</v>
      </c>
      <c r="AH1532" s="10">
        <f t="shared" si="38"/>
        <v>-5</v>
      </c>
    </row>
    <row r="1533" spans="11:34" ht="14.5" x14ac:dyDescent="0.35">
      <c r="K1533" s="4"/>
      <c r="AC1533" s="7">
        <v>2022</v>
      </c>
      <c r="AD1533" s="7">
        <v>3</v>
      </c>
      <c r="AE1533" s="7">
        <v>5</v>
      </c>
      <c r="AF1533" s="8">
        <v>0.79166666666666663</v>
      </c>
      <c r="AG1533" s="9">
        <v>-4.7</v>
      </c>
      <c r="AH1533" s="10">
        <f t="shared" si="38"/>
        <v>-5</v>
      </c>
    </row>
    <row r="1534" spans="11:34" ht="14.5" x14ac:dyDescent="0.35">
      <c r="K1534" s="4"/>
      <c r="AC1534" s="7">
        <v>2022</v>
      </c>
      <c r="AD1534" s="7">
        <v>3</v>
      </c>
      <c r="AE1534" s="7">
        <v>5</v>
      </c>
      <c r="AF1534" s="8">
        <v>0.83333333333333337</v>
      </c>
      <c r="AG1534" s="9">
        <v>-5.8</v>
      </c>
      <c r="AH1534" s="10">
        <f t="shared" si="38"/>
        <v>-6</v>
      </c>
    </row>
    <row r="1535" spans="11:34" ht="14.5" x14ac:dyDescent="0.35">
      <c r="K1535" s="4"/>
      <c r="AC1535" s="7">
        <v>2022</v>
      </c>
      <c r="AD1535" s="7">
        <v>3</v>
      </c>
      <c r="AE1535" s="7">
        <v>5</v>
      </c>
      <c r="AF1535" s="8">
        <v>0.875</v>
      </c>
      <c r="AG1535" s="9">
        <v>-6.3</v>
      </c>
      <c r="AH1535" s="10">
        <f t="shared" si="38"/>
        <v>-6</v>
      </c>
    </row>
    <row r="1536" spans="11:34" ht="14.5" x14ac:dyDescent="0.35">
      <c r="K1536" s="4"/>
      <c r="AC1536" s="7">
        <v>2022</v>
      </c>
      <c r="AD1536" s="7">
        <v>3</v>
      </c>
      <c r="AE1536" s="7">
        <v>5</v>
      </c>
      <c r="AF1536" s="8">
        <v>0.91666666666666663</v>
      </c>
      <c r="AG1536" s="9">
        <v>-7.2</v>
      </c>
      <c r="AH1536" s="10">
        <f t="shared" si="38"/>
        <v>-7</v>
      </c>
    </row>
    <row r="1537" spans="11:34" ht="14.5" x14ac:dyDescent="0.35">
      <c r="K1537" s="4"/>
      <c r="AC1537" s="7">
        <v>2022</v>
      </c>
      <c r="AD1537" s="7">
        <v>3</v>
      </c>
      <c r="AE1537" s="7">
        <v>5</v>
      </c>
      <c r="AF1537" s="8">
        <v>0.95833333333333337</v>
      </c>
      <c r="AG1537" s="9">
        <v>-6.5</v>
      </c>
      <c r="AH1537" s="10">
        <f t="shared" si="38"/>
        <v>-7</v>
      </c>
    </row>
    <row r="1538" spans="11:34" ht="14.5" x14ac:dyDescent="0.35">
      <c r="K1538" s="4"/>
      <c r="AC1538" s="7">
        <v>2022</v>
      </c>
      <c r="AD1538" s="7">
        <v>3</v>
      </c>
      <c r="AE1538" s="7">
        <v>6</v>
      </c>
      <c r="AF1538" s="8">
        <v>0</v>
      </c>
      <c r="AG1538" s="9">
        <v>-6</v>
      </c>
      <c r="AH1538" s="10">
        <f t="shared" si="38"/>
        <v>-6</v>
      </c>
    </row>
    <row r="1539" spans="11:34" ht="14.5" x14ac:dyDescent="0.35">
      <c r="K1539" s="4"/>
      <c r="AC1539" s="7">
        <v>2022</v>
      </c>
      <c r="AD1539" s="7">
        <v>3</v>
      </c>
      <c r="AE1539" s="7">
        <v>6</v>
      </c>
      <c r="AF1539" s="8">
        <v>4.1666666666666664E-2</v>
      </c>
      <c r="AG1539" s="9">
        <v>-5.2</v>
      </c>
      <c r="AH1539" s="10">
        <f t="shared" si="38"/>
        <v>-5</v>
      </c>
    </row>
    <row r="1540" spans="11:34" ht="14.5" x14ac:dyDescent="0.35">
      <c r="K1540" s="4"/>
      <c r="AC1540" s="7">
        <v>2022</v>
      </c>
      <c r="AD1540" s="7">
        <v>3</v>
      </c>
      <c r="AE1540" s="7">
        <v>6</v>
      </c>
      <c r="AF1540" s="8">
        <v>8.3333333333333329E-2</v>
      </c>
      <c r="AG1540" s="9">
        <v>-5.2</v>
      </c>
      <c r="AH1540" s="10">
        <f t="shared" si="38"/>
        <v>-5</v>
      </c>
    </row>
    <row r="1541" spans="11:34" ht="14.5" x14ac:dyDescent="0.35">
      <c r="K1541" s="4"/>
      <c r="AC1541" s="7">
        <v>2022</v>
      </c>
      <c r="AD1541" s="7">
        <v>3</v>
      </c>
      <c r="AE1541" s="7">
        <v>6</v>
      </c>
      <c r="AF1541" s="8">
        <v>0.125</v>
      </c>
      <c r="AG1541" s="9">
        <v>-5</v>
      </c>
      <c r="AH1541" s="10">
        <f t="shared" si="38"/>
        <v>-5</v>
      </c>
    </row>
    <row r="1542" spans="11:34" ht="14.5" x14ac:dyDescent="0.35">
      <c r="K1542" s="4"/>
      <c r="AC1542" s="7">
        <v>2022</v>
      </c>
      <c r="AD1542" s="7">
        <v>3</v>
      </c>
      <c r="AE1542" s="7">
        <v>6</v>
      </c>
      <c r="AF1542" s="8">
        <v>0.16666666666666666</v>
      </c>
      <c r="AG1542" s="9">
        <v>-5.0999999999999996</v>
      </c>
      <c r="AH1542" s="10">
        <f t="shared" si="38"/>
        <v>-5</v>
      </c>
    </row>
    <row r="1543" spans="11:34" ht="14.5" x14ac:dyDescent="0.35">
      <c r="K1543" s="4"/>
      <c r="AC1543" s="7">
        <v>2022</v>
      </c>
      <c r="AD1543" s="7">
        <v>3</v>
      </c>
      <c r="AE1543" s="7">
        <v>6</v>
      </c>
      <c r="AF1543" s="8">
        <v>0.20833333333333334</v>
      </c>
      <c r="AG1543" s="9">
        <v>-6.5</v>
      </c>
      <c r="AH1543" s="10">
        <f t="shared" si="38"/>
        <v>-7</v>
      </c>
    </row>
    <row r="1544" spans="11:34" ht="14.5" x14ac:dyDescent="0.35">
      <c r="K1544" s="4"/>
      <c r="AC1544" s="7">
        <v>2022</v>
      </c>
      <c r="AD1544" s="7">
        <v>3</v>
      </c>
      <c r="AE1544" s="7">
        <v>6</v>
      </c>
      <c r="AF1544" s="8">
        <v>0.25</v>
      </c>
      <c r="AG1544" s="9">
        <v>-6.7</v>
      </c>
      <c r="AH1544" s="10">
        <f t="shared" si="38"/>
        <v>-7</v>
      </c>
    </row>
    <row r="1545" spans="11:34" ht="14.5" x14ac:dyDescent="0.35">
      <c r="K1545" s="4"/>
      <c r="AC1545" s="7">
        <v>2022</v>
      </c>
      <c r="AD1545" s="7">
        <v>3</v>
      </c>
      <c r="AE1545" s="7">
        <v>6</v>
      </c>
      <c r="AF1545" s="8">
        <v>0.29166666666666669</v>
      </c>
      <c r="AG1545" s="9">
        <v>-6.7</v>
      </c>
      <c r="AH1545" s="10">
        <f t="shared" si="38"/>
        <v>-7</v>
      </c>
    </row>
    <row r="1546" spans="11:34" ht="14.5" x14ac:dyDescent="0.35">
      <c r="K1546" s="4"/>
      <c r="AC1546" s="7">
        <v>2022</v>
      </c>
      <c r="AD1546" s="7">
        <v>3</v>
      </c>
      <c r="AE1546" s="7">
        <v>6</v>
      </c>
      <c r="AF1546" s="8">
        <v>0.33333333333333331</v>
      </c>
      <c r="AG1546" s="9">
        <v>-7.8</v>
      </c>
      <c r="AH1546" s="10">
        <f t="shared" si="38"/>
        <v>-8</v>
      </c>
    </row>
    <row r="1547" spans="11:34" ht="14.5" x14ac:dyDescent="0.35">
      <c r="K1547" s="4"/>
      <c r="AC1547" s="7">
        <v>2022</v>
      </c>
      <c r="AD1547" s="7">
        <v>3</v>
      </c>
      <c r="AE1547" s="7">
        <v>6</v>
      </c>
      <c r="AF1547" s="8">
        <v>0.375</v>
      </c>
      <c r="AG1547" s="9">
        <v>-5.7</v>
      </c>
      <c r="AH1547" s="10">
        <f t="shared" ref="AH1547:AH1610" si="39">ROUND(AG1547,0)</f>
        <v>-6</v>
      </c>
    </row>
    <row r="1548" spans="11:34" ht="14.5" x14ac:dyDescent="0.35">
      <c r="K1548" s="4"/>
      <c r="AC1548" s="7">
        <v>2022</v>
      </c>
      <c r="AD1548" s="7">
        <v>3</v>
      </c>
      <c r="AE1548" s="7">
        <v>6</v>
      </c>
      <c r="AF1548" s="8">
        <v>0.41666666666666669</v>
      </c>
      <c r="AG1548" s="9">
        <v>-4</v>
      </c>
      <c r="AH1548" s="10">
        <f t="shared" si="39"/>
        <v>-4</v>
      </c>
    </row>
    <row r="1549" spans="11:34" ht="14.5" x14ac:dyDescent="0.35">
      <c r="K1549" s="4"/>
      <c r="AC1549" s="7">
        <v>2022</v>
      </c>
      <c r="AD1549" s="7">
        <v>3</v>
      </c>
      <c r="AE1549" s="7">
        <v>6</v>
      </c>
      <c r="AF1549" s="8">
        <v>0.45833333333333331</v>
      </c>
      <c r="AG1549" s="9">
        <v>-2.9</v>
      </c>
      <c r="AH1549" s="10">
        <f t="shared" si="39"/>
        <v>-3</v>
      </c>
    </row>
    <row r="1550" spans="11:34" ht="14.5" x14ac:dyDescent="0.35">
      <c r="K1550" s="4"/>
      <c r="AC1550" s="7">
        <v>2022</v>
      </c>
      <c r="AD1550" s="7">
        <v>3</v>
      </c>
      <c r="AE1550" s="7">
        <v>6</v>
      </c>
      <c r="AF1550" s="8">
        <v>0.5</v>
      </c>
      <c r="AG1550" s="9">
        <v>-2</v>
      </c>
      <c r="AH1550" s="10">
        <f t="shared" si="39"/>
        <v>-2</v>
      </c>
    </row>
    <row r="1551" spans="11:34" ht="14.5" x14ac:dyDescent="0.35">
      <c r="K1551" s="4"/>
      <c r="AC1551" s="7">
        <v>2022</v>
      </c>
      <c r="AD1551" s="7">
        <v>3</v>
      </c>
      <c r="AE1551" s="7">
        <v>6</v>
      </c>
      <c r="AF1551" s="8">
        <v>0.54166666666666663</v>
      </c>
      <c r="AG1551" s="9">
        <v>-1.2</v>
      </c>
      <c r="AH1551" s="10">
        <f t="shared" si="39"/>
        <v>-1</v>
      </c>
    </row>
    <row r="1552" spans="11:34" ht="14.5" x14ac:dyDescent="0.35">
      <c r="K1552" s="4"/>
      <c r="AC1552" s="7">
        <v>2022</v>
      </c>
      <c r="AD1552" s="7">
        <v>3</v>
      </c>
      <c r="AE1552" s="7">
        <v>6</v>
      </c>
      <c r="AF1552" s="8">
        <v>0.58333333333333337</v>
      </c>
      <c r="AG1552" s="9">
        <v>-0.4</v>
      </c>
      <c r="AH1552" s="10">
        <f t="shared" si="39"/>
        <v>0</v>
      </c>
    </row>
    <row r="1553" spans="11:34" ht="14.5" x14ac:dyDescent="0.35">
      <c r="K1553" s="4"/>
      <c r="AC1553" s="7">
        <v>2022</v>
      </c>
      <c r="AD1553" s="7">
        <v>3</v>
      </c>
      <c r="AE1553" s="7">
        <v>6</v>
      </c>
      <c r="AF1553" s="8">
        <v>0.625</v>
      </c>
      <c r="AG1553" s="9">
        <v>0</v>
      </c>
      <c r="AH1553" s="10">
        <f t="shared" si="39"/>
        <v>0</v>
      </c>
    </row>
    <row r="1554" spans="11:34" ht="14.5" x14ac:dyDescent="0.35">
      <c r="K1554" s="4"/>
      <c r="AC1554" s="7">
        <v>2022</v>
      </c>
      <c r="AD1554" s="7">
        <v>3</v>
      </c>
      <c r="AE1554" s="7">
        <v>6</v>
      </c>
      <c r="AF1554" s="8">
        <v>0.66666666666666663</v>
      </c>
      <c r="AG1554" s="9">
        <v>-0.6</v>
      </c>
      <c r="AH1554" s="10">
        <f t="shared" si="39"/>
        <v>-1</v>
      </c>
    </row>
    <row r="1555" spans="11:34" ht="14.5" x14ac:dyDescent="0.35">
      <c r="K1555" s="4"/>
      <c r="AC1555" s="7">
        <v>2022</v>
      </c>
      <c r="AD1555" s="7">
        <v>3</v>
      </c>
      <c r="AE1555" s="7">
        <v>6</v>
      </c>
      <c r="AF1555" s="8">
        <v>0.70833333333333337</v>
      </c>
      <c r="AG1555" s="9">
        <v>-0.6</v>
      </c>
      <c r="AH1555" s="10">
        <f t="shared" si="39"/>
        <v>-1</v>
      </c>
    </row>
    <row r="1556" spans="11:34" ht="14.5" x14ac:dyDescent="0.35">
      <c r="K1556" s="4"/>
      <c r="AC1556" s="7">
        <v>2022</v>
      </c>
      <c r="AD1556" s="7">
        <v>3</v>
      </c>
      <c r="AE1556" s="7">
        <v>6</v>
      </c>
      <c r="AF1556" s="8">
        <v>0.75</v>
      </c>
      <c r="AG1556" s="9">
        <v>-2.5</v>
      </c>
      <c r="AH1556" s="10">
        <f t="shared" si="39"/>
        <v>-3</v>
      </c>
    </row>
    <row r="1557" spans="11:34" ht="14.5" x14ac:dyDescent="0.35">
      <c r="K1557" s="4"/>
      <c r="AC1557" s="7">
        <v>2022</v>
      </c>
      <c r="AD1557" s="7">
        <v>3</v>
      </c>
      <c r="AE1557" s="7">
        <v>6</v>
      </c>
      <c r="AF1557" s="8">
        <v>0.79166666666666663</v>
      </c>
      <c r="AG1557" s="9">
        <v>-3.8</v>
      </c>
      <c r="AH1557" s="10">
        <f t="shared" si="39"/>
        <v>-4</v>
      </c>
    </row>
    <row r="1558" spans="11:34" ht="14.5" x14ac:dyDescent="0.35">
      <c r="K1558" s="4"/>
      <c r="AC1558" s="7">
        <v>2022</v>
      </c>
      <c r="AD1558" s="7">
        <v>3</v>
      </c>
      <c r="AE1558" s="7">
        <v>6</v>
      </c>
      <c r="AF1558" s="8">
        <v>0.83333333333333337</v>
      </c>
      <c r="AG1558" s="9">
        <v>-4.0999999999999996</v>
      </c>
      <c r="AH1558" s="10">
        <f t="shared" si="39"/>
        <v>-4</v>
      </c>
    </row>
    <row r="1559" spans="11:34" ht="14.5" x14ac:dyDescent="0.35">
      <c r="K1559" s="4"/>
      <c r="AC1559" s="7">
        <v>2022</v>
      </c>
      <c r="AD1559" s="7">
        <v>3</v>
      </c>
      <c r="AE1559" s="7">
        <v>6</v>
      </c>
      <c r="AF1559" s="8">
        <v>0.875</v>
      </c>
      <c r="AG1559" s="9">
        <v>-4.5999999999999996</v>
      </c>
      <c r="AH1559" s="10">
        <f t="shared" si="39"/>
        <v>-5</v>
      </c>
    </row>
    <row r="1560" spans="11:34" ht="14.5" x14ac:dyDescent="0.35">
      <c r="K1560" s="4"/>
      <c r="AC1560" s="7">
        <v>2022</v>
      </c>
      <c r="AD1560" s="7">
        <v>3</v>
      </c>
      <c r="AE1560" s="7">
        <v>6</v>
      </c>
      <c r="AF1560" s="8">
        <v>0.91666666666666663</v>
      </c>
      <c r="AG1560" s="9">
        <v>-4.9000000000000004</v>
      </c>
      <c r="AH1560" s="10">
        <f t="shared" si="39"/>
        <v>-5</v>
      </c>
    </row>
    <row r="1561" spans="11:34" ht="14.5" x14ac:dyDescent="0.35">
      <c r="K1561" s="4"/>
      <c r="AC1561" s="7">
        <v>2022</v>
      </c>
      <c r="AD1561" s="7">
        <v>3</v>
      </c>
      <c r="AE1561" s="7">
        <v>6</v>
      </c>
      <c r="AF1561" s="8">
        <v>0.95833333333333337</v>
      </c>
      <c r="AG1561" s="9">
        <v>-3.1</v>
      </c>
      <c r="AH1561" s="10">
        <f t="shared" si="39"/>
        <v>-3</v>
      </c>
    </row>
    <row r="1562" spans="11:34" ht="14.5" x14ac:dyDescent="0.35">
      <c r="K1562" s="4"/>
      <c r="AC1562" s="7">
        <v>2022</v>
      </c>
      <c r="AD1562" s="7">
        <v>3</v>
      </c>
      <c r="AE1562" s="7">
        <v>7</v>
      </c>
      <c r="AF1562" s="8">
        <v>0</v>
      </c>
      <c r="AG1562" s="9">
        <v>-2.2999999999999998</v>
      </c>
      <c r="AH1562" s="10">
        <f t="shared" si="39"/>
        <v>-2</v>
      </c>
    </row>
    <row r="1563" spans="11:34" ht="14.5" x14ac:dyDescent="0.35">
      <c r="K1563" s="4"/>
      <c r="AC1563" s="7">
        <v>2022</v>
      </c>
      <c r="AD1563" s="7">
        <v>3</v>
      </c>
      <c r="AE1563" s="7">
        <v>7</v>
      </c>
      <c r="AF1563" s="8">
        <v>4.1666666666666664E-2</v>
      </c>
      <c r="AG1563" s="9">
        <v>2.7</v>
      </c>
      <c r="AH1563" s="10">
        <f t="shared" si="39"/>
        <v>3</v>
      </c>
    </row>
    <row r="1564" spans="11:34" ht="14.5" x14ac:dyDescent="0.35">
      <c r="K1564" s="4"/>
      <c r="AC1564" s="7">
        <v>2022</v>
      </c>
      <c r="AD1564" s="7">
        <v>3</v>
      </c>
      <c r="AE1564" s="7">
        <v>7</v>
      </c>
      <c r="AF1564" s="8">
        <v>8.3333333333333329E-2</v>
      </c>
      <c r="AG1564" s="9">
        <v>2.7</v>
      </c>
      <c r="AH1564" s="10">
        <f t="shared" si="39"/>
        <v>3</v>
      </c>
    </row>
    <row r="1565" spans="11:34" ht="14.5" x14ac:dyDescent="0.35">
      <c r="K1565" s="4"/>
      <c r="AC1565" s="7">
        <v>2022</v>
      </c>
      <c r="AD1565" s="7">
        <v>3</v>
      </c>
      <c r="AE1565" s="7">
        <v>7</v>
      </c>
      <c r="AF1565" s="8">
        <v>0.125</v>
      </c>
      <c r="AG1565" s="9">
        <v>2.7</v>
      </c>
      <c r="AH1565" s="10">
        <f t="shared" si="39"/>
        <v>3</v>
      </c>
    </row>
    <row r="1566" spans="11:34" ht="14.5" x14ac:dyDescent="0.35">
      <c r="K1566" s="4"/>
      <c r="AC1566" s="7">
        <v>2022</v>
      </c>
      <c r="AD1566" s="7">
        <v>3</v>
      </c>
      <c r="AE1566" s="7">
        <v>7</v>
      </c>
      <c r="AF1566" s="8">
        <v>0.16666666666666666</v>
      </c>
      <c r="AG1566" s="9">
        <v>2.9</v>
      </c>
      <c r="AH1566" s="10">
        <f t="shared" si="39"/>
        <v>3</v>
      </c>
    </row>
    <row r="1567" spans="11:34" ht="14.5" x14ac:dyDescent="0.35">
      <c r="K1567" s="4"/>
      <c r="AC1567" s="7">
        <v>2022</v>
      </c>
      <c r="AD1567" s="7">
        <v>3</v>
      </c>
      <c r="AE1567" s="7">
        <v>7</v>
      </c>
      <c r="AF1567" s="8">
        <v>0.20833333333333334</v>
      </c>
      <c r="AG1567" s="9">
        <v>3.1</v>
      </c>
      <c r="AH1567" s="10">
        <f t="shared" si="39"/>
        <v>3</v>
      </c>
    </row>
    <row r="1568" spans="11:34" ht="14.5" x14ac:dyDescent="0.35">
      <c r="K1568" s="4"/>
      <c r="AC1568" s="7">
        <v>2022</v>
      </c>
      <c r="AD1568" s="7">
        <v>3</v>
      </c>
      <c r="AE1568" s="7">
        <v>7</v>
      </c>
      <c r="AF1568" s="8">
        <v>0.25</v>
      </c>
      <c r="AG1568" s="9">
        <v>2.5</v>
      </c>
      <c r="AH1568" s="10">
        <f t="shared" si="39"/>
        <v>3</v>
      </c>
    </row>
    <row r="1569" spans="11:34" ht="14.5" x14ac:dyDescent="0.35">
      <c r="K1569" s="4"/>
      <c r="AC1569" s="7">
        <v>2022</v>
      </c>
      <c r="AD1569" s="7">
        <v>3</v>
      </c>
      <c r="AE1569" s="7">
        <v>7</v>
      </c>
      <c r="AF1569" s="8">
        <v>0.29166666666666669</v>
      </c>
      <c r="AG1569" s="9">
        <v>3.1</v>
      </c>
      <c r="AH1569" s="10">
        <f t="shared" si="39"/>
        <v>3</v>
      </c>
    </row>
    <row r="1570" spans="11:34" ht="14.5" x14ac:dyDescent="0.35">
      <c r="K1570" s="4"/>
      <c r="AC1570" s="7">
        <v>2022</v>
      </c>
      <c r="AD1570" s="7">
        <v>3</v>
      </c>
      <c r="AE1570" s="7">
        <v>7</v>
      </c>
      <c r="AF1570" s="8">
        <v>0.33333333333333331</v>
      </c>
      <c r="AG1570" s="9">
        <v>2.9</v>
      </c>
      <c r="AH1570" s="10">
        <f t="shared" si="39"/>
        <v>3</v>
      </c>
    </row>
    <row r="1571" spans="11:34" ht="14.5" x14ac:dyDescent="0.35">
      <c r="K1571" s="4"/>
      <c r="AC1571" s="7">
        <v>2022</v>
      </c>
      <c r="AD1571" s="7">
        <v>3</v>
      </c>
      <c r="AE1571" s="7">
        <v>7</v>
      </c>
      <c r="AF1571" s="8">
        <v>0.375</v>
      </c>
      <c r="AG1571" s="9">
        <v>3.5</v>
      </c>
      <c r="AH1571" s="10">
        <f t="shared" si="39"/>
        <v>4</v>
      </c>
    </row>
    <row r="1572" spans="11:34" ht="14.5" x14ac:dyDescent="0.35">
      <c r="K1572" s="4"/>
      <c r="AC1572" s="7">
        <v>2022</v>
      </c>
      <c r="AD1572" s="7">
        <v>3</v>
      </c>
      <c r="AE1572" s="7">
        <v>7</v>
      </c>
      <c r="AF1572" s="8">
        <v>0.41666666666666669</v>
      </c>
      <c r="AG1572" s="9">
        <v>1.1000000000000001</v>
      </c>
      <c r="AH1572" s="10">
        <f t="shared" si="39"/>
        <v>1</v>
      </c>
    </row>
    <row r="1573" spans="11:34" ht="14.5" x14ac:dyDescent="0.35">
      <c r="K1573" s="4"/>
      <c r="AC1573" s="7">
        <v>2022</v>
      </c>
      <c r="AD1573" s="7">
        <v>3</v>
      </c>
      <c r="AE1573" s="7">
        <v>7</v>
      </c>
      <c r="AF1573" s="8">
        <v>0.45833333333333331</v>
      </c>
      <c r="AG1573" s="9">
        <v>0</v>
      </c>
      <c r="AH1573" s="10">
        <f t="shared" si="39"/>
        <v>0</v>
      </c>
    </row>
    <row r="1574" spans="11:34" ht="14.5" x14ac:dyDescent="0.35">
      <c r="K1574" s="4"/>
      <c r="AC1574" s="7">
        <v>2022</v>
      </c>
      <c r="AD1574" s="7">
        <v>3</v>
      </c>
      <c r="AE1574" s="7">
        <v>7</v>
      </c>
      <c r="AF1574" s="8">
        <v>0.5</v>
      </c>
      <c r="AG1574" s="9">
        <v>1.1000000000000001</v>
      </c>
      <c r="AH1574" s="10">
        <f t="shared" si="39"/>
        <v>1</v>
      </c>
    </row>
    <row r="1575" spans="11:34" ht="14.5" x14ac:dyDescent="0.35">
      <c r="K1575" s="4"/>
      <c r="AC1575" s="7">
        <v>2022</v>
      </c>
      <c r="AD1575" s="7">
        <v>3</v>
      </c>
      <c r="AE1575" s="7">
        <v>7</v>
      </c>
      <c r="AF1575" s="8">
        <v>0.54166666666666663</v>
      </c>
      <c r="AG1575" s="9">
        <v>0.7</v>
      </c>
      <c r="AH1575" s="10">
        <f t="shared" si="39"/>
        <v>1</v>
      </c>
    </row>
    <row r="1576" spans="11:34" ht="14.5" x14ac:dyDescent="0.35">
      <c r="K1576" s="4"/>
      <c r="AC1576" s="7">
        <v>2022</v>
      </c>
      <c r="AD1576" s="7">
        <v>3</v>
      </c>
      <c r="AE1576" s="7">
        <v>7</v>
      </c>
      <c r="AF1576" s="8">
        <v>0.58333333333333337</v>
      </c>
      <c r="AG1576" s="9">
        <v>0.9</v>
      </c>
      <c r="AH1576" s="10">
        <f t="shared" si="39"/>
        <v>1</v>
      </c>
    </row>
    <row r="1577" spans="11:34" ht="14.5" x14ac:dyDescent="0.35">
      <c r="K1577" s="4"/>
      <c r="AC1577" s="7">
        <v>2022</v>
      </c>
      <c r="AD1577" s="7">
        <v>3</v>
      </c>
      <c r="AE1577" s="7">
        <v>7</v>
      </c>
      <c r="AF1577" s="8">
        <v>0.625</v>
      </c>
      <c r="AG1577" s="9">
        <v>-0.8</v>
      </c>
      <c r="AH1577" s="10">
        <f t="shared" si="39"/>
        <v>-1</v>
      </c>
    </row>
    <row r="1578" spans="11:34" ht="14.5" x14ac:dyDescent="0.35">
      <c r="K1578" s="4"/>
      <c r="AC1578" s="7">
        <v>2022</v>
      </c>
      <c r="AD1578" s="7">
        <v>3</v>
      </c>
      <c r="AE1578" s="7">
        <v>7</v>
      </c>
      <c r="AF1578" s="8">
        <v>0.66666666666666663</v>
      </c>
      <c r="AG1578" s="9">
        <v>-1.3</v>
      </c>
      <c r="AH1578" s="10">
        <f t="shared" si="39"/>
        <v>-1</v>
      </c>
    </row>
    <row r="1579" spans="11:34" ht="14.5" x14ac:dyDescent="0.35">
      <c r="K1579" s="4"/>
      <c r="AC1579" s="7">
        <v>2022</v>
      </c>
      <c r="AD1579" s="7">
        <v>3</v>
      </c>
      <c r="AE1579" s="7">
        <v>7</v>
      </c>
      <c r="AF1579" s="8">
        <v>0.70833333333333337</v>
      </c>
      <c r="AG1579" s="9">
        <v>-2.2000000000000002</v>
      </c>
      <c r="AH1579" s="10">
        <f t="shared" si="39"/>
        <v>-2</v>
      </c>
    </row>
    <row r="1580" spans="11:34" ht="14.5" x14ac:dyDescent="0.35">
      <c r="K1580" s="4"/>
      <c r="AC1580" s="7">
        <v>2022</v>
      </c>
      <c r="AD1580" s="7">
        <v>3</v>
      </c>
      <c r="AE1580" s="7">
        <v>7</v>
      </c>
      <c r="AF1580" s="8">
        <v>0.75</v>
      </c>
      <c r="AG1580" s="9">
        <v>-3.4</v>
      </c>
      <c r="AH1580" s="10">
        <f t="shared" si="39"/>
        <v>-3</v>
      </c>
    </row>
    <row r="1581" spans="11:34" ht="14.5" x14ac:dyDescent="0.35">
      <c r="K1581" s="4"/>
      <c r="AC1581" s="7">
        <v>2022</v>
      </c>
      <c r="AD1581" s="7">
        <v>3</v>
      </c>
      <c r="AE1581" s="7">
        <v>7</v>
      </c>
      <c r="AF1581" s="8">
        <v>0.79166666666666663</v>
      </c>
      <c r="AG1581" s="9">
        <v>-4.3</v>
      </c>
      <c r="AH1581" s="10">
        <f t="shared" si="39"/>
        <v>-4</v>
      </c>
    </row>
    <row r="1582" spans="11:34" ht="14.5" x14ac:dyDescent="0.35">
      <c r="K1582" s="4"/>
      <c r="AC1582" s="7">
        <v>2022</v>
      </c>
      <c r="AD1582" s="7">
        <v>3</v>
      </c>
      <c r="AE1582" s="7">
        <v>7</v>
      </c>
      <c r="AF1582" s="8">
        <v>0.83333333333333337</v>
      </c>
      <c r="AG1582" s="9">
        <v>-5.6</v>
      </c>
      <c r="AH1582" s="10">
        <f t="shared" si="39"/>
        <v>-6</v>
      </c>
    </row>
    <row r="1583" spans="11:34" ht="14.5" x14ac:dyDescent="0.35">
      <c r="K1583" s="4"/>
      <c r="AC1583" s="7">
        <v>2022</v>
      </c>
      <c r="AD1583" s="7">
        <v>3</v>
      </c>
      <c r="AE1583" s="7">
        <v>7</v>
      </c>
      <c r="AF1583" s="8">
        <v>0.875</v>
      </c>
      <c r="AG1583" s="9">
        <v>-6.3</v>
      </c>
      <c r="AH1583" s="10">
        <f t="shared" si="39"/>
        <v>-6</v>
      </c>
    </row>
    <row r="1584" spans="11:34" ht="14.5" x14ac:dyDescent="0.35">
      <c r="K1584" s="4"/>
      <c r="AC1584" s="7">
        <v>2022</v>
      </c>
      <c r="AD1584" s="7">
        <v>3</v>
      </c>
      <c r="AE1584" s="7">
        <v>7</v>
      </c>
      <c r="AF1584" s="8">
        <v>0.91666666666666663</v>
      </c>
      <c r="AG1584" s="9">
        <v>-6.4</v>
      </c>
      <c r="AH1584" s="10">
        <f t="shared" si="39"/>
        <v>-6</v>
      </c>
    </row>
    <row r="1585" spans="11:34" ht="14.5" x14ac:dyDescent="0.35">
      <c r="K1585" s="4"/>
      <c r="AC1585" s="7">
        <v>2022</v>
      </c>
      <c r="AD1585" s="7">
        <v>3</v>
      </c>
      <c r="AE1585" s="7">
        <v>7</v>
      </c>
      <c r="AF1585" s="8">
        <v>0.95833333333333337</v>
      </c>
      <c r="AG1585" s="9">
        <v>-7</v>
      </c>
      <c r="AH1585" s="10">
        <f t="shared" si="39"/>
        <v>-7</v>
      </c>
    </row>
    <row r="1586" spans="11:34" ht="14.5" x14ac:dyDescent="0.35">
      <c r="K1586" s="4"/>
      <c r="AC1586" s="7">
        <v>2022</v>
      </c>
      <c r="AD1586" s="7">
        <v>3</v>
      </c>
      <c r="AE1586" s="7">
        <v>8</v>
      </c>
      <c r="AF1586" s="8">
        <v>0</v>
      </c>
      <c r="AG1586" s="9">
        <v>-7.2</v>
      </c>
      <c r="AH1586" s="10">
        <f t="shared" si="39"/>
        <v>-7</v>
      </c>
    </row>
    <row r="1587" spans="11:34" ht="14.5" x14ac:dyDescent="0.35">
      <c r="K1587" s="4"/>
      <c r="AC1587" s="7">
        <v>2022</v>
      </c>
      <c r="AD1587" s="7">
        <v>3</v>
      </c>
      <c r="AE1587" s="7">
        <v>8</v>
      </c>
      <c r="AF1587" s="8">
        <v>4.1666666666666664E-2</v>
      </c>
      <c r="AG1587" s="9">
        <v>-7.6</v>
      </c>
      <c r="AH1587" s="10">
        <f t="shared" si="39"/>
        <v>-8</v>
      </c>
    </row>
    <row r="1588" spans="11:34" ht="14.5" x14ac:dyDescent="0.35">
      <c r="K1588" s="4"/>
      <c r="AC1588" s="7">
        <v>2022</v>
      </c>
      <c r="AD1588" s="7">
        <v>3</v>
      </c>
      <c r="AE1588" s="7">
        <v>8</v>
      </c>
      <c r="AF1588" s="8">
        <v>8.3333333333333329E-2</v>
      </c>
      <c r="AG1588" s="9">
        <v>-9.1</v>
      </c>
      <c r="AH1588" s="10">
        <f t="shared" si="39"/>
        <v>-9</v>
      </c>
    </row>
    <row r="1589" spans="11:34" ht="14.5" x14ac:dyDescent="0.35">
      <c r="K1589" s="4"/>
      <c r="AC1589" s="7">
        <v>2022</v>
      </c>
      <c r="AD1589" s="7">
        <v>3</v>
      </c>
      <c r="AE1589" s="7">
        <v>8</v>
      </c>
      <c r="AF1589" s="8">
        <v>0.125</v>
      </c>
      <c r="AG1589" s="9">
        <v>-9.6</v>
      </c>
      <c r="AH1589" s="10">
        <f t="shared" si="39"/>
        <v>-10</v>
      </c>
    </row>
    <row r="1590" spans="11:34" ht="14.5" x14ac:dyDescent="0.35">
      <c r="K1590" s="4"/>
      <c r="AC1590" s="7">
        <v>2022</v>
      </c>
      <c r="AD1590" s="7">
        <v>3</v>
      </c>
      <c r="AE1590" s="7">
        <v>8</v>
      </c>
      <c r="AF1590" s="8">
        <v>0.16666666666666666</v>
      </c>
      <c r="AG1590" s="9">
        <v>-9.6</v>
      </c>
      <c r="AH1590" s="10">
        <f t="shared" si="39"/>
        <v>-10</v>
      </c>
    </row>
    <row r="1591" spans="11:34" ht="14.5" x14ac:dyDescent="0.35">
      <c r="K1591" s="4"/>
      <c r="AC1591" s="7">
        <v>2022</v>
      </c>
      <c r="AD1591" s="7">
        <v>3</v>
      </c>
      <c r="AE1591" s="7">
        <v>8</v>
      </c>
      <c r="AF1591" s="8">
        <v>0.20833333333333334</v>
      </c>
      <c r="AG1591" s="9">
        <v>-11.5</v>
      </c>
      <c r="AH1591" s="10">
        <f t="shared" si="39"/>
        <v>-12</v>
      </c>
    </row>
    <row r="1592" spans="11:34" ht="14.5" x14ac:dyDescent="0.35">
      <c r="K1592" s="4"/>
      <c r="AC1592" s="7">
        <v>2022</v>
      </c>
      <c r="AD1592" s="7">
        <v>3</v>
      </c>
      <c r="AE1592" s="7">
        <v>8</v>
      </c>
      <c r="AF1592" s="8">
        <v>0.25</v>
      </c>
      <c r="AG1592" s="9">
        <v>-11.6</v>
      </c>
      <c r="AH1592" s="10">
        <f t="shared" si="39"/>
        <v>-12</v>
      </c>
    </row>
    <row r="1593" spans="11:34" ht="14.5" x14ac:dyDescent="0.35">
      <c r="K1593" s="4"/>
      <c r="AC1593" s="7">
        <v>2022</v>
      </c>
      <c r="AD1593" s="7">
        <v>3</v>
      </c>
      <c r="AE1593" s="7">
        <v>8</v>
      </c>
      <c r="AF1593" s="8">
        <v>0.29166666666666669</v>
      </c>
      <c r="AG1593" s="9">
        <v>-11.4</v>
      </c>
      <c r="AH1593" s="10">
        <f t="shared" si="39"/>
        <v>-11</v>
      </c>
    </row>
    <row r="1594" spans="11:34" ht="14.5" x14ac:dyDescent="0.35">
      <c r="K1594" s="4"/>
      <c r="AC1594" s="7">
        <v>2022</v>
      </c>
      <c r="AD1594" s="7">
        <v>3</v>
      </c>
      <c r="AE1594" s="7">
        <v>8</v>
      </c>
      <c r="AF1594" s="8">
        <v>0.33333333333333331</v>
      </c>
      <c r="AG1594" s="9">
        <v>-11.7</v>
      </c>
      <c r="AH1594" s="10">
        <f t="shared" si="39"/>
        <v>-12</v>
      </c>
    </row>
    <row r="1595" spans="11:34" ht="14.5" x14ac:dyDescent="0.35">
      <c r="K1595" s="4"/>
      <c r="AC1595" s="7">
        <v>2022</v>
      </c>
      <c r="AD1595" s="7">
        <v>3</v>
      </c>
      <c r="AE1595" s="7">
        <v>8</v>
      </c>
      <c r="AF1595" s="8">
        <v>0.375</v>
      </c>
      <c r="AG1595" s="9">
        <v>-10.9</v>
      </c>
      <c r="AH1595" s="10">
        <f t="shared" si="39"/>
        <v>-11</v>
      </c>
    </row>
    <row r="1596" spans="11:34" ht="14.5" x14ac:dyDescent="0.35">
      <c r="K1596" s="4"/>
      <c r="AC1596" s="7">
        <v>2022</v>
      </c>
      <c r="AD1596" s="7">
        <v>3</v>
      </c>
      <c r="AE1596" s="7">
        <v>8</v>
      </c>
      <c r="AF1596" s="8">
        <v>0.41666666666666669</v>
      </c>
      <c r="AG1596" s="9">
        <v>-9.9</v>
      </c>
      <c r="AH1596" s="10">
        <f t="shared" si="39"/>
        <v>-10</v>
      </c>
    </row>
    <row r="1597" spans="11:34" ht="14.5" x14ac:dyDescent="0.35">
      <c r="K1597" s="4"/>
      <c r="AC1597" s="7">
        <v>2022</v>
      </c>
      <c r="AD1597" s="7">
        <v>3</v>
      </c>
      <c r="AE1597" s="7">
        <v>8</v>
      </c>
      <c r="AF1597" s="8">
        <v>0.45833333333333331</v>
      </c>
      <c r="AG1597" s="9">
        <v>-9</v>
      </c>
      <c r="AH1597" s="10">
        <f t="shared" si="39"/>
        <v>-9</v>
      </c>
    </row>
    <row r="1598" spans="11:34" ht="14.5" x14ac:dyDescent="0.35">
      <c r="K1598" s="4"/>
      <c r="AC1598" s="7">
        <v>2022</v>
      </c>
      <c r="AD1598" s="7">
        <v>3</v>
      </c>
      <c r="AE1598" s="7">
        <v>8</v>
      </c>
      <c r="AF1598" s="8">
        <v>0.5</v>
      </c>
      <c r="AG1598" s="9">
        <v>-8.9</v>
      </c>
      <c r="AH1598" s="10">
        <f t="shared" si="39"/>
        <v>-9</v>
      </c>
    </row>
    <row r="1599" spans="11:34" ht="14.5" x14ac:dyDescent="0.35">
      <c r="K1599" s="4"/>
      <c r="AC1599" s="7">
        <v>2022</v>
      </c>
      <c r="AD1599" s="7">
        <v>3</v>
      </c>
      <c r="AE1599" s="7">
        <v>8</v>
      </c>
      <c r="AF1599" s="8">
        <v>0.54166666666666663</v>
      </c>
      <c r="AG1599" s="9">
        <v>-8.4</v>
      </c>
      <c r="AH1599" s="10">
        <f t="shared" si="39"/>
        <v>-8</v>
      </c>
    </row>
    <row r="1600" spans="11:34" ht="14.5" x14ac:dyDescent="0.35">
      <c r="K1600" s="4"/>
      <c r="AC1600" s="7">
        <v>2022</v>
      </c>
      <c r="AD1600" s="7">
        <v>3</v>
      </c>
      <c r="AE1600" s="7">
        <v>8</v>
      </c>
      <c r="AF1600" s="8">
        <v>0.58333333333333337</v>
      </c>
      <c r="AG1600" s="9">
        <v>-6.9</v>
      </c>
      <c r="AH1600" s="10">
        <f t="shared" si="39"/>
        <v>-7</v>
      </c>
    </row>
    <row r="1601" spans="11:34" ht="14.5" x14ac:dyDescent="0.35">
      <c r="K1601" s="4"/>
      <c r="AC1601" s="7">
        <v>2022</v>
      </c>
      <c r="AD1601" s="7">
        <v>3</v>
      </c>
      <c r="AE1601" s="7">
        <v>8</v>
      </c>
      <c r="AF1601" s="8">
        <v>0.625</v>
      </c>
      <c r="AG1601" s="9">
        <v>-8.1</v>
      </c>
      <c r="AH1601" s="10">
        <f t="shared" si="39"/>
        <v>-8</v>
      </c>
    </row>
    <row r="1602" spans="11:34" ht="14.5" x14ac:dyDescent="0.35">
      <c r="K1602" s="4"/>
      <c r="AC1602" s="7">
        <v>2022</v>
      </c>
      <c r="AD1602" s="7">
        <v>3</v>
      </c>
      <c r="AE1602" s="7">
        <v>8</v>
      </c>
      <c r="AF1602" s="8">
        <v>0.66666666666666663</v>
      </c>
      <c r="AG1602" s="9">
        <v>-7.9</v>
      </c>
      <c r="AH1602" s="10">
        <f t="shared" si="39"/>
        <v>-8</v>
      </c>
    </row>
    <row r="1603" spans="11:34" ht="14.5" x14ac:dyDescent="0.35">
      <c r="K1603" s="4"/>
      <c r="AC1603" s="7">
        <v>2022</v>
      </c>
      <c r="AD1603" s="7">
        <v>3</v>
      </c>
      <c r="AE1603" s="7">
        <v>8</v>
      </c>
      <c r="AF1603" s="8">
        <v>0.70833333333333337</v>
      </c>
      <c r="AG1603" s="9">
        <v>-8.3000000000000007</v>
      </c>
      <c r="AH1603" s="10">
        <f t="shared" si="39"/>
        <v>-8</v>
      </c>
    </row>
    <row r="1604" spans="11:34" ht="14.5" x14ac:dyDescent="0.35">
      <c r="K1604" s="4"/>
      <c r="AC1604" s="7">
        <v>2022</v>
      </c>
      <c r="AD1604" s="7">
        <v>3</v>
      </c>
      <c r="AE1604" s="7">
        <v>8</v>
      </c>
      <c r="AF1604" s="8">
        <v>0.75</v>
      </c>
      <c r="AG1604" s="9">
        <v>-9.4</v>
      </c>
      <c r="AH1604" s="10">
        <f t="shared" si="39"/>
        <v>-9</v>
      </c>
    </row>
    <row r="1605" spans="11:34" ht="14.5" x14ac:dyDescent="0.35">
      <c r="K1605" s="4"/>
      <c r="AC1605" s="7">
        <v>2022</v>
      </c>
      <c r="AD1605" s="7">
        <v>3</v>
      </c>
      <c r="AE1605" s="7">
        <v>8</v>
      </c>
      <c r="AF1605" s="8">
        <v>0.79166666666666663</v>
      </c>
      <c r="AG1605" s="9">
        <v>-11</v>
      </c>
      <c r="AH1605" s="10">
        <f t="shared" si="39"/>
        <v>-11</v>
      </c>
    </row>
    <row r="1606" spans="11:34" ht="14.5" x14ac:dyDescent="0.35">
      <c r="K1606" s="4"/>
      <c r="AC1606" s="7">
        <v>2022</v>
      </c>
      <c r="AD1606" s="7">
        <v>3</v>
      </c>
      <c r="AE1606" s="7">
        <v>8</v>
      </c>
      <c r="AF1606" s="8">
        <v>0.83333333333333337</v>
      </c>
      <c r="AG1606" s="9">
        <v>-10.6</v>
      </c>
      <c r="AH1606" s="10">
        <f t="shared" si="39"/>
        <v>-11</v>
      </c>
    </row>
    <row r="1607" spans="11:34" ht="14.5" x14ac:dyDescent="0.35">
      <c r="K1607" s="4"/>
      <c r="AC1607" s="7">
        <v>2022</v>
      </c>
      <c r="AD1607" s="7">
        <v>3</v>
      </c>
      <c r="AE1607" s="7">
        <v>8</v>
      </c>
      <c r="AF1607" s="8">
        <v>0.875</v>
      </c>
      <c r="AG1607" s="9">
        <v>-10.7</v>
      </c>
      <c r="AH1607" s="10">
        <f t="shared" si="39"/>
        <v>-11</v>
      </c>
    </row>
    <row r="1608" spans="11:34" ht="14.5" x14ac:dyDescent="0.35">
      <c r="K1608" s="4"/>
      <c r="AC1608" s="7">
        <v>2022</v>
      </c>
      <c r="AD1608" s="7">
        <v>3</v>
      </c>
      <c r="AE1608" s="7">
        <v>8</v>
      </c>
      <c r="AF1608" s="8">
        <v>0.91666666666666663</v>
      </c>
      <c r="AG1608" s="9">
        <v>-11.7</v>
      </c>
      <c r="AH1608" s="10">
        <f t="shared" si="39"/>
        <v>-12</v>
      </c>
    </row>
    <row r="1609" spans="11:34" ht="14.5" x14ac:dyDescent="0.35">
      <c r="K1609" s="4"/>
      <c r="AC1609" s="7">
        <v>2022</v>
      </c>
      <c r="AD1609" s="7">
        <v>3</v>
      </c>
      <c r="AE1609" s="7">
        <v>8</v>
      </c>
      <c r="AF1609" s="8">
        <v>0.95833333333333337</v>
      </c>
      <c r="AG1609" s="9">
        <v>-11.9</v>
      </c>
      <c r="AH1609" s="10">
        <f t="shared" si="39"/>
        <v>-12</v>
      </c>
    </row>
    <row r="1610" spans="11:34" ht="14.5" x14ac:dyDescent="0.35">
      <c r="K1610" s="4"/>
      <c r="AC1610" s="7">
        <v>2022</v>
      </c>
      <c r="AD1610" s="7">
        <v>3</v>
      </c>
      <c r="AE1610" s="7">
        <v>9</v>
      </c>
      <c r="AF1610" s="8">
        <v>0</v>
      </c>
      <c r="AG1610" s="9">
        <v>-12.9</v>
      </c>
      <c r="AH1610" s="10">
        <f t="shared" si="39"/>
        <v>-13</v>
      </c>
    </row>
    <row r="1611" spans="11:34" ht="14.5" x14ac:dyDescent="0.35">
      <c r="K1611" s="4"/>
      <c r="AC1611" s="7">
        <v>2022</v>
      </c>
      <c r="AD1611" s="7">
        <v>3</v>
      </c>
      <c r="AE1611" s="7">
        <v>9</v>
      </c>
      <c r="AF1611" s="8">
        <v>4.1666666666666664E-2</v>
      </c>
      <c r="AG1611" s="9">
        <v>-14.5</v>
      </c>
      <c r="AH1611" s="10">
        <f t="shared" ref="AH1611:AH1674" si="40">ROUND(AG1611,0)</f>
        <v>-15</v>
      </c>
    </row>
    <row r="1612" spans="11:34" ht="14.5" x14ac:dyDescent="0.35">
      <c r="K1612" s="4"/>
      <c r="AC1612" s="7">
        <v>2022</v>
      </c>
      <c r="AD1612" s="7">
        <v>3</v>
      </c>
      <c r="AE1612" s="7">
        <v>9</v>
      </c>
      <c r="AF1612" s="8">
        <v>8.3333333333333329E-2</v>
      </c>
      <c r="AG1612" s="9">
        <v>-15.4</v>
      </c>
      <c r="AH1612" s="10">
        <f t="shared" si="40"/>
        <v>-15</v>
      </c>
    </row>
    <row r="1613" spans="11:34" ht="14.5" x14ac:dyDescent="0.35">
      <c r="K1613" s="4"/>
      <c r="AC1613" s="7">
        <v>2022</v>
      </c>
      <c r="AD1613" s="7">
        <v>3</v>
      </c>
      <c r="AE1613" s="7">
        <v>9</v>
      </c>
      <c r="AF1613" s="8">
        <v>0.125</v>
      </c>
      <c r="AG1613" s="9">
        <v>-16.3</v>
      </c>
      <c r="AH1613" s="10">
        <f t="shared" si="40"/>
        <v>-16</v>
      </c>
    </row>
    <row r="1614" spans="11:34" ht="14.5" x14ac:dyDescent="0.35">
      <c r="K1614" s="4"/>
      <c r="AC1614" s="7">
        <v>2022</v>
      </c>
      <c r="AD1614" s="7">
        <v>3</v>
      </c>
      <c r="AE1614" s="7">
        <v>9</v>
      </c>
      <c r="AF1614" s="8">
        <v>0.16666666666666666</v>
      </c>
      <c r="AG1614" s="9">
        <v>-16.3</v>
      </c>
      <c r="AH1614" s="10">
        <f t="shared" si="40"/>
        <v>-16</v>
      </c>
    </row>
    <row r="1615" spans="11:34" ht="14.5" x14ac:dyDescent="0.35">
      <c r="K1615" s="4"/>
      <c r="AC1615" s="7">
        <v>2022</v>
      </c>
      <c r="AD1615" s="7">
        <v>3</v>
      </c>
      <c r="AE1615" s="7">
        <v>9</v>
      </c>
      <c r="AF1615" s="8">
        <v>0.20833333333333334</v>
      </c>
      <c r="AG1615" s="9">
        <v>-16.899999999999999</v>
      </c>
      <c r="AH1615" s="10">
        <f t="shared" si="40"/>
        <v>-17</v>
      </c>
    </row>
    <row r="1616" spans="11:34" ht="14.5" x14ac:dyDescent="0.35">
      <c r="K1616" s="4"/>
      <c r="AC1616" s="7">
        <v>2022</v>
      </c>
      <c r="AD1616" s="7">
        <v>3</v>
      </c>
      <c r="AE1616" s="7">
        <v>9</v>
      </c>
      <c r="AF1616" s="8">
        <v>0.25</v>
      </c>
      <c r="AG1616" s="9">
        <v>-15.9</v>
      </c>
      <c r="AH1616" s="10">
        <f t="shared" si="40"/>
        <v>-16</v>
      </c>
    </row>
    <row r="1617" spans="11:34" ht="14.5" x14ac:dyDescent="0.35">
      <c r="K1617" s="4"/>
      <c r="AC1617" s="7">
        <v>2022</v>
      </c>
      <c r="AD1617" s="7">
        <v>3</v>
      </c>
      <c r="AE1617" s="7">
        <v>9</v>
      </c>
      <c r="AF1617" s="8">
        <v>0.29166666666666669</v>
      </c>
      <c r="AG1617" s="9">
        <v>-16.8</v>
      </c>
      <c r="AH1617" s="10">
        <f t="shared" si="40"/>
        <v>-17</v>
      </c>
    </row>
    <row r="1618" spans="11:34" ht="14.5" x14ac:dyDescent="0.35">
      <c r="K1618" s="4"/>
      <c r="AC1618" s="7">
        <v>2022</v>
      </c>
      <c r="AD1618" s="7">
        <v>3</v>
      </c>
      <c r="AE1618" s="7">
        <v>9</v>
      </c>
      <c r="AF1618" s="8">
        <v>0.33333333333333331</v>
      </c>
      <c r="AG1618" s="9">
        <v>-15.6</v>
      </c>
      <c r="AH1618" s="10">
        <f t="shared" si="40"/>
        <v>-16</v>
      </c>
    </row>
    <row r="1619" spans="11:34" ht="14.5" x14ac:dyDescent="0.35">
      <c r="K1619" s="4"/>
      <c r="AC1619" s="7">
        <v>2022</v>
      </c>
      <c r="AD1619" s="7">
        <v>3</v>
      </c>
      <c r="AE1619" s="7">
        <v>9</v>
      </c>
      <c r="AF1619" s="8">
        <v>0.375</v>
      </c>
      <c r="AG1619" s="9">
        <v>-13.8</v>
      </c>
      <c r="AH1619" s="10">
        <f t="shared" si="40"/>
        <v>-14</v>
      </c>
    </row>
    <row r="1620" spans="11:34" ht="14.5" x14ac:dyDescent="0.35">
      <c r="K1620" s="4"/>
      <c r="AC1620" s="7">
        <v>2022</v>
      </c>
      <c r="AD1620" s="7">
        <v>3</v>
      </c>
      <c r="AE1620" s="7">
        <v>9</v>
      </c>
      <c r="AF1620" s="8">
        <v>0.41666666666666669</v>
      </c>
      <c r="AG1620" s="9">
        <v>-13.6</v>
      </c>
      <c r="AH1620" s="10">
        <f t="shared" si="40"/>
        <v>-14</v>
      </c>
    </row>
    <row r="1621" spans="11:34" ht="14.5" x14ac:dyDescent="0.35">
      <c r="K1621" s="4"/>
      <c r="AC1621" s="7">
        <v>2022</v>
      </c>
      <c r="AD1621" s="7">
        <v>3</v>
      </c>
      <c r="AE1621" s="7">
        <v>9</v>
      </c>
      <c r="AF1621" s="8">
        <v>0.45833333333333331</v>
      </c>
      <c r="AG1621" s="9">
        <v>-13</v>
      </c>
      <c r="AH1621" s="10">
        <f t="shared" si="40"/>
        <v>-13</v>
      </c>
    </row>
    <row r="1622" spans="11:34" ht="14.5" x14ac:dyDescent="0.35">
      <c r="K1622" s="4"/>
      <c r="AC1622" s="7">
        <v>2022</v>
      </c>
      <c r="AD1622" s="7">
        <v>3</v>
      </c>
      <c r="AE1622" s="7">
        <v>9</v>
      </c>
      <c r="AF1622" s="8">
        <v>0.5</v>
      </c>
      <c r="AG1622" s="9">
        <v>-12.4</v>
      </c>
      <c r="AH1622" s="10">
        <f t="shared" si="40"/>
        <v>-12</v>
      </c>
    </row>
    <row r="1623" spans="11:34" ht="14.5" x14ac:dyDescent="0.35">
      <c r="K1623" s="4"/>
      <c r="AC1623" s="7">
        <v>2022</v>
      </c>
      <c r="AD1623" s="7">
        <v>3</v>
      </c>
      <c r="AE1623" s="7">
        <v>9</v>
      </c>
      <c r="AF1623" s="8">
        <v>0.54166666666666663</v>
      </c>
      <c r="AG1623" s="9">
        <v>-12.1</v>
      </c>
      <c r="AH1623" s="10">
        <f t="shared" si="40"/>
        <v>-12</v>
      </c>
    </row>
    <row r="1624" spans="11:34" ht="14.5" x14ac:dyDescent="0.35">
      <c r="K1624" s="4"/>
      <c r="AC1624" s="7">
        <v>2022</v>
      </c>
      <c r="AD1624" s="7">
        <v>3</v>
      </c>
      <c r="AE1624" s="7">
        <v>9</v>
      </c>
      <c r="AF1624" s="8">
        <v>0.58333333333333337</v>
      </c>
      <c r="AG1624" s="9">
        <v>-10.9</v>
      </c>
      <c r="AH1624" s="10">
        <f t="shared" si="40"/>
        <v>-11</v>
      </c>
    </row>
    <row r="1625" spans="11:34" ht="14.5" x14ac:dyDescent="0.35">
      <c r="K1625" s="4"/>
      <c r="AC1625" s="7">
        <v>2022</v>
      </c>
      <c r="AD1625" s="7">
        <v>3</v>
      </c>
      <c r="AE1625" s="7">
        <v>9</v>
      </c>
      <c r="AF1625" s="8">
        <v>0.625</v>
      </c>
      <c r="AG1625" s="9">
        <v>-11.4</v>
      </c>
      <c r="AH1625" s="10">
        <f t="shared" si="40"/>
        <v>-11</v>
      </c>
    </row>
    <row r="1626" spans="11:34" ht="14.5" x14ac:dyDescent="0.35">
      <c r="K1626" s="4"/>
      <c r="AC1626" s="7">
        <v>2022</v>
      </c>
      <c r="AD1626" s="7">
        <v>3</v>
      </c>
      <c r="AE1626" s="7">
        <v>9</v>
      </c>
      <c r="AF1626" s="8">
        <v>0.66666666666666663</v>
      </c>
      <c r="AG1626" s="9">
        <v>-10.4</v>
      </c>
      <c r="AH1626" s="10">
        <f t="shared" si="40"/>
        <v>-10</v>
      </c>
    </row>
    <row r="1627" spans="11:34" ht="14.5" x14ac:dyDescent="0.35">
      <c r="K1627" s="4"/>
      <c r="AC1627" s="7">
        <v>2022</v>
      </c>
      <c r="AD1627" s="7">
        <v>3</v>
      </c>
      <c r="AE1627" s="7">
        <v>9</v>
      </c>
      <c r="AF1627" s="8">
        <v>0.70833333333333337</v>
      </c>
      <c r="AG1627" s="9">
        <v>-10.7</v>
      </c>
      <c r="AH1627" s="10">
        <f t="shared" si="40"/>
        <v>-11</v>
      </c>
    </row>
    <row r="1628" spans="11:34" ht="14.5" x14ac:dyDescent="0.35">
      <c r="K1628" s="4"/>
      <c r="AC1628" s="7">
        <v>2022</v>
      </c>
      <c r="AD1628" s="7">
        <v>3</v>
      </c>
      <c r="AE1628" s="7">
        <v>9</v>
      </c>
      <c r="AF1628" s="8">
        <v>0.75</v>
      </c>
      <c r="AG1628" s="9">
        <v>-11.5</v>
      </c>
      <c r="AH1628" s="10">
        <f t="shared" si="40"/>
        <v>-12</v>
      </c>
    </row>
    <row r="1629" spans="11:34" ht="14.5" x14ac:dyDescent="0.35">
      <c r="K1629" s="4"/>
      <c r="AC1629" s="7">
        <v>2022</v>
      </c>
      <c r="AD1629" s="7">
        <v>3</v>
      </c>
      <c r="AE1629" s="7">
        <v>9</v>
      </c>
      <c r="AF1629" s="8">
        <v>0.79166666666666663</v>
      </c>
      <c r="AG1629" s="9">
        <v>-11.7</v>
      </c>
      <c r="AH1629" s="10">
        <f t="shared" si="40"/>
        <v>-12</v>
      </c>
    </row>
    <row r="1630" spans="11:34" ht="14.5" x14ac:dyDescent="0.35">
      <c r="K1630" s="4"/>
      <c r="AC1630" s="7">
        <v>2022</v>
      </c>
      <c r="AD1630" s="7">
        <v>3</v>
      </c>
      <c r="AE1630" s="7">
        <v>9</v>
      </c>
      <c r="AF1630" s="8">
        <v>0.83333333333333337</v>
      </c>
      <c r="AG1630" s="9">
        <v>-12.6</v>
      </c>
      <c r="AH1630" s="10">
        <f t="shared" si="40"/>
        <v>-13</v>
      </c>
    </row>
    <row r="1631" spans="11:34" ht="14.5" x14ac:dyDescent="0.35">
      <c r="K1631" s="4"/>
      <c r="AC1631" s="7">
        <v>2022</v>
      </c>
      <c r="AD1631" s="7">
        <v>3</v>
      </c>
      <c r="AE1631" s="7">
        <v>9</v>
      </c>
      <c r="AF1631" s="8">
        <v>0.875</v>
      </c>
      <c r="AG1631" s="9">
        <v>-13.5</v>
      </c>
      <c r="AH1631" s="10">
        <f t="shared" si="40"/>
        <v>-14</v>
      </c>
    </row>
    <row r="1632" spans="11:34" ht="14.5" x14ac:dyDescent="0.35">
      <c r="K1632" s="4"/>
      <c r="AC1632" s="7">
        <v>2022</v>
      </c>
      <c r="AD1632" s="7">
        <v>3</v>
      </c>
      <c r="AE1632" s="7">
        <v>9</v>
      </c>
      <c r="AF1632" s="8">
        <v>0.91666666666666663</v>
      </c>
      <c r="AG1632" s="9">
        <v>-12.2</v>
      </c>
      <c r="AH1632" s="10">
        <f t="shared" si="40"/>
        <v>-12</v>
      </c>
    </row>
    <row r="1633" spans="11:34" ht="14.5" x14ac:dyDescent="0.35">
      <c r="K1633" s="4"/>
      <c r="AC1633" s="7">
        <v>2022</v>
      </c>
      <c r="AD1633" s="7">
        <v>3</v>
      </c>
      <c r="AE1633" s="7">
        <v>9</v>
      </c>
      <c r="AF1633" s="8">
        <v>0.95833333333333337</v>
      </c>
      <c r="AG1633" s="9">
        <v>-9.1</v>
      </c>
      <c r="AH1633" s="10">
        <f t="shared" si="40"/>
        <v>-9</v>
      </c>
    </row>
    <row r="1634" spans="11:34" ht="14.5" x14ac:dyDescent="0.35">
      <c r="K1634" s="4"/>
      <c r="AC1634" s="7">
        <v>2022</v>
      </c>
      <c r="AD1634" s="7">
        <v>3</v>
      </c>
      <c r="AE1634" s="7">
        <v>10</v>
      </c>
      <c r="AF1634" s="8">
        <v>0</v>
      </c>
      <c r="AG1634" s="9">
        <v>-6.4</v>
      </c>
      <c r="AH1634" s="10">
        <f t="shared" si="40"/>
        <v>-6</v>
      </c>
    </row>
    <row r="1635" spans="11:34" ht="14.5" x14ac:dyDescent="0.35">
      <c r="K1635" s="4"/>
      <c r="AC1635" s="7">
        <v>2022</v>
      </c>
      <c r="AD1635" s="7">
        <v>3</v>
      </c>
      <c r="AE1635" s="7">
        <v>10</v>
      </c>
      <c r="AF1635" s="8">
        <v>4.1666666666666664E-2</v>
      </c>
      <c r="AG1635" s="9">
        <v>-5.6</v>
      </c>
      <c r="AH1635" s="10">
        <f t="shared" si="40"/>
        <v>-6</v>
      </c>
    </row>
    <row r="1636" spans="11:34" ht="14.5" x14ac:dyDescent="0.35">
      <c r="K1636" s="4"/>
      <c r="AC1636" s="7">
        <v>2022</v>
      </c>
      <c r="AD1636" s="7">
        <v>3</v>
      </c>
      <c r="AE1636" s="7">
        <v>10</v>
      </c>
      <c r="AF1636" s="8">
        <v>8.3333333333333329E-2</v>
      </c>
      <c r="AG1636" s="9">
        <v>-6.4</v>
      </c>
      <c r="AH1636" s="10">
        <f t="shared" si="40"/>
        <v>-6</v>
      </c>
    </row>
    <row r="1637" spans="11:34" ht="14.5" x14ac:dyDescent="0.35">
      <c r="K1637" s="4"/>
      <c r="AC1637" s="7">
        <v>2022</v>
      </c>
      <c r="AD1637" s="7">
        <v>3</v>
      </c>
      <c r="AE1637" s="7">
        <v>10</v>
      </c>
      <c r="AF1637" s="8">
        <v>0.125</v>
      </c>
      <c r="AG1637" s="9">
        <v>-7.6</v>
      </c>
      <c r="AH1637" s="10">
        <f t="shared" si="40"/>
        <v>-8</v>
      </c>
    </row>
    <row r="1638" spans="11:34" ht="14.5" x14ac:dyDescent="0.35">
      <c r="K1638" s="4"/>
      <c r="AC1638" s="7">
        <v>2022</v>
      </c>
      <c r="AD1638" s="7">
        <v>3</v>
      </c>
      <c r="AE1638" s="7">
        <v>10</v>
      </c>
      <c r="AF1638" s="8">
        <v>0.16666666666666666</v>
      </c>
      <c r="AG1638" s="9">
        <v>-7.6</v>
      </c>
      <c r="AH1638" s="10">
        <f t="shared" si="40"/>
        <v>-8</v>
      </c>
    </row>
    <row r="1639" spans="11:34" ht="14.5" x14ac:dyDescent="0.35">
      <c r="K1639" s="4"/>
      <c r="AC1639" s="7">
        <v>2022</v>
      </c>
      <c r="AD1639" s="7">
        <v>3</v>
      </c>
      <c r="AE1639" s="7">
        <v>10</v>
      </c>
      <c r="AF1639" s="8">
        <v>0.20833333333333334</v>
      </c>
      <c r="AG1639" s="9">
        <v>-6.2</v>
      </c>
      <c r="AH1639" s="10">
        <f t="shared" si="40"/>
        <v>-6</v>
      </c>
    </row>
    <row r="1640" spans="11:34" ht="14.5" x14ac:dyDescent="0.35">
      <c r="K1640" s="4"/>
      <c r="AC1640" s="7">
        <v>2022</v>
      </c>
      <c r="AD1640" s="7">
        <v>3</v>
      </c>
      <c r="AE1640" s="7">
        <v>10</v>
      </c>
      <c r="AF1640" s="8">
        <v>0.25</v>
      </c>
      <c r="AG1640" s="9">
        <v>-7.3</v>
      </c>
      <c r="AH1640" s="10">
        <f t="shared" si="40"/>
        <v>-7</v>
      </c>
    </row>
    <row r="1641" spans="11:34" ht="14.5" x14ac:dyDescent="0.35">
      <c r="K1641" s="4"/>
      <c r="AC1641" s="7">
        <v>2022</v>
      </c>
      <c r="AD1641" s="7">
        <v>3</v>
      </c>
      <c r="AE1641" s="7">
        <v>10</v>
      </c>
      <c r="AF1641" s="8">
        <v>0.29166666666666669</v>
      </c>
      <c r="AG1641" s="9">
        <v>-9.1</v>
      </c>
      <c r="AH1641" s="10">
        <f t="shared" si="40"/>
        <v>-9</v>
      </c>
    </row>
    <row r="1642" spans="11:34" ht="14.5" x14ac:dyDescent="0.35">
      <c r="K1642" s="4"/>
      <c r="AC1642" s="7">
        <v>2022</v>
      </c>
      <c r="AD1642" s="7">
        <v>3</v>
      </c>
      <c r="AE1642" s="7">
        <v>10</v>
      </c>
      <c r="AF1642" s="8">
        <v>0.33333333333333331</v>
      </c>
      <c r="AG1642" s="9">
        <v>-7.9</v>
      </c>
      <c r="AH1642" s="10">
        <f t="shared" si="40"/>
        <v>-8</v>
      </c>
    </row>
    <row r="1643" spans="11:34" ht="14.5" x14ac:dyDescent="0.35">
      <c r="K1643" s="4"/>
      <c r="AC1643" s="7">
        <v>2022</v>
      </c>
      <c r="AD1643" s="7">
        <v>3</v>
      </c>
      <c r="AE1643" s="7">
        <v>10</v>
      </c>
      <c r="AF1643" s="8">
        <v>0.375</v>
      </c>
      <c r="AG1643" s="9">
        <v>-5.7</v>
      </c>
      <c r="AH1643" s="10">
        <f t="shared" si="40"/>
        <v>-6</v>
      </c>
    </row>
    <row r="1644" spans="11:34" ht="14.5" x14ac:dyDescent="0.35">
      <c r="K1644" s="4"/>
      <c r="AC1644" s="7">
        <v>2022</v>
      </c>
      <c r="AD1644" s="7">
        <v>3</v>
      </c>
      <c r="AE1644" s="7">
        <v>10</v>
      </c>
      <c r="AF1644" s="8">
        <v>0.41666666666666669</v>
      </c>
      <c r="AG1644" s="9">
        <v>-5</v>
      </c>
      <c r="AH1644" s="10">
        <f t="shared" si="40"/>
        <v>-5</v>
      </c>
    </row>
    <row r="1645" spans="11:34" ht="14.5" x14ac:dyDescent="0.35">
      <c r="K1645" s="4"/>
      <c r="AC1645" s="7">
        <v>2022</v>
      </c>
      <c r="AD1645" s="7">
        <v>3</v>
      </c>
      <c r="AE1645" s="7">
        <v>10</v>
      </c>
      <c r="AF1645" s="8">
        <v>0.45833333333333331</v>
      </c>
      <c r="AG1645" s="9">
        <v>-6.3</v>
      </c>
      <c r="AH1645" s="10">
        <f t="shared" si="40"/>
        <v>-6</v>
      </c>
    </row>
    <row r="1646" spans="11:34" ht="14.5" x14ac:dyDescent="0.35">
      <c r="K1646" s="4"/>
      <c r="AC1646" s="7">
        <v>2022</v>
      </c>
      <c r="AD1646" s="7">
        <v>3</v>
      </c>
      <c r="AE1646" s="7">
        <v>10</v>
      </c>
      <c r="AF1646" s="8">
        <v>0.5</v>
      </c>
      <c r="AG1646" s="9">
        <v>-7.3</v>
      </c>
      <c r="AH1646" s="10">
        <f t="shared" si="40"/>
        <v>-7</v>
      </c>
    </row>
    <row r="1647" spans="11:34" ht="14.5" x14ac:dyDescent="0.35">
      <c r="K1647" s="4"/>
      <c r="AC1647" s="7">
        <v>2022</v>
      </c>
      <c r="AD1647" s="7">
        <v>3</v>
      </c>
      <c r="AE1647" s="7">
        <v>10</v>
      </c>
      <c r="AF1647" s="8">
        <v>0.54166666666666663</v>
      </c>
      <c r="AG1647" s="9">
        <v>-8.3000000000000007</v>
      </c>
      <c r="AH1647" s="10">
        <f t="shared" si="40"/>
        <v>-8</v>
      </c>
    </row>
    <row r="1648" spans="11:34" ht="14.5" x14ac:dyDescent="0.35">
      <c r="K1648" s="4"/>
      <c r="AC1648" s="7">
        <v>2022</v>
      </c>
      <c r="AD1648" s="7">
        <v>3</v>
      </c>
      <c r="AE1648" s="7">
        <v>10</v>
      </c>
      <c r="AF1648" s="8">
        <v>0.58333333333333337</v>
      </c>
      <c r="AG1648" s="9">
        <v>-8.5</v>
      </c>
      <c r="AH1648" s="10">
        <f t="shared" si="40"/>
        <v>-9</v>
      </c>
    </row>
    <row r="1649" spans="11:34" ht="14.5" x14ac:dyDescent="0.35">
      <c r="K1649" s="4"/>
      <c r="AC1649" s="7">
        <v>2022</v>
      </c>
      <c r="AD1649" s="7">
        <v>3</v>
      </c>
      <c r="AE1649" s="7">
        <v>10</v>
      </c>
      <c r="AF1649" s="8">
        <v>0.625</v>
      </c>
      <c r="AG1649" s="9">
        <v>-9.1</v>
      </c>
      <c r="AH1649" s="10">
        <f t="shared" si="40"/>
        <v>-9</v>
      </c>
    </row>
    <row r="1650" spans="11:34" ht="14.5" x14ac:dyDescent="0.35">
      <c r="K1650" s="4"/>
      <c r="AC1650" s="7">
        <v>2022</v>
      </c>
      <c r="AD1650" s="7">
        <v>3</v>
      </c>
      <c r="AE1650" s="7">
        <v>10</v>
      </c>
      <c r="AF1650" s="8">
        <v>0.66666666666666663</v>
      </c>
      <c r="AG1650" s="9">
        <v>-8.1999999999999993</v>
      </c>
      <c r="AH1650" s="10">
        <f t="shared" si="40"/>
        <v>-8</v>
      </c>
    </row>
    <row r="1651" spans="11:34" ht="14.5" x14ac:dyDescent="0.35">
      <c r="K1651" s="4"/>
      <c r="AC1651" s="7">
        <v>2022</v>
      </c>
      <c r="AD1651" s="7">
        <v>3</v>
      </c>
      <c r="AE1651" s="7">
        <v>10</v>
      </c>
      <c r="AF1651" s="8">
        <v>0.70833333333333337</v>
      </c>
      <c r="AG1651" s="9">
        <v>-9</v>
      </c>
      <c r="AH1651" s="10">
        <f t="shared" si="40"/>
        <v>-9</v>
      </c>
    </row>
    <row r="1652" spans="11:34" ht="14.5" x14ac:dyDescent="0.35">
      <c r="K1652" s="4"/>
      <c r="AC1652" s="7">
        <v>2022</v>
      </c>
      <c r="AD1652" s="7">
        <v>3</v>
      </c>
      <c r="AE1652" s="7">
        <v>10</v>
      </c>
      <c r="AF1652" s="8">
        <v>0.75</v>
      </c>
      <c r="AG1652" s="9">
        <v>-9.8000000000000007</v>
      </c>
      <c r="AH1652" s="10">
        <f t="shared" si="40"/>
        <v>-10</v>
      </c>
    </row>
    <row r="1653" spans="11:34" ht="14.5" x14ac:dyDescent="0.35">
      <c r="K1653" s="4"/>
      <c r="AC1653" s="7">
        <v>2022</v>
      </c>
      <c r="AD1653" s="7">
        <v>3</v>
      </c>
      <c r="AE1653" s="7">
        <v>10</v>
      </c>
      <c r="AF1653" s="8">
        <v>0.79166666666666663</v>
      </c>
      <c r="AG1653" s="9">
        <v>-10.8</v>
      </c>
      <c r="AH1653" s="10">
        <f t="shared" si="40"/>
        <v>-11</v>
      </c>
    </row>
    <row r="1654" spans="11:34" ht="14.5" x14ac:dyDescent="0.35">
      <c r="K1654" s="4"/>
      <c r="AC1654" s="7">
        <v>2022</v>
      </c>
      <c r="AD1654" s="7">
        <v>3</v>
      </c>
      <c r="AE1654" s="7">
        <v>10</v>
      </c>
      <c r="AF1654" s="8">
        <v>0.83333333333333337</v>
      </c>
      <c r="AG1654" s="9">
        <v>-11</v>
      </c>
      <c r="AH1654" s="10">
        <f t="shared" si="40"/>
        <v>-11</v>
      </c>
    </row>
    <row r="1655" spans="11:34" ht="14.5" x14ac:dyDescent="0.35">
      <c r="K1655" s="4"/>
      <c r="AC1655" s="7">
        <v>2022</v>
      </c>
      <c r="AD1655" s="7">
        <v>3</v>
      </c>
      <c r="AE1655" s="7">
        <v>10</v>
      </c>
      <c r="AF1655" s="8">
        <v>0.875</v>
      </c>
      <c r="AG1655" s="9">
        <v>-12.5</v>
      </c>
      <c r="AH1655" s="10">
        <f t="shared" si="40"/>
        <v>-13</v>
      </c>
    </row>
    <row r="1656" spans="11:34" ht="14.5" x14ac:dyDescent="0.35">
      <c r="K1656" s="4"/>
      <c r="AC1656" s="7">
        <v>2022</v>
      </c>
      <c r="AD1656" s="7">
        <v>3</v>
      </c>
      <c r="AE1656" s="7">
        <v>10</v>
      </c>
      <c r="AF1656" s="8">
        <v>0.91666666666666663</v>
      </c>
      <c r="AG1656" s="9">
        <v>-12.3</v>
      </c>
      <c r="AH1656" s="10">
        <f t="shared" si="40"/>
        <v>-12</v>
      </c>
    </row>
    <row r="1657" spans="11:34" ht="14.5" x14ac:dyDescent="0.35">
      <c r="K1657" s="4"/>
      <c r="AC1657" s="7">
        <v>2022</v>
      </c>
      <c r="AD1657" s="7">
        <v>3</v>
      </c>
      <c r="AE1657" s="7">
        <v>10</v>
      </c>
      <c r="AF1657" s="8">
        <v>0.95833333333333337</v>
      </c>
      <c r="AG1657" s="9">
        <v>-13.3</v>
      </c>
      <c r="AH1657" s="10">
        <f t="shared" si="40"/>
        <v>-13</v>
      </c>
    </row>
    <row r="1658" spans="11:34" ht="14.5" x14ac:dyDescent="0.35">
      <c r="K1658" s="4"/>
      <c r="AC1658" s="7">
        <v>2022</v>
      </c>
      <c r="AD1658" s="7">
        <v>3</v>
      </c>
      <c r="AE1658" s="7">
        <v>11</v>
      </c>
      <c r="AF1658" s="8">
        <v>0</v>
      </c>
      <c r="AG1658" s="9">
        <v>-13.9</v>
      </c>
      <c r="AH1658" s="10">
        <f t="shared" si="40"/>
        <v>-14</v>
      </c>
    </row>
    <row r="1659" spans="11:34" ht="14.5" x14ac:dyDescent="0.35">
      <c r="K1659" s="4"/>
      <c r="AC1659" s="7">
        <v>2022</v>
      </c>
      <c r="AD1659" s="7">
        <v>3</v>
      </c>
      <c r="AE1659" s="7">
        <v>11</v>
      </c>
      <c r="AF1659" s="8">
        <v>4.1666666666666664E-2</v>
      </c>
      <c r="AG1659" s="9">
        <v>-14</v>
      </c>
      <c r="AH1659" s="10">
        <f t="shared" si="40"/>
        <v>-14</v>
      </c>
    </row>
    <row r="1660" spans="11:34" ht="14.5" x14ac:dyDescent="0.35">
      <c r="K1660" s="4"/>
      <c r="AC1660" s="7">
        <v>2022</v>
      </c>
      <c r="AD1660" s="7">
        <v>3</v>
      </c>
      <c r="AE1660" s="7">
        <v>11</v>
      </c>
      <c r="AF1660" s="8">
        <v>8.3333333333333329E-2</v>
      </c>
      <c r="AG1660" s="9">
        <v>-14.9</v>
      </c>
      <c r="AH1660" s="10">
        <f t="shared" si="40"/>
        <v>-15</v>
      </c>
    </row>
    <row r="1661" spans="11:34" ht="14.5" x14ac:dyDescent="0.35">
      <c r="K1661" s="4"/>
      <c r="AC1661" s="7">
        <v>2022</v>
      </c>
      <c r="AD1661" s="7">
        <v>3</v>
      </c>
      <c r="AE1661" s="7">
        <v>11</v>
      </c>
      <c r="AF1661" s="8">
        <v>0.125</v>
      </c>
      <c r="AG1661" s="9">
        <v>-15.4</v>
      </c>
      <c r="AH1661" s="10">
        <f t="shared" si="40"/>
        <v>-15</v>
      </c>
    </row>
    <row r="1662" spans="11:34" ht="14.5" x14ac:dyDescent="0.35">
      <c r="K1662" s="4"/>
      <c r="AC1662" s="7">
        <v>2022</v>
      </c>
      <c r="AD1662" s="7">
        <v>3</v>
      </c>
      <c r="AE1662" s="7">
        <v>11</v>
      </c>
      <c r="AF1662" s="8">
        <v>0.16666666666666666</v>
      </c>
      <c r="AG1662" s="9">
        <v>-15.4</v>
      </c>
      <c r="AH1662" s="10">
        <f t="shared" si="40"/>
        <v>-15</v>
      </c>
    </row>
    <row r="1663" spans="11:34" ht="14.5" x14ac:dyDescent="0.35">
      <c r="K1663" s="4"/>
      <c r="AC1663" s="7">
        <v>2022</v>
      </c>
      <c r="AD1663" s="7">
        <v>3</v>
      </c>
      <c r="AE1663" s="7">
        <v>11</v>
      </c>
      <c r="AF1663" s="8">
        <v>0.20833333333333334</v>
      </c>
      <c r="AG1663" s="9">
        <v>-15.6</v>
      </c>
      <c r="AH1663" s="10">
        <f t="shared" si="40"/>
        <v>-16</v>
      </c>
    </row>
    <row r="1664" spans="11:34" ht="14.5" x14ac:dyDescent="0.35">
      <c r="K1664" s="4"/>
      <c r="AC1664" s="7">
        <v>2022</v>
      </c>
      <c r="AD1664" s="7">
        <v>3</v>
      </c>
      <c r="AE1664" s="7">
        <v>11</v>
      </c>
      <c r="AF1664" s="8">
        <v>0.25</v>
      </c>
      <c r="AG1664" s="9">
        <v>-15.7</v>
      </c>
      <c r="AH1664" s="10">
        <f t="shared" si="40"/>
        <v>-16</v>
      </c>
    </row>
    <row r="1665" spans="11:34" ht="14.5" x14ac:dyDescent="0.35">
      <c r="K1665" s="4"/>
      <c r="AC1665" s="7">
        <v>2022</v>
      </c>
      <c r="AD1665" s="7">
        <v>3</v>
      </c>
      <c r="AE1665" s="7">
        <v>11</v>
      </c>
      <c r="AF1665" s="8">
        <v>0.29166666666666669</v>
      </c>
      <c r="AG1665" s="9">
        <v>-15.6</v>
      </c>
      <c r="AH1665" s="10">
        <f t="shared" si="40"/>
        <v>-16</v>
      </c>
    </row>
    <row r="1666" spans="11:34" ht="14.5" x14ac:dyDescent="0.35">
      <c r="K1666" s="4"/>
      <c r="AC1666" s="7">
        <v>2022</v>
      </c>
      <c r="AD1666" s="7">
        <v>3</v>
      </c>
      <c r="AE1666" s="7">
        <v>11</v>
      </c>
      <c r="AF1666" s="8">
        <v>0.33333333333333331</v>
      </c>
      <c r="AG1666" s="9">
        <v>-14</v>
      </c>
      <c r="AH1666" s="10">
        <f t="shared" si="40"/>
        <v>-14</v>
      </c>
    </row>
    <row r="1667" spans="11:34" ht="14.5" x14ac:dyDescent="0.35">
      <c r="K1667" s="4"/>
      <c r="AC1667" s="7">
        <v>2022</v>
      </c>
      <c r="AD1667" s="7">
        <v>3</v>
      </c>
      <c r="AE1667" s="7">
        <v>11</v>
      </c>
      <c r="AF1667" s="8">
        <v>0.375</v>
      </c>
      <c r="AG1667" s="9">
        <v>-11.7</v>
      </c>
      <c r="AH1667" s="10">
        <f t="shared" si="40"/>
        <v>-12</v>
      </c>
    </row>
    <row r="1668" spans="11:34" ht="14.5" x14ac:dyDescent="0.35">
      <c r="K1668" s="4"/>
      <c r="AC1668" s="7">
        <v>2022</v>
      </c>
      <c r="AD1668" s="7">
        <v>3</v>
      </c>
      <c r="AE1668" s="7">
        <v>11</v>
      </c>
      <c r="AF1668" s="8">
        <v>0.41666666666666669</v>
      </c>
      <c r="AG1668" s="9">
        <v>-10.1</v>
      </c>
      <c r="AH1668" s="10">
        <f t="shared" si="40"/>
        <v>-10</v>
      </c>
    </row>
    <row r="1669" spans="11:34" ht="14.5" x14ac:dyDescent="0.35">
      <c r="K1669" s="4"/>
      <c r="AC1669" s="7">
        <v>2022</v>
      </c>
      <c r="AD1669" s="7">
        <v>3</v>
      </c>
      <c r="AE1669" s="7">
        <v>11</v>
      </c>
      <c r="AF1669" s="8">
        <v>0.45833333333333331</v>
      </c>
      <c r="AG1669" s="9">
        <v>-8.1</v>
      </c>
      <c r="AH1669" s="10">
        <f t="shared" si="40"/>
        <v>-8</v>
      </c>
    </row>
    <row r="1670" spans="11:34" ht="14.5" x14ac:dyDescent="0.35">
      <c r="K1670" s="4"/>
      <c r="AC1670" s="7">
        <v>2022</v>
      </c>
      <c r="AD1670" s="7">
        <v>3</v>
      </c>
      <c r="AE1670" s="7">
        <v>11</v>
      </c>
      <c r="AF1670" s="8">
        <v>0.5</v>
      </c>
      <c r="AG1670" s="9">
        <v>-6.1</v>
      </c>
      <c r="AH1670" s="10">
        <f t="shared" si="40"/>
        <v>-6</v>
      </c>
    </row>
    <row r="1671" spans="11:34" ht="14.5" x14ac:dyDescent="0.35">
      <c r="K1671" s="4"/>
      <c r="AC1671" s="7">
        <v>2022</v>
      </c>
      <c r="AD1671" s="7">
        <v>3</v>
      </c>
      <c r="AE1671" s="7">
        <v>11</v>
      </c>
      <c r="AF1671" s="8">
        <v>0.54166666666666663</v>
      </c>
      <c r="AG1671" s="9">
        <v>-4.9000000000000004</v>
      </c>
      <c r="AH1671" s="10">
        <f t="shared" si="40"/>
        <v>-5</v>
      </c>
    </row>
    <row r="1672" spans="11:34" ht="14.5" x14ac:dyDescent="0.35">
      <c r="K1672" s="4"/>
      <c r="AC1672" s="7">
        <v>2022</v>
      </c>
      <c r="AD1672" s="7">
        <v>3</v>
      </c>
      <c r="AE1672" s="7">
        <v>11</v>
      </c>
      <c r="AF1672" s="8">
        <v>0.58333333333333337</v>
      </c>
      <c r="AG1672" s="9">
        <v>-5.3</v>
      </c>
      <c r="AH1672" s="10">
        <f t="shared" si="40"/>
        <v>-5</v>
      </c>
    </row>
    <row r="1673" spans="11:34" ht="14.5" x14ac:dyDescent="0.35">
      <c r="K1673" s="4"/>
      <c r="AC1673" s="7">
        <v>2022</v>
      </c>
      <c r="AD1673" s="7">
        <v>3</v>
      </c>
      <c r="AE1673" s="7">
        <v>11</v>
      </c>
      <c r="AF1673" s="8">
        <v>0.625</v>
      </c>
      <c r="AG1673" s="9">
        <v>-4.8</v>
      </c>
      <c r="AH1673" s="10">
        <f t="shared" si="40"/>
        <v>-5</v>
      </c>
    </row>
    <row r="1674" spans="11:34" ht="14.5" x14ac:dyDescent="0.35">
      <c r="K1674" s="4"/>
      <c r="AC1674" s="7">
        <v>2022</v>
      </c>
      <c r="AD1674" s="7">
        <v>3</v>
      </c>
      <c r="AE1674" s="7">
        <v>11</v>
      </c>
      <c r="AF1674" s="8">
        <v>0.66666666666666663</v>
      </c>
      <c r="AG1674" s="9">
        <v>-2.8</v>
      </c>
      <c r="AH1674" s="10">
        <f t="shared" si="40"/>
        <v>-3</v>
      </c>
    </row>
    <row r="1675" spans="11:34" ht="14.5" x14ac:dyDescent="0.35">
      <c r="K1675" s="4"/>
      <c r="AC1675" s="7">
        <v>2022</v>
      </c>
      <c r="AD1675" s="7">
        <v>3</v>
      </c>
      <c r="AE1675" s="7">
        <v>11</v>
      </c>
      <c r="AF1675" s="8">
        <v>0.70833333333333337</v>
      </c>
      <c r="AG1675" s="9">
        <v>-1.3</v>
      </c>
      <c r="AH1675" s="10">
        <f t="shared" ref="AH1675:AH1738" si="41">ROUND(AG1675,0)</f>
        <v>-1</v>
      </c>
    </row>
    <row r="1676" spans="11:34" ht="14.5" x14ac:dyDescent="0.35">
      <c r="K1676" s="4"/>
      <c r="AC1676" s="7">
        <v>2022</v>
      </c>
      <c r="AD1676" s="7">
        <v>3</v>
      </c>
      <c r="AE1676" s="7">
        <v>11</v>
      </c>
      <c r="AF1676" s="8">
        <v>0.75</v>
      </c>
      <c r="AG1676" s="9">
        <v>0</v>
      </c>
      <c r="AH1676" s="10">
        <f t="shared" si="41"/>
        <v>0</v>
      </c>
    </row>
    <row r="1677" spans="11:34" ht="14.5" x14ac:dyDescent="0.35">
      <c r="K1677" s="4"/>
      <c r="AC1677" s="7">
        <v>2022</v>
      </c>
      <c r="AD1677" s="7">
        <v>3</v>
      </c>
      <c r="AE1677" s="7">
        <v>11</v>
      </c>
      <c r="AF1677" s="8">
        <v>0.79166666666666663</v>
      </c>
      <c r="AG1677" s="9">
        <v>3.5</v>
      </c>
      <c r="AH1677" s="10">
        <f t="shared" si="41"/>
        <v>4</v>
      </c>
    </row>
    <row r="1678" spans="11:34" ht="14.5" x14ac:dyDescent="0.35">
      <c r="K1678" s="4"/>
      <c r="AC1678" s="7">
        <v>2022</v>
      </c>
      <c r="AD1678" s="7">
        <v>3</v>
      </c>
      <c r="AE1678" s="7">
        <v>11</v>
      </c>
      <c r="AF1678" s="8">
        <v>0.83333333333333337</v>
      </c>
      <c r="AG1678" s="9">
        <v>3.9</v>
      </c>
      <c r="AH1678" s="10">
        <f t="shared" si="41"/>
        <v>4</v>
      </c>
    </row>
    <row r="1679" spans="11:34" ht="14.5" x14ac:dyDescent="0.35">
      <c r="K1679" s="4"/>
      <c r="AC1679" s="7">
        <v>2022</v>
      </c>
      <c r="AD1679" s="7">
        <v>3</v>
      </c>
      <c r="AE1679" s="7">
        <v>11</v>
      </c>
      <c r="AF1679" s="8">
        <v>0.875</v>
      </c>
      <c r="AG1679" s="9">
        <v>3.4</v>
      </c>
      <c r="AH1679" s="10">
        <f t="shared" si="41"/>
        <v>3</v>
      </c>
    </row>
    <row r="1680" spans="11:34" ht="14.5" x14ac:dyDescent="0.35">
      <c r="K1680" s="4"/>
      <c r="AC1680" s="7">
        <v>2022</v>
      </c>
      <c r="AD1680" s="7">
        <v>3</v>
      </c>
      <c r="AE1680" s="7">
        <v>11</v>
      </c>
      <c r="AF1680" s="8">
        <v>0.91666666666666663</v>
      </c>
      <c r="AG1680" s="9">
        <v>3.7</v>
      </c>
      <c r="AH1680" s="10">
        <f t="shared" si="41"/>
        <v>4</v>
      </c>
    </row>
    <row r="1681" spans="11:34" ht="14.5" x14ac:dyDescent="0.35">
      <c r="K1681" s="4"/>
      <c r="AC1681" s="7">
        <v>2022</v>
      </c>
      <c r="AD1681" s="7">
        <v>3</v>
      </c>
      <c r="AE1681" s="7">
        <v>11</v>
      </c>
      <c r="AF1681" s="8">
        <v>0.95833333333333337</v>
      </c>
      <c r="AG1681" s="9">
        <v>2.2999999999999998</v>
      </c>
      <c r="AH1681" s="10">
        <f t="shared" si="41"/>
        <v>2</v>
      </c>
    </row>
    <row r="1682" spans="11:34" ht="14.5" x14ac:dyDescent="0.35">
      <c r="K1682" s="4"/>
      <c r="AC1682" s="7">
        <v>2022</v>
      </c>
      <c r="AD1682" s="7">
        <v>3</v>
      </c>
      <c r="AE1682" s="7">
        <v>12</v>
      </c>
      <c r="AF1682" s="8">
        <v>0</v>
      </c>
      <c r="AG1682" s="9">
        <v>2.6</v>
      </c>
      <c r="AH1682" s="10">
        <f t="shared" si="41"/>
        <v>3</v>
      </c>
    </row>
    <row r="1683" spans="11:34" ht="14.5" x14ac:dyDescent="0.35">
      <c r="K1683" s="4"/>
      <c r="AC1683" s="7">
        <v>2022</v>
      </c>
      <c r="AD1683" s="7">
        <v>3</v>
      </c>
      <c r="AE1683" s="7">
        <v>12</v>
      </c>
      <c r="AF1683" s="8">
        <v>4.1666666666666664E-2</v>
      </c>
      <c r="AG1683" s="9">
        <v>4.4000000000000004</v>
      </c>
      <c r="AH1683" s="10">
        <f t="shared" si="41"/>
        <v>4</v>
      </c>
    </row>
    <row r="1684" spans="11:34" ht="14.5" x14ac:dyDescent="0.35">
      <c r="K1684" s="4"/>
      <c r="AC1684" s="7">
        <v>2022</v>
      </c>
      <c r="AD1684" s="7">
        <v>3</v>
      </c>
      <c r="AE1684" s="7">
        <v>12</v>
      </c>
      <c r="AF1684" s="8">
        <v>8.3333333333333329E-2</v>
      </c>
      <c r="AG1684" s="9">
        <v>4.7</v>
      </c>
      <c r="AH1684" s="10">
        <f t="shared" si="41"/>
        <v>5</v>
      </c>
    </row>
    <row r="1685" spans="11:34" ht="14.5" x14ac:dyDescent="0.35">
      <c r="K1685" s="4"/>
      <c r="AC1685" s="7">
        <v>2022</v>
      </c>
      <c r="AD1685" s="7">
        <v>3</v>
      </c>
      <c r="AE1685" s="7">
        <v>12</v>
      </c>
      <c r="AF1685" s="8">
        <v>0.125</v>
      </c>
      <c r="AG1685" s="9">
        <v>3.9</v>
      </c>
      <c r="AH1685" s="10">
        <f t="shared" si="41"/>
        <v>4</v>
      </c>
    </row>
    <row r="1686" spans="11:34" ht="14.5" x14ac:dyDescent="0.35">
      <c r="K1686" s="4"/>
      <c r="AC1686" s="7">
        <v>2022</v>
      </c>
      <c r="AD1686" s="7">
        <v>3</v>
      </c>
      <c r="AE1686" s="7">
        <v>12</v>
      </c>
      <c r="AF1686" s="8">
        <v>0.16666666666666666</v>
      </c>
      <c r="AG1686" s="9">
        <v>2.5</v>
      </c>
      <c r="AH1686" s="10">
        <f t="shared" si="41"/>
        <v>3</v>
      </c>
    </row>
    <row r="1687" spans="11:34" ht="14.5" x14ac:dyDescent="0.35">
      <c r="K1687" s="4"/>
      <c r="AC1687" s="7">
        <v>2022</v>
      </c>
      <c r="AD1687" s="7">
        <v>3</v>
      </c>
      <c r="AE1687" s="7">
        <v>12</v>
      </c>
      <c r="AF1687" s="8">
        <v>0.20833333333333334</v>
      </c>
      <c r="AG1687" s="9">
        <v>4</v>
      </c>
      <c r="AH1687" s="10">
        <f t="shared" si="41"/>
        <v>4</v>
      </c>
    </row>
    <row r="1688" spans="11:34" ht="14.5" x14ac:dyDescent="0.35">
      <c r="K1688" s="4"/>
      <c r="AC1688" s="7">
        <v>2022</v>
      </c>
      <c r="AD1688" s="7">
        <v>3</v>
      </c>
      <c r="AE1688" s="7">
        <v>12</v>
      </c>
      <c r="AF1688" s="8">
        <v>0.25</v>
      </c>
      <c r="AG1688" s="9">
        <v>3.2</v>
      </c>
      <c r="AH1688" s="10">
        <f t="shared" si="41"/>
        <v>3</v>
      </c>
    </row>
    <row r="1689" spans="11:34" ht="14.5" x14ac:dyDescent="0.35">
      <c r="K1689" s="4"/>
      <c r="AC1689" s="7">
        <v>2022</v>
      </c>
      <c r="AD1689" s="7">
        <v>3</v>
      </c>
      <c r="AE1689" s="7">
        <v>12</v>
      </c>
      <c r="AF1689" s="8">
        <v>0.29166666666666669</v>
      </c>
      <c r="AG1689" s="9">
        <v>3.2</v>
      </c>
      <c r="AH1689" s="10">
        <f t="shared" si="41"/>
        <v>3</v>
      </c>
    </row>
    <row r="1690" spans="11:34" ht="14.5" x14ac:dyDescent="0.35">
      <c r="K1690" s="4"/>
      <c r="AC1690" s="7">
        <v>2022</v>
      </c>
      <c r="AD1690" s="7">
        <v>3</v>
      </c>
      <c r="AE1690" s="7">
        <v>12</v>
      </c>
      <c r="AF1690" s="8">
        <v>0.33333333333333331</v>
      </c>
      <c r="AG1690" s="9">
        <v>2.9</v>
      </c>
      <c r="AH1690" s="10">
        <f t="shared" si="41"/>
        <v>3</v>
      </c>
    </row>
    <row r="1691" spans="11:34" ht="14.5" x14ac:dyDescent="0.35">
      <c r="K1691" s="4"/>
      <c r="AC1691" s="7">
        <v>2022</v>
      </c>
      <c r="AD1691" s="7">
        <v>3</v>
      </c>
      <c r="AE1691" s="7">
        <v>12</v>
      </c>
      <c r="AF1691" s="8">
        <v>0.375</v>
      </c>
      <c r="AG1691" s="9">
        <v>3.8</v>
      </c>
      <c r="AH1691" s="10">
        <f t="shared" si="41"/>
        <v>4</v>
      </c>
    </row>
    <row r="1692" spans="11:34" ht="14.5" x14ac:dyDescent="0.35">
      <c r="K1692" s="4"/>
      <c r="AC1692" s="7">
        <v>2022</v>
      </c>
      <c r="AD1692" s="7">
        <v>3</v>
      </c>
      <c r="AE1692" s="7">
        <v>12</v>
      </c>
      <c r="AF1692" s="8">
        <v>0.41666666666666669</v>
      </c>
      <c r="AG1692" s="9">
        <v>5.7</v>
      </c>
      <c r="AH1692" s="10">
        <f t="shared" si="41"/>
        <v>6</v>
      </c>
    </row>
    <row r="1693" spans="11:34" ht="14.5" x14ac:dyDescent="0.35">
      <c r="K1693" s="4"/>
      <c r="AC1693" s="7">
        <v>2022</v>
      </c>
      <c r="AD1693" s="7">
        <v>3</v>
      </c>
      <c r="AE1693" s="7">
        <v>12</v>
      </c>
      <c r="AF1693" s="8">
        <v>0.45833333333333331</v>
      </c>
      <c r="AG1693" s="9">
        <v>7.2</v>
      </c>
      <c r="AH1693" s="10">
        <f t="shared" si="41"/>
        <v>7</v>
      </c>
    </row>
    <row r="1694" spans="11:34" ht="14.5" x14ac:dyDescent="0.35">
      <c r="K1694" s="4"/>
      <c r="AC1694" s="7">
        <v>2022</v>
      </c>
      <c r="AD1694" s="7">
        <v>3</v>
      </c>
      <c r="AE1694" s="7">
        <v>12</v>
      </c>
      <c r="AF1694" s="8">
        <v>0.5</v>
      </c>
      <c r="AG1694" s="9">
        <v>7.8</v>
      </c>
      <c r="AH1694" s="10">
        <f t="shared" si="41"/>
        <v>8</v>
      </c>
    </row>
    <row r="1695" spans="11:34" ht="14.5" x14ac:dyDescent="0.35">
      <c r="K1695" s="4"/>
      <c r="AC1695" s="7">
        <v>2022</v>
      </c>
      <c r="AD1695" s="7">
        <v>3</v>
      </c>
      <c r="AE1695" s="7">
        <v>12</v>
      </c>
      <c r="AF1695" s="8">
        <v>0.54166666666666663</v>
      </c>
      <c r="AG1695" s="9">
        <v>7.8</v>
      </c>
      <c r="AH1695" s="10">
        <f t="shared" si="41"/>
        <v>8</v>
      </c>
    </row>
    <row r="1696" spans="11:34" ht="14.5" x14ac:dyDescent="0.35">
      <c r="K1696" s="4"/>
      <c r="AC1696" s="7">
        <v>2022</v>
      </c>
      <c r="AD1696" s="7">
        <v>3</v>
      </c>
      <c r="AE1696" s="7">
        <v>12</v>
      </c>
      <c r="AF1696" s="8">
        <v>0.58333333333333337</v>
      </c>
      <c r="AG1696" s="9">
        <v>8.9</v>
      </c>
      <c r="AH1696" s="10">
        <f t="shared" si="41"/>
        <v>9</v>
      </c>
    </row>
    <row r="1697" spans="11:34" ht="14.5" x14ac:dyDescent="0.35">
      <c r="K1697" s="4"/>
      <c r="AC1697" s="7">
        <v>2022</v>
      </c>
      <c r="AD1697" s="7">
        <v>3</v>
      </c>
      <c r="AE1697" s="7">
        <v>12</v>
      </c>
      <c r="AF1697" s="8">
        <v>0.625</v>
      </c>
      <c r="AG1697" s="9">
        <v>6.7</v>
      </c>
      <c r="AH1697" s="10">
        <f t="shared" si="41"/>
        <v>7</v>
      </c>
    </row>
    <row r="1698" spans="11:34" ht="14.5" x14ac:dyDescent="0.35">
      <c r="K1698" s="4"/>
      <c r="AC1698" s="7">
        <v>2022</v>
      </c>
      <c r="AD1698" s="7">
        <v>3</v>
      </c>
      <c r="AE1698" s="7">
        <v>12</v>
      </c>
      <c r="AF1698" s="8">
        <v>0.66666666666666663</v>
      </c>
      <c r="AG1698" s="9">
        <v>6.5</v>
      </c>
      <c r="AH1698" s="10">
        <f t="shared" si="41"/>
        <v>7</v>
      </c>
    </row>
    <row r="1699" spans="11:34" ht="14.5" x14ac:dyDescent="0.35">
      <c r="K1699" s="4"/>
      <c r="AC1699" s="7">
        <v>2022</v>
      </c>
      <c r="AD1699" s="7">
        <v>3</v>
      </c>
      <c r="AE1699" s="7">
        <v>12</v>
      </c>
      <c r="AF1699" s="8">
        <v>0.70833333333333337</v>
      </c>
      <c r="AG1699" s="9">
        <v>5.2</v>
      </c>
      <c r="AH1699" s="10">
        <f t="shared" si="41"/>
        <v>5</v>
      </c>
    </row>
    <row r="1700" spans="11:34" ht="14.5" x14ac:dyDescent="0.35">
      <c r="K1700" s="4"/>
      <c r="AC1700" s="7">
        <v>2022</v>
      </c>
      <c r="AD1700" s="7">
        <v>3</v>
      </c>
      <c r="AE1700" s="7">
        <v>12</v>
      </c>
      <c r="AF1700" s="8">
        <v>0.75</v>
      </c>
      <c r="AG1700" s="9">
        <v>3.3</v>
      </c>
      <c r="AH1700" s="10">
        <f t="shared" si="41"/>
        <v>3</v>
      </c>
    </row>
    <row r="1701" spans="11:34" ht="14.5" x14ac:dyDescent="0.35">
      <c r="K1701" s="4"/>
      <c r="AC1701" s="7">
        <v>2022</v>
      </c>
      <c r="AD1701" s="7">
        <v>3</v>
      </c>
      <c r="AE1701" s="7">
        <v>12</v>
      </c>
      <c r="AF1701" s="8">
        <v>0.79166666666666663</v>
      </c>
      <c r="AG1701" s="9">
        <v>2.2000000000000002</v>
      </c>
      <c r="AH1701" s="10">
        <f t="shared" si="41"/>
        <v>2</v>
      </c>
    </row>
    <row r="1702" spans="11:34" ht="14.5" x14ac:dyDescent="0.35">
      <c r="K1702" s="4"/>
      <c r="AC1702" s="7">
        <v>2022</v>
      </c>
      <c r="AD1702" s="7">
        <v>3</v>
      </c>
      <c r="AE1702" s="7">
        <v>12</v>
      </c>
      <c r="AF1702" s="8">
        <v>0.83333333333333337</v>
      </c>
      <c r="AG1702" s="9">
        <v>1.7</v>
      </c>
      <c r="AH1702" s="10">
        <f t="shared" si="41"/>
        <v>2</v>
      </c>
    </row>
    <row r="1703" spans="11:34" ht="14.5" x14ac:dyDescent="0.35">
      <c r="K1703" s="4"/>
      <c r="AC1703" s="7">
        <v>2022</v>
      </c>
      <c r="AD1703" s="7">
        <v>3</v>
      </c>
      <c r="AE1703" s="7">
        <v>12</v>
      </c>
      <c r="AF1703" s="8">
        <v>0.875</v>
      </c>
      <c r="AG1703" s="9">
        <v>1.2</v>
      </c>
      <c r="AH1703" s="10">
        <f t="shared" si="41"/>
        <v>1</v>
      </c>
    </row>
    <row r="1704" spans="11:34" ht="14.5" x14ac:dyDescent="0.35">
      <c r="K1704" s="4"/>
      <c r="AC1704" s="7">
        <v>2022</v>
      </c>
      <c r="AD1704" s="7">
        <v>3</v>
      </c>
      <c r="AE1704" s="7">
        <v>12</v>
      </c>
      <c r="AF1704" s="8">
        <v>0.91666666666666663</v>
      </c>
      <c r="AG1704" s="9">
        <v>1.2</v>
      </c>
      <c r="AH1704" s="10">
        <f t="shared" si="41"/>
        <v>1</v>
      </c>
    </row>
    <row r="1705" spans="11:34" ht="14.5" x14ac:dyDescent="0.35">
      <c r="K1705" s="4"/>
      <c r="AC1705" s="7">
        <v>2022</v>
      </c>
      <c r="AD1705" s="7">
        <v>3</v>
      </c>
      <c r="AE1705" s="7">
        <v>12</v>
      </c>
      <c r="AF1705" s="8">
        <v>0.95833333333333337</v>
      </c>
      <c r="AG1705" s="9">
        <v>1</v>
      </c>
      <c r="AH1705" s="10">
        <f t="shared" si="41"/>
        <v>1</v>
      </c>
    </row>
    <row r="1706" spans="11:34" ht="14.5" x14ac:dyDescent="0.35">
      <c r="K1706" s="4"/>
      <c r="AC1706" s="7">
        <v>2022</v>
      </c>
      <c r="AD1706" s="7">
        <v>3</v>
      </c>
      <c r="AE1706" s="7">
        <v>13</v>
      </c>
      <c r="AF1706" s="8">
        <v>0</v>
      </c>
      <c r="AG1706" s="9">
        <v>0.1</v>
      </c>
      <c r="AH1706" s="10">
        <f t="shared" si="41"/>
        <v>0</v>
      </c>
    </row>
    <row r="1707" spans="11:34" ht="14.5" x14ac:dyDescent="0.35">
      <c r="K1707" s="4"/>
      <c r="AC1707" s="7">
        <v>2022</v>
      </c>
      <c r="AD1707" s="7">
        <v>3</v>
      </c>
      <c r="AE1707" s="7">
        <v>13</v>
      </c>
      <c r="AF1707" s="8">
        <v>4.1666666666666664E-2</v>
      </c>
      <c r="AG1707" s="9">
        <v>-0.5</v>
      </c>
      <c r="AH1707" s="10">
        <f t="shared" si="41"/>
        <v>-1</v>
      </c>
    </row>
    <row r="1708" spans="11:34" ht="14.5" x14ac:dyDescent="0.35">
      <c r="K1708" s="4"/>
      <c r="AC1708" s="7">
        <v>2022</v>
      </c>
      <c r="AD1708" s="7">
        <v>3</v>
      </c>
      <c r="AE1708" s="7">
        <v>13</v>
      </c>
      <c r="AF1708" s="8">
        <v>8.3333333333333329E-2</v>
      </c>
      <c r="AG1708" s="9">
        <v>0.3</v>
      </c>
      <c r="AH1708" s="10">
        <f t="shared" si="41"/>
        <v>0</v>
      </c>
    </row>
    <row r="1709" spans="11:34" ht="14.5" x14ac:dyDescent="0.35">
      <c r="K1709" s="4"/>
      <c r="AC1709" s="7">
        <v>2022</v>
      </c>
      <c r="AD1709" s="7">
        <v>3</v>
      </c>
      <c r="AE1709" s="7">
        <v>13</v>
      </c>
      <c r="AF1709" s="8">
        <v>0.125</v>
      </c>
      <c r="AG1709" s="9">
        <v>-0.1</v>
      </c>
      <c r="AH1709" s="10">
        <f t="shared" si="41"/>
        <v>0</v>
      </c>
    </row>
    <row r="1710" spans="11:34" ht="14.5" x14ac:dyDescent="0.35">
      <c r="K1710" s="4"/>
      <c r="AC1710" s="7">
        <v>2022</v>
      </c>
      <c r="AD1710" s="7">
        <v>3</v>
      </c>
      <c r="AE1710" s="7">
        <v>13</v>
      </c>
      <c r="AF1710" s="8">
        <v>0.16666666666666666</v>
      </c>
      <c r="AG1710" s="9">
        <v>-0.5</v>
      </c>
      <c r="AH1710" s="10">
        <f t="shared" si="41"/>
        <v>-1</v>
      </c>
    </row>
    <row r="1711" spans="11:34" ht="14.5" x14ac:dyDescent="0.35">
      <c r="K1711" s="4"/>
      <c r="AC1711" s="7">
        <v>2022</v>
      </c>
      <c r="AD1711" s="7">
        <v>3</v>
      </c>
      <c r="AE1711" s="7">
        <v>13</v>
      </c>
      <c r="AF1711" s="8">
        <v>0.20833333333333334</v>
      </c>
      <c r="AG1711" s="9">
        <v>-1.1000000000000001</v>
      </c>
      <c r="AH1711" s="10">
        <f t="shared" si="41"/>
        <v>-1</v>
      </c>
    </row>
    <row r="1712" spans="11:34" ht="14.5" x14ac:dyDescent="0.35">
      <c r="K1712" s="4"/>
      <c r="AC1712" s="7">
        <v>2022</v>
      </c>
      <c r="AD1712" s="7">
        <v>3</v>
      </c>
      <c r="AE1712" s="7">
        <v>13</v>
      </c>
      <c r="AF1712" s="8">
        <v>0.25</v>
      </c>
      <c r="AG1712" s="9">
        <v>-1.4</v>
      </c>
      <c r="AH1712" s="10">
        <f t="shared" si="41"/>
        <v>-1</v>
      </c>
    </row>
    <row r="1713" spans="11:34" ht="14.5" x14ac:dyDescent="0.35">
      <c r="K1713" s="4"/>
      <c r="AC1713" s="7">
        <v>2022</v>
      </c>
      <c r="AD1713" s="7">
        <v>3</v>
      </c>
      <c r="AE1713" s="7">
        <v>13</v>
      </c>
      <c r="AF1713" s="8">
        <v>0.29166666666666669</v>
      </c>
      <c r="AG1713" s="9">
        <v>-1.5</v>
      </c>
      <c r="AH1713" s="10">
        <f t="shared" si="41"/>
        <v>-2</v>
      </c>
    </row>
    <row r="1714" spans="11:34" ht="14.5" x14ac:dyDescent="0.35">
      <c r="K1714" s="4"/>
      <c r="AC1714" s="7">
        <v>2022</v>
      </c>
      <c r="AD1714" s="7">
        <v>3</v>
      </c>
      <c r="AE1714" s="7">
        <v>13</v>
      </c>
      <c r="AF1714" s="8">
        <v>0.33333333333333331</v>
      </c>
      <c r="AG1714" s="9">
        <v>-1.2</v>
      </c>
      <c r="AH1714" s="10">
        <f t="shared" si="41"/>
        <v>-1</v>
      </c>
    </row>
    <row r="1715" spans="11:34" ht="14.5" x14ac:dyDescent="0.35">
      <c r="K1715" s="4"/>
      <c r="AC1715" s="7">
        <v>2022</v>
      </c>
      <c r="AD1715" s="7">
        <v>3</v>
      </c>
      <c r="AE1715" s="7">
        <v>13</v>
      </c>
      <c r="AF1715" s="8">
        <v>0.375</v>
      </c>
      <c r="AG1715" s="9">
        <v>-0.4</v>
      </c>
      <c r="AH1715" s="10">
        <f t="shared" si="41"/>
        <v>0</v>
      </c>
    </row>
    <row r="1716" spans="11:34" ht="14.5" x14ac:dyDescent="0.35">
      <c r="K1716" s="4"/>
      <c r="AC1716" s="7">
        <v>2022</v>
      </c>
      <c r="AD1716" s="7">
        <v>3</v>
      </c>
      <c r="AE1716" s="7">
        <v>13</v>
      </c>
      <c r="AF1716" s="8">
        <v>0.41666666666666669</v>
      </c>
      <c r="AG1716" s="9">
        <v>-0.1</v>
      </c>
      <c r="AH1716" s="10">
        <f t="shared" si="41"/>
        <v>0</v>
      </c>
    </row>
    <row r="1717" spans="11:34" ht="14.5" x14ac:dyDescent="0.35">
      <c r="K1717" s="4"/>
      <c r="AC1717" s="7">
        <v>2022</v>
      </c>
      <c r="AD1717" s="7">
        <v>3</v>
      </c>
      <c r="AE1717" s="7">
        <v>13</v>
      </c>
      <c r="AF1717" s="8">
        <v>0.45833333333333331</v>
      </c>
      <c r="AG1717" s="9">
        <v>0.2</v>
      </c>
      <c r="AH1717" s="10">
        <f t="shared" si="41"/>
        <v>0</v>
      </c>
    </row>
    <row r="1718" spans="11:34" ht="14.5" x14ac:dyDescent="0.35">
      <c r="K1718" s="4"/>
      <c r="AC1718" s="7">
        <v>2022</v>
      </c>
      <c r="AD1718" s="7">
        <v>3</v>
      </c>
      <c r="AE1718" s="7">
        <v>13</v>
      </c>
      <c r="AF1718" s="8">
        <v>0.5</v>
      </c>
      <c r="AG1718" s="9">
        <v>1.3</v>
      </c>
      <c r="AH1718" s="10">
        <f t="shared" si="41"/>
        <v>1</v>
      </c>
    </row>
    <row r="1719" spans="11:34" ht="14.5" x14ac:dyDescent="0.35">
      <c r="K1719" s="4"/>
      <c r="AC1719" s="7">
        <v>2022</v>
      </c>
      <c r="AD1719" s="7">
        <v>3</v>
      </c>
      <c r="AE1719" s="7">
        <v>13</v>
      </c>
      <c r="AF1719" s="8">
        <v>0.54166666666666663</v>
      </c>
      <c r="AG1719" s="9">
        <v>2.6</v>
      </c>
      <c r="AH1719" s="10">
        <f t="shared" si="41"/>
        <v>3</v>
      </c>
    </row>
    <row r="1720" spans="11:34" ht="14.5" x14ac:dyDescent="0.35">
      <c r="K1720" s="4"/>
      <c r="AC1720" s="7">
        <v>2022</v>
      </c>
      <c r="AD1720" s="7">
        <v>3</v>
      </c>
      <c r="AE1720" s="7">
        <v>13</v>
      </c>
      <c r="AF1720" s="8">
        <v>0.58333333333333337</v>
      </c>
      <c r="AG1720" s="9">
        <v>2.7</v>
      </c>
      <c r="AH1720" s="10">
        <f t="shared" si="41"/>
        <v>3</v>
      </c>
    </row>
    <row r="1721" spans="11:34" ht="14.5" x14ac:dyDescent="0.35">
      <c r="K1721" s="4"/>
      <c r="AC1721" s="7">
        <v>2022</v>
      </c>
      <c r="AD1721" s="7">
        <v>3</v>
      </c>
      <c r="AE1721" s="7">
        <v>13</v>
      </c>
      <c r="AF1721" s="8">
        <v>0.625</v>
      </c>
      <c r="AG1721" s="9">
        <v>2.2999999999999998</v>
      </c>
      <c r="AH1721" s="10">
        <f t="shared" si="41"/>
        <v>2</v>
      </c>
    </row>
    <row r="1722" spans="11:34" ht="14.5" x14ac:dyDescent="0.35">
      <c r="K1722" s="4"/>
      <c r="AC1722" s="7">
        <v>2022</v>
      </c>
      <c r="AD1722" s="7">
        <v>3</v>
      </c>
      <c r="AE1722" s="7">
        <v>13</v>
      </c>
      <c r="AF1722" s="8">
        <v>0.66666666666666663</v>
      </c>
      <c r="AG1722" s="9">
        <v>2.2999999999999998</v>
      </c>
      <c r="AH1722" s="10">
        <f t="shared" si="41"/>
        <v>2</v>
      </c>
    </row>
    <row r="1723" spans="11:34" ht="14.5" x14ac:dyDescent="0.35">
      <c r="K1723" s="4"/>
      <c r="AC1723" s="7">
        <v>2022</v>
      </c>
      <c r="AD1723" s="7">
        <v>3</v>
      </c>
      <c r="AE1723" s="7">
        <v>13</v>
      </c>
      <c r="AF1723" s="8">
        <v>0.70833333333333337</v>
      </c>
      <c r="AG1723" s="9">
        <v>2.6</v>
      </c>
      <c r="AH1723" s="10">
        <f t="shared" si="41"/>
        <v>3</v>
      </c>
    </row>
    <row r="1724" spans="11:34" ht="14.5" x14ac:dyDescent="0.35">
      <c r="K1724" s="4"/>
      <c r="AC1724" s="7">
        <v>2022</v>
      </c>
      <c r="AD1724" s="7">
        <v>3</v>
      </c>
      <c r="AE1724" s="7">
        <v>13</v>
      </c>
      <c r="AF1724" s="8">
        <v>0.75</v>
      </c>
      <c r="AG1724" s="9">
        <v>1.2</v>
      </c>
      <c r="AH1724" s="10">
        <f t="shared" si="41"/>
        <v>1</v>
      </c>
    </row>
    <row r="1725" spans="11:34" ht="14.5" x14ac:dyDescent="0.35">
      <c r="K1725" s="4"/>
      <c r="AC1725" s="7">
        <v>2022</v>
      </c>
      <c r="AD1725" s="7">
        <v>3</v>
      </c>
      <c r="AE1725" s="7">
        <v>13</v>
      </c>
      <c r="AF1725" s="8">
        <v>0.79166666666666663</v>
      </c>
      <c r="AG1725" s="9">
        <v>0.1</v>
      </c>
      <c r="AH1725" s="10">
        <f t="shared" si="41"/>
        <v>0</v>
      </c>
    </row>
    <row r="1726" spans="11:34" ht="14.5" x14ac:dyDescent="0.35">
      <c r="K1726" s="4"/>
      <c r="AC1726" s="7">
        <v>2022</v>
      </c>
      <c r="AD1726" s="7">
        <v>3</v>
      </c>
      <c r="AE1726" s="7">
        <v>13</v>
      </c>
      <c r="AF1726" s="8">
        <v>0.83333333333333337</v>
      </c>
      <c r="AG1726" s="9">
        <v>-0.2</v>
      </c>
      <c r="AH1726" s="10">
        <f t="shared" si="41"/>
        <v>0</v>
      </c>
    </row>
    <row r="1727" spans="11:34" ht="14.5" x14ac:dyDescent="0.35">
      <c r="K1727" s="4"/>
      <c r="AC1727" s="7">
        <v>2022</v>
      </c>
      <c r="AD1727" s="7">
        <v>3</v>
      </c>
      <c r="AE1727" s="7">
        <v>13</v>
      </c>
      <c r="AF1727" s="8">
        <v>0.875</v>
      </c>
      <c r="AG1727" s="9">
        <v>-0.5</v>
      </c>
      <c r="AH1727" s="10">
        <f t="shared" si="41"/>
        <v>-1</v>
      </c>
    </row>
    <row r="1728" spans="11:34" ht="14.5" x14ac:dyDescent="0.35">
      <c r="K1728" s="4"/>
      <c r="AC1728" s="7">
        <v>2022</v>
      </c>
      <c r="AD1728" s="7">
        <v>3</v>
      </c>
      <c r="AE1728" s="7">
        <v>13</v>
      </c>
      <c r="AF1728" s="8">
        <v>0.91666666666666663</v>
      </c>
      <c r="AG1728" s="9">
        <v>-0.5</v>
      </c>
      <c r="AH1728" s="10">
        <f t="shared" si="41"/>
        <v>-1</v>
      </c>
    </row>
    <row r="1729" spans="11:34" ht="14.5" x14ac:dyDescent="0.35">
      <c r="K1729" s="4"/>
      <c r="AC1729" s="7">
        <v>2022</v>
      </c>
      <c r="AD1729" s="7">
        <v>3</v>
      </c>
      <c r="AE1729" s="7">
        <v>13</v>
      </c>
      <c r="AF1729" s="8">
        <v>0.95833333333333337</v>
      </c>
      <c r="AG1729" s="9">
        <v>-0.7</v>
      </c>
      <c r="AH1729" s="10">
        <f t="shared" si="41"/>
        <v>-1</v>
      </c>
    </row>
    <row r="1730" spans="11:34" ht="14.5" x14ac:dyDescent="0.35">
      <c r="K1730" s="4"/>
      <c r="AC1730" s="7">
        <v>2022</v>
      </c>
      <c r="AD1730" s="7">
        <v>3</v>
      </c>
      <c r="AE1730" s="7">
        <v>14</v>
      </c>
      <c r="AF1730" s="8">
        <v>0</v>
      </c>
      <c r="AG1730" s="9">
        <v>-0.9</v>
      </c>
      <c r="AH1730" s="10">
        <f t="shared" si="41"/>
        <v>-1</v>
      </c>
    </row>
    <row r="1731" spans="11:34" ht="14.5" x14ac:dyDescent="0.35">
      <c r="K1731" s="4"/>
      <c r="AC1731" s="7">
        <v>2022</v>
      </c>
      <c r="AD1731" s="7">
        <v>3</v>
      </c>
      <c r="AE1731" s="7">
        <v>14</v>
      </c>
      <c r="AF1731" s="8">
        <v>4.1666666666666664E-2</v>
      </c>
      <c r="AG1731" s="9">
        <v>-1.8</v>
      </c>
      <c r="AH1731" s="10">
        <f t="shared" si="41"/>
        <v>-2</v>
      </c>
    </row>
    <row r="1732" spans="11:34" ht="14.5" x14ac:dyDescent="0.35">
      <c r="K1732" s="4"/>
      <c r="AC1732" s="7">
        <v>2022</v>
      </c>
      <c r="AD1732" s="7">
        <v>3</v>
      </c>
      <c r="AE1732" s="7">
        <v>14</v>
      </c>
      <c r="AF1732" s="8">
        <v>8.3333333333333329E-2</v>
      </c>
      <c r="AG1732" s="9">
        <v>-2.1</v>
      </c>
      <c r="AH1732" s="10">
        <f t="shared" si="41"/>
        <v>-2</v>
      </c>
    </row>
    <row r="1733" spans="11:34" ht="14.5" x14ac:dyDescent="0.35">
      <c r="K1733" s="4"/>
      <c r="AC1733" s="7">
        <v>2022</v>
      </c>
      <c r="AD1733" s="7">
        <v>3</v>
      </c>
      <c r="AE1733" s="7">
        <v>14</v>
      </c>
      <c r="AF1733" s="8">
        <v>0.125</v>
      </c>
      <c r="AG1733" s="9">
        <v>-2</v>
      </c>
      <c r="AH1733" s="10">
        <f t="shared" si="41"/>
        <v>-2</v>
      </c>
    </row>
    <row r="1734" spans="11:34" ht="14.5" x14ac:dyDescent="0.35">
      <c r="K1734" s="4"/>
      <c r="AC1734" s="7">
        <v>2022</v>
      </c>
      <c r="AD1734" s="7">
        <v>3</v>
      </c>
      <c r="AE1734" s="7">
        <v>14</v>
      </c>
      <c r="AF1734" s="8">
        <v>0.16666666666666666</v>
      </c>
      <c r="AG1734" s="9">
        <v>-1.9</v>
      </c>
      <c r="AH1734" s="10">
        <f t="shared" si="41"/>
        <v>-2</v>
      </c>
    </row>
    <row r="1735" spans="11:34" ht="14.5" x14ac:dyDescent="0.35">
      <c r="K1735" s="4"/>
      <c r="AC1735" s="7">
        <v>2022</v>
      </c>
      <c r="AD1735" s="7">
        <v>3</v>
      </c>
      <c r="AE1735" s="7">
        <v>14</v>
      </c>
      <c r="AF1735" s="8">
        <v>0.20833333333333334</v>
      </c>
      <c r="AG1735" s="9">
        <v>-2.1</v>
      </c>
      <c r="AH1735" s="10">
        <f t="shared" si="41"/>
        <v>-2</v>
      </c>
    </row>
    <row r="1736" spans="11:34" ht="14.5" x14ac:dyDescent="0.35">
      <c r="K1736" s="4"/>
      <c r="AC1736" s="7">
        <v>2022</v>
      </c>
      <c r="AD1736" s="7">
        <v>3</v>
      </c>
      <c r="AE1736" s="7">
        <v>14</v>
      </c>
      <c r="AF1736" s="8">
        <v>0.25</v>
      </c>
      <c r="AG1736" s="9">
        <v>-2.4</v>
      </c>
      <c r="AH1736" s="10">
        <f t="shared" si="41"/>
        <v>-2</v>
      </c>
    </row>
    <row r="1737" spans="11:34" ht="14.5" x14ac:dyDescent="0.35">
      <c r="K1737" s="4"/>
      <c r="AC1737" s="7">
        <v>2022</v>
      </c>
      <c r="AD1737" s="7">
        <v>3</v>
      </c>
      <c r="AE1737" s="7">
        <v>14</v>
      </c>
      <c r="AF1737" s="8">
        <v>0.29166666666666669</v>
      </c>
      <c r="AG1737" s="9">
        <v>-2.2999999999999998</v>
      </c>
      <c r="AH1737" s="10">
        <f t="shared" si="41"/>
        <v>-2</v>
      </c>
    </row>
    <row r="1738" spans="11:34" ht="14.5" x14ac:dyDescent="0.35">
      <c r="K1738" s="4"/>
      <c r="AC1738" s="7">
        <v>2022</v>
      </c>
      <c r="AD1738" s="7">
        <v>3</v>
      </c>
      <c r="AE1738" s="7">
        <v>14</v>
      </c>
      <c r="AF1738" s="8">
        <v>0.33333333333333331</v>
      </c>
      <c r="AG1738" s="9">
        <v>-2</v>
      </c>
      <c r="AH1738" s="10">
        <f t="shared" si="41"/>
        <v>-2</v>
      </c>
    </row>
    <row r="1739" spans="11:34" ht="14.5" x14ac:dyDescent="0.35">
      <c r="K1739" s="4"/>
      <c r="AC1739" s="7">
        <v>2022</v>
      </c>
      <c r="AD1739" s="7">
        <v>3</v>
      </c>
      <c r="AE1739" s="7">
        <v>14</v>
      </c>
      <c r="AF1739" s="8">
        <v>0.375</v>
      </c>
      <c r="AG1739" s="9">
        <v>-0.9</v>
      </c>
      <c r="AH1739" s="10">
        <f t="shared" ref="AH1739:AH1802" si="42">ROUND(AG1739,0)</f>
        <v>-1</v>
      </c>
    </row>
    <row r="1740" spans="11:34" ht="14.5" x14ac:dyDescent="0.35">
      <c r="K1740" s="4"/>
      <c r="AC1740" s="7">
        <v>2022</v>
      </c>
      <c r="AD1740" s="7">
        <v>3</v>
      </c>
      <c r="AE1740" s="7">
        <v>14</v>
      </c>
      <c r="AF1740" s="8">
        <v>0.41666666666666669</v>
      </c>
      <c r="AG1740" s="9">
        <v>4</v>
      </c>
      <c r="AH1740" s="10">
        <f t="shared" si="42"/>
        <v>4</v>
      </c>
    </row>
    <row r="1741" spans="11:34" ht="14.5" x14ac:dyDescent="0.35">
      <c r="K1741" s="4"/>
      <c r="AC1741" s="7">
        <v>2022</v>
      </c>
      <c r="AD1741" s="7">
        <v>3</v>
      </c>
      <c r="AE1741" s="7">
        <v>14</v>
      </c>
      <c r="AF1741" s="8">
        <v>0.45833333333333331</v>
      </c>
      <c r="AG1741" s="9">
        <v>9.1</v>
      </c>
      <c r="AH1741" s="10">
        <f t="shared" si="42"/>
        <v>9</v>
      </c>
    </row>
    <row r="1742" spans="11:34" ht="14.5" x14ac:dyDescent="0.35">
      <c r="K1742" s="4"/>
      <c r="AC1742" s="7">
        <v>2022</v>
      </c>
      <c r="AD1742" s="7">
        <v>3</v>
      </c>
      <c r="AE1742" s="7">
        <v>14</v>
      </c>
      <c r="AF1742" s="8">
        <v>0.5</v>
      </c>
      <c r="AG1742" s="9">
        <v>10.9</v>
      </c>
      <c r="AH1742" s="10">
        <f t="shared" si="42"/>
        <v>11</v>
      </c>
    </row>
    <row r="1743" spans="11:34" ht="14.5" x14ac:dyDescent="0.35">
      <c r="K1743" s="4"/>
      <c r="AC1743" s="7">
        <v>2022</v>
      </c>
      <c r="AD1743" s="7">
        <v>3</v>
      </c>
      <c r="AE1743" s="7">
        <v>14</v>
      </c>
      <c r="AF1743" s="8">
        <v>0.54166666666666663</v>
      </c>
      <c r="AG1743" s="9">
        <v>10.9</v>
      </c>
      <c r="AH1743" s="10">
        <f t="shared" si="42"/>
        <v>11</v>
      </c>
    </row>
    <row r="1744" spans="11:34" ht="14.5" x14ac:dyDescent="0.35">
      <c r="K1744" s="4"/>
      <c r="AC1744" s="7">
        <v>2022</v>
      </c>
      <c r="AD1744" s="7">
        <v>3</v>
      </c>
      <c r="AE1744" s="7">
        <v>14</v>
      </c>
      <c r="AF1744" s="8">
        <v>0.58333333333333337</v>
      </c>
      <c r="AG1744" s="9">
        <v>12</v>
      </c>
      <c r="AH1744" s="10">
        <f t="shared" si="42"/>
        <v>12</v>
      </c>
    </row>
    <row r="1745" spans="11:34" ht="14.5" x14ac:dyDescent="0.35">
      <c r="K1745" s="4"/>
      <c r="AC1745" s="7">
        <v>2022</v>
      </c>
      <c r="AD1745" s="7">
        <v>3</v>
      </c>
      <c r="AE1745" s="7">
        <v>14</v>
      </c>
      <c r="AF1745" s="8">
        <v>0.625</v>
      </c>
      <c r="AG1745" s="9">
        <v>11.5</v>
      </c>
      <c r="AH1745" s="10">
        <f t="shared" si="42"/>
        <v>12</v>
      </c>
    </row>
    <row r="1746" spans="11:34" ht="14.5" x14ac:dyDescent="0.35">
      <c r="K1746" s="4"/>
      <c r="AC1746" s="7">
        <v>2022</v>
      </c>
      <c r="AD1746" s="7">
        <v>3</v>
      </c>
      <c r="AE1746" s="7">
        <v>14</v>
      </c>
      <c r="AF1746" s="8">
        <v>0.66666666666666663</v>
      </c>
      <c r="AG1746" s="9">
        <v>11.3</v>
      </c>
      <c r="AH1746" s="10">
        <f t="shared" si="42"/>
        <v>11</v>
      </c>
    </row>
    <row r="1747" spans="11:34" ht="14.5" x14ac:dyDescent="0.35">
      <c r="K1747" s="4"/>
      <c r="AC1747" s="7">
        <v>2022</v>
      </c>
      <c r="AD1747" s="7">
        <v>3</v>
      </c>
      <c r="AE1747" s="7">
        <v>14</v>
      </c>
      <c r="AF1747" s="8">
        <v>0.70833333333333337</v>
      </c>
      <c r="AG1747" s="9">
        <v>10.3</v>
      </c>
      <c r="AH1747" s="10">
        <f t="shared" si="42"/>
        <v>10</v>
      </c>
    </row>
    <row r="1748" spans="11:34" ht="14.5" x14ac:dyDescent="0.35">
      <c r="K1748" s="4"/>
      <c r="AC1748" s="7">
        <v>2022</v>
      </c>
      <c r="AD1748" s="7">
        <v>3</v>
      </c>
      <c r="AE1748" s="7">
        <v>14</v>
      </c>
      <c r="AF1748" s="8">
        <v>0.75</v>
      </c>
      <c r="AG1748" s="9">
        <v>8.6</v>
      </c>
      <c r="AH1748" s="10">
        <f t="shared" si="42"/>
        <v>9</v>
      </c>
    </row>
    <row r="1749" spans="11:34" ht="14.5" x14ac:dyDescent="0.35">
      <c r="K1749" s="4"/>
      <c r="AC1749" s="7">
        <v>2022</v>
      </c>
      <c r="AD1749" s="7">
        <v>3</v>
      </c>
      <c r="AE1749" s="7">
        <v>14</v>
      </c>
      <c r="AF1749" s="8">
        <v>0.79166666666666663</v>
      </c>
      <c r="AG1749" s="9">
        <v>6.5</v>
      </c>
      <c r="AH1749" s="10">
        <f t="shared" si="42"/>
        <v>7</v>
      </c>
    </row>
    <row r="1750" spans="11:34" ht="14.5" x14ac:dyDescent="0.35">
      <c r="K1750" s="4"/>
      <c r="AC1750" s="7">
        <v>2022</v>
      </c>
      <c r="AD1750" s="7">
        <v>3</v>
      </c>
      <c r="AE1750" s="7">
        <v>14</v>
      </c>
      <c r="AF1750" s="8">
        <v>0.83333333333333337</v>
      </c>
      <c r="AG1750" s="9">
        <v>6.8</v>
      </c>
      <c r="AH1750" s="10">
        <f t="shared" si="42"/>
        <v>7</v>
      </c>
    </row>
    <row r="1751" spans="11:34" ht="14.5" x14ac:dyDescent="0.35">
      <c r="K1751" s="4"/>
      <c r="AC1751" s="7">
        <v>2022</v>
      </c>
      <c r="AD1751" s="7">
        <v>3</v>
      </c>
      <c r="AE1751" s="7">
        <v>14</v>
      </c>
      <c r="AF1751" s="8">
        <v>0.875</v>
      </c>
      <c r="AG1751" s="9">
        <v>4.5999999999999996</v>
      </c>
      <c r="AH1751" s="10">
        <f t="shared" si="42"/>
        <v>5</v>
      </c>
    </row>
    <row r="1752" spans="11:34" ht="14.5" x14ac:dyDescent="0.35">
      <c r="K1752" s="4"/>
      <c r="AC1752" s="7">
        <v>2022</v>
      </c>
      <c r="AD1752" s="7">
        <v>3</v>
      </c>
      <c r="AE1752" s="7">
        <v>14</v>
      </c>
      <c r="AF1752" s="8">
        <v>0.91666666666666663</v>
      </c>
      <c r="AG1752" s="9">
        <v>5.0999999999999996</v>
      </c>
      <c r="AH1752" s="10">
        <f t="shared" si="42"/>
        <v>5</v>
      </c>
    </row>
    <row r="1753" spans="11:34" ht="14.5" x14ac:dyDescent="0.35">
      <c r="K1753" s="4"/>
      <c r="AC1753" s="7">
        <v>2022</v>
      </c>
      <c r="AD1753" s="7">
        <v>3</v>
      </c>
      <c r="AE1753" s="7">
        <v>14</v>
      </c>
      <c r="AF1753" s="8">
        <v>0.95833333333333337</v>
      </c>
      <c r="AG1753" s="9">
        <v>3.3</v>
      </c>
      <c r="AH1753" s="10">
        <f t="shared" si="42"/>
        <v>3</v>
      </c>
    </row>
    <row r="1754" spans="11:34" ht="14.5" x14ac:dyDescent="0.35">
      <c r="K1754" s="4"/>
      <c r="AC1754" s="7">
        <v>2022</v>
      </c>
      <c r="AD1754" s="7">
        <v>3</v>
      </c>
      <c r="AE1754" s="7">
        <v>15</v>
      </c>
      <c r="AF1754" s="8">
        <v>0</v>
      </c>
      <c r="AG1754" s="9">
        <v>2.2999999999999998</v>
      </c>
      <c r="AH1754" s="10">
        <f t="shared" si="42"/>
        <v>2</v>
      </c>
    </row>
    <row r="1755" spans="11:34" ht="14.5" x14ac:dyDescent="0.35">
      <c r="K1755" s="4"/>
      <c r="AC1755" s="7">
        <v>2022</v>
      </c>
      <c r="AD1755" s="7">
        <v>3</v>
      </c>
      <c r="AE1755" s="7">
        <v>15</v>
      </c>
      <c r="AF1755" s="8">
        <v>4.1666666666666664E-2</v>
      </c>
      <c r="AG1755" s="9">
        <v>1.8</v>
      </c>
      <c r="AH1755" s="10">
        <f t="shared" si="42"/>
        <v>2</v>
      </c>
    </row>
    <row r="1756" spans="11:34" ht="14.5" x14ac:dyDescent="0.35">
      <c r="K1756" s="4"/>
      <c r="AC1756" s="7">
        <v>2022</v>
      </c>
      <c r="AD1756" s="7">
        <v>3</v>
      </c>
      <c r="AE1756" s="7">
        <v>15</v>
      </c>
      <c r="AF1756" s="8">
        <v>8.3333333333333329E-2</v>
      </c>
      <c r="AG1756" s="9">
        <v>1.9</v>
      </c>
      <c r="AH1756" s="10">
        <f t="shared" si="42"/>
        <v>2</v>
      </c>
    </row>
    <row r="1757" spans="11:34" ht="14.5" x14ac:dyDescent="0.35">
      <c r="K1757" s="4"/>
      <c r="AC1757" s="7">
        <v>2022</v>
      </c>
      <c r="AD1757" s="7">
        <v>3</v>
      </c>
      <c r="AE1757" s="7">
        <v>15</v>
      </c>
      <c r="AF1757" s="8">
        <v>0.125</v>
      </c>
      <c r="AG1757" s="9">
        <v>2.7</v>
      </c>
      <c r="AH1757" s="10">
        <f t="shared" si="42"/>
        <v>3</v>
      </c>
    </row>
    <row r="1758" spans="11:34" ht="14.5" x14ac:dyDescent="0.35">
      <c r="K1758" s="4"/>
      <c r="AC1758" s="7">
        <v>2022</v>
      </c>
      <c r="AD1758" s="7">
        <v>3</v>
      </c>
      <c r="AE1758" s="7">
        <v>15</v>
      </c>
      <c r="AF1758" s="8">
        <v>0.16666666666666666</v>
      </c>
      <c r="AG1758" s="9">
        <v>2</v>
      </c>
      <c r="AH1758" s="10">
        <f t="shared" si="42"/>
        <v>2</v>
      </c>
    </row>
    <row r="1759" spans="11:34" ht="14.5" x14ac:dyDescent="0.35">
      <c r="K1759" s="4"/>
      <c r="AC1759" s="7">
        <v>2022</v>
      </c>
      <c r="AD1759" s="7">
        <v>3</v>
      </c>
      <c r="AE1759" s="7">
        <v>15</v>
      </c>
      <c r="AF1759" s="8">
        <v>0.20833333333333334</v>
      </c>
      <c r="AG1759" s="9">
        <v>0.5</v>
      </c>
      <c r="AH1759" s="10">
        <f t="shared" si="42"/>
        <v>1</v>
      </c>
    </row>
    <row r="1760" spans="11:34" ht="14.5" x14ac:dyDescent="0.35">
      <c r="K1760" s="4"/>
      <c r="AC1760" s="7">
        <v>2022</v>
      </c>
      <c r="AD1760" s="7">
        <v>3</v>
      </c>
      <c r="AE1760" s="7">
        <v>15</v>
      </c>
      <c r="AF1760" s="8">
        <v>0.25</v>
      </c>
      <c r="AG1760" s="9">
        <v>-0.2</v>
      </c>
      <c r="AH1760" s="10">
        <f t="shared" si="42"/>
        <v>0</v>
      </c>
    </row>
    <row r="1761" spans="11:34" ht="14.5" x14ac:dyDescent="0.35">
      <c r="K1761" s="4"/>
      <c r="AC1761" s="7">
        <v>2022</v>
      </c>
      <c r="AD1761" s="7">
        <v>3</v>
      </c>
      <c r="AE1761" s="7">
        <v>15</v>
      </c>
      <c r="AF1761" s="8">
        <v>0.29166666666666669</v>
      </c>
      <c r="AG1761" s="9">
        <v>-0.4</v>
      </c>
      <c r="AH1761" s="10">
        <f t="shared" si="42"/>
        <v>0</v>
      </c>
    </row>
    <row r="1762" spans="11:34" ht="14.5" x14ac:dyDescent="0.35">
      <c r="K1762" s="4"/>
      <c r="AC1762" s="7">
        <v>2022</v>
      </c>
      <c r="AD1762" s="7">
        <v>3</v>
      </c>
      <c r="AE1762" s="7">
        <v>15</v>
      </c>
      <c r="AF1762" s="8">
        <v>0.33333333333333331</v>
      </c>
      <c r="AG1762" s="9">
        <v>2.1</v>
      </c>
      <c r="AH1762" s="10">
        <f t="shared" si="42"/>
        <v>2</v>
      </c>
    </row>
    <row r="1763" spans="11:34" ht="14.5" x14ac:dyDescent="0.35">
      <c r="K1763" s="4"/>
      <c r="AC1763" s="7">
        <v>2022</v>
      </c>
      <c r="AD1763" s="7">
        <v>3</v>
      </c>
      <c r="AE1763" s="7">
        <v>15</v>
      </c>
      <c r="AF1763" s="8">
        <v>0.375</v>
      </c>
      <c r="AG1763" s="9">
        <v>4.2</v>
      </c>
      <c r="AH1763" s="10">
        <f t="shared" si="42"/>
        <v>4</v>
      </c>
    </row>
    <row r="1764" spans="11:34" ht="14.5" x14ac:dyDescent="0.35">
      <c r="K1764" s="4"/>
      <c r="AC1764" s="7">
        <v>2022</v>
      </c>
      <c r="AD1764" s="7">
        <v>3</v>
      </c>
      <c r="AE1764" s="7">
        <v>15</v>
      </c>
      <c r="AF1764" s="8">
        <v>0.41666666666666669</v>
      </c>
      <c r="AG1764" s="9">
        <v>6.3</v>
      </c>
      <c r="AH1764" s="10">
        <f t="shared" si="42"/>
        <v>6</v>
      </c>
    </row>
    <row r="1765" spans="11:34" ht="14.5" x14ac:dyDescent="0.35">
      <c r="K1765" s="4"/>
      <c r="AC1765" s="7">
        <v>2022</v>
      </c>
      <c r="AD1765" s="7">
        <v>3</v>
      </c>
      <c r="AE1765" s="7">
        <v>15</v>
      </c>
      <c r="AF1765" s="8">
        <v>0.45833333333333331</v>
      </c>
      <c r="AG1765" s="9">
        <v>9.9</v>
      </c>
      <c r="AH1765" s="10">
        <f t="shared" si="42"/>
        <v>10</v>
      </c>
    </row>
    <row r="1766" spans="11:34" ht="14.5" x14ac:dyDescent="0.35">
      <c r="K1766" s="4"/>
      <c r="AC1766" s="7">
        <v>2022</v>
      </c>
      <c r="AD1766" s="7">
        <v>3</v>
      </c>
      <c r="AE1766" s="7">
        <v>15</v>
      </c>
      <c r="AF1766" s="8">
        <v>0.5</v>
      </c>
      <c r="AG1766" s="9">
        <v>11.3</v>
      </c>
      <c r="AH1766" s="10">
        <f t="shared" si="42"/>
        <v>11</v>
      </c>
    </row>
    <row r="1767" spans="11:34" ht="14.5" x14ac:dyDescent="0.35">
      <c r="K1767" s="4"/>
      <c r="AC1767" s="7">
        <v>2022</v>
      </c>
      <c r="AD1767" s="7">
        <v>3</v>
      </c>
      <c r="AE1767" s="7">
        <v>15</v>
      </c>
      <c r="AF1767" s="8">
        <v>0.54166666666666663</v>
      </c>
      <c r="AG1767" s="9">
        <v>11.8</v>
      </c>
      <c r="AH1767" s="10">
        <f t="shared" si="42"/>
        <v>12</v>
      </c>
    </row>
    <row r="1768" spans="11:34" ht="14.5" x14ac:dyDescent="0.35">
      <c r="K1768" s="4"/>
      <c r="AC1768" s="7">
        <v>2022</v>
      </c>
      <c r="AD1768" s="7">
        <v>3</v>
      </c>
      <c r="AE1768" s="7">
        <v>15</v>
      </c>
      <c r="AF1768" s="8">
        <v>0.58333333333333337</v>
      </c>
      <c r="AG1768" s="9">
        <v>10.8</v>
      </c>
      <c r="AH1768" s="10">
        <f t="shared" si="42"/>
        <v>11</v>
      </c>
    </row>
    <row r="1769" spans="11:34" ht="14.5" x14ac:dyDescent="0.35">
      <c r="K1769" s="4"/>
      <c r="AC1769" s="7">
        <v>2022</v>
      </c>
      <c r="AD1769" s="7">
        <v>3</v>
      </c>
      <c r="AE1769" s="7">
        <v>15</v>
      </c>
      <c r="AF1769" s="8">
        <v>0.625</v>
      </c>
      <c r="AG1769" s="9">
        <v>11.2</v>
      </c>
      <c r="AH1769" s="10">
        <f t="shared" si="42"/>
        <v>11</v>
      </c>
    </row>
    <row r="1770" spans="11:34" ht="14.5" x14ac:dyDescent="0.35">
      <c r="K1770" s="4"/>
      <c r="AC1770" s="7">
        <v>2022</v>
      </c>
      <c r="AD1770" s="7">
        <v>3</v>
      </c>
      <c r="AE1770" s="7">
        <v>15</v>
      </c>
      <c r="AF1770" s="8">
        <v>0.66666666666666663</v>
      </c>
      <c r="AG1770" s="9">
        <v>9.1999999999999993</v>
      </c>
      <c r="AH1770" s="10">
        <f t="shared" si="42"/>
        <v>9</v>
      </c>
    </row>
    <row r="1771" spans="11:34" ht="14.5" x14ac:dyDescent="0.35">
      <c r="K1771" s="4"/>
      <c r="AC1771" s="7">
        <v>2022</v>
      </c>
      <c r="AD1771" s="7">
        <v>3</v>
      </c>
      <c r="AE1771" s="7">
        <v>15</v>
      </c>
      <c r="AF1771" s="8">
        <v>0.70833333333333337</v>
      </c>
      <c r="AG1771" s="9">
        <v>8.6</v>
      </c>
      <c r="AH1771" s="10">
        <f t="shared" si="42"/>
        <v>9</v>
      </c>
    </row>
    <row r="1772" spans="11:34" ht="14.5" x14ac:dyDescent="0.35">
      <c r="K1772" s="4"/>
      <c r="AC1772" s="7">
        <v>2022</v>
      </c>
      <c r="AD1772" s="7">
        <v>3</v>
      </c>
      <c r="AE1772" s="7">
        <v>15</v>
      </c>
      <c r="AF1772" s="8">
        <v>0.75</v>
      </c>
      <c r="AG1772" s="9">
        <v>7.3</v>
      </c>
      <c r="AH1772" s="10">
        <f t="shared" si="42"/>
        <v>7</v>
      </c>
    </row>
    <row r="1773" spans="11:34" ht="14.5" x14ac:dyDescent="0.35">
      <c r="K1773" s="4"/>
      <c r="AC1773" s="7">
        <v>2022</v>
      </c>
      <c r="AD1773" s="7">
        <v>3</v>
      </c>
      <c r="AE1773" s="7">
        <v>15</v>
      </c>
      <c r="AF1773" s="8">
        <v>0.79166666666666663</v>
      </c>
      <c r="AG1773" s="9">
        <v>6.2</v>
      </c>
      <c r="AH1773" s="10">
        <f t="shared" si="42"/>
        <v>6</v>
      </c>
    </row>
    <row r="1774" spans="11:34" ht="14.5" x14ac:dyDescent="0.35">
      <c r="K1774" s="4"/>
      <c r="AC1774" s="7">
        <v>2022</v>
      </c>
      <c r="AD1774" s="7">
        <v>3</v>
      </c>
      <c r="AE1774" s="7">
        <v>15</v>
      </c>
      <c r="AF1774" s="8">
        <v>0.83333333333333337</v>
      </c>
      <c r="AG1774" s="9">
        <v>3.6</v>
      </c>
      <c r="AH1774" s="10">
        <f t="shared" si="42"/>
        <v>4</v>
      </c>
    </row>
    <row r="1775" spans="11:34" ht="14.5" x14ac:dyDescent="0.35">
      <c r="K1775" s="4"/>
      <c r="AC1775" s="7">
        <v>2022</v>
      </c>
      <c r="AD1775" s="7">
        <v>3</v>
      </c>
      <c r="AE1775" s="7">
        <v>15</v>
      </c>
      <c r="AF1775" s="8">
        <v>0.875</v>
      </c>
      <c r="AG1775" s="9">
        <v>1.7</v>
      </c>
      <c r="AH1775" s="10">
        <f t="shared" si="42"/>
        <v>2</v>
      </c>
    </row>
    <row r="1776" spans="11:34" ht="14.5" x14ac:dyDescent="0.35">
      <c r="K1776" s="4"/>
      <c r="AC1776" s="7">
        <v>2022</v>
      </c>
      <c r="AD1776" s="7">
        <v>3</v>
      </c>
      <c r="AE1776" s="7">
        <v>15</v>
      </c>
      <c r="AF1776" s="8">
        <v>0.91666666666666663</v>
      </c>
      <c r="AG1776" s="9">
        <v>1.4</v>
      </c>
      <c r="AH1776" s="10">
        <f t="shared" si="42"/>
        <v>1</v>
      </c>
    </row>
    <row r="1777" spans="11:34" ht="14.5" x14ac:dyDescent="0.35">
      <c r="K1777" s="4"/>
      <c r="AC1777" s="7">
        <v>2022</v>
      </c>
      <c r="AD1777" s="7">
        <v>3</v>
      </c>
      <c r="AE1777" s="7">
        <v>15</v>
      </c>
      <c r="AF1777" s="8">
        <v>0.95833333333333337</v>
      </c>
      <c r="AG1777" s="9">
        <v>2.6</v>
      </c>
      <c r="AH1777" s="10">
        <f t="shared" si="42"/>
        <v>3</v>
      </c>
    </row>
    <row r="1778" spans="11:34" ht="14.5" x14ac:dyDescent="0.35">
      <c r="K1778" s="4"/>
      <c r="AC1778" s="7">
        <v>2022</v>
      </c>
      <c r="AD1778" s="7">
        <v>3</v>
      </c>
      <c r="AE1778" s="7">
        <v>16</v>
      </c>
      <c r="AF1778" s="8">
        <v>0</v>
      </c>
      <c r="AG1778" s="9">
        <v>1.6</v>
      </c>
      <c r="AH1778" s="10">
        <f t="shared" si="42"/>
        <v>2</v>
      </c>
    </row>
    <row r="1779" spans="11:34" ht="14.5" x14ac:dyDescent="0.35">
      <c r="K1779" s="4"/>
      <c r="AC1779" s="7">
        <v>2022</v>
      </c>
      <c r="AD1779" s="7">
        <v>3</v>
      </c>
      <c r="AE1779" s="7">
        <v>16</v>
      </c>
      <c r="AF1779" s="8">
        <v>4.1666666666666664E-2</v>
      </c>
      <c r="AG1779" s="9">
        <v>2.2999999999999998</v>
      </c>
      <c r="AH1779" s="10">
        <f t="shared" si="42"/>
        <v>2</v>
      </c>
    </row>
    <row r="1780" spans="11:34" ht="14.5" x14ac:dyDescent="0.35">
      <c r="K1780" s="4"/>
      <c r="AC1780" s="7">
        <v>2022</v>
      </c>
      <c r="AD1780" s="7">
        <v>3</v>
      </c>
      <c r="AE1780" s="7">
        <v>16</v>
      </c>
      <c r="AF1780" s="8">
        <v>8.3333333333333329E-2</v>
      </c>
      <c r="AG1780" s="9">
        <v>2.1</v>
      </c>
      <c r="AH1780" s="10">
        <f t="shared" si="42"/>
        <v>2</v>
      </c>
    </row>
    <row r="1781" spans="11:34" ht="14.5" x14ac:dyDescent="0.35">
      <c r="K1781" s="4"/>
      <c r="AC1781" s="7">
        <v>2022</v>
      </c>
      <c r="AD1781" s="7">
        <v>3</v>
      </c>
      <c r="AE1781" s="7">
        <v>16</v>
      </c>
      <c r="AF1781" s="8">
        <v>0.125</v>
      </c>
      <c r="AG1781" s="9">
        <v>1.6</v>
      </c>
      <c r="AH1781" s="10">
        <f t="shared" si="42"/>
        <v>2</v>
      </c>
    </row>
    <row r="1782" spans="11:34" ht="14.5" x14ac:dyDescent="0.35">
      <c r="K1782" s="4"/>
      <c r="AC1782" s="7">
        <v>2022</v>
      </c>
      <c r="AD1782" s="7">
        <v>3</v>
      </c>
      <c r="AE1782" s="7">
        <v>16</v>
      </c>
      <c r="AF1782" s="8">
        <v>0.16666666666666666</v>
      </c>
      <c r="AG1782" s="9">
        <v>1.1000000000000001</v>
      </c>
      <c r="AH1782" s="10">
        <f t="shared" si="42"/>
        <v>1</v>
      </c>
    </row>
    <row r="1783" spans="11:34" ht="14.5" x14ac:dyDescent="0.35">
      <c r="K1783" s="4"/>
      <c r="AC1783" s="7">
        <v>2022</v>
      </c>
      <c r="AD1783" s="7">
        <v>3</v>
      </c>
      <c r="AE1783" s="7">
        <v>16</v>
      </c>
      <c r="AF1783" s="8">
        <v>0.20833333333333334</v>
      </c>
      <c r="AG1783" s="9">
        <v>1.7</v>
      </c>
      <c r="AH1783" s="10">
        <f t="shared" si="42"/>
        <v>2</v>
      </c>
    </row>
    <row r="1784" spans="11:34" ht="14.5" x14ac:dyDescent="0.35">
      <c r="K1784" s="4"/>
      <c r="AC1784" s="7">
        <v>2022</v>
      </c>
      <c r="AD1784" s="7">
        <v>3</v>
      </c>
      <c r="AE1784" s="7">
        <v>16</v>
      </c>
      <c r="AF1784" s="8">
        <v>0.25</v>
      </c>
      <c r="AG1784" s="9">
        <v>1.6</v>
      </c>
      <c r="AH1784" s="10">
        <f t="shared" si="42"/>
        <v>2</v>
      </c>
    </row>
    <row r="1785" spans="11:34" ht="14.5" x14ac:dyDescent="0.35">
      <c r="K1785" s="4"/>
      <c r="AC1785" s="7">
        <v>2022</v>
      </c>
      <c r="AD1785" s="7">
        <v>3</v>
      </c>
      <c r="AE1785" s="7">
        <v>16</v>
      </c>
      <c r="AF1785" s="8">
        <v>0.29166666666666669</v>
      </c>
      <c r="AG1785" s="9">
        <v>1.3</v>
      </c>
      <c r="AH1785" s="10">
        <f t="shared" si="42"/>
        <v>1</v>
      </c>
    </row>
    <row r="1786" spans="11:34" ht="14.5" x14ac:dyDescent="0.35">
      <c r="K1786" s="4"/>
      <c r="AC1786" s="7">
        <v>2022</v>
      </c>
      <c r="AD1786" s="7">
        <v>3</v>
      </c>
      <c r="AE1786" s="7">
        <v>16</v>
      </c>
      <c r="AF1786" s="8">
        <v>0.33333333333333331</v>
      </c>
      <c r="AG1786" s="9">
        <v>3.5</v>
      </c>
      <c r="AH1786" s="10">
        <f t="shared" si="42"/>
        <v>4</v>
      </c>
    </row>
    <row r="1787" spans="11:34" ht="14.5" x14ac:dyDescent="0.35">
      <c r="K1787" s="4"/>
      <c r="AC1787" s="7">
        <v>2022</v>
      </c>
      <c r="AD1787" s="7">
        <v>3</v>
      </c>
      <c r="AE1787" s="7">
        <v>16</v>
      </c>
      <c r="AF1787" s="8">
        <v>0.375</v>
      </c>
      <c r="AG1787" s="9">
        <v>5.0999999999999996</v>
      </c>
      <c r="AH1787" s="10">
        <f t="shared" si="42"/>
        <v>5</v>
      </c>
    </row>
    <row r="1788" spans="11:34" ht="14.5" x14ac:dyDescent="0.35">
      <c r="K1788" s="4"/>
      <c r="AC1788" s="7">
        <v>2022</v>
      </c>
      <c r="AD1788" s="7">
        <v>3</v>
      </c>
      <c r="AE1788" s="7">
        <v>16</v>
      </c>
      <c r="AF1788" s="8">
        <v>0.41666666666666669</v>
      </c>
      <c r="AG1788" s="9">
        <v>6.6</v>
      </c>
      <c r="AH1788" s="10">
        <f t="shared" si="42"/>
        <v>7</v>
      </c>
    </row>
    <row r="1789" spans="11:34" ht="14.5" x14ac:dyDescent="0.35">
      <c r="K1789" s="4"/>
      <c r="AC1789" s="7">
        <v>2022</v>
      </c>
      <c r="AD1789" s="7">
        <v>3</v>
      </c>
      <c r="AE1789" s="7">
        <v>16</v>
      </c>
      <c r="AF1789" s="8">
        <v>0.45833333333333331</v>
      </c>
      <c r="AG1789" s="9">
        <v>7.6</v>
      </c>
      <c r="AH1789" s="10">
        <f t="shared" si="42"/>
        <v>8</v>
      </c>
    </row>
    <row r="1790" spans="11:34" ht="14.5" x14ac:dyDescent="0.35">
      <c r="K1790" s="4"/>
      <c r="AC1790" s="7">
        <v>2022</v>
      </c>
      <c r="AD1790" s="7">
        <v>3</v>
      </c>
      <c r="AE1790" s="7">
        <v>16</v>
      </c>
      <c r="AF1790" s="8">
        <v>0.5</v>
      </c>
      <c r="AG1790" s="9">
        <v>8</v>
      </c>
      <c r="AH1790" s="10">
        <f t="shared" si="42"/>
        <v>8</v>
      </c>
    </row>
    <row r="1791" spans="11:34" ht="14.5" x14ac:dyDescent="0.35">
      <c r="K1791" s="4"/>
      <c r="AC1791" s="7">
        <v>2022</v>
      </c>
      <c r="AD1791" s="7">
        <v>3</v>
      </c>
      <c r="AE1791" s="7">
        <v>16</v>
      </c>
      <c r="AF1791" s="8">
        <v>0.54166666666666663</v>
      </c>
      <c r="AG1791" s="9">
        <v>8.5</v>
      </c>
      <c r="AH1791" s="10">
        <f t="shared" si="42"/>
        <v>9</v>
      </c>
    </row>
    <row r="1792" spans="11:34" ht="14.5" x14ac:dyDescent="0.35">
      <c r="K1792" s="4"/>
      <c r="AC1792" s="7">
        <v>2022</v>
      </c>
      <c r="AD1792" s="7">
        <v>3</v>
      </c>
      <c r="AE1792" s="7">
        <v>16</v>
      </c>
      <c r="AF1792" s="8">
        <v>0.58333333333333337</v>
      </c>
      <c r="AG1792" s="9">
        <v>9.1999999999999993</v>
      </c>
      <c r="AH1792" s="10">
        <f t="shared" si="42"/>
        <v>9</v>
      </c>
    </row>
    <row r="1793" spans="11:34" ht="14.5" x14ac:dyDescent="0.35">
      <c r="K1793" s="4"/>
      <c r="AC1793" s="7">
        <v>2022</v>
      </c>
      <c r="AD1793" s="7">
        <v>3</v>
      </c>
      <c r="AE1793" s="7">
        <v>16</v>
      </c>
      <c r="AF1793" s="8">
        <v>0.625</v>
      </c>
      <c r="AG1793" s="9">
        <v>7.7</v>
      </c>
      <c r="AH1793" s="10">
        <f t="shared" si="42"/>
        <v>8</v>
      </c>
    </row>
    <row r="1794" spans="11:34" ht="14.5" x14ac:dyDescent="0.35">
      <c r="K1794" s="4"/>
      <c r="AC1794" s="7">
        <v>2022</v>
      </c>
      <c r="AD1794" s="7">
        <v>3</v>
      </c>
      <c r="AE1794" s="7">
        <v>16</v>
      </c>
      <c r="AF1794" s="8">
        <v>0.66666666666666663</v>
      </c>
      <c r="AG1794" s="9">
        <v>7.5</v>
      </c>
      <c r="AH1794" s="10">
        <f t="shared" si="42"/>
        <v>8</v>
      </c>
    </row>
    <row r="1795" spans="11:34" ht="14.5" x14ac:dyDescent="0.35">
      <c r="K1795" s="4"/>
      <c r="AC1795" s="7">
        <v>2022</v>
      </c>
      <c r="AD1795" s="7">
        <v>3</v>
      </c>
      <c r="AE1795" s="7">
        <v>16</v>
      </c>
      <c r="AF1795" s="8">
        <v>0.70833333333333337</v>
      </c>
      <c r="AG1795" s="9">
        <v>7</v>
      </c>
      <c r="AH1795" s="10">
        <f t="shared" si="42"/>
        <v>7</v>
      </c>
    </row>
    <row r="1796" spans="11:34" ht="14.5" x14ac:dyDescent="0.35">
      <c r="K1796" s="4"/>
      <c r="AC1796" s="7">
        <v>2022</v>
      </c>
      <c r="AD1796" s="7">
        <v>3</v>
      </c>
      <c r="AE1796" s="7">
        <v>16</v>
      </c>
      <c r="AF1796" s="8">
        <v>0.75</v>
      </c>
      <c r="AG1796" s="9">
        <v>7.7</v>
      </c>
      <c r="AH1796" s="10">
        <f t="shared" si="42"/>
        <v>8</v>
      </c>
    </row>
    <row r="1797" spans="11:34" ht="14.5" x14ac:dyDescent="0.35">
      <c r="K1797" s="4"/>
      <c r="AC1797" s="7">
        <v>2022</v>
      </c>
      <c r="AD1797" s="7">
        <v>3</v>
      </c>
      <c r="AE1797" s="7">
        <v>16</v>
      </c>
      <c r="AF1797" s="8">
        <v>0.79166666666666663</v>
      </c>
      <c r="AG1797" s="9">
        <v>4.8</v>
      </c>
      <c r="AH1797" s="10">
        <f t="shared" si="42"/>
        <v>5</v>
      </c>
    </row>
    <row r="1798" spans="11:34" ht="14.5" x14ac:dyDescent="0.35">
      <c r="K1798" s="4"/>
      <c r="AC1798" s="7">
        <v>2022</v>
      </c>
      <c r="AD1798" s="7">
        <v>3</v>
      </c>
      <c r="AE1798" s="7">
        <v>16</v>
      </c>
      <c r="AF1798" s="8">
        <v>0.83333333333333337</v>
      </c>
      <c r="AG1798" s="9">
        <v>2.9</v>
      </c>
      <c r="AH1798" s="10">
        <f t="shared" si="42"/>
        <v>3</v>
      </c>
    </row>
    <row r="1799" spans="11:34" ht="14.5" x14ac:dyDescent="0.35">
      <c r="K1799" s="4"/>
      <c r="AC1799" s="7">
        <v>2022</v>
      </c>
      <c r="AD1799" s="7">
        <v>3</v>
      </c>
      <c r="AE1799" s="7">
        <v>16</v>
      </c>
      <c r="AF1799" s="8">
        <v>0.875</v>
      </c>
      <c r="AG1799" s="9">
        <v>2.7</v>
      </c>
      <c r="AH1799" s="10">
        <f t="shared" si="42"/>
        <v>3</v>
      </c>
    </row>
    <row r="1800" spans="11:34" ht="14.5" x14ac:dyDescent="0.35">
      <c r="K1800" s="4"/>
      <c r="AC1800" s="7">
        <v>2022</v>
      </c>
      <c r="AD1800" s="7">
        <v>3</v>
      </c>
      <c r="AE1800" s="7">
        <v>16</v>
      </c>
      <c r="AF1800" s="8">
        <v>0.91666666666666663</v>
      </c>
      <c r="AG1800" s="9">
        <v>2.4</v>
      </c>
      <c r="AH1800" s="10">
        <f t="shared" si="42"/>
        <v>2</v>
      </c>
    </row>
    <row r="1801" spans="11:34" ht="14.5" x14ac:dyDescent="0.35">
      <c r="K1801" s="4"/>
      <c r="AC1801" s="7">
        <v>2022</v>
      </c>
      <c r="AD1801" s="7">
        <v>3</v>
      </c>
      <c r="AE1801" s="7">
        <v>16</v>
      </c>
      <c r="AF1801" s="8">
        <v>0.95833333333333337</v>
      </c>
      <c r="AG1801" s="9">
        <v>2.7</v>
      </c>
      <c r="AH1801" s="10">
        <f t="shared" si="42"/>
        <v>3</v>
      </c>
    </row>
    <row r="1802" spans="11:34" ht="14.5" x14ac:dyDescent="0.35">
      <c r="K1802" s="4"/>
      <c r="AC1802" s="7">
        <v>2022</v>
      </c>
      <c r="AD1802" s="7">
        <v>3</v>
      </c>
      <c r="AE1802" s="7">
        <v>17</v>
      </c>
      <c r="AF1802" s="8">
        <v>0</v>
      </c>
      <c r="AG1802" s="9">
        <v>2.6</v>
      </c>
      <c r="AH1802" s="10">
        <f t="shared" si="42"/>
        <v>3</v>
      </c>
    </row>
    <row r="1803" spans="11:34" ht="14.5" x14ac:dyDescent="0.35">
      <c r="K1803" s="4"/>
      <c r="AC1803" s="7">
        <v>2022</v>
      </c>
      <c r="AD1803" s="7">
        <v>3</v>
      </c>
      <c r="AE1803" s="7">
        <v>17</v>
      </c>
      <c r="AF1803" s="8">
        <v>4.1666666666666664E-2</v>
      </c>
      <c r="AG1803" s="9">
        <v>2.2999999999999998</v>
      </c>
      <c r="AH1803" s="10">
        <f t="shared" ref="AH1803:AH1866" si="43">ROUND(AG1803,0)</f>
        <v>2</v>
      </c>
    </row>
    <row r="1804" spans="11:34" ht="14.5" x14ac:dyDescent="0.35">
      <c r="K1804" s="4"/>
      <c r="AC1804" s="7">
        <v>2022</v>
      </c>
      <c r="AD1804" s="7">
        <v>3</v>
      </c>
      <c r="AE1804" s="7">
        <v>17</v>
      </c>
      <c r="AF1804" s="8">
        <v>8.3333333333333329E-2</v>
      </c>
      <c r="AG1804" s="9">
        <v>-0.6</v>
      </c>
      <c r="AH1804" s="10">
        <f t="shared" si="43"/>
        <v>-1</v>
      </c>
    </row>
    <row r="1805" spans="11:34" ht="14.5" x14ac:dyDescent="0.35">
      <c r="K1805" s="4"/>
      <c r="AC1805" s="7">
        <v>2022</v>
      </c>
      <c r="AD1805" s="7">
        <v>3</v>
      </c>
      <c r="AE1805" s="7">
        <v>17</v>
      </c>
      <c r="AF1805" s="8">
        <v>0.125</v>
      </c>
      <c r="AG1805" s="9">
        <v>-1.9</v>
      </c>
      <c r="AH1805" s="10">
        <f t="shared" si="43"/>
        <v>-2</v>
      </c>
    </row>
    <row r="1806" spans="11:34" ht="14.5" x14ac:dyDescent="0.35">
      <c r="K1806" s="4"/>
      <c r="AC1806" s="7">
        <v>2022</v>
      </c>
      <c r="AD1806" s="7">
        <v>3</v>
      </c>
      <c r="AE1806" s="7">
        <v>17</v>
      </c>
      <c r="AF1806" s="8">
        <v>0.16666666666666666</v>
      </c>
      <c r="AG1806" s="9">
        <v>-0.4</v>
      </c>
      <c r="AH1806" s="10">
        <f t="shared" si="43"/>
        <v>0</v>
      </c>
    </row>
    <row r="1807" spans="11:34" ht="14.5" x14ac:dyDescent="0.35">
      <c r="K1807" s="4"/>
      <c r="AC1807" s="7">
        <v>2022</v>
      </c>
      <c r="AD1807" s="7">
        <v>3</v>
      </c>
      <c r="AE1807" s="7">
        <v>17</v>
      </c>
      <c r="AF1807" s="8">
        <v>0.20833333333333334</v>
      </c>
      <c r="AG1807" s="9">
        <v>-2.2999999999999998</v>
      </c>
      <c r="AH1807" s="10">
        <f t="shared" si="43"/>
        <v>-2</v>
      </c>
    </row>
    <row r="1808" spans="11:34" ht="14.5" x14ac:dyDescent="0.35">
      <c r="K1808" s="4"/>
      <c r="AC1808" s="7">
        <v>2022</v>
      </c>
      <c r="AD1808" s="7">
        <v>3</v>
      </c>
      <c r="AE1808" s="7">
        <v>17</v>
      </c>
      <c r="AF1808" s="8">
        <v>0.25</v>
      </c>
      <c r="AG1808" s="9">
        <v>-1.3</v>
      </c>
      <c r="AH1808" s="10">
        <f t="shared" si="43"/>
        <v>-1</v>
      </c>
    </row>
    <row r="1809" spans="11:34" ht="14.5" x14ac:dyDescent="0.35">
      <c r="K1809" s="4"/>
      <c r="AC1809" s="7">
        <v>2022</v>
      </c>
      <c r="AD1809" s="7">
        <v>3</v>
      </c>
      <c r="AE1809" s="7">
        <v>17</v>
      </c>
      <c r="AF1809" s="8">
        <v>0.29166666666666669</v>
      </c>
      <c r="AG1809" s="9">
        <v>-1.5</v>
      </c>
      <c r="AH1809" s="10">
        <f t="shared" si="43"/>
        <v>-2</v>
      </c>
    </row>
    <row r="1810" spans="11:34" ht="14.5" x14ac:dyDescent="0.35">
      <c r="K1810" s="4"/>
      <c r="AC1810" s="7">
        <v>2022</v>
      </c>
      <c r="AD1810" s="7">
        <v>3</v>
      </c>
      <c r="AE1810" s="7">
        <v>17</v>
      </c>
      <c r="AF1810" s="8">
        <v>0.33333333333333331</v>
      </c>
      <c r="AG1810" s="9">
        <v>0.7</v>
      </c>
      <c r="AH1810" s="10">
        <f t="shared" si="43"/>
        <v>1</v>
      </c>
    </row>
    <row r="1811" spans="11:34" ht="14.5" x14ac:dyDescent="0.35">
      <c r="K1811" s="4"/>
      <c r="AC1811" s="7">
        <v>2022</v>
      </c>
      <c r="AD1811" s="7">
        <v>3</v>
      </c>
      <c r="AE1811" s="7">
        <v>17</v>
      </c>
      <c r="AF1811" s="8">
        <v>0.375</v>
      </c>
      <c r="AG1811" s="9">
        <v>3.8</v>
      </c>
      <c r="AH1811" s="10">
        <f t="shared" si="43"/>
        <v>4</v>
      </c>
    </row>
    <row r="1812" spans="11:34" ht="14.5" x14ac:dyDescent="0.35">
      <c r="K1812" s="4"/>
      <c r="AC1812" s="7">
        <v>2022</v>
      </c>
      <c r="AD1812" s="7">
        <v>3</v>
      </c>
      <c r="AE1812" s="7">
        <v>17</v>
      </c>
      <c r="AF1812" s="8">
        <v>0.41666666666666669</v>
      </c>
      <c r="AG1812" s="9">
        <v>5.3</v>
      </c>
      <c r="AH1812" s="10">
        <f t="shared" si="43"/>
        <v>5</v>
      </c>
    </row>
    <row r="1813" spans="11:34" ht="14.5" x14ac:dyDescent="0.35">
      <c r="K1813" s="4"/>
      <c r="AC1813" s="7">
        <v>2022</v>
      </c>
      <c r="AD1813" s="7">
        <v>3</v>
      </c>
      <c r="AE1813" s="7">
        <v>17</v>
      </c>
      <c r="AF1813" s="8">
        <v>0.45833333333333331</v>
      </c>
      <c r="AG1813" s="9">
        <v>7.1</v>
      </c>
      <c r="AH1813" s="10">
        <f t="shared" si="43"/>
        <v>7</v>
      </c>
    </row>
    <row r="1814" spans="11:34" ht="14.5" x14ac:dyDescent="0.35">
      <c r="K1814" s="4"/>
      <c r="AC1814" s="7">
        <v>2022</v>
      </c>
      <c r="AD1814" s="7">
        <v>3</v>
      </c>
      <c r="AE1814" s="7">
        <v>17</v>
      </c>
      <c r="AF1814" s="8">
        <v>0.5</v>
      </c>
      <c r="AG1814" s="9">
        <v>8.3000000000000007</v>
      </c>
      <c r="AH1814" s="10">
        <f t="shared" si="43"/>
        <v>8</v>
      </c>
    </row>
    <row r="1815" spans="11:34" ht="14.5" x14ac:dyDescent="0.35">
      <c r="K1815" s="4"/>
      <c r="AC1815" s="7">
        <v>2022</v>
      </c>
      <c r="AD1815" s="7">
        <v>3</v>
      </c>
      <c r="AE1815" s="7">
        <v>17</v>
      </c>
      <c r="AF1815" s="8">
        <v>0.54166666666666663</v>
      </c>
      <c r="AG1815" s="9">
        <v>9.6</v>
      </c>
      <c r="AH1815" s="10">
        <f t="shared" si="43"/>
        <v>10</v>
      </c>
    </row>
    <row r="1816" spans="11:34" ht="14.5" x14ac:dyDescent="0.35">
      <c r="K1816" s="4"/>
      <c r="AC1816" s="7">
        <v>2022</v>
      </c>
      <c r="AD1816" s="7">
        <v>3</v>
      </c>
      <c r="AE1816" s="7">
        <v>17</v>
      </c>
      <c r="AF1816" s="8">
        <v>0.58333333333333337</v>
      </c>
      <c r="AG1816" s="9">
        <v>10.1</v>
      </c>
      <c r="AH1816" s="10">
        <f t="shared" si="43"/>
        <v>10</v>
      </c>
    </row>
    <row r="1817" spans="11:34" ht="14.5" x14ac:dyDescent="0.35">
      <c r="K1817" s="4"/>
      <c r="AC1817" s="7">
        <v>2022</v>
      </c>
      <c r="AD1817" s="7">
        <v>3</v>
      </c>
      <c r="AE1817" s="7">
        <v>17</v>
      </c>
      <c r="AF1817" s="8">
        <v>0.625</v>
      </c>
      <c r="AG1817" s="9">
        <v>11</v>
      </c>
      <c r="AH1817" s="10">
        <f t="shared" si="43"/>
        <v>11</v>
      </c>
    </row>
    <row r="1818" spans="11:34" ht="14.5" x14ac:dyDescent="0.35">
      <c r="K1818" s="4"/>
      <c r="AC1818" s="7">
        <v>2022</v>
      </c>
      <c r="AD1818" s="7">
        <v>3</v>
      </c>
      <c r="AE1818" s="7">
        <v>17</v>
      </c>
      <c r="AF1818" s="8">
        <v>0.66666666666666663</v>
      </c>
      <c r="AG1818" s="9">
        <v>11.4</v>
      </c>
      <c r="AH1818" s="10">
        <f t="shared" si="43"/>
        <v>11</v>
      </c>
    </row>
    <row r="1819" spans="11:34" ht="14.5" x14ac:dyDescent="0.35">
      <c r="K1819" s="4"/>
      <c r="AC1819" s="7">
        <v>2022</v>
      </c>
      <c r="AD1819" s="7">
        <v>3</v>
      </c>
      <c r="AE1819" s="7">
        <v>17</v>
      </c>
      <c r="AF1819" s="8">
        <v>0.70833333333333337</v>
      </c>
      <c r="AG1819" s="9">
        <v>10.9</v>
      </c>
      <c r="AH1819" s="10">
        <f t="shared" si="43"/>
        <v>11</v>
      </c>
    </row>
    <row r="1820" spans="11:34" ht="14.5" x14ac:dyDescent="0.35">
      <c r="K1820" s="4"/>
      <c r="AC1820" s="7">
        <v>2022</v>
      </c>
      <c r="AD1820" s="7">
        <v>3</v>
      </c>
      <c r="AE1820" s="7">
        <v>17</v>
      </c>
      <c r="AF1820" s="8">
        <v>0.75</v>
      </c>
      <c r="AG1820" s="9">
        <v>9</v>
      </c>
      <c r="AH1820" s="10">
        <f t="shared" si="43"/>
        <v>9</v>
      </c>
    </row>
    <row r="1821" spans="11:34" ht="14.5" x14ac:dyDescent="0.35">
      <c r="K1821" s="4"/>
      <c r="AC1821" s="7">
        <v>2022</v>
      </c>
      <c r="AD1821" s="7">
        <v>3</v>
      </c>
      <c r="AE1821" s="7">
        <v>17</v>
      </c>
      <c r="AF1821" s="8">
        <v>0.79166666666666663</v>
      </c>
      <c r="AG1821" s="9">
        <v>7.1</v>
      </c>
      <c r="AH1821" s="10">
        <f t="shared" si="43"/>
        <v>7</v>
      </c>
    </row>
    <row r="1822" spans="11:34" ht="14.5" x14ac:dyDescent="0.35">
      <c r="K1822" s="4"/>
      <c r="AC1822" s="7">
        <v>2022</v>
      </c>
      <c r="AD1822" s="7">
        <v>3</v>
      </c>
      <c r="AE1822" s="7">
        <v>17</v>
      </c>
      <c r="AF1822" s="8">
        <v>0.83333333333333337</v>
      </c>
      <c r="AG1822" s="9">
        <v>6.4</v>
      </c>
      <c r="AH1822" s="10">
        <f t="shared" si="43"/>
        <v>6</v>
      </c>
    </row>
    <row r="1823" spans="11:34" ht="14.5" x14ac:dyDescent="0.35">
      <c r="K1823" s="4"/>
      <c r="AC1823" s="7">
        <v>2022</v>
      </c>
      <c r="AD1823" s="7">
        <v>3</v>
      </c>
      <c r="AE1823" s="7">
        <v>17</v>
      </c>
      <c r="AF1823" s="8">
        <v>0.875</v>
      </c>
      <c r="AG1823" s="9">
        <v>5.6</v>
      </c>
      <c r="AH1823" s="10">
        <f t="shared" si="43"/>
        <v>6</v>
      </c>
    </row>
    <row r="1824" spans="11:34" ht="14.5" x14ac:dyDescent="0.35">
      <c r="K1824" s="4"/>
      <c r="AC1824" s="7">
        <v>2022</v>
      </c>
      <c r="AD1824" s="7">
        <v>3</v>
      </c>
      <c r="AE1824" s="7">
        <v>17</v>
      </c>
      <c r="AF1824" s="8">
        <v>0.91666666666666663</v>
      </c>
      <c r="AG1824" s="9">
        <v>6.1</v>
      </c>
      <c r="AH1824" s="10">
        <f t="shared" si="43"/>
        <v>6</v>
      </c>
    </row>
    <row r="1825" spans="11:34" ht="14.5" x14ac:dyDescent="0.35">
      <c r="K1825" s="4"/>
      <c r="AC1825" s="7">
        <v>2022</v>
      </c>
      <c r="AD1825" s="7">
        <v>3</v>
      </c>
      <c r="AE1825" s="7">
        <v>17</v>
      </c>
      <c r="AF1825" s="8">
        <v>0.95833333333333337</v>
      </c>
      <c r="AG1825" s="9">
        <v>5.0999999999999996</v>
      </c>
      <c r="AH1825" s="10">
        <f t="shared" si="43"/>
        <v>5</v>
      </c>
    </row>
    <row r="1826" spans="11:34" ht="14.5" x14ac:dyDescent="0.35">
      <c r="K1826" s="4"/>
      <c r="AC1826" s="7">
        <v>2022</v>
      </c>
      <c r="AD1826" s="7">
        <v>3</v>
      </c>
      <c r="AE1826" s="7">
        <v>18</v>
      </c>
      <c r="AF1826" s="8">
        <v>0</v>
      </c>
      <c r="AG1826" s="9">
        <v>4.7</v>
      </c>
      <c r="AH1826" s="10">
        <f t="shared" si="43"/>
        <v>5</v>
      </c>
    </row>
    <row r="1827" spans="11:34" ht="14.5" x14ac:dyDescent="0.35">
      <c r="K1827" s="4"/>
      <c r="AC1827" s="7">
        <v>2022</v>
      </c>
      <c r="AD1827" s="7">
        <v>3</v>
      </c>
      <c r="AE1827" s="7">
        <v>18</v>
      </c>
      <c r="AF1827" s="8">
        <v>4.1666666666666664E-2</v>
      </c>
      <c r="AG1827" s="9">
        <v>4.3</v>
      </c>
      <c r="AH1827" s="10">
        <f t="shared" si="43"/>
        <v>4</v>
      </c>
    </row>
    <row r="1828" spans="11:34" ht="14.5" x14ac:dyDescent="0.35">
      <c r="K1828" s="4"/>
      <c r="AC1828" s="7">
        <v>2022</v>
      </c>
      <c r="AD1828" s="7">
        <v>3</v>
      </c>
      <c r="AE1828" s="7">
        <v>18</v>
      </c>
      <c r="AF1828" s="8">
        <v>8.3333333333333329E-2</v>
      </c>
      <c r="AG1828" s="9">
        <v>2.7</v>
      </c>
      <c r="AH1828" s="10">
        <f t="shared" si="43"/>
        <v>3</v>
      </c>
    </row>
    <row r="1829" spans="11:34" ht="14.5" x14ac:dyDescent="0.35">
      <c r="K1829" s="4"/>
      <c r="AC1829" s="7">
        <v>2022</v>
      </c>
      <c r="AD1829" s="7">
        <v>3</v>
      </c>
      <c r="AE1829" s="7">
        <v>18</v>
      </c>
      <c r="AF1829" s="8">
        <v>0.125</v>
      </c>
      <c r="AG1829" s="9">
        <v>1.2</v>
      </c>
      <c r="AH1829" s="10">
        <f t="shared" si="43"/>
        <v>1</v>
      </c>
    </row>
    <row r="1830" spans="11:34" ht="14.5" x14ac:dyDescent="0.35">
      <c r="K1830" s="4"/>
      <c r="AC1830" s="7">
        <v>2022</v>
      </c>
      <c r="AD1830" s="7">
        <v>3</v>
      </c>
      <c r="AE1830" s="7">
        <v>18</v>
      </c>
      <c r="AF1830" s="8">
        <v>0.16666666666666666</v>
      </c>
      <c r="AG1830" s="9">
        <v>-1.6</v>
      </c>
      <c r="AH1830" s="10">
        <f t="shared" si="43"/>
        <v>-2</v>
      </c>
    </row>
    <row r="1831" spans="11:34" ht="14.5" x14ac:dyDescent="0.35">
      <c r="K1831" s="4"/>
      <c r="AC1831" s="7">
        <v>2022</v>
      </c>
      <c r="AD1831" s="7">
        <v>3</v>
      </c>
      <c r="AE1831" s="7">
        <v>18</v>
      </c>
      <c r="AF1831" s="8">
        <v>0.20833333333333334</v>
      </c>
      <c r="AG1831" s="9">
        <v>-1.4</v>
      </c>
      <c r="AH1831" s="10">
        <f t="shared" si="43"/>
        <v>-1</v>
      </c>
    </row>
    <row r="1832" spans="11:34" ht="14.5" x14ac:dyDescent="0.35">
      <c r="K1832" s="4"/>
      <c r="AC1832" s="7">
        <v>2022</v>
      </c>
      <c r="AD1832" s="7">
        <v>3</v>
      </c>
      <c r="AE1832" s="7">
        <v>18</v>
      </c>
      <c r="AF1832" s="8">
        <v>0.25</v>
      </c>
      <c r="AG1832" s="9">
        <v>-1.5</v>
      </c>
      <c r="AH1832" s="10">
        <f t="shared" si="43"/>
        <v>-2</v>
      </c>
    </row>
    <row r="1833" spans="11:34" ht="14.5" x14ac:dyDescent="0.35">
      <c r="K1833" s="4"/>
      <c r="AC1833" s="7">
        <v>2022</v>
      </c>
      <c r="AD1833" s="7">
        <v>3</v>
      </c>
      <c r="AE1833" s="7">
        <v>18</v>
      </c>
      <c r="AF1833" s="8">
        <v>0.29166666666666669</v>
      </c>
      <c r="AG1833" s="9">
        <v>-3</v>
      </c>
      <c r="AH1833" s="10">
        <f t="shared" si="43"/>
        <v>-3</v>
      </c>
    </row>
    <row r="1834" spans="11:34" ht="14.5" x14ac:dyDescent="0.35">
      <c r="K1834" s="4"/>
      <c r="AC1834" s="7">
        <v>2022</v>
      </c>
      <c r="AD1834" s="7">
        <v>3</v>
      </c>
      <c r="AE1834" s="7">
        <v>18</v>
      </c>
      <c r="AF1834" s="8">
        <v>0.33333333333333331</v>
      </c>
      <c r="AG1834" s="9">
        <v>-0.6</v>
      </c>
      <c r="AH1834" s="10">
        <f t="shared" si="43"/>
        <v>-1</v>
      </c>
    </row>
    <row r="1835" spans="11:34" ht="14.5" x14ac:dyDescent="0.35">
      <c r="K1835" s="4"/>
      <c r="AC1835" s="7">
        <v>2022</v>
      </c>
      <c r="AD1835" s="7">
        <v>3</v>
      </c>
      <c r="AE1835" s="7">
        <v>18</v>
      </c>
      <c r="AF1835" s="8">
        <v>0.375</v>
      </c>
      <c r="AG1835" s="9">
        <v>3.5</v>
      </c>
      <c r="AH1835" s="10">
        <f t="shared" si="43"/>
        <v>4</v>
      </c>
    </row>
    <row r="1836" spans="11:34" ht="14.5" x14ac:dyDescent="0.35">
      <c r="K1836" s="4"/>
      <c r="AC1836" s="7">
        <v>2022</v>
      </c>
      <c r="AD1836" s="7">
        <v>3</v>
      </c>
      <c r="AE1836" s="7">
        <v>18</v>
      </c>
      <c r="AF1836" s="8">
        <v>0.41666666666666669</v>
      </c>
      <c r="AG1836" s="9">
        <v>4.5999999999999996</v>
      </c>
      <c r="AH1836" s="10">
        <f t="shared" si="43"/>
        <v>5</v>
      </c>
    </row>
    <row r="1837" spans="11:34" ht="14.5" x14ac:dyDescent="0.35">
      <c r="K1837" s="4"/>
      <c r="AC1837" s="7">
        <v>2022</v>
      </c>
      <c r="AD1837" s="7">
        <v>3</v>
      </c>
      <c r="AE1837" s="7">
        <v>18</v>
      </c>
      <c r="AF1837" s="8">
        <v>0.45833333333333331</v>
      </c>
      <c r="AG1837" s="9">
        <v>4.8</v>
      </c>
      <c r="AH1837" s="10">
        <f t="shared" si="43"/>
        <v>5</v>
      </c>
    </row>
    <row r="1838" spans="11:34" ht="14.5" x14ac:dyDescent="0.35">
      <c r="K1838" s="4"/>
      <c r="AC1838" s="7">
        <v>2022</v>
      </c>
      <c r="AD1838" s="7">
        <v>3</v>
      </c>
      <c r="AE1838" s="7">
        <v>18</v>
      </c>
      <c r="AF1838" s="8">
        <v>0.5</v>
      </c>
      <c r="AG1838" s="9">
        <v>6</v>
      </c>
      <c r="AH1838" s="10">
        <f t="shared" si="43"/>
        <v>6</v>
      </c>
    </row>
    <row r="1839" spans="11:34" ht="14.5" x14ac:dyDescent="0.35">
      <c r="K1839" s="4"/>
      <c r="AC1839" s="7">
        <v>2022</v>
      </c>
      <c r="AD1839" s="7">
        <v>3</v>
      </c>
      <c r="AE1839" s="7">
        <v>18</v>
      </c>
      <c r="AF1839" s="8">
        <v>0.54166666666666663</v>
      </c>
      <c r="AG1839" s="9">
        <v>6.8</v>
      </c>
      <c r="AH1839" s="10">
        <f t="shared" si="43"/>
        <v>7</v>
      </c>
    </row>
    <row r="1840" spans="11:34" ht="14.5" x14ac:dyDescent="0.35">
      <c r="K1840" s="4"/>
      <c r="AC1840" s="7">
        <v>2022</v>
      </c>
      <c r="AD1840" s="7">
        <v>3</v>
      </c>
      <c r="AE1840" s="7">
        <v>18</v>
      </c>
      <c r="AF1840" s="8">
        <v>0.58333333333333337</v>
      </c>
      <c r="AG1840" s="9">
        <v>7.1</v>
      </c>
      <c r="AH1840" s="10">
        <f t="shared" si="43"/>
        <v>7</v>
      </c>
    </row>
    <row r="1841" spans="11:34" ht="14.5" x14ac:dyDescent="0.35">
      <c r="K1841" s="4"/>
      <c r="AC1841" s="7">
        <v>2022</v>
      </c>
      <c r="AD1841" s="7">
        <v>3</v>
      </c>
      <c r="AE1841" s="7">
        <v>18</v>
      </c>
      <c r="AF1841" s="8">
        <v>0.625</v>
      </c>
      <c r="AG1841" s="9">
        <v>8.9</v>
      </c>
      <c r="AH1841" s="10">
        <f t="shared" si="43"/>
        <v>9</v>
      </c>
    </row>
    <row r="1842" spans="11:34" ht="14.5" x14ac:dyDescent="0.35">
      <c r="K1842" s="4"/>
      <c r="AC1842" s="7">
        <v>2022</v>
      </c>
      <c r="AD1842" s="7">
        <v>3</v>
      </c>
      <c r="AE1842" s="7">
        <v>18</v>
      </c>
      <c r="AF1842" s="8">
        <v>0.66666666666666663</v>
      </c>
      <c r="AG1842" s="9">
        <v>9.4</v>
      </c>
      <c r="AH1842" s="10">
        <f t="shared" si="43"/>
        <v>9</v>
      </c>
    </row>
    <row r="1843" spans="11:34" ht="14.5" x14ac:dyDescent="0.35">
      <c r="K1843" s="4"/>
      <c r="AC1843" s="7">
        <v>2022</v>
      </c>
      <c r="AD1843" s="7">
        <v>3</v>
      </c>
      <c r="AE1843" s="7">
        <v>18</v>
      </c>
      <c r="AF1843" s="8">
        <v>0.70833333333333337</v>
      </c>
      <c r="AG1843" s="9">
        <v>9.1</v>
      </c>
      <c r="AH1843" s="10">
        <f t="shared" si="43"/>
        <v>9</v>
      </c>
    </row>
    <row r="1844" spans="11:34" ht="14.5" x14ac:dyDescent="0.35">
      <c r="K1844" s="4"/>
      <c r="AC1844" s="7">
        <v>2022</v>
      </c>
      <c r="AD1844" s="7">
        <v>3</v>
      </c>
      <c r="AE1844" s="7">
        <v>18</v>
      </c>
      <c r="AF1844" s="8">
        <v>0.75</v>
      </c>
      <c r="AG1844" s="9">
        <v>7.3</v>
      </c>
      <c r="AH1844" s="10">
        <f t="shared" si="43"/>
        <v>7</v>
      </c>
    </row>
    <row r="1845" spans="11:34" ht="14.5" x14ac:dyDescent="0.35">
      <c r="K1845" s="4"/>
      <c r="AC1845" s="7">
        <v>2022</v>
      </c>
      <c r="AD1845" s="7">
        <v>3</v>
      </c>
      <c r="AE1845" s="7">
        <v>18</v>
      </c>
      <c r="AF1845" s="8">
        <v>0.79166666666666663</v>
      </c>
      <c r="AG1845" s="9">
        <v>5.5</v>
      </c>
      <c r="AH1845" s="10">
        <f t="shared" si="43"/>
        <v>6</v>
      </c>
    </row>
    <row r="1846" spans="11:34" ht="14.5" x14ac:dyDescent="0.35">
      <c r="K1846" s="4"/>
      <c r="AC1846" s="7">
        <v>2022</v>
      </c>
      <c r="AD1846" s="7">
        <v>3</v>
      </c>
      <c r="AE1846" s="7">
        <v>18</v>
      </c>
      <c r="AF1846" s="8">
        <v>0.83333333333333337</v>
      </c>
      <c r="AG1846" s="9">
        <v>4.5999999999999996</v>
      </c>
      <c r="AH1846" s="10">
        <f t="shared" si="43"/>
        <v>5</v>
      </c>
    </row>
    <row r="1847" spans="11:34" ht="14.5" x14ac:dyDescent="0.35">
      <c r="K1847" s="4"/>
      <c r="AC1847" s="7">
        <v>2022</v>
      </c>
      <c r="AD1847" s="7">
        <v>3</v>
      </c>
      <c r="AE1847" s="7">
        <v>18</v>
      </c>
      <c r="AF1847" s="8">
        <v>0.875</v>
      </c>
      <c r="AG1847" s="9">
        <v>4.2</v>
      </c>
      <c r="AH1847" s="10">
        <f t="shared" si="43"/>
        <v>4</v>
      </c>
    </row>
    <row r="1848" spans="11:34" ht="14.5" x14ac:dyDescent="0.35">
      <c r="K1848" s="4"/>
      <c r="AC1848" s="7">
        <v>2022</v>
      </c>
      <c r="AD1848" s="7">
        <v>3</v>
      </c>
      <c r="AE1848" s="7">
        <v>18</v>
      </c>
      <c r="AF1848" s="8">
        <v>0.91666666666666663</v>
      </c>
      <c r="AG1848" s="9">
        <v>3.4</v>
      </c>
      <c r="AH1848" s="10">
        <f t="shared" si="43"/>
        <v>3</v>
      </c>
    </row>
    <row r="1849" spans="11:34" ht="14.5" x14ac:dyDescent="0.35">
      <c r="K1849" s="4"/>
      <c r="AC1849" s="7">
        <v>2022</v>
      </c>
      <c r="AD1849" s="7">
        <v>3</v>
      </c>
      <c r="AE1849" s="7">
        <v>18</v>
      </c>
      <c r="AF1849" s="8">
        <v>0.95833333333333337</v>
      </c>
      <c r="AG1849" s="9">
        <v>2.5</v>
      </c>
      <c r="AH1849" s="10">
        <f t="shared" si="43"/>
        <v>3</v>
      </c>
    </row>
    <row r="1850" spans="11:34" ht="14.5" x14ac:dyDescent="0.35">
      <c r="K1850" s="4"/>
      <c r="AC1850" s="7">
        <v>2022</v>
      </c>
      <c r="AD1850" s="7">
        <v>3</v>
      </c>
      <c r="AE1850" s="7">
        <v>19</v>
      </c>
      <c r="AF1850" s="8">
        <v>0</v>
      </c>
      <c r="AG1850" s="9">
        <v>1.2</v>
      </c>
      <c r="AH1850" s="10">
        <f t="shared" si="43"/>
        <v>1</v>
      </c>
    </row>
    <row r="1851" spans="11:34" ht="14.5" x14ac:dyDescent="0.35">
      <c r="K1851" s="4"/>
      <c r="AC1851" s="7">
        <v>2022</v>
      </c>
      <c r="AD1851" s="7">
        <v>3</v>
      </c>
      <c r="AE1851" s="7">
        <v>19</v>
      </c>
      <c r="AF1851" s="8">
        <v>4.1666666666666664E-2</v>
      </c>
      <c r="AG1851" s="9">
        <v>-0.3</v>
      </c>
      <c r="AH1851" s="10">
        <f t="shared" si="43"/>
        <v>0</v>
      </c>
    </row>
    <row r="1852" spans="11:34" ht="14.5" x14ac:dyDescent="0.35">
      <c r="K1852" s="4"/>
      <c r="AC1852" s="7">
        <v>2022</v>
      </c>
      <c r="AD1852" s="7">
        <v>3</v>
      </c>
      <c r="AE1852" s="7">
        <v>19</v>
      </c>
      <c r="AF1852" s="8">
        <v>8.3333333333333329E-2</v>
      </c>
      <c r="AG1852" s="9">
        <v>-0.1</v>
      </c>
      <c r="AH1852" s="10">
        <f t="shared" si="43"/>
        <v>0</v>
      </c>
    </row>
    <row r="1853" spans="11:34" ht="14.5" x14ac:dyDescent="0.35">
      <c r="K1853" s="4"/>
      <c r="AC1853" s="7">
        <v>2022</v>
      </c>
      <c r="AD1853" s="7">
        <v>3</v>
      </c>
      <c r="AE1853" s="7">
        <v>19</v>
      </c>
      <c r="AF1853" s="8">
        <v>0.125</v>
      </c>
      <c r="AG1853" s="9">
        <v>-2</v>
      </c>
      <c r="AH1853" s="10">
        <f t="shared" si="43"/>
        <v>-2</v>
      </c>
    </row>
    <row r="1854" spans="11:34" ht="14.5" x14ac:dyDescent="0.35">
      <c r="K1854" s="4"/>
      <c r="AC1854" s="7">
        <v>2022</v>
      </c>
      <c r="AD1854" s="7">
        <v>3</v>
      </c>
      <c r="AE1854" s="7">
        <v>19</v>
      </c>
      <c r="AF1854" s="8">
        <v>0.16666666666666666</v>
      </c>
      <c r="AG1854" s="9">
        <v>-3.3</v>
      </c>
      <c r="AH1854" s="10">
        <f t="shared" si="43"/>
        <v>-3</v>
      </c>
    </row>
    <row r="1855" spans="11:34" ht="14.5" x14ac:dyDescent="0.35">
      <c r="K1855" s="4"/>
      <c r="AC1855" s="7">
        <v>2022</v>
      </c>
      <c r="AD1855" s="7">
        <v>3</v>
      </c>
      <c r="AE1855" s="7">
        <v>19</v>
      </c>
      <c r="AF1855" s="8">
        <v>0.20833333333333334</v>
      </c>
      <c r="AG1855" s="9">
        <v>-4</v>
      </c>
      <c r="AH1855" s="10">
        <f t="shared" si="43"/>
        <v>-4</v>
      </c>
    </row>
    <row r="1856" spans="11:34" ht="14.5" x14ac:dyDescent="0.35">
      <c r="K1856" s="4"/>
      <c r="AC1856" s="7">
        <v>2022</v>
      </c>
      <c r="AD1856" s="7">
        <v>3</v>
      </c>
      <c r="AE1856" s="7">
        <v>19</v>
      </c>
      <c r="AF1856" s="8">
        <v>0.25</v>
      </c>
      <c r="AG1856" s="9">
        <v>-4.3</v>
      </c>
      <c r="AH1856" s="10">
        <f t="shared" si="43"/>
        <v>-4</v>
      </c>
    </row>
    <row r="1857" spans="11:34" ht="14.5" x14ac:dyDescent="0.35">
      <c r="K1857" s="4"/>
      <c r="AC1857" s="7">
        <v>2022</v>
      </c>
      <c r="AD1857" s="7">
        <v>3</v>
      </c>
      <c r="AE1857" s="7">
        <v>19</v>
      </c>
      <c r="AF1857" s="8">
        <v>0.29166666666666669</v>
      </c>
      <c r="AG1857" s="9">
        <v>-3.5</v>
      </c>
      <c r="AH1857" s="10">
        <f t="shared" si="43"/>
        <v>-4</v>
      </c>
    </row>
    <row r="1858" spans="11:34" ht="14.5" x14ac:dyDescent="0.35">
      <c r="K1858" s="4"/>
      <c r="AC1858" s="7">
        <v>2022</v>
      </c>
      <c r="AD1858" s="7">
        <v>3</v>
      </c>
      <c r="AE1858" s="7">
        <v>19</v>
      </c>
      <c r="AF1858" s="8">
        <v>0.33333333333333331</v>
      </c>
      <c r="AG1858" s="9">
        <v>-2</v>
      </c>
      <c r="AH1858" s="10">
        <f t="shared" si="43"/>
        <v>-2</v>
      </c>
    </row>
    <row r="1859" spans="11:34" ht="14.5" x14ac:dyDescent="0.35">
      <c r="K1859" s="4"/>
      <c r="AC1859" s="7">
        <v>2022</v>
      </c>
      <c r="AD1859" s="7">
        <v>3</v>
      </c>
      <c r="AE1859" s="7">
        <v>19</v>
      </c>
      <c r="AF1859" s="8">
        <v>0.375</v>
      </c>
      <c r="AG1859" s="9">
        <v>3.3</v>
      </c>
      <c r="AH1859" s="10">
        <f t="shared" si="43"/>
        <v>3</v>
      </c>
    </row>
    <row r="1860" spans="11:34" ht="14.5" x14ac:dyDescent="0.35">
      <c r="K1860" s="4"/>
      <c r="AC1860" s="7">
        <v>2022</v>
      </c>
      <c r="AD1860" s="7">
        <v>3</v>
      </c>
      <c r="AE1860" s="7">
        <v>19</v>
      </c>
      <c r="AF1860" s="8">
        <v>0.41666666666666669</v>
      </c>
      <c r="AG1860" s="9">
        <v>6.1</v>
      </c>
      <c r="AH1860" s="10">
        <f t="shared" si="43"/>
        <v>6</v>
      </c>
    </row>
    <row r="1861" spans="11:34" ht="14.5" x14ac:dyDescent="0.35">
      <c r="K1861" s="4"/>
      <c r="AC1861" s="7">
        <v>2022</v>
      </c>
      <c r="AD1861" s="7">
        <v>3</v>
      </c>
      <c r="AE1861" s="7">
        <v>19</v>
      </c>
      <c r="AF1861" s="8">
        <v>0.45833333333333331</v>
      </c>
      <c r="AG1861" s="9">
        <v>7.4</v>
      </c>
      <c r="AH1861" s="10">
        <f t="shared" si="43"/>
        <v>7</v>
      </c>
    </row>
    <row r="1862" spans="11:34" ht="14.5" x14ac:dyDescent="0.35">
      <c r="K1862" s="4"/>
      <c r="AC1862" s="7">
        <v>2022</v>
      </c>
      <c r="AD1862" s="7">
        <v>3</v>
      </c>
      <c r="AE1862" s="7">
        <v>19</v>
      </c>
      <c r="AF1862" s="8">
        <v>0.5</v>
      </c>
      <c r="AG1862" s="9">
        <v>8.8000000000000007</v>
      </c>
      <c r="AH1862" s="10">
        <f t="shared" si="43"/>
        <v>9</v>
      </c>
    </row>
    <row r="1863" spans="11:34" ht="14.5" x14ac:dyDescent="0.35">
      <c r="K1863" s="4"/>
      <c r="AC1863" s="7">
        <v>2022</v>
      </c>
      <c r="AD1863" s="7">
        <v>3</v>
      </c>
      <c r="AE1863" s="7">
        <v>19</v>
      </c>
      <c r="AF1863" s="8">
        <v>0.54166666666666663</v>
      </c>
      <c r="AG1863" s="9">
        <v>8.4</v>
      </c>
      <c r="AH1863" s="10">
        <f t="shared" si="43"/>
        <v>8</v>
      </c>
    </row>
    <row r="1864" spans="11:34" ht="14.5" x14ac:dyDescent="0.35">
      <c r="K1864" s="4"/>
      <c r="AC1864" s="7">
        <v>2022</v>
      </c>
      <c r="AD1864" s="7">
        <v>3</v>
      </c>
      <c r="AE1864" s="7">
        <v>19</v>
      </c>
      <c r="AF1864" s="8">
        <v>0.58333333333333337</v>
      </c>
      <c r="AG1864" s="9">
        <v>10</v>
      </c>
      <c r="AH1864" s="10">
        <f t="shared" si="43"/>
        <v>10</v>
      </c>
    </row>
    <row r="1865" spans="11:34" ht="14.5" x14ac:dyDescent="0.35">
      <c r="K1865" s="4"/>
      <c r="AC1865" s="7">
        <v>2022</v>
      </c>
      <c r="AD1865" s="7">
        <v>3</v>
      </c>
      <c r="AE1865" s="7">
        <v>19</v>
      </c>
      <c r="AF1865" s="8">
        <v>0.625</v>
      </c>
      <c r="AG1865" s="9">
        <v>9.8000000000000007</v>
      </c>
      <c r="AH1865" s="10">
        <f t="shared" si="43"/>
        <v>10</v>
      </c>
    </row>
    <row r="1866" spans="11:34" ht="14.5" x14ac:dyDescent="0.35">
      <c r="K1866" s="4"/>
      <c r="AC1866" s="7">
        <v>2022</v>
      </c>
      <c r="AD1866" s="7">
        <v>3</v>
      </c>
      <c r="AE1866" s="7">
        <v>19</v>
      </c>
      <c r="AF1866" s="8">
        <v>0.66666666666666663</v>
      </c>
      <c r="AG1866" s="9">
        <v>10.6</v>
      </c>
      <c r="AH1866" s="10">
        <f t="shared" si="43"/>
        <v>11</v>
      </c>
    </row>
    <row r="1867" spans="11:34" ht="14.5" x14ac:dyDescent="0.35">
      <c r="K1867" s="4"/>
      <c r="AC1867" s="7">
        <v>2022</v>
      </c>
      <c r="AD1867" s="7">
        <v>3</v>
      </c>
      <c r="AE1867" s="7">
        <v>19</v>
      </c>
      <c r="AF1867" s="8">
        <v>0.70833333333333337</v>
      </c>
      <c r="AG1867" s="9">
        <v>11.1</v>
      </c>
      <c r="AH1867" s="10">
        <f t="shared" ref="AH1867:AH1930" si="44">ROUND(AG1867,0)</f>
        <v>11</v>
      </c>
    </row>
    <row r="1868" spans="11:34" ht="14.5" x14ac:dyDescent="0.35">
      <c r="K1868" s="4"/>
      <c r="AC1868" s="7">
        <v>2022</v>
      </c>
      <c r="AD1868" s="7">
        <v>3</v>
      </c>
      <c r="AE1868" s="7">
        <v>19</v>
      </c>
      <c r="AF1868" s="8">
        <v>0.75</v>
      </c>
      <c r="AG1868" s="9">
        <v>10.4</v>
      </c>
      <c r="AH1868" s="10">
        <f t="shared" si="44"/>
        <v>10</v>
      </c>
    </row>
    <row r="1869" spans="11:34" ht="14.5" x14ac:dyDescent="0.35">
      <c r="K1869" s="4"/>
      <c r="AC1869" s="7">
        <v>2022</v>
      </c>
      <c r="AD1869" s="7">
        <v>3</v>
      </c>
      <c r="AE1869" s="7">
        <v>19</v>
      </c>
      <c r="AF1869" s="8">
        <v>0.79166666666666663</v>
      </c>
      <c r="AG1869" s="9">
        <v>6</v>
      </c>
      <c r="AH1869" s="10">
        <f t="shared" si="44"/>
        <v>6</v>
      </c>
    </row>
    <row r="1870" spans="11:34" ht="14.5" x14ac:dyDescent="0.35">
      <c r="K1870" s="4"/>
      <c r="AC1870" s="7">
        <v>2022</v>
      </c>
      <c r="AD1870" s="7">
        <v>3</v>
      </c>
      <c r="AE1870" s="7">
        <v>19</v>
      </c>
      <c r="AF1870" s="8">
        <v>0.83333333333333337</v>
      </c>
      <c r="AG1870" s="9">
        <v>4.0999999999999996</v>
      </c>
      <c r="AH1870" s="10">
        <f t="shared" si="44"/>
        <v>4</v>
      </c>
    </row>
    <row r="1871" spans="11:34" ht="14.5" x14ac:dyDescent="0.35">
      <c r="K1871" s="4"/>
      <c r="AC1871" s="7">
        <v>2022</v>
      </c>
      <c r="AD1871" s="7">
        <v>3</v>
      </c>
      <c r="AE1871" s="7">
        <v>19</v>
      </c>
      <c r="AF1871" s="8">
        <v>0.875</v>
      </c>
      <c r="AG1871" s="9">
        <v>4.2</v>
      </c>
      <c r="AH1871" s="10">
        <f t="shared" si="44"/>
        <v>4</v>
      </c>
    </row>
    <row r="1872" spans="11:34" ht="14.5" x14ac:dyDescent="0.35">
      <c r="K1872" s="4"/>
      <c r="AC1872" s="7">
        <v>2022</v>
      </c>
      <c r="AD1872" s="7">
        <v>3</v>
      </c>
      <c r="AE1872" s="7">
        <v>19</v>
      </c>
      <c r="AF1872" s="8">
        <v>0.91666666666666663</v>
      </c>
      <c r="AG1872" s="9">
        <v>3.1</v>
      </c>
      <c r="AH1872" s="10">
        <f t="shared" si="44"/>
        <v>3</v>
      </c>
    </row>
    <row r="1873" spans="11:34" ht="14.5" x14ac:dyDescent="0.35">
      <c r="K1873" s="4"/>
      <c r="AC1873" s="7">
        <v>2022</v>
      </c>
      <c r="AD1873" s="7">
        <v>3</v>
      </c>
      <c r="AE1873" s="7">
        <v>19</v>
      </c>
      <c r="AF1873" s="8">
        <v>0.95833333333333337</v>
      </c>
      <c r="AG1873" s="9">
        <v>2.5</v>
      </c>
      <c r="AH1873" s="10">
        <f t="shared" si="44"/>
        <v>3</v>
      </c>
    </row>
    <row r="1874" spans="11:34" ht="14.5" x14ac:dyDescent="0.35">
      <c r="K1874" s="4"/>
      <c r="AC1874" s="7">
        <v>2022</v>
      </c>
      <c r="AD1874" s="7">
        <v>3</v>
      </c>
      <c r="AE1874" s="7">
        <v>20</v>
      </c>
      <c r="AF1874" s="8">
        <v>0</v>
      </c>
      <c r="AG1874" s="9">
        <v>4.8</v>
      </c>
      <c r="AH1874" s="10">
        <f t="shared" si="44"/>
        <v>5</v>
      </c>
    </row>
    <row r="1875" spans="11:34" ht="14.5" x14ac:dyDescent="0.35">
      <c r="K1875" s="4"/>
      <c r="AC1875" s="7">
        <v>2022</v>
      </c>
      <c r="AD1875" s="7">
        <v>3</v>
      </c>
      <c r="AE1875" s="7">
        <v>20</v>
      </c>
      <c r="AF1875" s="8">
        <v>4.1666666666666664E-2</v>
      </c>
      <c r="AG1875" s="9">
        <v>1.6</v>
      </c>
      <c r="AH1875" s="10">
        <f t="shared" si="44"/>
        <v>2</v>
      </c>
    </row>
    <row r="1876" spans="11:34" ht="14.5" x14ac:dyDescent="0.35">
      <c r="K1876" s="4"/>
      <c r="AC1876" s="7">
        <v>2022</v>
      </c>
      <c r="AD1876" s="7">
        <v>3</v>
      </c>
      <c r="AE1876" s="7">
        <v>20</v>
      </c>
      <c r="AF1876" s="8">
        <v>8.3333333333333329E-2</v>
      </c>
      <c r="AG1876" s="9">
        <v>3.6</v>
      </c>
      <c r="AH1876" s="10">
        <f t="shared" si="44"/>
        <v>4</v>
      </c>
    </row>
    <row r="1877" spans="11:34" ht="14.5" x14ac:dyDescent="0.35">
      <c r="K1877" s="4"/>
      <c r="AC1877" s="7">
        <v>2022</v>
      </c>
      <c r="AD1877" s="7">
        <v>3</v>
      </c>
      <c r="AE1877" s="7">
        <v>20</v>
      </c>
      <c r="AF1877" s="8">
        <v>0.125</v>
      </c>
      <c r="AG1877" s="9">
        <v>2.8</v>
      </c>
      <c r="AH1877" s="10">
        <f t="shared" si="44"/>
        <v>3</v>
      </c>
    </row>
    <row r="1878" spans="11:34" ht="14.5" x14ac:dyDescent="0.35">
      <c r="K1878" s="4"/>
      <c r="AC1878" s="7">
        <v>2022</v>
      </c>
      <c r="AD1878" s="7">
        <v>3</v>
      </c>
      <c r="AE1878" s="7">
        <v>20</v>
      </c>
      <c r="AF1878" s="8">
        <v>0.16666666666666666</v>
      </c>
      <c r="AG1878" s="9">
        <v>1.6</v>
      </c>
      <c r="AH1878" s="10">
        <f t="shared" si="44"/>
        <v>2</v>
      </c>
    </row>
    <row r="1879" spans="11:34" ht="14.5" x14ac:dyDescent="0.35">
      <c r="K1879" s="4"/>
      <c r="AC1879" s="7">
        <v>2022</v>
      </c>
      <c r="AD1879" s="7">
        <v>3</v>
      </c>
      <c r="AE1879" s="7">
        <v>20</v>
      </c>
      <c r="AF1879" s="8">
        <v>0.20833333333333334</v>
      </c>
      <c r="AG1879" s="9">
        <v>0.4</v>
      </c>
      <c r="AH1879" s="10">
        <f t="shared" si="44"/>
        <v>0</v>
      </c>
    </row>
    <row r="1880" spans="11:34" ht="14.5" x14ac:dyDescent="0.35">
      <c r="K1880" s="4"/>
      <c r="AC1880" s="7">
        <v>2022</v>
      </c>
      <c r="AD1880" s="7">
        <v>3</v>
      </c>
      <c r="AE1880" s="7">
        <v>20</v>
      </c>
      <c r="AF1880" s="8">
        <v>0.25</v>
      </c>
      <c r="AG1880" s="9">
        <v>0.2</v>
      </c>
      <c r="AH1880" s="10">
        <f t="shared" si="44"/>
        <v>0</v>
      </c>
    </row>
    <row r="1881" spans="11:34" ht="14.5" x14ac:dyDescent="0.35">
      <c r="K1881" s="4"/>
      <c r="AC1881" s="7">
        <v>2022</v>
      </c>
      <c r="AD1881" s="7">
        <v>3</v>
      </c>
      <c r="AE1881" s="7">
        <v>20</v>
      </c>
      <c r="AF1881" s="8">
        <v>0.29166666666666669</v>
      </c>
      <c r="AG1881" s="9">
        <v>-1</v>
      </c>
      <c r="AH1881" s="10">
        <f t="shared" si="44"/>
        <v>-1</v>
      </c>
    </row>
    <row r="1882" spans="11:34" ht="14.5" x14ac:dyDescent="0.35">
      <c r="K1882" s="4"/>
      <c r="AC1882" s="7">
        <v>2022</v>
      </c>
      <c r="AD1882" s="7">
        <v>3</v>
      </c>
      <c r="AE1882" s="7">
        <v>20</v>
      </c>
      <c r="AF1882" s="8">
        <v>0.33333333333333331</v>
      </c>
      <c r="AG1882" s="9">
        <v>-1.6</v>
      </c>
      <c r="AH1882" s="10">
        <f t="shared" si="44"/>
        <v>-2</v>
      </c>
    </row>
    <row r="1883" spans="11:34" ht="14.5" x14ac:dyDescent="0.35">
      <c r="K1883" s="4"/>
      <c r="AC1883" s="7">
        <v>2022</v>
      </c>
      <c r="AD1883" s="7">
        <v>3</v>
      </c>
      <c r="AE1883" s="7">
        <v>20</v>
      </c>
      <c r="AF1883" s="8">
        <v>0.375</v>
      </c>
      <c r="AG1883" s="9">
        <v>-1.2</v>
      </c>
      <c r="AH1883" s="10">
        <f t="shared" si="44"/>
        <v>-1</v>
      </c>
    </row>
    <row r="1884" spans="11:34" ht="14.5" x14ac:dyDescent="0.35">
      <c r="K1884" s="4"/>
      <c r="AC1884" s="7">
        <v>2022</v>
      </c>
      <c r="AD1884" s="7">
        <v>3</v>
      </c>
      <c r="AE1884" s="7">
        <v>20</v>
      </c>
      <c r="AF1884" s="8">
        <v>0.41666666666666669</v>
      </c>
      <c r="AG1884" s="9">
        <v>-0.4</v>
      </c>
      <c r="AH1884" s="10">
        <f t="shared" si="44"/>
        <v>0</v>
      </c>
    </row>
    <row r="1885" spans="11:34" ht="14.5" x14ac:dyDescent="0.35">
      <c r="K1885" s="4"/>
      <c r="AC1885" s="7">
        <v>2022</v>
      </c>
      <c r="AD1885" s="7">
        <v>3</v>
      </c>
      <c r="AE1885" s="7">
        <v>20</v>
      </c>
      <c r="AF1885" s="8">
        <v>0.45833333333333331</v>
      </c>
      <c r="AG1885" s="9">
        <v>0.3</v>
      </c>
      <c r="AH1885" s="10">
        <f t="shared" si="44"/>
        <v>0</v>
      </c>
    </row>
    <row r="1886" spans="11:34" ht="14.5" x14ac:dyDescent="0.35">
      <c r="K1886" s="4"/>
      <c r="AC1886" s="7">
        <v>2022</v>
      </c>
      <c r="AD1886" s="7">
        <v>3</v>
      </c>
      <c r="AE1886" s="7">
        <v>20</v>
      </c>
      <c r="AF1886" s="8">
        <v>0.5</v>
      </c>
      <c r="AG1886" s="9">
        <v>1.8</v>
      </c>
      <c r="AH1886" s="10">
        <f t="shared" si="44"/>
        <v>2</v>
      </c>
    </row>
    <row r="1887" spans="11:34" ht="14.5" x14ac:dyDescent="0.35">
      <c r="K1887" s="4"/>
      <c r="AC1887" s="7">
        <v>2022</v>
      </c>
      <c r="AD1887" s="7">
        <v>3</v>
      </c>
      <c r="AE1887" s="7">
        <v>20</v>
      </c>
      <c r="AF1887" s="8">
        <v>0.54166666666666663</v>
      </c>
      <c r="AG1887" s="9">
        <v>3.3</v>
      </c>
      <c r="AH1887" s="10">
        <f t="shared" si="44"/>
        <v>3</v>
      </c>
    </row>
    <row r="1888" spans="11:34" ht="14.5" x14ac:dyDescent="0.35">
      <c r="K1888" s="4"/>
      <c r="AC1888" s="7">
        <v>2022</v>
      </c>
      <c r="AD1888" s="7">
        <v>3</v>
      </c>
      <c r="AE1888" s="7">
        <v>20</v>
      </c>
      <c r="AF1888" s="8">
        <v>0.58333333333333337</v>
      </c>
      <c r="AG1888" s="9">
        <v>4</v>
      </c>
      <c r="AH1888" s="10">
        <f t="shared" si="44"/>
        <v>4</v>
      </c>
    </row>
    <row r="1889" spans="11:34" ht="14.5" x14ac:dyDescent="0.35">
      <c r="K1889" s="4"/>
      <c r="AC1889" s="7">
        <v>2022</v>
      </c>
      <c r="AD1889" s="7">
        <v>3</v>
      </c>
      <c r="AE1889" s="7">
        <v>20</v>
      </c>
      <c r="AF1889" s="8">
        <v>0.625</v>
      </c>
      <c r="AG1889" s="9">
        <v>4.0999999999999996</v>
      </c>
      <c r="AH1889" s="10">
        <f t="shared" si="44"/>
        <v>4</v>
      </c>
    </row>
    <row r="1890" spans="11:34" ht="14.5" x14ac:dyDescent="0.35">
      <c r="K1890" s="4"/>
      <c r="AC1890" s="7">
        <v>2022</v>
      </c>
      <c r="AD1890" s="7">
        <v>3</v>
      </c>
      <c r="AE1890" s="7">
        <v>20</v>
      </c>
      <c r="AF1890" s="8">
        <v>0.66666666666666663</v>
      </c>
      <c r="AG1890" s="9">
        <v>3.4</v>
      </c>
      <c r="AH1890" s="10">
        <f t="shared" si="44"/>
        <v>3</v>
      </c>
    </row>
    <row r="1891" spans="11:34" ht="14.5" x14ac:dyDescent="0.35">
      <c r="K1891" s="4"/>
      <c r="AC1891" s="7">
        <v>2022</v>
      </c>
      <c r="AD1891" s="7">
        <v>3</v>
      </c>
      <c r="AE1891" s="7">
        <v>20</v>
      </c>
      <c r="AF1891" s="8">
        <v>0.70833333333333337</v>
      </c>
      <c r="AG1891" s="9">
        <v>3.9</v>
      </c>
      <c r="AH1891" s="10">
        <f t="shared" si="44"/>
        <v>4</v>
      </c>
    </row>
    <row r="1892" spans="11:34" ht="14.5" x14ac:dyDescent="0.35">
      <c r="K1892" s="4"/>
      <c r="AC1892" s="7">
        <v>2022</v>
      </c>
      <c r="AD1892" s="7">
        <v>3</v>
      </c>
      <c r="AE1892" s="7">
        <v>20</v>
      </c>
      <c r="AF1892" s="8">
        <v>0.75</v>
      </c>
      <c r="AG1892" s="9">
        <v>2.9</v>
      </c>
      <c r="AH1892" s="10">
        <f t="shared" si="44"/>
        <v>3</v>
      </c>
    </row>
    <row r="1893" spans="11:34" ht="14.5" x14ac:dyDescent="0.35">
      <c r="K1893" s="4"/>
      <c r="AC1893" s="7">
        <v>2022</v>
      </c>
      <c r="AD1893" s="7">
        <v>3</v>
      </c>
      <c r="AE1893" s="7">
        <v>20</v>
      </c>
      <c r="AF1893" s="8">
        <v>0.79166666666666663</v>
      </c>
      <c r="AG1893" s="9">
        <v>2.1</v>
      </c>
      <c r="AH1893" s="10">
        <f t="shared" si="44"/>
        <v>2</v>
      </c>
    </row>
    <row r="1894" spans="11:34" ht="14.5" x14ac:dyDescent="0.35">
      <c r="K1894" s="4"/>
      <c r="AC1894" s="7">
        <v>2022</v>
      </c>
      <c r="AD1894" s="7">
        <v>3</v>
      </c>
      <c r="AE1894" s="7">
        <v>20</v>
      </c>
      <c r="AF1894" s="8">
        <v>0.83333333333333337</v>
      </c>
      <c r="AG1894" s="9">
        <v>1.4</v>
      </c>
      <c r="AH1894" s="10">
        <f t="shared" si="44"/>
        <v>1</v>
      </c>
    </row>
    <row r="1895" spans="11:34" ht="14.5" x14ac:dyDescent="0.35">
      <c r="K1895" s="4"/>
      <c r="AC1895" s="7">
        <v>2022</v>
      </c>
      <c r="AD1895" s="7">
        <v>3</v>
      </c>
      <c r="AE1895" s="7">
        <v>20</v>
      </c>
      <c r="AF1895" s="8">
        <v>0.875</v>
      </c>
      <c r="AG1895" s="9">
        <v>0.2</v>
      </c>
      <c r="AH1895" s="10">
        <f t="shared" si="44"/>
        <v>0</v>
      </c>
    </row>
    <row r="1896" spans="11:34" ht="14.5" x14ac:dyDescent="0.35">
      <c r="K1896" s="4"/>
      <c r="AC1896" s="7">
        <v>2022</v>
      </c>
      <c r="AD1896" s="7">
        <v>3</v>
      </c>
      <c r="AE1896" s="7">
        <v>20</v>
      </c>
      <c r="AF1896" s="8">
        <v>0.91666666666666663</v>
      </c>
      <c r="AG1896" s="9">
        <v>-0.2</v>
      </c>
      <c r="AH1896" s="10">
        <f t="shared" si="44"/>
        <v>0</v>
      </c>
    </row>
    <row r="1897" spans="11:34" ht="14.5" x14ac:dyDescent="0.35">
      <c r="K1897" s="4"/>
      <c r="AC1897" s="7">
        <v>2022</v>
      </c>
      <c r="AD1897" s="7">
        <v>3</v>
      </c>
      <c r="AE1897" s="7">
        <v>20</v>
      </c>
      <c r="AF1897" s="8">
        <v>0.95833333333333337</v>
      </c>
      <c r="AG1897" s="9">
        <v>0.1</v>
      </c>
      <c r="AH1897" s="10">
        <f t="shared" si="44"/>
        <v>0</v>
      </c>
    </row>
    <row r="1898" spans="11:34" ht="14.5" x14ac:dyDescent="0.35">
      <c r="K1898" s="4"/>
      <c r="AC1898" s="7">
        <v>2022</v>
      </c>
      <c r="AD1898" s="7">
        <v>3</v>
      </c>
      <c r="AE1898" s="7">
        <v>21</v>
      </c>
      <c r="AF1898" s="8">
        <v>0</v>
      </c>
      <c r="AG1898" s="9">
        <v>-0.3</v>
      </c>
      <c r="AH1898" s="10">
        <f t="shared" si="44"/>
        <v>0</v>
      </c>
    </row>
    <row r="1899" spans="11:34" ht="14.5" x14ac:dyDescent="0.35">
      <c r="K1899" s="4"/>
      <c r="AC1899" s="7">
        <v>2022</v>
      </c>
      <c r="AD1899" s="7">
        <v>3</v>
      </c>
      <c r="AE1899" s="7">
        <v>21</v>
      </c>
      <c r="AF1899" s="8">
        <v>4.1666666666666664E-2</v>
      </c>
      <c r="AG1899" s="9">
        <v>-0.4</v>
      </c>
      <c r="AH1899" s="10">
        <f t="shared" si="44"/>
        <v>0</v>
      </c>
    </row>
    <row r="1900" spans="11:34" ht="14.5" x14ac:dyDescent="0.35">
      <c r="K1900" s="4"/>
      <c r="AC1900" s="7">
        <v>2022</v>
      </c>
      <c r="AD1900" s="7">
        <v>3</v>
      </c>
      <c r="AE1900" s="7">
        <v>21</v>
      </c>
      <c r="AF1900" s="8">
        <v>8.3333333333333329E-2</v>
      </c>
      <c r="AG1900" s="9">
        <v>-0.1</v>
      </c>
      <c r="AH1900" s="10">
        <f t="shared" si="44"/>
        <v>0</v>
      </c>
    </row>
    <row r="1901" spans="11:34" ht="14.5" x14ac:dyDescent="0.35">
      <c r="K1901" s="4"/>
      <c r="AC1901" s="7">
        <v>2022</v>
      </c>
      <c r="AD1901" s="7">
        <v>3</v>
      </c>
      <c r="AE1901" s="7">
        <v>21</v>
      </c>
      <c r="AF1901" s="8">
        <v>0.125</v>
      </c>
      <c r="AG1901" s="9">
        <v>-0.6</v>
      </c>
      <c r="AH1901" s="10">
        <f t="shared" si="44"/>
        <v>-1</v>
      </c>
    </row>
    <row r="1902" spans="11:34" ht="14.5" x14ac:dyDescent="0.35">
      <c r="K1902" s="4"/>
      <c r="AC1902" s="7">
        <v>2022</v>
      </c>
      <c r="AD1902" s="7">
        <v>3</v>
      </c>
      <c r="AE1902" s="7">
        <v>21</v>
      </c>
      <c r="AF1902" s="8">
        <v>0.16666666666666666</v>
      </c>
      <c r="AG1902" s="9">
        <v>-0.2</v>
      </c>
      <c r="AH1902" s="10">
        <f t="shared" si="44"/>
        <v>0</v>
      </c>
    </row>
    <row r="1903" spans="11:34" ht="14.5" x14ac:dyDescent="0.35">
      <c r="K1903" s="4"/>
      <c r="AC1903" s="7">
        <v>2022</v>
      </c>
      <c r="AD1903" s="7">
        <v>3</v>
      </c>
      <c r="AE1903" s="7">
        <v>21</v>
      </c>
      <c r="AF1903" s="8">
        <v>0.20833333333333334</v>
      </c>
      <c r="AG1903" s="9">
        <v>-0.5</v>
      </c>
      <c r="AH1903" s="10">
        <f t="shared" si="44"/>
        <v>-1</v>
      </c>
    </row>
    <row r="1904" spans="11:34" ht="14.5" x14ac:dyDescent="0.35">
      <c r="K1904" s="4"/>
      <c r="AC1904" s="7">
        <v>2022</v>
      </c>
      <c r="AD1904" s="7">
        <v>3</v>
      </c>
      <c r="AE1904" s="7">
        <v>21</v>
      </c>
      <c r="AF1904" s="8">
        <v>0.25</v>
      </c>
      <c r="AG1904" s="9">
        <v>0.3</v>
      </c>
      <c r="AH1904" s="10">
        <f t="shared" si="44"/>
        <v>0</v>
      </c>
    </row>
    <row r="1905" spans="11:34" ht="14.5" x14ac:dyDescent="0.35">
      <c r="K1905" s="4"/>
      <c r="AC1905" s="7">
        <v>2022</v>
      </c>
      <c r="AD1905" s="7">
        <v>3</v>
      </c>
      <c r="AE1905" s="7">
        <v>21</v>
      </c>
      <c r="AF1905" s="8">
        <v>0.29166666666666669</v>
      </c>
      <c r="AG1905" s="9">
        <v>0.8</v>
      </c>
      <c r="AH1905" s="10">
        <f t="shared" si="44"/>
        <v>1</v>
      </c>
    </row>
    <row r="1906" spans="11:34" ht="14.5" x14ac:dyDescent="0.35">
      <c r="K1906" s="4"/>
      <c r="AC1906" s="7">
        <v>2022</v>
      </c>
      <c r="AD1906" s="7">
        <v>3</v>
      </c>
      <c r="AE1906" s="7">
        <v>21</v>
      </c>
      <c r="AF1906" s="8">
        <v>0.33333333333333331</v>
      </c>
      <c r="AG1906" s="9">
        <v>3</v>
      </c>
      <c r="AH1906" s="10">
        <f t="shared" si="44"/>
        <v>3</v>
      </c>
    </row>
    <row r="1907" spans="11:34" ht="14.5" x14ac:dyDescent="0.35">
      <c r="K1907" s="4"/>
      <c r="AC1907" s="7">
        <v>2022</v>
      </c>
      <c r="AD1907" s="7">
        <v>3</v>
      </c>
      <c r="AE1907" s="7">
        <v>21</v>
      </c>
      <c r="AF1907" s="8">
        <v>0.375</v>
      </c>
      <c r="AG1907" s="9">
        <v>4.5999999999999996</v>
      </c>
      <c r="AH1907" s="10">
        <f t="shared" si="44"/>
        <v>5</v>
      </c>
    </row>
    <row r="1908" spans="11:34" ht="14.5" x14ac:dyDescent="0.35">
      <c r="K1908" s="4"/>
      <c r="AC1908" s="7">
        <v>2022</v>
      </c>
      <c r="AD1908" s="7">
        <v>3</v>
      </c>
      <c r="AE1908" s="7">
        <v>21</v>
      </c>
      <c r="AF1908" s="8">
        <v>0.41666666666666669</v>
      </c>
      <c r="AG1908" s="9">
        <v>5.8</v>
      </c>
      <c r="AH1908" s="10">
        <f t="shared" si="44"/>
        <v>6</v>
      </c>
    </row>
    <row r="1909" spans="11:34" ht="14.5" x14ac:dyDescent="0.35">
      <c r="K1909" s="4"/>
      <c r="AC1909" s="7">
        <v>2022</v>
      </c>
      <c r="AD1909" s="7">
        <v>3</v>
      </c>
      <c r="AE1909" s="7">
        <v>21</v>
      </c>
      <c r="AF1909" s="8">
        <v>0.45833333333333331</v>
      </c>
      <c r="AG1909" s="9">
        <v>7.2</v>
      </c>
      <c r="AH1909" s="10">
        <f t="shared" si="44"/>
        <v>7</v>
      </c>
    </row>
    <row r="1910" spans="11:34" ht="14.5" x14ac:dyDescent="0.35">
      <c r="K1910" s="4"/>
      <c r="AC1910" s="7">
        <v>2022</v>
      </c>
      <c r="AD1910" s="7">
        <v>3</v>
      </c>
      <c r="AE1910" s="7">
        <v>21</v>
      </c>
      <c r="AF1910" s="8">
        <v>0.5</v>
      </c>
      <c r="AG1910" s="9">
        <v>8.5</v>
      </c>
      <c r="AH1910" s="10">
        <f t="shared" si="44"/>
        <v>9</v>
      </c>
    </row>
    <row r="1911" spans="11:34" ht="14.5" x14ac:dyDescent="0.35">
      <c r="K1911" s="4"/>
      <c r="AC1911" s="7">
        <v>2022</v>
      </c>
      <c r="AD1911" s="7">
        <v>3</v>
      </c>
      <c r="AE1911" s="7">
        <v>21</v>
      </c>
      <c r="AF1911" s="8">
        <v>0.54166666666666663</v>
      </c>
      <c r="AG1911" s="9">
        <v>9.1999999999999993</v>
      </c>
      <c r="AH1911" s="10">
        <f t="shared" si="44"/>
        <v>9</v>
      </c>
    </row>
    <row r="1912" spans="11:34" ht="14.5" x14ac:dyDescent="0.35">
      <c r="K1912" s="4"/>
      <c r="AC1912" s="7">
        <v>2022</v>
      </c>
      <c r="AD1912" s="7">
        <v>3</v>
      </c>
      <c r="AE1912" s="7">
        <v>21</v>
      </c>
      <c r="AF1912" s="8">
        <v>0.58333333333333337</v>
      </c>
      <c r="AG1912" s="9">
        <v>9.9</v>
      </c>
      <c r="AH1912" s="10">
        <f t="shared" si="44"/>
        <v>10</v>
      </c>
    </row>
    <row r="1913" spans="11:34" ht="14.5" x14ac:dyDescent="0.35">
      <c r="K1913" s="4"/>
      <c r="AC1913" s="7">
        <v>2022</v>
      </c>
      <c r="AD1913" s="7">
        <v>3</v>
      </c>
      <c r="AE1913" s="7">
        <v>21</v>
      </c>
      <c r="AF1913" s="8">
        <v>0.625</v>
      </c>
      <c r="AG1913" s="9">
        <v>9.6999999999999993</v>
      </c>
      <c r="AH1913" s="10">
        <f t="shared" si="44"/>
        <v>10</v>
      </c>
    </row>
    <row r="1914" spans="11:34" ht="14.5" x14ac:dyDescent="0.35">
      <c r="K1914" s="4"/>
      <c r="AC1914" s="7">
        <v>2022</v>
      </c>
      <c r="AD1914" s="7">
        <v>3</v>
      </c>
      <c r="AE1914" s="7">
        <v>21</v>
      </c>
      <c r="AF1914" s="8">
        <v>0.66666666666666663</v>
      </c>
      <c r="AG1914" s="9">
        <v>10.3</v>
      </c>
      <c r="AH1914" s="10">
        <f t="shared" si="44"/>
        <v>10</v>
      </c>
    </row>
    <row r="1915" spans="11:34" ht="14.5" x14ac:dyDescent="0.35">
      <c r="K1915" s="4"/>
      <c r="AC1915" s="7">
        <v>2022</v>
      </c>
      <c r="AD1915" s="7">
        <v>3</v>
      </c>
      <c r="AE1915" s="7">
        <v>21</v>
      </c>
      <c r="AF1915" s="8">
        <v>0.70833333333333337</v>
      </c>
      <c r="AG1915" s="9">
        <v>10</v>
      </c>
      <c r="AH1915" s="10">
        <f t="shared" si="44"/>
        <v>10</v>
      </c>
    </row>
    <row r="1916" spans="11:34" ht="14.5" x14ac:dyDescent="0.35">
      <c r="K1916" s="4"/>
      <c r="AC1916" s="7">
        <v>2022</v>
      </c>
      <c r="AD1916" s="7">
        <v>3</v>
      </c>
      <c r="AE1916" s="7">
        <v>21</v>
      </c>
      <c r="AF1916" s="8">
        <v>0.75</v>
      </c>
      <c r="AG1916" s="9">
        <v>8.6</v>
      </c>
      <c r="AH1916" s="10">
        <f t="shared" si="44"/>
        <v>9</v>
      </c>
    </row>
    <row r="1917" spans="11:34" ht="14.5" x14ac:dyDescent="0.35">
      <c r="K1917" s="4"/>
      <c r="AC1917" s="7">
        <v>2022</v>
      </c>
      <c r="AD1917" s="7">
        <v>3</v>
      </c>
      <c r="AE1917" s="7">
        <v>21</v>
      </c>
      <c r="AF1917" s="8">
        <v>0.79166666666666663</v>
      </c>
      <c r="AG1917" s="9">
        <v>6.3</v>
      </c>
      <c r="AH1917" s="10">
        <f t="shared" si="44"/>
        <v>6</v>
      </c>
    </row>
    <row r="1918" spans="11:34" ht="14.5" x14ac:dyDescent="0.35">
      <c r="K1918" s="4"/>
      <c r="AC1918" s="7">
        <v>2022</v>
      </c>
      <c r="AD1918" s="7">
        <v>3</v>
      </c>
      <c r="AE1918" s="7">
        <v>21</v>
      </c>
      <c r="AF1918" s="8">
        <v>0.83333333333333337</v>
      </c>
      <c r="AG1918" s="9">
        <v>2.4</v>
      </c>
      <c r="AH1918" s="10">
        <f t="shared" si="44"/>
        <v>2</v>
      </c>
    </row>
    <row r="1919" spans="11:34" ht="14.5" x14ac:dyDescent="0.35">
      <c r="K1919" s="4"/>
      <c r="AC1919" s="7">
        <v>2022</v>
      </c>
      <c r="AD1919" s="7">
        <v>3</v>
      </c>
      <c r="AE1919" s="7">
        <v>21</v>
      </c>
      <c r="AF1919" s="8">
        <v>0.875</v>
      </c>
      <c r="AG1919" s="9">
        <v>1.6</v>
      </c>
      <c r="AH1919" s="10">
        <f t="shared" si="44"/>
        <v>2</v>
      </c>
    </row>
    <row r="1920" spans="11:34" ht="14.5" x14ac:dyDescent="0.35">
      <c r="K1920" s="4"/>
      <c r="AC1920" s="7">
        <v>2022</v>
      </c>
      <c r="AD1920" s="7">
        <v>3</v>
      </c>
      <c r="AE1920" s="7">
        <v>21</v>
      </c>
      <c r="AF1920" s="8">
        <v>0.91666666666666663</v>
      </c>
      <c r="AG1920" s="9">
        <v>0.9</v>
      </c>
      <c r="AH1920" s="10">
        <f t="shared" si="44"/>
        <v>1</v>
      </c>
    </row>
    <row r="1921" spans="11:34" ht="14.5" x14ac:dyDescent="0.35">
      <c r="K1921" s="4"/>
      <c r="AC1921" s="7">
        <v>2022</v>
      </c>
      <c r="AD1921" s="7">
        <v>3</v>
      </c>
      <c r="AE1921" s="7">
        <v>21</v>
      </c>
      <c r="AF1921" s="8">
        <v>0.95833333333333337</v>
      </c>
      <c r="AG1921" s="9">
        <v>0.6</v>
      </c>
      <c r="AH1921" s="10">
        <f t="shared" si="44"/>
        <v>1</v>
      </c>
    </row>
    <row r="1922" spans="11:34" ht="14.5" x14ac:dyDescent="0.35">
      <c r="K1922" s="4"/>
      <c r="AC1922" s="7">
        <v>2022</v>
      </c>
      <c r="AD1922" s="7">
        <v>3</v>
      </c>
      <c r="AE1922" s="7">
        <v>22</v>
      </c>
      <c r="AF1922" s="8">
        <v>0</v>
      </c>
      <c r="AG1922" s="9">
        <v>1.2</v>
      </c>
      <c r="AH1922" s="10">
        <f t="shared" si="44"/>
        <v>1</v>
      </c>
    </row>
    <row r="1923" spans="11:34" ht="14.5" x14ac:dyDescent="0.35">
      <c r="K1923" s="4"/>
      <c r="AC1923" s="7">
        <v>2022</v>
      </c>
      <c r="AD1923" s="7">
        <v>3</v>
      </c>
      <c r="AE1923" s="7">
        <v>22</v>
      </c>
      <c r="AF1923" s="8">
        <v>4.1666666666666664E-2</v>
      </c>
      <c r="AG1923" s="9">
        <v>2.1</v>
      </c>
      <c r="AH1923" s="10">
        <f t="shared" si="44"/>
        <v>2</v>
      </c>
    </row>
    <row r="1924" spans="11:34" ht="14.5" x14ac:dyDescent="0.35">
      <c r="K1924" s="4"/>
      <c r="AC1924" s="7">
        <v>2022</v>
      </c>
      <c r="AD1924" s="7">
        <v>3</v>
      </c>
      <c r="AE1924" s="7">
        <v>22</v>
      </c>
      <c r="AF1924" s="8">
        <v>8.3333333333333329E-2</v>
      </c>
      <c r="AG1924" s="9">
        <v>2.7</v>
      </c>
      <c r="AH1924" s="10">
        <f t="shared" si="44"/>
        <v>3</v>
      </c>
    </row>
    <row r="1925" spans="11:34" ht="14.5" x14ac:dyDescent="0.35">
      <c r="K1925" s="4"/>
      <c r="AC1925" s="7">
        <v>2022</v>
      </c>
      <c r="AD1925" s="7">
        <v>3</v>
      </c>
      <c r="AE1925" s="7">
        <v>22</v>
      </c>
      <c r="AF1925" s="8">
        <v>0.125</v>
      </c>
      <c r="AG1925" s="9">
        <v>3.4</v>
      </c>
      <c r="AH1925" s="10">
        <f t="shared" si="44"/>
        <v>3</v>
      </c>
    </row>
    <row r="1926" spans="11:34" ht="14.5" x14ac:dyDescent="0.35">
      <c r="K1926" s="4"/>
      <c r="AC1926" s="7">
        <v>2022</v>
      </c>
      <c r="AD1926" s="7">
        <v>3</v>
      </c>
      <c r="AE1926" s="7">
        <v>22</v>
      </c>
      <c r="AF1926" s="8">
        <v>0.16666666666666666</v>
      </c>
      <c r="AG1926" s="9">
        <v>0.7</v>
      </c>
      <c r="AH1926" s="10">
        <f t="shared" si="44"/>
        <v>1</v>
      </c>
    </row>
    <row r="1927" spans="11:34" ht="14.5" x14ac:dyDescent="0.35">
      <c r="K1927" s="4"/>
      <c r="AC1927" s="7">
        <v>2022</v>
      </c>
      <c r="AD1927" s="7">
        <v>3</v>
      </c>
      <c r="AE1927" s="7">
        <v>22</v>
      </c>
      <c r="AF1927" s="8">
        <v>0.20833333333333334</v>
      </c>
      <c r="AG1927" s="9">
        <v>2.7</v>
      </c>
      <c r="AH1927" s="10">
        <f t="shared" si="44"/>
        <v>3</v>
      </c>
    </row>
    <row r="1928" spans="11:34" ht="14.5" x14ac:dyDescent="0.35">
      <c r="K1928" s="4"/>
      <c r="AC1928" s="7">
        <v>2022</v>
      </c>
      <c r="AD1928" s="7">
        <v>3</v>
      </c>
      <c r="AE1928" s="7">
        <v>22</v>
      </c>
      <c r="AF1928" s="8">
        <v>0.25</v>
      </c>
      <c r="AG1928" s="9">
        <v>-0.1</v>
      </c>
      <c r="AH1928" s="10">
        <f t="shared" si="44"/>
        <v>0</v>
      </c>
    </row>
    <row r="1929" spans="11:34" ht="14.5" x14ac:dyDescent="0.35">
      <c r="K1929" s="4"/>
      <c r="AC1929" s="7">
        <v>2022</v>
      </c>
      <c r="AD1929" s="7">
        <v>3</v>
      </c>
      <c r="AE1929" s="7">
        <v>22</v>
      </c>
      <c r="AF1929" s="8">
        <v>0.29166666666666669</v>
      </c>
      <c r="AG1929" s="9">
        <v>0.6</v>
      </c>
      <c r="AH1929" s="10">
        <f t="shared" si="44"/>
        <v>1</v>
      </c>
    </row>
    <row r="1930" spans="11:34" ht="14.5" x14ac:dyDescent="0.35">
      <c r="K1930" s="4"/>
      <c r="AC1930" s="7">
        <v>2022</v>
      </c>
      <c r="AD1930" s="7">
        <v>3</v>
      </c>
      <c r="AE1930" s="7">
        <v>22</v>
      </c>
      <c r="AF1930" s="8">
        <v>0.33333333333333331</v>
      </c>
      <c r="AG1930" s="9">
        <v>1.5</v>
      </c>
      <c r="AH1930" s="10">
        <f t="shared" si="44"/>
        <v>2</v>
      </c>
    </row>
    <row r="1931" spans="11:34" ht="14.5" x14ac:dyDescent="0.35">
      <c r="K1931" s="4"/>
      <c r="AC1931" s="7">
        <v>2022</v>
      </c>
      <c r="AD1931" s="7">
        <v>3</v>
      </c>
      <c r="AE1931" s="7">
        <v>22</v>
      </c>
      <c r="AF1931" s="8">
        <v>0.375</v>
      </c>
      <c r="AG1931" s="9">
        <v>4.5999999999999996</v>
      </c>
      <c r="AH1931" s="10">
        <f t="shared" ref="AH1931:AH1994" si="45">ROUND(AG1931,0)</f>
        <v>5</v>
      </c>
    </row>
    <row r="1932" spans="11:34" ht="14.5" x14ac:dyDescent="0.35">
      <c r="K1932" s="4"/>
      <c r="AC1932" s="7">
        <v>2022</v>
      </c>
      <c r="AD1932" s="7">
        <v>3</v>
      </c>
      <c r="AE1932" s="7">
        <v>22</v>
      </c>
      <c r="AF1932" s="8">
        <v>0.41666666666666669</v>
      </c>
      <c r="AG1932" s="9">
        <v>7.4</v>
      </c>
      <c r="AH1932" s="10">
        <f t="shared" si="45"/>
        <v>7</v>
      </c>
    </row>
    <row r="1933" spans="11:34" ht="14.5" x14ac:dyDescent="0.35">
      <c r="K1933" s="4"/>
      <c r="AC1933" s="7">
        <v>2022</v>
      </c>
      <c r="AD1933" s="7">
        <v>3</v>
      </c>
      <c r="AE1933" s="7">
        <v>22</v>
      </c>
      <c r="AF1933" s="8">
        <v>0.45833333333333331</v>
      </c>
      <c r="AG1933" s="9">
        <v>9.4</v>
      </c>
      <c r="AH1933" s="10">
        <f t="shared" si="45"/>
        <v>9</v>
      </c>
    </row>
    <row r="1934" spans="11:34" ht="14.5" x14ac:dyDescent="0.35">
      <c r="K1934" s="4"/>
      <c r="AC1934" s="7">
        <v>2022</v>
      </c>
      <c r="AD1934" s="7">
        <v>3</v>
      </c>
      <c r="AE1934" s="7">
        <v>22</v>
      </c>
      <c r="AF1934" s="8">
        <v>0.5</v>
      </c>
      <c r="AG1934" s="9">
        <v>10.4</v>
      </c>
      <c r="AH1934" s="10">
        <f t="shared" si="45"/>
        <v>10</v>
      </c>
    </row>
    <row r="1935" spans="11:34" ht="14.5" x14ac:dyDescent="0.35">
      <c r="K1935" s="4"/>
      <c r="AC1935" s="7">
        <v>2022</v>
      </c>
      <c r="AD1935" s="7">
        <v>3</v>
      </c>
      <c r="AE1935" s="7">
        <v>22</v>
      </c>
      <c r="AF1935" s="8">
        <v>0.54166666666666663</v>
      </c>
      <c r="AG1935" s="9">
        <v>11.9</v>
      </c>
      <c r="AH1935" s="10">
        <f t="shared" si="45"/>
        <v>12</v>
      </c>
    </row>
    <row r="1936" spans="11:34" ht="14.5" x14ac:dyDescent="0.35">
      <c r="K1936" s="4"/>
      <c r="AC1936" s="7">
        <v>2022</v>
      </c>
      <c r="AD1936" s="7">
        <v>3</v>
      </c>
      <c r="AE1936" s="7">
        <v>22</v>
      </c>
      <c r="AF1936" s="8">
        <v>0.58333333333333337</v>
      </c>
      <c r="AG1936" s="9">
        <v>13.9</v>
      </c>
      <c r="AH1936" s="10">
        <f t="shared" si="45"/>
        <v>14</v>
      </c>
    </row>
    <row r="1937" spans="11:34" ht="14.5" x14ac:dyDescent="0.35">
      <c r="K1937" s="4"/>
      <c r="AC1937" s="7">
        <v>2022</v>
      </c>
      <c r="AD1937" s="7">
        <v>3</v>
      </c>
      <c r="AE1937" s="7">
        <v>22</v>
      </c>
      <c r="AF1937" s="8">
        <v>0.625</v>
      </c>
      <c r="AG1937" s="9">
        <v>14.5</v>
      </c>
      <c r="AH1937" s="10">
        <f t="shared" si="45"/>
        <v>15</v>
      </c>
    </row>
    <row r="1938" spans="11:34" ht="14.5" x14ac:dyDescent="0.35">
      <c r="K1938" s="4"/>
      <c r="AC1938" s="7">
        <v>2022</v>
      </c>
      <c r="AD1938" s="7">
        <v>3</v>
      </c>
      <c r="AE1938" s="7">
        <v>22</v>
      </c>
      <c r="AF1938" s="8">
        <v>0.66666666666666663</v>
      </c>
      <c r="AG1938" s="9">
        <v>13.9</v>
      </c>
      <c r="AH1938" s="10">
        <f t="shared" si="45"/>
        <v>14</v>
      </c>
    </row>
    <row r="1939" spans="11:34" ht="14.5" x14ac:dyDescent="0.35">
      <c r="K1939" s="4"/>
      <c r="AC1939" s="7">
        <v>2022</v>
      </c>
      <c r="AD1939" s="7">
        <v>3</v>
      </c>
      <c r="AE1939" s="7">
        <v>22</v>
      </c>
      <c r="AF1939" s="8">
        <v>0.70833333333333337</v>
      </c>
      <c r="AG1939" s="9">
        <v>13.6</v>
      </c>
      <c r="AH1939" s="10">
        <f t="shared" si="45"/>
        <v>14</v>
      </c>
    </row>
    <row r="1940" spans="11:34" ht="14.5" x14ac:dyDescent="0.35">
      <c r="K1940" s="4"/>
      <c r="AC1940" s="7">
        <v>2022</v>
      </c>
      <c r="AD1940" s="7">
        <v>3</v>
      </c>
      <c r="AE1940" s="7">
        <v>22</v>
      </c>
      <c r="AF1940" s="8">
        <v>0.75</v>
      </c>
      <c r="AG1940" s="9">
        <v>12.6</v>
      </c>
      <c r="AH1940" s="10">
        <f t="shared" si="45"/>
        <v>13</v>
      </c>
    </row>
    <row r="1941" spans="11:34" ht="14.5" x14ac:dyDescent="0.35">
      <c r="K1941" s="4"/>
      <c r="AC1941" s="7">
        <v>2022</v>
      </c>
      <c r="AD1941" s="7">
        <v>3</v>
      </c>
      <c r="AE1941" s="7">
        <v>22</v>
      </c>
      <c r="AF1941" s="8">
        <v>0.79166666666666663</v>
      </c>
      <c r="AG1941" s="9">
        <v>11.6</v>
      </c>
      <c r="AH1941" s="10">
        <f t="shared" si="45"/>
        <v>12</v>
      </c>
    </row>
    <row r="1942" spans="11:34" ht="14.5" x14ac:dyDescent="0.35">
      <c r="K1942" s="4"/>
      <c r="AC1942" s="7">
        <v>2022</v>
      </c>
      <c r="AD1942" s="7">
        <v>3</v>
      </c>
      <c r="AE1942" s="7">
        <v>22</v>
      </c>
      <c r="AF1942" s="8">
        <v>0.83333333333333337</v>
      </c>
      <c r="AG1942" s="9">
        <v>11.1</v>
      </c>
      <c r="AH1942" s="10">
        <f t="shared" si="45"/>
        <v>11</v>
      </c>
    </row>
    <row r="1943" spans="11:34" ht="14.5" x14ac:dyDescent="0.35">
      <c r="K1943" s="4"/>
      <c r="AC1943" s="7">
        <v>2022</v>
      </c>
      <c r="AD1943" s="7">
        <v>3</v>
      </c>
      <c r="AE1943" s="7">
        <v>22</v>
      </c>
      <c r="AF1943" s="8">
        <v>0.875</v>
      </c>
      <c r="AG1943" s="9">
        <v>10.1</v>
      </c>
      <c r="AH1943" s="10">
        <f t="shared" si="45"/>
        <v>10</v>
      </c>
    </row>
    <row r="1944" spans="11:34" ht="14.5" x14ac:dyDescent="0.35">
      <c r="K1944" s="4"/>
      <c r="AC1944" s="7">
        <v>2022</v>
      </c>
      <c r="AD1944" s="7">
        <v>3</v>
      </c>
      <c r="AE1944" s="7">
        <v>22</v>
      </c>
      <c r="AF1944" s="8">
        <v>0.91666666666666663</v>
      </c>
      <c r="AG1944" s="9">
        <v>10.4</v>
      </c>
      <c r="AH1944" s="10">
        <f t="shared" si="45"/>
        <v>10</v>
      </c>
    </row>
    <row r="1945" spans="11:34" ht="14.5" x14ac:dyDescent="0.35">
      <c r="K1945" s="4"/>
      <c r="AC1945" s="7">
        <v>2022</v>
      </c>
      <c r="AD1945" s="7">
        <v>3</v>
      </c>
      <c r="AE1945" s="7">
        <v>22</v>
      </c>
      <c r="AF1945" s="8">
        <v>0.95833333333333337</v>
      </c>
      <c r="AG1945" s="9">
        <v>8.6</v>
      </c>
      <c r="AH1945" s="10">
        <f t="shared" si="45"/>
        <v>9</v>
      </c>
    </row>
    <row r="1946" spans="11:34" ht="14.5" x14ac:dyDescent="0.35">
      <c r="K1946" s="4"/>
      <c r="AC1946" s="7">
        <v>2022</v>
      </c>
      <c r="AD1946" s="7">
        <v>3</v>
      </c>
      <c r="AE1946" s="7">
        <v>23</v>
      </c>
      <c r="AF1946" s="8">
        <v>0</v>
      </c>
      <c r="AG1946" s="9">
        <v>7</v>
      </c>
      <c r="AH1946" s="10">
        <f t="shared" si="45"/>
        <v>7</v>
      </c>
    </row>
    <row r="1947" spans="11:34" ht="14.5" x14ac:dyDescent="0.35">
      <c r="K1947" s="4"/>
      <c r="AC1947" s="7">
        <v>2022</v>
      </c>
      <c r="AD1947" s="7">
        <v>3</v>
      </c>
      <c r="AE1947" s="7">
        <v>23</v>
      </c>
      <c r="AF1947" s="8">
        <v>4.1666666666666664E-2</v>
      </c>
      <c r="AG1947" s="9">
        <v>8.6</v>
      </c>
      <c r="AH1947" s="10">
        <f t="shared" si="45"/>
        <v>9</v>
      </c>
    </row>
    <row r="1948" spans="11:34" ht="14.5" x14ac:dyDescent="0.35">
      <c r="K1948" s="4"/>
      <c r="AC1948" s="7">
        <v>2022</v>
      </c>
      <c r="AD1948" s="7">
        <v>3</v>
      </c>
      <c r="AE1948" s="7">
        <v>23</v>
      </c>
      <c r="AF1948" s="8">
        <v>8.3333333333333329E-2</v>
      </c>
      <c r="AG1948" s="9">
        <v>6.5</v>
      </c>
      <c r="AH1948" s="10">
        <f t="shared" si="45"/>
        <v>7</v>
      </c>
    </row>
    <row r="1949" spans="11:34" ht="14.5" x14ac:dyDescent="0.35">
      <c r="K1949" s="4"/>
      <c r="AC1949" s="7">
        <v>2022</v>
      </c>
      <c r="AD1949" s="7">
        <v>3</v>
      </c>
      <c r="AE1949" s="7">
        <v>23</v>
      </c>
      <c r="AF1949" s="8">
        <v>0.125</v>
      </c>
      <c r="AG1949" s="9">
        <v>8.5</v>
      </c>
      <c r="AH1949" s="10">
        <f t="shared" si="45"/>
        <v>9</v>
      </c>
    </row>
    <row r="1950" spans="11:34" ht="14.5" x14ac:dyDescent="0.35">
      <c r="K1950" s="4"/>
      <c r="AC1950" s="7">
        <v>2022</v>
      </c>
      <c r="AD1950" s="7">
        <v>3</v>
      </c>
      <c r="AE1950" s="7">
        <v>23</v>
      </c>
      <c r="AF1950" s="8">
        <v>0.16666666666666666</v>
      </c>
      <c r="AG1950" s="9">
        <v>2.4</v>
      </c>
      <c r="AH1950" s="10">
        <f t="shared" si="45"/>
        <v>2</v>
      </c>
    </row>
    <row r="1951" spans="11:34" ht="14.5" x14ac:dyDescent="0.35">
      <c r="K1951" s="4"/>
      <c r="AC1951" s="7">
        <v>2022</v>
      </c>
      <c r="AD1951" s="7">
        <v>3</v>
      </c>
      <c r="AE1951" s="7">
        <v>23</v>
      </c>
      <c r="AF1951" s="8">
        <v>0.20833333333333334</v>
      </c>
      <c r="AG1951" s="9">
        <v>1.3</v>
      </c>
      <c r="AH1951" s="10">
        <f t="shared" si="45"/>
        <v>1</v>
      </c>
    </row>
    <row r="1952" spans="11:34" ht="14.5" x14ac:dyDescent="0.35">
      <c r="K1952" s="4"/>
      <c r="AC1952" s="7">
        <v>2022</v>
      </c>
      <c r="AD1952" s="7">
        <v>3</v>
      </c>
      <c r="AE1952" s="7">
        <v>23</v>
      </c>
      <c r="AF1952" s="8">
        <v>0.25</v>
      </c>
      <c r="AG1952" s="9">
        <v>3.6</v>
      </c>
      <c r="AH1952" s="10">
        <f t="shared" si="45"/>
        <v>4</v>
      </c>
    </row>
    <row r="1953" spans="11:34" ht="14.5" x14ac:dyDescent="0.35">
      <c r="K1953" s="4"/>
      <c r="AC1953" s="7">
        <v>2022</v>
      </c>
      <c r="AD1953" s="7">
        <v>3</v>
      </c>
      <c r="AE1953" s="7">
        <v>23</v>
      </c>
      <c r="AF1953" s="8">
        <v>0.29166666666666669</v>
      </c>
      <c r="AG1953" s="9">
        <v>5.0999999999999996</v>
      </c>
      <c r="AH1953" s="10">
        <f t="shared" si="45"/>
        <v>5</v>
      </c>
    </row>
    <row r="1954" spans="11:34" ht="14.5" x14ac:dyDescent="0.35">
      <c r="K1954" s="4"/>
      <c r="AC1954" s="7">
        <v>2022</v>
      </c>
      <c r="AD1954" s="7">
        <v>3</v>
      </c>
      <c r="AE1954" s="7">
        <v>23</v>
      </c>
      <c r="AF1954" s="8">
        <v>0.33333333333333331</v>
      </c>
      <c r="AG1954" s="9">
        <v>7.7</v>
      </c>
      <c r="AH1954" s="10">
        <f t="shared" si="45"/>
        <v>8</v>
      </c>
    </row>
    <row r="1955" spans="11:34" ht="14.5" x14ac:dyDescent="0.35">
      <c r="K1955" s="4"/>
      <c r="AC1955" s="7">
        <v>2022</v>
      </c>
      <c r="AD1955" s="7">
        <v>3</v>
      </c>
      <c r="AE1955" s="7">
        <v>23</v>
      </c>
      <c r="AF1955" s="8">
        <v>0.375</v>
      </c>
      <c r="AG1955" s="9">
        <v>6.6</v>
      </c>
      <c r="AH1955" s="10">
        <f t="shared" si="45"/>
        <v>7</v>
      </c>
    </row>
    <row r="1956" spans="11:34" ht="14.5" x14ac:dyDescent="0.35">
      <c r="K1956" s="4"/>
      <c r="AC1956" s="7">
        <v>2022</v>
      </c>
      <c r="AD1956" s="7">
        <v>3</v>
      </c>
      <c r="AE1956" s="7">
        <v>23</v>
      </c>
      <c r="AF1956" s="8">
        <v>0.41666666666666669</v>
      </c>
      <c r="AG1956" s="9">
        <v>6.4</v>
      </c>
      <c r="AH1956" s="10">
        <f t="shared" si="45"/>
        <v>6</v>
      </c>
    </row>
    <row r="1957" spans="11:34" ht="14.5" x14ac:dyDescent="0.35">
      <c r="K1957" s="4"/>
      <c r="AC1957" s="7">
        <v>2022</v>
      </c>
      <c r="AD1957" s="7">
        <v>3</v>
      </c>
      <c r="AE1957" s="7">
        <v>23</v>
      </c>
      <c r="AF1957" s="8">
        <v>0.45833333333333331</v>
      </c>
      <c r="AG1957" s="9">
        <v>8.8000000000000007</v>
      </c>
      <c r="AH1957" s="10">
        <f t="shared" si="45"/>
        <v>9</v>
      </c>
    </row>
    <row r="1958" spans="11:34" ht="14.5" x14ac:dyDescent="0.35">
      <c r="K1958" s="4"/>
      <c r="AC1958" s="7">
        <v>2022</v>
      </c>
      <c r="AD1958" s="7">
        <v>3</v>
      </c>
      <c r="AE1958" s="7">
        <v>23</v>
      </c>
      <c r="AF1958" s="8">
        <v>0.5</v>
      </c>
      <c r="AG1958" s="9">
        <v>10.6</v>
      </c>
      <c r="AH1958" s="10">
        <f t="shared" si="45"/>
        <v>11</v>
      </c>
    </row>
    <row r="1959" spans="11:34" ht="14.5" x14ac:dyDescent="0.35">
      <c r="K1959" s="4"/>
      <c r="AC1959" s="7">
        <v>2022</v>
      </c>
      <c r="AD1959" s="7">
        <v>3</v>
      </c>
      <c r="AE1959" s="7">
        <v>23</v>
      </c>
      <c r="AF1959" s="8">
        <v>0.54166666666666663</v>
      </c>
      <c r="AG1959" s="9">
        <v>12.1</v>
      </c>
      <c r="AH1959" s="10">
        <f t="shared" si="45"/>
        <v>12</v>
      </c>
    </row>
    <row r="1960" spans="11:34" ht="14.5" x14ac:dyDescent="0.35">
      <c r="K1960" s="4"/>
      <c r="AC1960" s="7">
        <v>2022</v>
      </c>
      <c r="AD1960" s="7">
        <v>3</v>
      </c>
      <c r="AE1960" s="7">
        <v>23</v>
      </c>
      <c r="AF1960" s="8">
        <v>0.58333333333333337</v>
      </c>
      <c r="AG1960" s="9">
        <v>13.2</v>
      </c>
      <c r="AH1960" s="10">
        <f t="shared" si="45"/>
        <v>13</v>
      </c>
    </row>
    <row r="1961" spans="11:34" ht="14.5" x14ac:dyDescent="0.35">
      <c r="K1961" s="4"/>
      <c r="AC1961" s="7">
        <v>2022</v>
      </c>
      <c r="AD1961" s="7">
        <v>3</v>
      </c>
      <c r="AE1961" s="7">
        <v>23</v>
      </c>
      <c r="AF1961" s="8">
        <v>0.625</v>
      </c>
      <c r="AG1961" s="9">
        <v>17</v>
      </c>
      <c r="AH1961" s="10">
        <f t="shared" si="45"/>
        <v>17</v>
      </c>
    </row>
    <row r="1962" spans="11:34" ht="14.5" x14ac:dyDescent="0.35">
      <c r="K1962" s="4"/>
      <c r="AC1962" s="7">
        <v>2022</v>
      </c>
      <c r="AD1962" s="7">
        <v>3</v>
      </c>
      <c r="AE1962" s="7">
        <v>23</v>
      </c>
      <c r="AF1962" s="8">
        <v>0.66666666666666663</v>
      </c>
      <c r="AG1962" s="9">
        <v>17.3</v>
      </c>
      <c r="AH1962" s="10">
        <f t="shared" si="45"/>
        <v>17</v>
      </c>
    </row>
    <row r="1963" spans="11:34" ht="14.5" x14ac:dyDescent="0.35">
      <c r="K1963" s="4"/>
      <c r="AC1963" s="7">
        <v>2022</v>
      </c>
      <c r="AD1963" s="7">
        <v>3</v>
      </c>
      <c r="AE1963" s="7">
        <v>23</v>
      </c>
      <c r="AF1963" s="8">
        <v>0.70833333333333337</v>
      </c>
      <c r="AG1963" s="9">
        <v>17.3</v>
      </c>
      <c r="AH1963" s="10">
        <f t="shared" si="45"/>
        <v>17</v>
      </c>
    </row>
    <row r="1964" spans="11:34" ht="14.5" x14ac:dyDescent="0.35">
      <c r="K1964" s="4"/>
      <c r="AC1964" s="7">
        <v>2022</v>
      </c>
      <c r="AD1964" s="7">
        <v>3</v>
      </c>
      <c r="AE1964" s="7">
        <v>23</v>
      </c>
      <c r="AF1964" s="8">
        <v>0.75</v>
      </c>
      <c r="AG1964" s="9">
        <v>16.399999999999999</v>
      </c>
      <c r="AH1964" s="10">
        <f t="shared" si="45"/>
        <v>16</v>
      </c>
    </row>
    <row r="1965" spans="11:34" ht="14.5" x14ac:dyDescent="0.35">
      <c r="K1965" s="4"/>
      <c r="AC1965" s="7">
        <v>2022</v>
      </c>
      <c r="AD1965" s="7">
        <v>3</v>
      </c>
      <c r="AE1965" s="7">
        <v>23</v>
      </c>
      <c r="AF1965" s="8">
        <v>0.79166666666666663</v>
      </c>
      <c r="AG1965" s="9">
        <v>12.3</v>
      </c>
      <c r="AH1965" s="10">
        <f t="shared" si="45"/>
        <v>12</v>
      </c>
    </row>
    <row r="1966" spans="11:34" ht="14.5" x14ac:dyDescent="0.35">
      <c r="K1966" s="4"/>
      <c r="AC1966" s="7">
        <v>2022</v>
      </c>
      <c r="AD1966" s="7">
        <v>3</v>
      </c>
      <c r="AE1966" s="7">
        <v>23</v>
      </c>
      <c r="AF1966" s="8">
        <v>0.83333333333333337</v>
      </c>
      <c r="AG1966" s="9">
        <v>8.8000000000000007</v>
      </c>
      <c r="AH1966" s="10">
        <f t="shared" si="45"/>
        <v>9</v>
      </c>
    </row>
    <row r="1967" spans="11:34" ht="14.5" x14ac:dyDescent="0.35">
      <c r="K1967" s="4"/>
      <c r="AC1967" s="7">
        <v>2022</v>
      </c>
      <c r="AD1967" s="7">
        <v>3</v>
      </c>
      <c r="AE1967" s="7">
        <v>23</v>
      </c>
      <c r="AF1967" s="8">
        <v>0.875</v>
      </c>
      <c r="AG1967" s="9">
        <v>9.4</v>
      </c>
      <c r="AH1967" s="10">
        <f t="shared" si="45"/>
        <v>9</v>
      </c>
    </row>
    <row r="1968" spans="11:34" ht="14.5" x14ac:dyDescent="0.35">
      <c r="K1968" s="4"/>
      <c r="AC1968" s="7">
        <v>2022</v>
      </c>
      <c r="AD1968" s="7">
        <v>3</v>
      </c>
      <c r="AE1968" s="7">
        <v>23</v>
      </c>
      <c r="AF1968" s="8">
        <v>0.91666666666666663</v>
      </c>
      <c r="AG1968" s="9">
        <v>5.7</v>
      </c>
      <c r="AH1968" s="10">
        <f t="shared" si="45"/>
        <v>6</v>
      </c>
    </row>
    <row r="1969" spans="11:34" ht="14.5" x14ac:dyDescent="0.35">
      <c r="K1969" s="4"/>
      <c r="AC1969" s="7">
        <v>2022</v>
      </c>
      <c r="AD1969" s="7">
        <v>3</v>
      </c>
      <c r="AE1969" s="7">
        <v>23</v>
      </c>
      <c r="AF1969" s="8">
        <v>0.95833333333333337</v>
      </c>
      <c r="AG1969" s="9">
        <v>4.0999999999999996</v>
      </c>
      <c r="AH1969" s="10">
        <f t="shared" si="45"/>
        <v>4</v>
      </c>
    </row>
    <row r="1970" spans="11:34" ht="14.5" x14ac:dyDescent="0.35">
      <c r="K1970" s="4"/>
      <c r="AC1970" s="7">
        <v>2022</v>
      </c>
      <c r="AD1970" s="7">
        <v>3</v>
      </c>
      <c r="AE1970" s="7">
        <v>24</v>
      </c>
      <c r="AF1970" s="8">
        <v>0</v>
      </c>
      <c r="AG1970" s="9">
        <v>1.4</v>
      </c>
      <c r="AH1970" s="10">
        <f t="shared" si="45"/>
        <v>1</v>
      </c>
    </row>
    <row r="1971" spans="11:34" ht="14.5" x14ac:dyDescent="0.35">
      <c r="K1971" s="4"/>
      <c r="AC1971" s="7">
        <v>2022</v>
      </c>
      <c r="AD1971" s="7">
        <v>3</v>
      </c>
      <c r="AE1971" s="7">
        <v>24</v>
      </c>
      <c r="AF1971" s="8">
        <v>4.1666666666666664E-2</v>
      </c>
      <c r="AG1971" s="9">
        <v>-0.6</v>
      </c>
      <c r="AH1971" s="10">
        <f t="shared" si="45"/>
        <v>-1</v>
      </c>
    </row>
    <row r="1972" spans="11:34" ht="14.5" x14ac:dyDescent="0.35">
      <c r="K1972" s="4"/>
      <c r="AC1972" s="7">
        <v>2022</v>
      </c>
      <c r="AD1972" s="7">
        <v>3</v>
      </c>
      <c r="AE1972" s="7">
        <v>24</v>
      </c>
      <c r="AF1972" s="8">
        <v>8.3333333333333329E-2</v>
      </c>
      <c r="AG1972" s="9">
        <v>-0.3</v>
      </c>
      <c r="AH1972" s="10">
        <f t="shared" si="45"/>
        <v>0</v>
      </c>
    </row>
    <row r="1973" spans="11:34" ht="14.5" x14ac:dyDescent="0.35">
      <c r="K1973" s="4"/>
      <c r="AC1973" s="7">
        <v>2022</v>
      </c>
      <c r="AD1973" s="7">
        <v>3</v>
      </c>
      <c r="AE1973" s="7">
        <v>24</v>
      </c>
      <c r="AF1973" s="8">
        <v>0.125</v>
      </c>
      <c r="AG1973" s="9">
        <v>-0.3</v>
      </c>
      <c r="AH1973" s="10">
        <f t="shared" si="45"/>
        <v>0</v>
      </c>
    </row>
    <row r="1974" spans="11:34" ht="14.5" x14ac:dyDescent="0.35">
      <c r="K1974" s="4"/>
      <c r="AC1974" s="7">
        <v>2022</v>
      </c>
      <c r="AD1974" s="7">
        <v>3</v>
      </c>
      <c r="AE1974" s="7">
        <v>24</v>
      </c>
      <c r="AF1974" s="8">
        <v>0.16666666666666666</v>
      </c>
      <c r="AG1974" s="9">
        <v>0.3</v>
      </c>
      <c r="AH1974" s="10">
        <f t="shared" si="45"/>
        <v>0</v>
      </c>
    </row>
    <row r="1975" spans="11:34" ht="14.5" x14ac:dyDescent="0.35">
      <c r="K1975" s="4"/>
      <c r="AC1975" s="7">
        <v>2022</v>
      </c>
      <c r="AD1975" s="7">
        <v>3</v>
      </c>
      <c r="AE1975" s="7">
        <v>24</v>
      </c>
      <c r="AF1975" s="8">
        <v>0.20833333333333334</v>
      </c>
      <c r="AG1975" s="9">
        <v>0.2</v>
      </c>
      <c r="AH1975" s="10">
        <f t="shared" si="45"/>
        <v>0</v>
      </c>
    </row>
    <row r="1976" spans="11:34" ht="14.5" x14ac:dyDescent="0.35">
      <c r="K1976" s="4"/>
      <c r="AC1976" s="7">
        <v>2022</v>
      </c>
      <c r="AD1976" s="7">
        <v>3</v>
      </c>
      <c r="AE1976" s="7">
        <v>24</v>
      </c>
      <c r="AF1976" s="8">
        <v>0.25</v>
      </c>
      <c r="AG1976" s="9">
        <v>0.2</v>
      </c>
      <c r="AH1976" s="10">
        <f t="shared" si="45"/>
        <v>0</v>
      </c>
    </row>
    <row r="1977" spans="11:34" ht="14.5" x14ac:dyDescent="0.35">
      <c r="K1977" s="4"/>
      <c r="AC1977" s="7">
        <v>2022</v>
      </c>
      <c r="AD1977" s="7">
        <v>3</v>
      </c>
      <c r="AE1977" s="7">
        <v>24</v>
      </c>
      <c r="AF1977" s="8">
        <v>0.29166666666666669</v>
      </c>
      <c r="AG1977" s="9">
        <v>0</v>
      </c>
      <c r="AH1977" s="10">
        <f t="shared" si="45"/>
        <v>0</v>
      </c>
    </row>
    <row r="1978" spans="11:34" ht="14.5" x14ac:dyDescent="0.35">
      <c r="K1978" s="4"/>
      <c r="AC1978" s="7">
        <v>2022</v>
      </c>
      <c r="AD1978" s="7">
        <v>3</v>
      </c>
      <c r="AE1978" s="7">
        <v>24</v>
      </c>
      <c r="AF1978" s="8">
        <v>0.33333333333333331</v>
      </c>
      <c r="AG1978" s="9">
        <v>0.2</v>
      </c>
      <c r="AH1978" s="10">
        <f t="shared" si="45"/>
        <v>0</v>
      </c>
    </row>
    <row r="1979" spans="11:34" ht="14.5" x14ac:dyDescent="0.35">
      <c r="K1979" s="4"/>
      <c r="AC1979" s="7">
        <v>2022</v>
      </c>
      <c r="AD1979" s="7">
        <v>3</v>
      </c>
      <c r="AE1979" s="7">
        <v>24</v>
      </c>
      <c r="AF1979" s="8">
        <v>0.375</v>
      </c>
      <c r="AG1979" s="9">
        <v>1</v>
      </c>
      <c r="AH1979" s="10">
        <f t="shared" si="45"/>
        <v>1</v>
      </c>
    </row>
    <row r="1980" spans="11:34" ht="14.5" x14ac:dyDescent="0.35">
      <c r="K1980" s="4"/>
      <c r="AC1980" s="7">
        <v>2022</v>
      </c>
      <c r="AD1980" s="7">
        <v>3</v>
      </c>
      <c r="AE1980" s="7">
        <v>24</v>
      </c>
      <c r="AF1980" s="8">
        <v>0.41666666666666669</v>
      </c>
      <c r="AG1980" s="9">
        <v>2.7</v>
      </c>
      <c r="AH1980" s="10">
        <f t="shared" si="45"/>
        <v>3</v>
      </c>
    </row>
    <row r="1981" spans="11:34" ht="14.5" x14ac:dyDescent="0.35">
      <c r="K1981" s="4"/>
      <c r="AC1981" s="7">
        <v>2022</v>
      </c>
      <c r="AD1981" s="7">
        <v>3</v>
      </c>
      <c r="AE1981" s="7">
        <v>24</v>
      </c>
      <c r="AF1981" s="8">
        <v>0.45833333333333331</v>
      </c>
      <c r="AG1981" s="9">
        <v>4</v>
      </c>
      <c r="AH1981" s="10">
        <f t="shared" si="45"/>
        <v>4</v>
      </c>
    </row>
    <row r="1982" spans="11:34" ht="14.5" x14ac:dyDescent="0.35">
      <c r="K1982" s="4"/>
      <c r="AC1982" s="7">
        <v>2022</v>
      </c>
      <c r="AD1982" s="7">
        <v>3</v>
      </c>
      <c r="AE1982" s="7">
        <v>24</v>
      </c>
      <c r="AF1982" s="8">
        <v>0.5</v>
      </c>
      <c r="AG1982" s="9">
        <v>5.0999999999999996</v>
      </c>
      <c r="AH1982" s="10">
        <f t="shared" si="45"/>
        <v>5</v>
      </c>
    </row>
    <row r="1983" spans="11:34" ht="14.5" x14ac:dyDescent="0.35">
      <c r="K1983" s="4"/>
      <c r="AC1983" s="7">
        <v>2022</v>
      </c>
      <c r="AD1983" s="7">
        <v>3</v>
      </c>
      <c r="AE1983" s="7">
        <v>24</v>
      </c>
      <c r="AF1983" s="8">
        <v>0.54166666666666663</v>
      </c>
      <c r="AG1983" s="9">
        <v>2.9</v>
      </c>
      <c r="AH1983" s="10">
        <f t="shared" si="45"/>
        <v>3</v>
      </c>
    </row>
    <row r="1984" spans="11:34" ht="14.5" x14ac:dyDescent="0.35">
      <c r="K1984" s="4"/>
      <c r="AC1984" s="7">
        <v>2022</v>
      </c>
      <c r="AD1984" s="7">
        <v>3</v>
      </c>
      <c r="AE1984" s="7">
        <v>24</v>
      </c>
      <c r="AF1984" s="8">
        <v>0.58333333333333337</v>
      </c>
      <c r="AG1984" s="9">
        <v>3.3</v>
      </c>
      <c r="AH1984" s="10">
        <f t="shared" si="45"/>
        <v>3</v>
      </c>
    </row>
    <row r="1985" spans="11:34" ht="14.5" x14ac:dyDescent="0.35">
      <c r="K1985" s="4"/>
      <c r="AC1985" s="7">
        <v>2022</v>
      </c>
      <c r="AD1985" s="7">
        <v>3</v>
      </c>
      <c r="AE1985" s="7">
        <v>24</v>
      </c>
      <c r="AF1985" s="8">
        <v>0.625</v>
      </c>
      <c r="AG1985" s="9">
        <v>3.7</v>
      </c>
      <c r="AH1985" s="10">
        <f t="shared" si="45"/>
        <v>4</v>
      </c>
    </row>
    <row r="1986" spans="11:34" ht="14.5" x14ac:dyDescent="0.35">
      <c r="K1986" s="4"/>
      <c r="AC1986" s="7">
        <v>2022</v>
      </c>
      <c r="AD1986" s="7">
        <v>3</v>
      </c>
      <c r="AE1986" s="7">
        <v>24</v>
      </c>
      <c r="AF1986" s="8">
        <v>0.66666666666666663</v>
      </c>
      <c r="AG1986" s="9">
        <v>4</v>
      </c>
      <c r="AH1986" s="10">
        <f t="shared" si="45"/>
        <v>4</v>
      </c>
    </row>
    <row r="1987" spans="11:34" ht="14.5" x14ac:dyDescent="0.35">
      <c r="K1987" s="4"/>
      <c r="AC1987" s="7">
        <v>2022</v>
      </c>
      <c r="AD1987" s="7">
        <v>3</v>
      </c>
      <c r="AE1987" s="7">
        <v>24</v>
      </c>
      <c r="AF1987" s="8">
        <v>0.70833333333333337</v>
      </c>
      <c r="AG1987" s="9">
        <v>3.3</v>
      </c>
      <c r="AH1987" s="10">
        <f t="shared" si="45"/>
        <v>3</v>
      </c>
    </row>
    <row r="1988" spans="11:34" ht="14.5" x14ac:dyDescent="0.35">
      <c r="K1988" s="4"/>
      <c r="AC1988" s="7">
        <v>2022</v>
      </c>
      <c r="AD1988" s="7">
        <v>3</v>
      </c>
      <c r="AE1988" s="7">
        <v>24</v>
      </c>
      <c r="AF1988" s="8">
        <v>0.75</v>
      </c>
      <c r="AG1988" s="9">
        <v>3.6</v>
      </c>
      <c r="AH1988" s="10">
        <f t="shared" si="45"/>
        <v>4</v>
      </c>
    </row>
    <row r="1989" spans="11:34" ht="14.5" x14ac:dyDescent="0.35">
      <c r="K1989" s="4"/>
      <c r="AC1989" s="7">
        <v>2022</v>
      </c>
      <c r="AD1989" s="7">
        <v>3</v>
      </c>
      <c r="AE1989" s="7">
        <v>24</v>
      </c>
      <c r="AF1989" s="8">
        <v>0.79166666666666663</v>
      </c>
      <c r="AG1989" s="9">
        <v>2.1</v>
      </c>
      <c r="AH1989" s="10">
        <f t="shared" si="45"/>
        <v>2</v>
      </c>
    </row>
    <row r="1990" spans="11:34" ht="14.5" x14ac:dyDescent="0.35">
      <c r="K1990" s="4"/>
      <c r="AC1990" s="7">
        <v>2022</v>
      </c>
      <c r="AD1990" s="7">
        <v>3</v>
      </c>
      <c r="AE1990" s="7">
        <v>24</v>
      </c>
      <c r="AF1990" s="8">
        <v>0.83333333333333337</v>
      </c>
      <c r="AG1990" s="9">
        <v>-0.6</v>
      </c>
      <c r="AH1990" s="10">
        <f t="shared" si="45"/>
        <v>-1</v>
      </c>
    </row>
    <row r="1991" spans="11:34" ht="14.5" x14ac:dyDescent="0.35">
      <c r="K1991" s="4"/>
      <c r="AC1991" s="7">
        <v>2022</v>
      </c>
      <c r="AD1991" s="7">
        <v>3</v>
      </c>
      <c r="AE1991" s="7">
        <v>24</v>
      </c>
      <c r="AF1991" s="8">
        <v>0.875</v>
      </c>
      <c r="AG1991" s="9">
        <v>-2.2999999999999998</v>
      </c>
      <c r="AH1991" s="10">
        <f t="shared" si="45"/>
        <v>-2</v>
      </c>
    </row>
    <row r="1992" spans="11:34" ht="14.5" x14ac:dyDescent="0.35">
      <c r="K1992" s="4"/>
      <c r="AC1992" s="7">
        <v>2022</v>
      </c>
      <c r="AD1992" s="7">
        <v>3</v>
      </c>
      <c r="AE1992" s="7">
        <v>24</v>
      </c>
      <c r="AF1992" s="8">
        <v>0.91666666666666663</v>
      </c>
      <c r="AG1992" s="9">
        <v>-2.8</v>
      </c>
      <c r="AH1992" s="10">
        <f t="shared" si="45"/>
        <v>-3</v>
      </c>
    </row>
    <row r="1993" spans="11:34" ht="14.5" x14ac:dyDescent="0.35">
      <c r="K1993" s="4"/>
      <c r="AC1993" s="7">
        <v>2022</v>
      </c>
      <c r="AD1993" s="7">
        <v>3</v>
      </c>
      <c r="AE1993" s="7">
        <v>24</v>
      </c>
      <c r="AF1993" s="8">
        <v>0.95833333333333337</v>
      </c>
      <c r="AG1993" s="9">
        <v>-4.8</v>
      </c>
      <c r="AH1993" s="10">
        <f t="shared" si="45"/>
        <v>-5</v>
      </c>
    </row>
    <row r="1994" spans="11:34" ht="14.5" x14ac:dyDescent="0.35">
      <c r="K1994" s="4"/>
      <c r="AC1994" s="7">
        <v>2022</v>
      </c>
      <c r="AD1994" s="7">
        <v>3</v>
      </c>
      <c r="AE1994" s="7">
        <v>25</v>
      </c>
      <c r="AF1994" s="8">
        <v>0</v>
      </c>
      <c r="AG1994" s="9">
        <v>-4.5</v>
      </c>
      <c r="AH1994" s="10">
        <f t="shared" si="45"/>
        <v>-5</v>
      </c>
    </row>
    <row r="1995" spans="11:34" ht="14.5" x14ac:dyDescent="0.35">
      <c r="K1995" s="4"/>
      <c r="AC1995" s="7">
        <v>2022</v>
      </c>
      <c r="AD1995" s="7">
        <v>3</v>
      </c>
      <c r="AE1995" s="7">
        <v>25</v>
      </c>
      <c r="AF1995" s="8">
        <v>4.1666666666666664E-2</v>
      </c>
      <c r="AG1995" s="9">
        <v>-4.5</v>
      </c>
      <c r="AH1995" s="10">
        <f t="shared" ref="AH1995:AH2058" si="46">ROUND(AG1995,0)</f>
        <v>-5</v>
      </c>
    </row>
    <row r="1996" spans="11:34" ht="14.5" x14ac:dyDescent="0.35">
      <c r="K1996" s="4"/>
      <c r="AC1996" s="7">
        <v>2022</v>
      </c>
      <c r="AD1996" s="7">
        <v>3</v>
      </c>
      <c r="AE1996" s="7">
        <v>25</v>
      </c>
      <c r="AF1996" s="8">
        <v>8.3333333333333329E-2</v>
      </c>
      <c r="AG1996" s="9">
        <v>-3.9</v>
      </c>
      <c r="AH1996" s="10">
        <f t="shared" si="46"/>
        <v>-4</v>
      </c>
    </row>
    <row r="1997" spans="11:34" ht="14.5" x14ac:dyDescent="0.35">
      <c r="K1997" s="4"/>
      <c r="AC1997" s="7">
        <v>2022</v>
      </c>
      <c r="AD1997" s="7">
        <v>3</v>
      </c>
      <c r="AE1997" s="7">
        <v>25</v>
      </c>
      <c r="AF1997" s="8">
        <v>0.125</v>
      </c>
      <c r="AG1997" s="9">
        <v>-6.3</v>
      </c>
      <c r="AH1997" s="10">
        <f t="shared" si="46"/>
        <v>-6</v>
      </c>
    </row>
    <row r="1998" spans="11:34" ht="14.5" x14ac:dyDescent="0.35">
      <c r="K1998" s="4"/>
      <c r="AC1998" s="7">
        <v>2022</v>
      </c>
      <c r="AD1998" s="7">
        <v>3</v>
      </c>
      <c r="AE1998" s="7">
        <v>25</v>
      </c>
      <c r="AF1998" s="8">
        <v>0.16666666666666666</v>
      </c>
      <c r="AG1998" s="9">
        <v>-4</v>
      </c>
      <c r="AH1998" s="10">
        <f t="shared" si="46"/>
        <v>-4</v>
      </c>
    </row>
    <row r="1999" spans="11:34" ht="14.5" x14ac:dyDescent="0.35">
      <c r="K1999" s="4"/>
      <c r="AC1999" s="7">
        <v>2022</v>
      </c>
      <c r="AD1999" s="7">
        <v>3</v>
      </c>
      <c r="AE1999" s="7">
        <v>25</v>
      </c>
      <c r="AF1999" s="8">
        <v>0.20833333333333334</v>
      </c>
      <c r="AG1999" s="9">
        <v>-4.4000000000000004</v>
      </c>
      <c r="AH1999" s="10">
        <f t="shared" si="46"/>
        <v>-4</v>
      </c>
    </row>
    <row r="2000" spans="11:34" ht="14.5" x14ac:dyDescent="0.35">
      <c r="K2000" s="4"/>
      <c r="AC2000" s="7">
        <v>2022</v>
      </c>
      <c r="AD2000" s="7">
        <v>3</v>
      </c>
      <c r="AE2000" s="7">
        <v>25</v>
      </c>
      <c r="AF2000" s="8">
        <v>0.25</v>
      </c>
      <c r="AG2000" s="9">
        <v>-4.2</v>
      </c>
      <c r="AH2000" s="10">
        <f t="shared" si="46"/>
        <v>-4</v>
      </c>
    </row>
    <row r="2001" spans="11:34" ht="14.5" x14ac:dyDescent="0.35">
      <c r="K2001" s="4"/>
      <c r="AC2001" s="7">
        <v>2022</v>
      </c>
      <c r="AD2001" s="7">
        <v>3</v>
      </c>
      <c r="AE2001" s="7">
        <v>25</v>
      </c>
      <c r="AF2001" s="8">
        <v>0.29166666666666669</v>
      </c>
      <c r="AG2001" s="9">
        <v>-3.9</v>
      </c>
      <c r="AH2001" s="10">
        <f t="shared" si="46"/>
        <v>-4</v>
      </c>
    </row>
    <row r="2002" spans="11:34" ht="14.5" x14ac:dyDescent="0.35">
      <c r="K2002" s="4"/>
      <c r="AC2002" s="7">
        <v>2022</v>
      </c>
      <c r="AD2002" s="7">
        <v>3</v>
      </c>
      <c r="AE2002" s="7">
        <v>25</v>
      </c>
      <c r="AF2002" s="8">
        <v>0.33333333333333331</v>
      </c>
      <c r="AG2002" s="9">
        <v>-3</v>
      </c>
      <c r="AH2002" s="10">
        <f t="shared" si="46"/>
        <v>-3</v>
      </c>
    </row>
    <row r="2003" spans="11:34" ht="14.5" x14ac:dyDescent="0.35">
      <c r="K2003" s="4"/>
      <c r="AC2003" s="7">
        <v>2022</v>
      </c>
      <c r="AD2003" s="7">
        <v>3</v>
      </c>
      <c r="AE2003" s="7">
        <v>25</v>
      </c>
      <c r="AF2003" s="8">
        <v>0.375</v>
      </c>
      <c r="AG2003" s="9">
        <v>-0.8</v>
      </c>
      <c r="AH2003" s="10">
        <f t="shared" si="46"/>
        <v>-1</v>
      </c>
    </row>
    <row r="2004" spans="11:34" ht="14.5" x14ac:dyDescent="0.35">
      <c r="K2004" s="4"/>
      <c r="AC2004" s="7">
        <v>2022</v>
      </c>
      <c r="AD2004" s="7">
        <v>3</v>
      </c>
      <c r="AE2004" s="7">
        <v>25</v>
      </c>
      <c r="AF2004" s="8">
        <v>0.41666666666666669</v>
      </c>
      <c r="AG2004" s="9">
        <v>0.8</v>
      </c>
      <c r="AH2004" s="10">
        <f t="shared" si="46"/>
        <v>1</v>
      </c>
    </row>
    <row r="2005" spans="11:34" ht="14.5" x14ac:dyDescent="0.35">
      <c r="K2005" s="4"/>
      <c r="AC2005" s="7">
        <v>2022</v>
      </c>
      <c r="AD2005" s="7">
        <v>3</v>
      </c>
      <c r="AE2005" s="7">
        <v>25</v>
      </c>
      <c r="AF2005" s="8">
        <v>0.45833333333333331</v>
      </c>
      <c r="AG2005" s="9">
        <v>1.6</v>
      </c>
      <c r="AH2005" s="10">
        <f t="shared" si="46"/>
        <v>2</v>
      </c>
    </row>
    <row r="2006" spans="11:34" ht="14.5" x14ac:dyDescent="0.35">
      <c r="K2006" s="4"/>
      <c r="AC2006" s="7">
        <v>2022</v>
      </c>
      <c r="AD2006" s="7">
        <v>3</v>
      </c>
      <c r="AE2006" s="7">
        <v>25</v>
      </c>
      <c r="AF2006" s="8">
        <v>0.5</v>
      </c>
      <c r="AG2006" s="9">
        <v>3.4</v>
      </c>
      <c r="AH2006" s="10">
        <f t="shared" si="46"/>
        <v>3</v>
      </c>
    </row>
    <row r="2007" spans="11:34" ht="14.5" x14ac:dyDescent="0.35">
      <c r="K2007" s="4"/>
      <c r="AC2007" s="7">
        <v>2022</v>
      </c>
      <c r="AD2007" s="7">
        <v>3</v>
      </c>
      <c r="AE2007" s="7">
        <v>25</v>
      </c>
      <c r="AF2007" s="8">
        <v>0.54166666666666663</v>
      </c>
      <c r="AG2007" s="9">
        <v>3.8</v>
      </c>
      <c r="AH2007" s="10">
        <f t="shared" si="46"/>
        <v>4</v>
      </c>
    </row>
    <row r="2008" spans="11:34" ht="14.5" x14ac:dyDescent="0.35">
      <c r="K2008" s="4"/>
      <c r="AC2008" s="7">
        <v>2022</v>
      </c>
      <c r="AD2008" s="7">
        <v>3</v>
      </c>
      <c r="AE2008" s="7">
        <v>25</v>
      </c>
      <c r="AF2008" s="8">
        <v>0.58333333333333337</v>
      </c>
      <c r="AG2008" s="9">
        <v>6</v>
      </c>
      <c r="AH2008" s="10">
        <f t="shared" si="46"/>
        <v>6</v>
      </c>
    </row>
    <row r="2009" spans="11:34" ht="14.5" x14ac:dyDescent="0.35">
      <c r="K2009" s="4"/>
      <c r="AC2009" s="7">
        <v>2022</v>
      </c>
      <c r="AD2009" s="7">
        <v>3</v>
      </c>
      <c r="AE2009" s="7">
        <v>25</v>
      </c>
      <c r="AF2009" s="8">
        <v>0.625</v>
      </c>
      <c r="AG2009" s="9">
        <v>6.7</v>
      </c>
      <c r="AH2009" s="10">
        <f t="shared" si="46"/>
        <v>7</v>
      </c>
    </row>
    <row r="2010" spans="11:34" ht="14.5" x14ac:dyDescent="0.35">
      <c r="K2010" s="4"/>
      <c r="AC2010" s="7">
        <v>2022</v>
      </c>
      <c r="AD2010" s="7">
        <v>3</v>
      </c>
      <c r="AE2010" s="7">
        <v>25</v>
      </c>
      <c r="AF2010" s="8">
        <v>0.66666666666666663</v>
      </c>
      <c r="AG2010" s="9">
        <v>7.5</v>
      </c>
      <c r="AH2010" s="10">
        <f t="shared" si="46"/>
        <v>8</v>
      </c>
    </row>
    <row r="2011" spans="11:34" ht="14.5" x14ac:dyDescent="0.35">
      <c r="K2011" s="4"/>
      <c r="AC2011" s="7">
        <v>2022</v>
      </c>
      <c r="AD2011" s="7">
        <v>3</v>
      </c>
      <c r="AE2011" s="7">
        <v>25</v>
      </c>
      <c r="AF2011" s="8">
        <v>0.70833333333333337</v>
      </c>
      <c r="AG2011" s="9">
        <v>8.1</v>
      </c>
      <c r="AH2011" s="10">
        <f t="shared" si="46"/>
        <v>8</v>
      </c>
    </row>
    <row r="2012" spans="11:34" ht="14.5" x14ac:dyDescent="0.35">
      <c r="K2012" s="4"/>
      <c r="AC2012" s="7">
        <v>2022</v>
      </c>
      <c r="AD2012" s="7">
        <v>3</v>
      </c>
      <c r="AE2012" s="7">
        <v>25</v>
      </c>
      <c r="AF2012" s="8">
        <v>0.75</v>
      </c>
      <c r="AG2012" s="9">
        <v>6.8</v>
      </c>
      <c r="AH2012" s="10">
        <f t="shared" si="46"/>
        <v>7</v>
      </c>
    </row>
    <row r="2013" spans="11:34" ht="14.5" x14ac:dyDescent="0.35">
      <c r="K2013" s="4"/>
      <c r="AC2013" s="7">
        <v>2022</v>
      </c>
      <c r="AD2013" s="7">
        <v>3</v>
      </c>
      <c r="AE2013" s="7">
        <v>25</v>
      </c>
      <c r="AF2013" s="8">
        <v>0.79166666666666663</v>
      </c>
      <c r="AG2013" s="9">
        <v>5.8</v>
      </c>
      <c r="AH2013" s="10">
        <f t="shared" si="46"/>
        <v>6</v>
      </c>
    </row>
    <row r="2014" spans="11:34" ht="14.5" x14ac:dyDescent="0.35">
      <c r="K2014" s="4"/>
      <c r="AC2014" s="7">
        <v>2022</v>
      </c>
      <c r="AD2014" s="7">
        <v>3</v>
      </c>
      <c r="AE2014" s="7">
        <v>25</v>
      </c>
      <c r="AF2014" s="8">
        <v>0.83333333333333337</v>
      </c>
      <c r="AG2014" s="9">
        <v>4.4000000000000004</v>
      </c>
      <c r="AH2014" s="10">
        <f t="shared" si="46"/>
        <v>4</v>
      </c>
    </row>
    <row r="2015" spans="11:34" ht="14.5" x14ac:dyDescent="0.35">
      <c r="K2015" s="4"/>
      <c r="AC2015" s="7">
        <v>2022</v>
      </c>
      <c r="AD2015" s="7">
        <v>3</v>
      </c>
      <c r="AE2015" s="7">
        <v>25</v>
      </c>
      <c r="AF2015" s="8">
        <v>0.875</v>
      </c>
      <c r="AG2015" s="9">
        <v>2.7</v>
      </c>
      <c r="AH2015" s="10">
        <f t="shared" si="46"/>
        <v>3</v>
      </c>
    </row>
    <row r="2016" spans="11:34" ht="14.5" x14ac:dyDescent="0.35">
      <c r="K2016" s="4"/>
      <c r="AC2016" s="7">
        <v>2022</v>
      </c>
      <c r="AD2016" s="7">
        <v>3</v>
      </c>
      <c r="AE2016" s="7">
        <v>25</v>
      </c>
      <c r="AF2016" s="8">
        <v>0.91666666666666663</v>
      </c>
      <c r="AG2016" s="9">
        <v>1.1000000000000001</v>
      </c>
      <c r="AH2016" s="10">
        <f t="shared" si="46"/>
        <v>1</v>
      </c>
    </row>
    <row r="2017" spans="11:34" ht="14.5" x14ac:dyDescent="0.35">
      <c r="K2017" s="4"/>
      <c r="AC2017" s="7">
        <v>2022</v>
      </c>
      <c r="AD2017" s="7">
        <v>3</v>
      </c>
      <c r="AE2017" s="7">
        <v>25</v>
      </c>
      <c r="AF2017" s="8">
        <v>0.95833333333333337</v>
      </c>
      <c r="AG2017" s="9">
        <v>-0.5</v>
      </c>
      <c r="AH2017" s="10">
        <f t="shared" si="46"/>
        <v>-1</v>
      </c>
    </row>
    <row r="2018" spans="11:34" ht="14.5" x14ac:dyDescent="0.35">
      <c r="K2018" s="4"/>
      <c r="AC2018" s="7">
        <v>2022</v>
      </c>
      <c r="AD2018" s="7">
        <v>3</v>
      </c>
      <c r="AE2018" s="7">
        <v>26</v>
      </c>
      <c r="AF2018" s="8">
        <v>0</v>
      </c>
      <c r="AG2018" s="9">
        <v>-2.1</v>
      </c>
      <c r="AH2018" s="10">
        <f t="shared" si="46"/>
        <v>-2</v>
      </c>
    </row>
    <row r="2019" spans="11:34" ht="14.5" x14ac:dyDescent="0.35">
      <c r="K2019" s="4"/>
      <c r="AC2019" s="7">
        <v>2022</v>
      </c>
      <c r="AD2019" s="7">
        <v>3</v>
      </c>
      <c r="AE2019" s="7">
        <v>26</v>
      </c>
      <c r="AF2019" s="8">
        <v>4.1666666666666664E-2</v>
      </c>
      <c r="AG2019" s="9">
        <v>-2.6</v>
      </c>
      <c r="AH2019" s="10">
        <f t="shared" si="46"/>
        <v>-3</v>
      </c>
    </row>
    <row r="2020" spans="11:34" ht="14.5" x14ac:dyDescent="0.35">
      <c r="K2020" s="4"/>
      <c r="AC2020" s="7">
        <v>2022</v>
      </c>
      <c r="AD2020" s="7">
        <v>3</v>
      </c>
      <c r="AE2020" s="7">
        <v>26</v>
      </c>
      <c r="AF2020" s="8">
        <v>8.3333333333333329E-2</v>
      </c>
      <c r="AG2020" s="9">
        <v>-3.8</v>
      </c>
      <c r="AH2020" s="10">
        <f t="shared" si="46"/>
        <v>-4</v>
      </c>
    </row>
    <row r="2021" spans="11:34" ht="14.5" x14ac:dyDescent="0.35">
      <c r="K2021" s="4"/>
      <c r="AC2021" s="7">
        <v>2022</v>
      </c>
      <c r="AD2021" s="7">
        <v>3</v>
      </c>
      <c r="AE2021" s="7">
        <v>26</v>
      </c>
      <c r="AF2021" s="8">
        <v>0.125</v>
      </c>
      <c r="AG2021" s="9">
        <v>-4.7</v>
      </c>
      <c r="AH2021" s="10">
        <f t="shared" si="46"/>
        <v>-5</v>
      </c>
    </row>
    <row r="2022" spans="11:34" ht="14.5" x14ac:dyDescent="0.35">
      <c r="K2022" s="4"/>
      <c r="AC2022" s="7">
        <v>2022</v>
      </c>
      <c r="AD2022" s="7">
        <v>3</v>
      </c>
      <c r="AE2022" s="7">
        <v>26</v>
      </c>
      <c r="AF2022" s="8">
        <v>0.16666666666666666</v>
      </c>
      <c r="AG2022" s="9">
        <v>-5.2</v>
      </c>
      <c r="AH2022" s="10">
        <f t="shared" si="46"/>
        <v>-5</v>
      </c>
    </row>
    <row r="2023" spans="11:34" ht="14.5" x14ac:dyDescent="0.35">
      <c r="K2023" s="4"/>
      <c r="AC2023" s="7">
        <v>2022</v>
      </c>
      <c r="AD2023" s="7">
        <v>3</v>
      </c>
      <c r="AE2023" s="7">
        <v>26</v>
      </c>
      <c r="AF2023" s="8">
        <v>0.20833333333333334</v>
      </c>
      <c r="AG2023" s="9">
        <v>-5.4</v>
      </c>
      <c r="AH2023" s="10">
        <f t="shared" si="46"/>
        <v>-5</v>
      </c>
    </row>
    <row r="2024" spans="11:34" ht="14.5" x14ac:dyDescent="0.35">
      <c r="K2024" s="4"/>
      <c r="AC2024" s="7">
        <v>2022</v>
      </c>
      <c r="AD2024" s="7">
        <v>3</v>
      </c>
      <c r="AE2024" s="7">
        <v>26</v>
      </c>
      <c r="AF2024" s="8">
        <v>0.25</v>
      </c>
      <c r="AG2024" s="9">
        <v>-5.6</v>
      </c>
      <c r="AH2024" s="10">
        <f t="shared" si="46"/>
        <v>-6</v>
      </c>
    </row>
    <row r="2025" spans="11:34" ht="14.5" x14ac:dyDescent="0.35">
      <c r="K2025" s="4"/>
      <c r="AC2025" s="7">
        <v>2022</v>
      </c>
      <c r="AD2025" s="7">
        <v>3</v>
      </c>
      <c r="AE2025" s="7">
        <v>26</v>
      </c>
      <c r="AF2025" s="8">
        <v>0.29166666666666669</v>
      </c>
      <c r="AG2025" s="9">
        <v>-5.2</v>
      </c>
      <c r="AH2025" s="10">
        <f t="shared" si="46"/>
        <v>-5</v>
      </c>
    </row>
    <row r="2026" spans="11:34" ht="14.5" x14ac:dyDescent="0.35">
      <c r="K2026" s="4"/>
      <c r="AC2026" s="7">
        <v>2022</v>
      </c>
      <c r="AD2026" s="7">
        <v>3</v>
      </c>
      <c r="AE2026" s="7">
        <v>26</v>
      </c>
      <c r="AF2026" s="8">
        <v>0.33333333333333331</v>
      </c>
      <c r="AG2026" s="9">
        <v>-3.9</v>
      </c>
      <c r="AH2026" s="10">
        <f t="shared" si="46"/>
        <v>-4</v>
      </c>
    </row>
    <row r="2027" spans="11:34" ht="14.5" x14ac:dyDescent="0.35">
      <c r="K2027" s="4"/>
      <c r="AC2027" s="7">
        <v>2022</v>
      </c>
      <c r="AD2027" s="7">
        <v>3</v>
      </c>
      <c r="AE2027" s="7">
        <v>26</v>
      </c>
      <c r="AF2027" s="8">
        <v>0.375</v>
      </c>
      <c r="AG2027" s="9">
        <v>-3.1</v>
      </c>
      <c r="AH2027" s="10">
        <f t="shared" si="46"/>
        <v>-3</v>
      </c>
    </row>
    <row r="2028" spans="11:34" ht="14.5" x14ac:dyDescent="0.35">
      <c r="K2028" s="4"/>
      <c r="AC2028" s="7">
        <v>2022</v>
      </c>
      <c r="AD2028" s="7">
        <v>3</v>
      </c>
      <c r="AE2028" s="7">
        <v>26</v>
      </c>
      <c r="AF2028" s="8">
        <v>0.41666666666666669</v>
      </c>
      <c r="AG2028" s="9">
        <v>-0.9</v>
      </c>
      <c r="AH2028" s="10">
        <f t="shared" si="46"/>
        <v>-1</v>
      </c>
    </row>
    <row r="2029" spans="11:34" ht="14.5" x14ac:dyDescent="0.35">
      <c r="K2029" s="4"/>
      <c r="AC2029" s="7">
        <v>2022</v>
      </c>
      <c r="AD2029" s="7">
        <v>3</v>
      </c>
      <c r="AE2029" s="7">
        <v>26</v>
      </c>
      <c r="AF2029" s="8">
        <v>0.45833333333333331</v>
      </c>
      <c r="AG2029" s="9">
        <v>0.7</v>
      </c>
      <c r="AH2029" s="10">
        <f t="shared" si="46"/>
        <v>1</v>
      </c>
    </row>
    <row r="2030" spans="11:34" ht="14.5" x14ac:dyDescent="0.35">
      <c r="K2030" s="4"/>
      <c r="AC2030" s="7">
        <v>2022</v>
      </c>
      <c r="AD2030" s="7">
        <v>3</v>
      </c>
      <c r="AE2030" s="7">
        <v>26</v>
      </c>
      <c r="AF2030" s="8">
        <v>0.5</v>
      </c>
      <c r="AG2030" s="9">
        <v>1.8</v>
      </c>
      <c r="AH2030" s="10">
        <f t="shared" si="46"/>
        <v>2</v>
      </c>
    </row>
    <row r="2031" spans="11:34" ht="14.5" x14ac:dyDescent="0.35">
      <c r="K2031" s="4"/>
      <c r="AC2031" s="7">
        <v>2022</v>
      </c>
      <c r="AD2031" s="7">
        <v>3</v>
      </c>
      <c r="AE2031" s="7">
        <v>26</v>
      </c>
      <c r="AF2031" s="8">
        <v>0.54166666666666663</v>
      </c>
      <c r="AG2031" s="9">
        <v>2.5</v>
      </c>
      <c r="AH2031" s="10">
        <f t="shared" si="46"/>
        <v>3</v>
      </c>
    </row>
    <row r="2032" spans="11:34" ht="14.5" x14ac:dyDescent="0.35">
      <c r="K2032" s="4"/>
      <c r="AC2032" s="7">
        <v>2022</v>
      </c>
      <c r="AD2032" s="7">
        <v>3</v>
      </c>
      <c r="AE2032" s="7">
        <v>26</v>
      </c>
      <c r="AF2032" s="8">
        <v>0.58333333333333337</v>
      </c>
      <c r="AG2032" s="9">
        <v>3.5</v>
      </c>
      <c r="AH2032" s="10">
        <f t="shared" si="46"/>
        <v>4</v>
      </c>
    </row>
    <row r="2033" spans="11:34" ht="14.5" x14ac:dyDescent="0.35">
      <c r="K2033" s="4"/>
      <c r="AC2033" s="7">
        <v>2022</v>
      </c>
      <c r="AD2033" s="7">
        <v>3</v>
      </c>
      <c r="AE2033" s="7">
        <v>26</v>
      </c>
      <c r="AF2033" s="8">
        <v>0.625</v>
      </c>
      <c r="AG2033" s="9">
        <v>5.0999999999999996</v>
      </c>
      <c r="AH2033" s="10">
        <f t="shared" si="46"/>
        <v>5</v>
      </c>
    </row>
    <row r="2034" spans="11:34" ht="14.5" x14ac:dyDescent="0.35">
      <c r="K2034" s="4"/>
      <c r="AC2034" s="7">
        <v>2022</v>
      </c>
      <c r="AD2034" s="7">
        <v>3</v>
      </c>
      <c r="AE2034" s="7">
        <v>26</v>
      </c>
      <c r="AF2034" s="8">
        <v>0.66666666666666663</v>
      </c>
      <c r="AG2034" s="9">
        <v>5.6</v>
      </c>
      <c r="AH2034" s="10">
        <f t="shared" si="46"/>
        <v>6</v>
      </c>
    </row>
    <row r="2035" spans="11:34" ht="14.5" x14ac:dyDescent="0.35">
      <c r="K2035" s="4"/>
      <c r="AC2035" s="7">
        <v>2022</v>
      </c>
      <c r="AD2035" s="7">
        <v>3</v>
      </c>
      <c r="AE2035" s="7">
        <v>26</v>
      </c>
      <c r="AF2035" s="8">
        <v>0.70833333333333337</v>
      </c>
      <c r="AG2035" s="9">
        <v>5.3</v>
      </c>
      <c r="AH2035" s="10">
        <f t="shared" si="46"/>
        <v>5</v>
      </c>
    </row>
    <row r="2036" spans="11:34" ht="14.5" x14ac:dyDescent="0.35">
      <c r="K2036" s="4"/>
      <c r="AC2036" s="7">
        <v>2022</v>
      </c>
      <c r="AD2036" s="7">
        <v>3</v>
      </c>
      <c r="AE2036" s="7">
        <v>26</v>
      </c>
      <c r="AF2036" s="8">
        <v>0.75</v>
      </c>
      <c r="AG2036" s="9">
        <v>4.7</v>
      </c>
      <c r="AH2036" s="10">
        <f t="shared" si="46"/>
        <v>5</v>
      </c>
    </row>
    <row r="2037" spans="11:34" ht="14.5" x14ac:dyDescent="0.35">
      <c r="K2037" s="4"/>
      <c r="AC2037" s="7">
        <v>2022</v>
      </c>
      <c r="AD2037" s="7">
        <v>3</v>
      </c>
      <c r="AE2037" s="7">
        <v>26</v>
      </c>
      <c r="AF2037" s="8">
        <v>0.79166666666666663</v>
      </c>
      <c r="AG2037" s="9">
        <v>4.0999999999999996</v>
      </c>
      <c r="AH2037" s="10">
        <f t="shared" si="46"/>
        <v>4</v>
      </c>
    </row>
    <row r="2038" spans="11:34" ht="14.5" x14ac:dyDescent="0.35">
      <c r="K2038" s="4"/>
      <c r="AC2038" s="7">
        <v>2022</v>
      </c>
      <c r="AD2038" s="7">
        <v>3</v>
      </c>
      <c r="AE2038" s="7">
        <v>26</v>
      </c>
      <c r="AF2038" s="8">
        <v>0.83333333333333337</v>
      </c>
      <c r="AG2038" s="9">
        <v>2.9</v>
      </c>
      <c r="AH2038" s="10">
        <f t="shared" si="46"/>
        <v>3</v>
      </c>
    </row>
    <row r="2039" spans="11:34" ht="14.5" x14ac:dyDescent="0.35">
      <c r="K2039" s="4"/>
      <c r="AC2039" s="7">
        <v>2022</v>
      </c>
      <c r="AD2039" s="7">
        <v>3</v>
      </c>
      <c r="AE2039" s="7">
        <v>26</v>
      </c>
      <c r="AF2039" s="8">
        <v>0.875</v>
      </c>
      <c r="AG2039" s="9">
        <v>0.8</v>
      </c>
      <c r="AH2039" s="10">
        <f t="shared" si="46"/>
        <v>1</v>
      </c>
    </row>
    <row r="2040" spans="11:34" ht="14.5" x14ac:dyDescent="0.35">
      <c r="K2040" s="4"/>
      <c r="AC2040" s="7">
        <v>2022</v>
      </c>
      <c r="AD2040" s="7">
        <v>3</v>
      </c>
      <c r="AE2040" s="7">
        <v>26</v>
      </c>
      <c r="AF2040" s="8">
        <v>0.91666666666666663</v>
      </c>
      <c r="AG2040" s="9">
        <v>0</v>
      </c>
      <c r="AH2040" s="10">
        <f t="shared" si="46"/>
        <v>0</v>
      </c>
    </row>
    <row r="2041" spans="11:34" ht="14.5" x14ac:dyDescent="0.35">
      <c r="K2041" s="4"/>
      <c r="AC2041" s="7">
        <v>2022</v>
      </c>
      <c r="AD2041" s="7">
        <v>3</v>
      </c>
      <c r="AE2041" s="7">
        <v>26</v>
      </c>
      <c r="AF2041" s="8">
        <v>0.95833333333333337</v>
      </c>
      <c r="AG2041" s="9">
        <v>-1</v>
      </c>
      <c r="AH2041" s="10">
        <f t="shared" si="46"/>
        <v>-1</v>
      </c>
    </row>
    <row r="2042" spans="11:34" ht="14.5" x14ac:dyDescent="0.35">
      <c r="K2042" s="4"/>
      <c r="AC2042" s="7">
        <v>2022</v>
      </c>
      <c r="AD2042" s="7">
        <v>3</v>
      </c>
      <c r="AE2042" s="7">
        <v>27</v>
      </c>
      <c r="AF2042" s="8">
        <v>0</v>
      </c>
      <c r="AG2042" s="9">
        <v>-2.2000000000000002</v>
      </c>
      <c r="AH2042" s="10">
        <f t="shared" si="46"/>
        <v>-2</v>
      </c>
    </row>
    <row r="2043" spans="11:34" ht="14.5" x14ac:dyDescent="0.35">
      <c r="K2043" s="4"/>
      <c r="AC2043" s="7">
        <v>2022</v>
      </c>
      <c r="AD2043" s="7">
        <v>3</v>
      </c>
      <c r="AE2043" s="7">
        <v>27</v>
      </c>
      <c r="AF2043" s="8">
        <v>4.1666666666666664E-2</v>
      </c>
      <c r="AG2043" s="9">
        <v>-3.7</v>
      </c>
      <c r="AH2043" s="10">
        <f t="shared" si="46"/>
        <v>-4</v>
      </c>
    </row>
    <row r="2044" spans="11:34" ht="14.5" x14ac:dyDescent="0.35">
      <c r="K2044" s="4"/>
      <c r="AC2044" s="7">
        <v>2022</v>
      </c>
      <c r="AD2044" s="7">
        <v>3</v>
      </c>
      <c r="AE2044" s="7">
        <v>27</v>
      </c>
      <c r="AF2044" s="8">
        <v>8.3333333333333329E-2</v>
      </c>
      <c r="AG2044" s="9">
        <v>-4.8</v>
      </c>
      <c r="AH2044" s="10">
        <f t="shared" si="46"/>
        <v>-5</v>
      </c>
    </row>
    <row r="2045" spans="11:34" ht="14.5" x14ac:dyDescent="0.35">
      <c r="K2045" s="4"/>
      <c r="AC2045" s="7">
        <v>2022</v>
      </c>
      <c r="AD2045" s="7">
        <v>3</v>
      </c>
      <c r="AE2045" s="7">
        <v>27</v>
      </c>
      <c r="AF2045" s="8">
        <v>0.125</v>
      </c>
      <c r="AG2045" s="9">
        <v>-2.6</v>
      </c>
      <c r="AH2045" s="10">
        <f t="shared" si="46"/>
        <v>-3</v>
      </c>
    </row>
    <row r="2046" spans="11:34" ht="14.5" x14ac:dyDescent="0.35">
      <c r="K2046" s="4"/>
      <c r="AC2046" s="7">
        <v>2022</v>
      </c>
      <c r="AD2046" s="7">
        <v>3</v>
      </c>
      <c r="AE2046" s="7">
        <v>27</v>
      </c>
      <c r="AF2046" s="8">
        <v>0.16666666666666666</v>
      </c>
      <c r="AG2046" s="9">
        <v>-4.4000000000000004</v>
      </c>
      <c r="AH2046" s="10">
        <f t="shared" si="46"/>
        <v>-4</v>
      </c>
    </row>
    <row r="2047" spans="11:34" ht="14.5" x14ac:dyDescent="0.35">
      <c r="K2047" s="4"/>
      <c r="AC2047" s="7">
        <v>2022</v>
      </c>
      <c r="AD2047" s="7">
        <v>3</v>
      </c>
      <c r="AE2047" s="7">
        <v>27</v>
      </c>
      <c r="AF2047" s="8">
        <v>0.20833333333333334</v>
      </c>
      <c r="AG2047" s="9">
        <v>-3.2</v>
      </c>
      <c r="AH2047" s="10">
        <f t="shared" si="46"/>
        <v>-3</v>
      </c>
    </row>
    <row r="2048" spans="11:34" ht="14.5" x14ac:dyDescent="0.35">
      <c r="K2048" s="4"/>
      <c r="AC2048" s="7">
        <v>2022</v>
      </c>
      <c r="AD2048" s="7">
        <v>3</v>
      </c>
      <c r="AE2048" s="7">
        <v>27</v>
      </c>
      <c r="AF2048" s="8">
        <v>0.25</v>
      </c>
      <c r="AG2048" s="9">
        <v>-3.3</v>
      </c>
      <c r="AH2048" s="10">
        <f t="shared" si="46"/>
        <v>-3</v>
      </c>
    </row>
    <row r="2049" spans="11:34" ht="14.5" x14ac:dyDescent="0.35">
      <c r="K2049" s="4"/>
      <c r="AC2049" s="7">
        <v>2022</v>
      </c>
      <c r="AD2049" s="7">
        <v>3</v>
      </c>
      <c r="AE2049" s="7">
        <v>27</v>
      </c>
      <c r="AF2049" s="8">
        <v>0.29166666666666669</v>
      </c>
      <c r="AG2049" s="9">
        <v>-3.2</v>
      </c>
      <c r="AH2049" s="10">
        <f t="shared" si="46"/>
        <v>-3</v>
      </c>
    </row>
    <row r="2050" spans="11:34" ht="14.5" x14ac:dyDescent="0.35">
      <c r="K2050" s="4"/>
      <c r="AC2050" s="7">
        <v>2022</v>
      </c>
      <c r="AD2050" s="7">
        <v>3</v>
      </c>
      <c r="AE2050" s="7">
        <v>27</v>
      </c>
      <c r="AF2050" s="8">
        <v>0.33333333333333331</v>
      </c>
      <c r="AG2050" s="9">
        <v>0.1</v>
      </c>
      <c r="AH2050" s="10">
        <f t="shared" si="46"/>
        <v>0</v>
      </c>
    </row>
    <row r="2051" spans="11:34" ht="14.5" x14ac:dyDescent="0.35">
      <c r="K2051" s="4"/>
      <c r="AC2051" s="7">
        <v>2022</v>
      </c>
      <c r="AD2051" s="7">
        <v>3</v>
      </c>
      <c r="AE2051" s="7">
        <v>27</v>
      </c>
      <c r="AF2051" s="8">
        <v>0.375</v>
      </c>
      <c r="AG2051" s="9">
        <v>3.5</v>
      </c>
      <c r="AH2051" s="10">
        <f t="shared" si="46"/>
        <v>4</v>
      </c>
    </row>
    <row r="2052" spans="11:34" ht="14.5" x14ac:dyDescent="0.35">
      <c r="K2052" s="4"/>
      <c r="AC2052" s="7">
        <v>2022</v>
      </c>
      <c r="AD2052" s="7">
        <v>3</v>
      </c>
      <c r="AE2052" s="7">
        <v>27</v>
      </c>
      <c r="AF2052" s="8">
        <v>0.41666666666666669</v>
      </c>
      <c r="AG2052" s="9">
        <v>6.1</v>
      </c>
      <c r="AH2052" s="10">
        <f t="shared" si="46"/>
        <v>6</v>
      </c>
    </row>
    <row r="2053" spans="11:34" ht="14.5" x14ac:dyDescent="0.35">
      <c r="K2053" s="4"/>
      <c r="AC2053" s="7">
        <v>2022</v>
      </c>
      <c r="AD2053" s="7">
        <v>3</v>
      </c>
      <c r="AE2053" s="7">
        <v>27</v>
      </c>
      <c r="AF2053" s="8">
        <v>0.45833333333333331</v>
      </c>
      <c r="AG2053" s="9">
        <v>8</v>
      </c>
      <c r="AH2053" s="10">
        <f t="shared" si="46"/>
        <v>8</v>
      </c>
    </row>
    <row r="2054" spans="11:34" ht="14.5" x14ac:dyDescent="0.35">
      <c r="K2054" s="4"/>
      <c r="AC2054" s="7">
        <v>2022</v>
      </c>
      <c r="AD2054" s="7">
        <v>3</v>
      </c>
      <c r="AE2054" s="7">
        <v>27</v>
      </c>
      <c r="AF2054" s="8">
        <v>0.5</v>
      </c>
      <c r="AG2054" s="9">
        <v>9.1</v>
      </c>
      <c r="AH2054" s="10">
        <f t="shared" si="46"/>
        <v>9</v>
      </c>
    </row>
    <row r="2055" spans="11:34" ht="14.5" x14ac:dyDescent="0.35">
      <c r="K2055" s="4"/>
      <c r="AC2055" s="7">
        <v>2022</v>
      </c>
      <c r="AD2055" s="7">
        <v>3</v>
      </c>
      <c r="AE2055" s="7">
        <v>27</v>
      </c>
      <c r="AF2055" s="8">
        <v>0.54166666666666663</v>
      </c>
      <c r="AG2055" s="9">
        <v>10.5</v>
      </c>
      <c r="AH2055" s="10">
        <f t="shared" si="46"/>
        <v>11</v>
      </c>
    </row>
    <row r="2056" spans="11:34" ht="14.5" x14ac:dyDescent="0.35">
      <c r="K2056" s="4"/>
      <c r="AC2056" s="7">
        <v>2022</v>
      </c>
      <c r="AD2056" s="7">
        <v>3</v>
      </c>
      <c r="AE2056" s="7">
        <v>27</v>
      </c>
      <c r="AF2056" s="8">
        <v>0.58333333333333337</v>
      </c>
      <c r="AG2056" s="9">
        <v>11.3</v>
      </c>
      <c r="AH2056" s="10">
        <f t="shared" si="46"/>
        <v>11</v>
      </c>
    </row>
    <row r="2057" spans="11:34" ht="14.5" x14ac:dyDescent="0.35">
      <c r="K2057" s="4"/>
      <c r="AC2057" s="7">
        <v>2022</v>
      </c>
      <c r="AD2057" s="7">
        <v>3</v>
      </c>
      <c r="AE2057" s="7">
        <v>27</v>
      </c>
      <c r="AF2057" s="8">
        <v>0.625</v>
      </c>
      <c r="AG2057" s="9">
        <v>13.8</v>
      </c>
      <c r="AH2057" s="10">
        <f t="shared" si="46"/>
        <v>14</v>
      </c>
    </row>
    <row r="2058" spans="11:34" ht="14.5" x14ac:dyDescent="0.35">
      <c r="K2058" s="4"/>
      <c r="AC2058" s="7">
        <v>2022</v>
      </c>
      <c r="AD2058" s="7">
        <v>3</v>
      </c>
      <c r="AE2058" s="7">
        <v>27</v>
      </c>
      <c r="AF2058" s="8">
        <v>0.66666666666666663</v>
      </c>
      <c r="AG2058" s="9">
        <v>13.8</v>
      </c>
      <c r="AH2058" s="10">
        <f t="shared" si="46"/>
        <v>14</v>
      </c>
    </row>
    <row r="2059" spans="11:34" ht="14.5" x14ac:dyDescent="0.35">
      <c r="K2059" s="4"/>
      <c r="AC2059" s="7">
        <v>2022</v>
      </c>
      <c r="AD2059" s="7">
        <v>3</v>
      </c>
      <c r="AE2059" s="7">
        <v>27</v>
      </c>
      <c r="AF2059" s="8">
        <v>0.70833333333333337</v>
      </c>
      <c r="AG2059" s="9">
        <v>14.1</v>
      </c>
      <c r="AH2059" s="10">
        <f t="shared" ref="AH2059:AH2122" si="47">ROUND(AG2059,0)</f>
        <v>14</v>
      </c>
    </row>
    <row r="2060" spans="11:34" ht="14.5" x14ac:dyDescent="0.35">
      <c r="K2060" s="4"/>
      <c r="AC2060" s="7">
        <v>2022</v>
      </c>
      <c r="AD2060" s="7">
        <v>3</v>
      </c>
      <c r="AE2060" s="7">
        <v>27</v>
      </c>
      <c r="AF2060" s="8">
        <v>0.75</v>
      </c>
      <c r="AG2060" s="9">
        <v>13.1</v>
      </c>
      <c r="AH2060" s="10">
        <f t="shared" si="47"/>
        <v>13</v>
      </c>
    </row>
    <row r="2061" spans="11:34" ht="14.5" x14ac:dyDescent="0.35">
      <c r="K2061" s="4"/>
      <c r="AC2061" s="7">
        <v>2022</v>
      </c>
      <c r="AD2061" s="7">
        <v>3</v>
      </c>
      <c r="AE2061" s="7">
        <v>27</v>
      </c>
      <c r="AF2061" s="8">
        <v>0.79166666666666663</v>
      </c>
      <c r="AG2061" s="9">
        <v>9.5</v>
      </c>
      <c r="AH2061" s="10">
        <f t="shared" si="47"/>
        <v>10</v>
      </c>
    </row>
    <row r="2062" spans="11:34" ht="14.5" x14ac:dyDescent="0.35">
      <c r="K2062" s="4"/>
      <c r="AC2062" s="7">
        <v>2022</v>
      </c>
      <c r="AD2062" s="7">
        <v>3</v>
      </c>
      <c r="AE2062" s="7">
        <v>27</v>
      </c>
      <c r="AF2062" s="8">
        <v>0.83333333333333337</v>
      </c>
      <c r="AG2062" s="9">
        <v>7.5</v>
      </c>
      <c r="AH2062" s="10">
        <f t="shared" si="47"/>
        <v>8</v>
      </c>
    </row>
    <row r="2063" spans="11:34" ht="14.5" x14ac:dyDescent="0.35">
      <c r="K2063" s="4"/>
      <c r="AC2063" s="7">
        <v>2022</v>
      </c>
      <c r="AD2063" s="7">
        <v>3</v>
      </c>
      <c r="AE2063" s="7">
        <v>27</v>
      </c>
      <c r="AF2063" s="8">
        <v>0.875</v>
      </c>
      <c r="AG2063" s="9">
        <v>3.5</v>
      </c>
      <c r="AH2063" s="10">
        <f t="shared" si="47"/>
        <v>4</v>
      </c>
    </row>
    <row r="2064" spans="11:34" ht="14.5" x14ac:dyDescent="0.35">
      <c r="K2064" s="4"/>
      <c r="AC2064" s="7">
        <v>2022</v>
      </c>
      <c r="AD2064" s="7">
        <v>3</v>
      </c>
      <c r="AE2064" s="7">
        <v>27</v>
      </c>
      <c r="AF2064" s="8">
        <v>0.91666666666666663</v>
      </c>
      <c r="AG2064" s="9">
        <v>1.4</v>
      </c>
      <c r="AH2064" s="10">
        <f t="shared" si="47"/>
        <v>1</v>
      </c>
    </row>
    <row r="2065" spans="11:34" ht="14.5" x14ac:dyDescent="0.35">
      <c r="K2065" s="4"/>
      <c r="AC2065" s="7">
        <v>2022</v>
      </c>
      <c r="AD2065" s="7">
        <v>3</v>
      </c>
      <c r="AE2065" s="7">
        <v>27</v>
      </c>
      <c r="AF2065" s="8">
        <v>0.95833333333333337</v>
      </c>
      <c r="AG2065" s="9">
        <v>0.3</v>
      </c>
      <c r="AH2065" s="10">
        <f t="shared" si="47"/>
        <v>0</v>
      </c>
    </row>
    <row r="2066" spans="11:34" ht="14.5" x14ac:dyDescent="0.35">
      <c r="K2066" s="4"/>
      <c r="AC2066" s="7">
        <v>2022</v>
      </c>
      <c r="AD2066" s="7">
        <v>3</v>
      </c>
      <c r="AE2066" s="7">
        <v>28</v>
      </c>
      <c r="AF2066" s="8">
        <v>0</v>
      </c>
      <c r="AG2066" s="9">
        <v>-0.7</v>
      </c>
      <c r="AH2066" s="10">
        <f t="shared" si="47"/>
        <v>-1</v>
      </c>
    </row>
    <row r="2067" spans="11:34" ht="14.5" x14ac:dyDescent="0.35">
      <c r="K2067" s="4"/>
      <c r="AC2067" s="7">
        <v>2022</v>
      </c>
      <c r="AD2067" s="7">
        <v>3</v>
      </c>
      <c r="AE2067" s="7">
        <v>28</v>
      </c>
      <c r="AF2067" s="8">
        <v>4.1666666666666664E-2</v>
      </c>
      <c r="AG2067" s="9">
        <v>-1.3</v>
      </c>
      <c r="AH2067" s="10">
        <f t="shared" si="47"/>
        <v>-1</v>
      </c>
    </row>
    <row r="2068" spans="11:34" ht="14.5" x14ac:dyDescent="0.35">
      <c r="K2068" s="4"/>
      <c r="AC2068" s="7">
        <v>2022</v>
      </c>
      <c r="AD2068" s="7">
        <v>3</v>
      </c>
      <c r="AE2068" s="7">
        <v>28</v>
      </c>
      <c r="AF2068" s="8">
        <v>8.3333333333333329E-2</v>
      </c>
      <c r="AG2068" s="9">
        <v>-1.1000000000000001</v>
      </c>
      <c r="AH2068" s="10">
        <f t="shared" si="47"/>
        <v>-1</v>
      </c>
    </row>
    <row r="2069" spans="11:34" ht="14.5" x14ac:dyDescent="0.35">
      <c r="K2069" s="4"/>
      <c r="AC2069" s="7">
        <v>2022</v>
      </c>
      <c r="AD2069" s="7">
        <v>3</v>
      </c>
      <c r="AE2069" s="7">
        <v>28</v>
      </c>
      <c r="AF2069" s="8">
        <v>0.125</v>
      </c>
      <c r="AG2069" s="9">
        <v>-1.2</v>
      </c>
      <c r="AH2069" s="10">
        <f t="shared" si="47"/>
        <v>-1</v>
      </c>
    </row>
    <row r="2070" spans="11:34" ht="14.5" x14ac:dyDescent="0.35">
      <c r="K2070" s="4"/>
      <c r="AC2070" s="7">
        <v>2022</v>
      </c>
      <c r="AD2070" s="7">
        <v>3</v>
      </c>
      <c r="AE2070" s="7">
        <v>28</v>
      </c>
      <c r="AF2070" s="8">
        <v>0.16666666666666666</v>
      </c>
      <c r="AG2070" s="9">
        <v>-1.6</v>
      </c>
      <c r="AH2070" s="10">
        <f t="shared" si="47"/>
        <v>-2</v>
      </c>
    </row>
    <row r="2071" spans="11:34" ht="14.5" x14ac:dyDescent="0.35">
      <c r="K2071" s="4"/>
      <c r="AC2071" s="7">
        <v>2022</v>
      </c>
      <c r="AD2071" s="7">
        <v>3</v>
      </c>
      <c r="AE2071" s="7">
        <v>28</v>
      </c>
      <c r="AF2071" s="8">
        <v>0.20833333333333334</v>
      </c>
      <c r="AG2071" s="9">
        <v>-2</v>
      </c>
      <c r="AH2071" s="10">
        <f t="shared" si="47"/>
        <v>-2</v>
      </c>
    </row>
    <row r="2072" spans="11:34" ht="14.5" x14ac:dyDescent="0.35">
      <c r="K2072" s="4"/>
      <c r="AC2072" s="7">
        <v>2022</v>
      </c>
      <c r="AD2072" s="7">
        <v>3</v>
      </c>
      <c r="AE2072" s="7">
        <v>28</v>
      </c>
      <c r="AF2072" s="8">
        <v>0.25</v>
      </c>
      <c r="AG2072" s="9">
        <v>-2.5</v>
      </c>
      <c r="AH2072" s="10">
        <f t="shared" si="47"/>
        <v>-3</v>
      </c>
    </row>
    <row r="2073" spans="11:34" ht="14.5" x14ac:dyDescent="0.35">
      <c r="K2073" s="4"/>
      <c r="AC2073" s="7">
        <v>2022</v>
      </c>
      <c r="AD2073" s="7">
        <v>3</v>
      </c>
      <c r="AE2073" s="7">
        <v>28</v>
      </c>
      <c r="AF2073" s="8">
        <v>0.29166666666666669</v>
      </c>
      <c r="AG2073" s="9">
        <v>-2.6</v>
      </c>
      <c r="AH2073" s="10">
        <f t="shared" si="47"/>
        <v>-3</v>
      </c>
    </row>
    <row r="2074" spans="11:34" ht="14.5" x14ac:dyDescent="0.35">
      <c r="K2074" s="4"/>
      <c r="AC2074" s="7">
        <v>2022</v>
      </c>
      <c r="AD2074" s="7">
        <v>3</v>
      </c>
      <c r="AE2074" s="7">
        <v>28</v>
      </c>
      <c r="AF2074" s="8">
        <v>0.33333333333333331</v>
      </c>
      <c r="AG2074" s="9">
        <v>-1.8</v>
      </c>
      <c r="AH2074" s="10">
        <f t="shared" si="47"/>
        <v>-2</v>
      </c>
    </row>
    <row r="2075" spans="11:34" ht="14.5" x14ac:dyDescent="0.35">
      <c r="K2075" s="4"/>
      <c r="AC2075" s="7">
        <v>2022</v>
      </c>
      <c r="AD2075" s="7">
        <v>3</v>
      </c>
      <c r="AE2075" s="7">
        <v>28</v>
      </c>
      <c r="AF2075" s="8">
        <v>0.375</v>
      </c>
      <c r="AG2075" s="9">
        <v>-1.1000000000000001</v>
      </c>
      <c r="AH2075" s="10">
        <f t="shared" si="47"/>
        <v>-1</v>
      </c>
    </row>
    <row r="2076" spans="11:34" ht="14.5" x14ac:dyDescent="0.35">
      <c r="K2076" s="4"/>
      <c r="AC2076" s="7">
        <v>2022</v>
      </c>
      <c r="AD2076" s="7">
        <v>3</v>
      </c>
      <c r="AE2076" s="7">
        <v>28</v>
      </c>
      <c r="AF2076" s="8">
        <v>0.41666666666666669</v>
      </c>
      <c r="AG2076" s="9">
        <v>-0.4</v>
      </c>
      <c r="AH2076" s="10">
        <f t="shared" si="47"/>
        <v>0</v>
      </c>
    </row>
    <row r="2077" spans="11:34" ht="14.5" x14ac:dyDescent="0.35">
      <c r="K2077" s="4"/>
      <c r="AC2077" s="7">
        <v>2022</v>
      </c>
      <c r="AD2077" s="7">
        <v>3</v>
      </c>
      <c r="AE2077" s="7">
        <v>28</v>
      </c>
      <c r="AF2077" s="8">
        <v>0.45833333333333331</v>
      </c>
      <c r="AG2077" s="9">
        <v>0.1</v>
      </c>
      <c r="AH2077" s="10">
        <f t="shared" si="47"/>
        <v>0</v>
      </c>
    </row>
    <row r="2078" spans="11:34" ht="14.5" x14ac:dyDescent="0.35">
      <c r="K2078" s="4"/>
      <c r="AC2078" s="7">
        <v>2022</v>
      </c>
      <c r="AD2078" s="7">
        <v>3</v>
      </c>
      <c r="AE2078" s="7">
        <v>28</v>
      </c>
      <c r="AF2078" s="8">
        <v>0.5</v>
      </c>
      <c r="AG2078" s="9">
        <v>-0.2</v>
      </c>
      <c r="AH2078" s="10">
        <f t="shared" si="47"/>
        <v>0</v>
      </c>
    </row>
    <row r="2079" spans="11:34" ht="14.5" x14ac:dyDescent="0.35">
      <c r="K2079" s="4"/>
      <c r="AC2079" s="7">
        <v>2022</v>
      </c>
      <c r="AD2079" s="7">
        <v>3</v>
      </c>
      <c r="AE2079" s="7">
        <v>28</v>
      </c>
      <c r="AF2079" s="8">
        <v>0.54166666666666663</v>
      </c>
      <c r="AG2079" s="9">
        <v>0</v>
      </c>
      <c r="AH2079" s="10">
        <f t="shared" si="47"/>
        <v>0</v>
      </c>
    </row>
    <row r="2080" spans="11:34" ht="14.5" x14ac:dyDescent="0.35">
      <c r="K2080" s="4"/>
      <c r="AC2080" s="7">
        <v>2022</v>
      </c>
      <c r="AD2080" s="7">
        <v>3</v>
      </c>
      <c r="AE2080" s="7">
        <v>28</v>
      </c>
      <c r="AF2080" s="8">
        <v>0.58333333333333337</v>
      </c>
      <c r="AG2080" s="9">
        <v>0.8</v>
      </c>
      <c r="AH2080" s="10">
        <f t="shared" si="47"/>
        <v>1</v>
      </c>
    </row>
    <row r="2081" spans="11:34" ht="14.5" x14ac:dyDescent="0.35">
      <c r="K2081" s="4"/>
      <c r="AC2081" s="7">
        <v>2022</v>
      </c>
      <c r="AD2081" s="7">
        <v>3</v>
      </c>
      <c r="AE2081" s="7">
        <v>28</v>
      </c>
      <c r="AF2081" s="8">
        <v>0.625</v>
      </c>
      <c r="AG2081" s="9">
        <v>2</v>
      </c>
      <c r="AH2081" s="10">
        <f t="shared" si="47"/>
        <v>2</v>
      </c>
    </row>
    <row r="2082" spans="11:34" ht="14.5" x14ac:dyDescent="0.35">
      <c r="K2082" s="4"/>
      <c r="AC2082" s="7">
        <v>2022</v>
      </c>
      <c r="AD2082" s="7">
        <v>3</v>
      </c>
      <c r="AE2082" s="7">
        <v>28</v>
      </c>
      <c r="AF2082" s="8">
        <v>0.66666666666666663</v>
      </c>
      <c r="AG2082" s="9">
        <v>2.6</v>
      </c>
      <c r="AH2082" s="10">
        <f t="shared" si="47"/>
        <v>3</v>
      </c>
    </row>
    <row r="2083" spans="11:34" ht="14.5" x14ac:dyDescent="0.35">
      <c r="K2083" s="4"/>
      <c r="AC2083" s="7">
        <v>2022</v>
      </c>
      <c r="AD2083" s="7">
        <v>3</v>
      </c>
      <c r="AE2083" s="7">
        <v>28</v>
      </c>
      <c r="AF2083" s="8">
        <v>0.70833333333333337</v>
      </c>
      <c r="AG2083" s="9">
        <v>2.2999999999999998</v>
      </c>
      <c r="AH2083" s="10">
        <f t="shared" si="47"/>
        <v>2</v>
      </c>
    </row>
    <row r="2084" spans="11:34" ht="14.5" x14ac:dyDescent="0.35">
      <c r="K2084" s="4"/>
      <c r="AC2084" s="7">
        <v>2022</v>
      </c>
      <c r="AD2084" s="7">
        <v>3</v>
      </c>
      <c r="AE2084" s="7">
        <v>28</v>
      </c>
      <c r="AF2084" s="8">
        <v>0.75</v>
      </c>
      <c r="AG2084" s="9">
        <v>0.9</v>
      </c>
      <c r="AH2084" s="10">
        <f t="shared" si="47"/>
        <v>1</v>
      </c>
    </row>
    <row r="2085" spans="11:34" ht="14.5" x14ac:dyDescent="0.35">
      <c r="K2085" s="4"/>
      <c r="AC2085" s="7">
        <v>2022</v>
      </c>
      <c r="AD2085" s="7">
        <v>3</v>
      </c>
      <c r="AE2085" s="7">
        <v>28</v>
      </c>
      <c r="AF2085" s="8">
        <v>0.79166666666666663</v>
      </c>
      <c r="AG2085" s="9">
        <v>0.2</v>
      </c>
      <c r="AH2085" s="10">
        <f t="shared" si="47"/>
        <v>0</v>
      </c>
    </row>
    <row r="2086" spans="11:34" ht="14.5" x14ac:dyDescent="0.35">
      <c r="K2086" s="4"/>
      <c r="AC2086" s="7">
        <v>2022</v>
      </c>
      <c r="AD2086" s="7">
        <v>3</v>
      </c>
      <c r="AE2086" s="7">
        <v>28</v>
      </c>
      <c r="AF2086" s="8">
        <v>0.83333333333333337</v>
      </c>
      <c r="AG2086" s="9">
        <v>-1.3</v>
      </c>
      <c r="AH2086" s="10">
        <f t="shared" si="47"/>
        <v>-1</v>
      </c>
    </row>
    <row r="2087" spans="11:34" ht="14.5" x14ac:dyDescent="0.35">
      <c r="K2087" s="4"/>
      <c r="AC2087" s="7">
        <v>2022</v>
      </c>
      <c r="AD2087" s="7">
        <v>3</v>
      </c>
      <c r="AE2087" s="7">
        <v>28</v>
      </c>
      <c r="AF2087" s="8">
        <v>0.875</v>
      </c>
      <c r="AG2087" s="9">
        <v>-1.4</v>
      </c>
      <c r="AH2087" s="10">
        <f t="shared" si="47"/>
        <v>-1</v>
      </c>
    </row>
    <row r="2088" spans="11:34" ht="14.5" x14ac:dyDescent="0.35">
      <c r="K2088" s="4"/>
      <c r="AC2088" s="7">
        <v>2022</v>
      </c>
      <c r="AD2088" s="7">
        <v>3</v>
      </c>
      <c r="AE2088" s="7">
        <v>28</v>
      </c>
      <c r="AF2088" s="8">
        <v>0.91666666666666663</v>
      </c>
      <c r="AG2088" s="9">
        <v>-1.5</v>
      </c>
      <c r="AH2088" s="10">
        <f t="shared" si="47"/>
        <v>-2</v>
      </c>
    </row>
    <row r="2089" spans="11:34" ht="14.5" x14ac:dyDescent="0.35">
      <c r="K2089" s="4"/>
      <c r="AC2089" s="7">
        <v>2022</v>
      </c>
      <c r="AD2089" s="7">
        <v>3</v>
      </c>
      <c r="AE2089" s="7">
        <v>28</v>
      </c>
      <c r="AF2089" s="8">
        <v>0.95833333333333337</v>
      </c>
      <c r="AG2089" s="9">
        <v>-1.8</v>
      </c>
      <c r="AH2089" s="10">
        <f t="shared" si="47"/>
        <v>-2</v>
      </c>
    </row>
    <row r="2090" spans="11:34" ht="14.5" x14ac:dyDescent="0.35">
      <c r="K2090" s="4"/>
      <c r="AC2090" s="7">
        <v>2022</v>
      </c>
      <c r="AD2090" s="7">
        <v>3</v>
      </c>
      <c r="AE2090" s="7">
        <v>29</v>
      </c>
      <c r="AF2090" s="8">
        <v>0</v>
      </c>
      <c r="AG2090" s="9">
        <v>-2.5</v>
      </c>
      <c r="AH2090" s="10">
        <f t="shared" si="47"/>
        <v>-3</v>
      </c>
    </row>
    <row r="2091" spans="11:34" ht="14.5" x14ac:dyDescent="0.35">
      <c r="K2091" s="4"/>
      <c r="AC2091" s="7">
        <v>2022</v>
      </c>
      <c r="AD2091" s="7">
        <v>3</v>
      </c>
      <c r="AE2091" s="7">
        <v>29</v>
      </c>
      <c r="AF2091" s="8">
        <v>4.1666666666666664E-2</v>
      </c>
      <c r="AG2091" s="9">
        <v>-1.5</v>
      </c>
      <c r="AH2091" s="10">
        <f t="shared" si="47"/>
        <v>-2</v>
      </c>
    </row>
    <row r="2092" spans="11:34" ht="14.5" x14ac:dyDescent="0.35">
      <c r="K2092" s="4"/>
      <c r="AC2092" s="7">
        <v>2022</v>
      </c>
      <c r="AD2092" s="7">
        <v>3</v>
      </c>
      <c r="AE2092" s="7">
        <v>29</v>
      </c>
      <c r="AF2092" s="8">
        <v>8.3333333333333329E-2</v>
      </c>
      <c r="AG2092" s="9">
        <v>-2.7</v>
      </c>
      <c r="AH2092" s="10">
        <f t="shared" si="47"/>
        <v>-3</v>
      </c>
    </row>
    <row r="2093" spans="11:34" ht="14.5" x14ac:dyDescent="0.35">
      <c r="K2093" s="4"/>
      <c r="AC2093" s="7">
        <v>2022</v>
      </c>
      <c r="AD2093" s="7">
        <v>3</v>
      </c>
      <c r="AE2093" s="7">
        <v>29</v>
      </c>
      <c r="AF2093" s="8">
        <v>0.125</v>
      </c>
      <c r="AG2093" s="9">
        <v>-5</v>
      </c>
      <c r="AH2093" s="10">
        <f t="shared" si="47"/>
        <v>-5</v>
      </c>
    </row>
    <row r="2094" spans="11:34" ht="14.5" x14ac:dyDescent="0.35">
      <c r="K2094" s="4"/>
      <c r="AC2094" s="7">
        <v>2022</v>
      </c>
      <c r="AD2094" s="7">
        <v>3</v>
      </c>
      <c r="AE2094" s="7">
        <v>29</v>
      </c>
      <c r="AF2094" s="8">
        <v>0.16666666666666666</v>
      </c>
      <c r="AG2094" s="9">
        <v>-4.8</v>
      </c>
      <c r="AH2094" s="10">
        <f t="shared" si="47"/>
        <v>-5</v>
      </c>
    </row>
    <row r="2095" spans="11:34" ht="14.5" x14ac:dyDescent="0.35">
      <c r="K2095" s="4"/>
      <c r="AC2095" s="7">
        <v>2022</v>
      </c>
      <c r="AD2095" s="7">
        <v>3</v>
      </c>
      <c r="AE2095" s="7">
        <v>29</v>
      </c>
      <c r="AF2095" s="8">
        <v>0.20833333333333334</v>
      </c>
      <c r="AG2095" s="9">
        <v>-5.9</v>
      </c>
      <c r="AH2095" s="10">
        <f t="shared" si="47"/>
        <v>-6</v>
      </c>
    </row>
    <row r="2096" spans="11:34" ht="14.5" x14ac:dyDescent="0.35">
      <c r="K2096" s="4"/>
      <c r="AC2096" s="7">
        <v>2022</v>
      </c>
      <c r="AD2096" s="7">
        <v>3</v>
      </c>
      <c r="AE2096" s="7">
        <v>29</v>
      </c>
      <c r="AF2096" s="8">
        <v>0.25</v>
      </c>
      <c r="AG2096" s="9">
        <v>-6.6</v>
      </c>
      <c r="AH2096" s="10">
        <f t="shared" si="47"/>
        <v>-7</v>
      </c>
    </row>
    <row r="2097" spans="11:34" ht="14.5" x14ac:dyDescent="0.35">
      <c r="K2097" s="4"/>
      <c r="AC2097" s="7">
        <v>2022</v>
      </c>
      <c r="AD2097" s="7">
        <v>3</v>
      </c>
      <c r="AE2097" s="7">
        <v>29</v>
      </c>
      <c r="AF2097" s="8">
        <v>0.29166666666666669</v>
      </c>
      <c r="AG2097" s="9">
        <v>-6.2</v>
      </c>
      <c r="AH2097" s="10">
        <f t="shared" si="47"/>
        <v>-6</v>
      </c>
    </row>
    <row r="2098" spans="11:34" ht="14.5" x14ac:dyDescent="0.35">
      <c r="K2098" s="4"/>
      <c r="AC2098" s="7">
        <v>2022</v>
      </c>
      <c r="AD2098" s="7">
        <v>3</v>
      </c>
      <c r="AE2098" s="7">
        <v>29</v>
      </c>
      <c r="AF2098" s="8">
        <v>0.33333333333333331</v>
      </c>
      <c r="AG2098" s="9">
        <v>-2.8</v>
      </c>
      <c r="AH2098" s="10">
        <f t="shared" si="47"/>
        <v>-3</v>
      </c>
    </row>
    <row r="2099" spans="11:34" ht="14.5" x14ac:dyDescent="0.35">
      <c r="K2099" s="4"/>
      <c r="AC2099" s="7">
        <v>2022</v>
      </c>
      <c r="AD2099" s="7">
        <v>3</v>
      </c>
      <c r="AE2099" s="7">
        <v>29</v>
      </c>
      <c r="AF2099" s="8">
        <v>0.375</v>
      </c>
      <c r="AG2099" s="9">
        <v>0.4</v>
      </c>
      <c r="AH2099" s="10">
        <f t="shared" si="47"/>
        <v>0</v>
      </c>
    </row>
    <row r="2100" spans="11:34" ht="14.5" x14ac:dyDescent="0.35">
      <c r="K2100" s="4"/>
      <c r="AC2100" s="7">
        <v>2022</v>
      </c>
      <c r="AD2100" s="7">
        <v>3</v>
      </c>
      <c r="AE2100" s="7">
        <v>29</v>
      </c>
      <c r="AF2100" s="8">
        <v>0.41666666666666669</v>
      </c>
      <c r="AG2100" s="9">
        <v>2</v>
      </c>
      <c r="AH2100" s="10">
        <f t="shared" si="47"/>
        <v>2</v>
      </c>
    </row>
    <row r="2101" spans="11:34" ht="14.5" x14ac:dyDescent="0.35">
      <c r="K2101" s="4"/>
      <c r="AC2101" s="7">
        <v>2022</v>
      </c>
      <c r="AD2101" s="7">
        <v>3</v>
      </c>
      <c r="AE2101" s="7">
        <v>29</v>
      </c>
      <c r="AF2101" s="8">
        <v>0.45833333333333331</v>
      </c>
      <c r="AG2101" s="9">
        <v>3.4</v>
      </c>
      <c r="AH2101" s="10">
        <f t="shared" si="47"/>
        <v>3</v>
      </c>
    </row>
    <row r="2102" spans="11:34" ht="14.5" x14ac:dyDescent="0.35">
      <c r="K2102" s="4"/>
      <c r="AC2102" s="7">
        <v>2022</v>
      </c>
      <c r="AD2102" s="7">
        <v>3</v>
      </c>
      <c r="AE2102" s="7">
        <v>29</v>
      </c>
      <c r="AF2102" s="8">
        <v>0.5</v>
      </c>
      <c r="AG2102" s="9">
        <v>5</v>
      </c>
      <c r="AH2102" s="10">
        <f t="shared" si="47"/>
        <v>5</v>
      </c>
    </row>
    <row r="2103" spans="11:34" ht="14.5" x14ac:dyDescent="0.35">
      <c r="K2103" s="4"/>
      <c r="AC2103" s="7">
        <v>2022</v>
      </c>
      <c r="AD2103" s="7">
        <v>3</v>
      </c>
      <c r="AE2103" s="7">
        <v>29</v>
      </c>
      <c r="AF2103" s="8">
        <v>0.54166666666666663</v>
      </c>
      <c r="AG2103" s="9">
        <v>6</v>
      </c>
      <c r="AH2103" s="10">
        <f t="shared" si="47"/>
        <v>6</v>
      </c>
    </row>
    <row r="2104" spans="11:34" ht="14.5" x14ac:dyDescent="0.35">
      <c r="K2104" s="4"/>
      <c r="AC2104" s="7">
        <v>2022</v>
      </c>
      <c r="AD2104" s="7">
        <v>3</v>
      </c>
      <c r="AE2104" s="7">
        <v>29</v>
      </c>
      <c r="AF2104" s="8">
        <v>0.58333333333333337</v>
      </c>
      <c r="AG2104" s="9">
        <v>7.8</v>
      </c>
      <c r="AH2104" s="10">
        <f t="shared" si="47"/>
        <v>8</v>
      </c>
    </row>
    <row r="2105" spans="11:34" ht="14.5" x14ac:dyDescent="0.35">
      <c r="K2105" s="4"/>
      <c r="AC2105" s="7">
        <v>2022</v>
      </c>
      <c r="AD2105" s="7">
        <v>3</v>
      </c>
      <c r="AE2105" s="7">
        <v>29</v>
      </c>
      <c r="AF2105" s="8">
        <v>0.625</v>
      </c>
      <c r="AG2105" s="9">
        <v>8.6</v>
      </c>
      <c r="AH2105" s="10">
        <f t="shared" si="47"/>
        <v>9</v>
      </c>
    </row>
    <row r="2106" spans="11:34" ht="14.5" x14ac:dyDescent="0.35">
      <c r="K2106" s="4"/>
      <c r="AC2106" s="7">
        <v>2022</v>
      </c>
      <c r="AD2106" s="7">
        <v>3</v>
      </c>
      <c r="AE2106" s="7">
        <v>29</v>
      </c>
      <c r="AF2106" s="8">
        <v>0.66666666666666663</v>
      </c>
      <c r="AG2106" s="9">
        <v>9.3000000000000007</v>
      </c>
      <c r="AH2106" s="10">
        <f t="shared" si="47"/>
        <v>9</v>
      </c>
    </row>
    <row r="2107" spans="11:34" ht="14.5" x14ac:dyDescent="0.35">
      <c r="K2107" s="4"/>
      <c r="AC2107" s="7">
        <v>2022</v>
      </c>
      <c r="AD2107" s="7">
        <v>3</v>
      </c>
      <c r="AE2107" s="7">
        <v>29</v>
      </c>
      <c r="AF2107" s="8">
        <v>0.70833333333333337</v>
      </c>
      <c r="AG2107" s="9">
        <v>9.4</v>
      </c>
      <c r="AH2107" s="10">
        <f t="shared" si="47"/>
        <v>9</v>
      </c>
    </row>
    <row r="2108" spans="11:34" ht="14.5" x14ac:dyDescent="0.35">
      <c r="K2108" s="4"/>
      <c r="AC2108" s="7">
        <v>2022</v>
      </c>
      <c r="AD2108" s="7">
        <v>3</v>
      </c>
      <c r="AE2108" s="7">
        <v>29</v>
      </c>
      <c r="AF2108" s="8">
        <v>0.75</v>
      </c>
      <c r="AG2108" s="9">
        <v>8.6</v>
      </c>
      <c r="AH2108" s="10">
        <f t="shared" si="47"/>
        <v>9</v>
      </c>
    </row>
    <row r="2109" spans="11:34" ht="14.5" x14ac:dyDescent="0.35">
      <c r="K2109" s="4"/>
      <c r="AC2109" s="7">
        <v>2022</v>
      </c>
      <c r="AD2109" s="7">
        <v>3</v>
      </c>
      <c r="AE2109" s="7">
        <v>29</v>
      </c>
      <c r="AF2109" s="8">
        <v>0.79166666666666663</v>
      </c>
      <c r="AG2109" s="9">
        <v>5.9</v>
      </c>
      <c r="AH2109" s="10">
        <f t="shared" si="47"/>
        <v>6</v>
      </c>
    </row>
    <row r="2110" spans="11:34" ht="14.5" x14ac:dyDescent="0.35">
      <c r="K2110" s="4"/>
      <c r="AC2110" s="7">
        <v>2022</v>
      </c>
      <c r="AD2110" s="7">
        <v>3</v>
      </c>
      <c r="AE2110" s="7">
        <v>29</v>
      </c>
      <c r="AF2110" s="8">
        <v>0.83333333333333337</v>
      </c>
      <c r="AG2110" s="9">
        <v>3.9</v>
      </c>
      <c r="AH2110" s="10">
        <f t="shared" si="47"/>
        <v>4</v>
      </c>
    </row>
    <row r="2111" spans="11:34" ht="14.5" x14ac:dyDescent="0.35">
      <c r="K2111" s="4"/>
      <c r="AC2111" s="7">
        <v>2022</v>
      </c>
      <c r="AD2111" s="7">
        <v>3</v>
      </c>
      <c r="AE2111" s="7">
        <v>29</v>
      </c>
      <c r="AF2111" s="8">
        <v>0.875</v>
      </c>
      <c r="AG2111" s="9">
        <v>4.4000000000000004</v>
      </c>
      <c r="AH2111" s="10">
        <f t="shared" si="47"/>
        <v>4</v>
      </c>
    </row>
    <row r="2112" spans="11:34" ht="14.5" x14ac:dyDescent="0.35">
      <c r="K2112" s="4"/>
      <c r="AC2112" s="7">
        <v>2022</v>
      </c>
      <c r="AD2112" s="7">
        <v>3</v>
      </c>
      <c r="AE2112" s="7">
        <v>29</v>
      </c>
      <c r="AF2112" s="8">
        <v>0.91666666666666663</v>
      </c>
      <c r="AG2112" s="9">
        <v>3.1</v>
      </c>
      <c r="AH2112" s="10">
        <f t="shared" si="47"/>
        <v>3</v>
      </c>
    </row>
    <row r="2113" spans="11:34" ht="14.5" x14ac:dyDescent="0.35">
      <c r="K2113" s="4"/>
      <c r="AC2113" s="7">
        <v>2022</v>
      </c>
      <c r="AD2113" s="7">
        <v>3</v>
      </c>
      <c r="AE2113" s="7">
        <v>29</v>
      </c>
      <c r="AF2113" s="8">
        <v>0.95833333333333337</v>
      </c>
      <c r="AG2113" s="9">
        <v>1.6</v>
      </c>
      <c r="AH2113" s="10">
        <f t="shared" si="47"/>
        <v>2</v>
      </c>
    </row>
    <row r="2114" spans="11:34" ht="14.5" x14ac:dyDescent="0.35">
      <c r="K2114" s="4"/>
      <c r="AC2114" s="7">
        <v>2022</v>
      </c>
      <c r="AD2114" s="7">
        <v>3</v>
      </c>
      <c r="AE2114" s="7">
        <v>30</v>
      </c>
      <c r="AF2114" s="8">
        <v>0</v>
      </c>
      <c r="AG2114" s="9">
        <v>0</v>
      </c>
      <c r="AH2114" s="10">
        <f t="shared" si="47"/>
        <v>0</v>
      </c>
    </row>
    <row r="2115" spans="11:34" ht="14.5" x14ac:dyDescent="0.35">
      <c r="K2115" s="4"/>
      <c r="AC2115" s="7">
        <v>2022</v>
      </c>
      <c r="AD2115" s="7">
        <v>3</v>
      </c>
      <c r="AE2115" s="7">
        <v>30</v>
      </c>
      <c r="AF2115" s="8">
        <v>4.1666666666666664E-2</v>
      </c>
      <c r="AG2115" s="9">
        <v>-1</v>
      </c>
      <c r="AH2115" s="10">
        <f t="shared" si="47"/>
        <v>-1</v>
      </c>
    </row>
    <row r="2116" spans="11:34" ht="14.5" x14ac:dyDescent="0.35">
      <c r="K2116" s="4"/>
      <c r="AC2116" s="7">
        <v>2022</v>
      </c>
      <c r="AD2116" s="7">
        <v>3</v>
      </c>
      <c r="AE2116" s="7">
        <v>30</v>
      </c>
      <c r="AF2116" s="8">
        <v>8.3333333333333329E-2</v>
      </c>
      <c r="AG2116" s="9">
        <v>-1.5</v>
      </c>
      <c r="AH2116" s="10">
        <f t="shared" si="47"/>
        <v>-2</v>
      </c>
    </row>
    <row r="2117" spans="11:34" ht="14.5" x14ac:dyDescent="0.35">
      <c r="K2117" s="4"/>
      <c r="AC2117" s="7">
        <v>2022</v>
      </c>
      <c r="AD2117" s="7">
        <v>3</v>
      </c>
      <c r="AE2117" s="7">
        <v>30</v>
      </c>
      <c r="AF2117" s="8">
        <v>0.125</v>
      </c>
      <c r="AG2117" s="9">
        <v>-2.2999999999999998</v>
      </c>
      <c r="AH2117" s="10">
        <f t="shared" si="47"/>
        <v>-2</v>
      </c>
    </row>
    <row r="2118" spans="11:34" ht="14.5" x14ac:dyDescent="0.35">
      <c r="K2118" s="4"/>
      <c r="AC2118" s="7">
        <v>2022</v>
      </c>
      <c r="AD2118" s="7">
        <v>3</v>
      </c>
      <c r="AE2118" s="7">
        <v>30</v>
      </c>
      <c r="AF2118" s="8">
        <v>0.16666666666666666</v>
      </c>
      <c r="AG2118" s="9">
        <v>-1.7</v>
      </c>
      <c r="AH2118" s="10">
        <f t="shared" si="47"/>
        <v>-2</v>
      </c>
    </row>
    <row r="2119" spans="11:34" ht="14.5" x14ac:dyDescent="0.35">
      <c r="K2119" s="4"/>
      <c r="AC2119" s="7">
        <v>2022</v>
      </c>
      <c r="AD2119" s="7">
        <v>3</v>
      </c>
      <c r="AE2119" s="7">
        <v>30</v>
      </c>
      <c r="AF2119" s="8">
        <v>0.20833333333333334</v>
      </c>
      <c r="AG2119" s="9">
        <v>-1.3</v>
      </c>
      <c r="AH2119" s="10">
        <f t="shared" si="47"/>
        <v>-1</v>
      </c>
    </row>
    <row r="2120" spans="11:34" ht="14.5" x14ac:dyDescent="0.35">
      <c r="K2120" s="4"/>
      <c r="AC2120" s="7">
        <v>2022</v>
      </c>
      <c r="AD2120" s="7">
        <v>3</v>
      </c>
      <c r="AE2120" s="7">
        <v>30</v>
      </c>
      <c r="AF2120" s="8">
        <v>0.25</v>
      </c>
      <c r="AG2120" s="9">
        <v>-3.3</v>
      </c>
      <c r="AH2120" s="10">
        <f t="shared" si="47"/>
        <v>-3</v>
      </c>
    </row>
    <row r="2121" spans="11:34" ht="14.5" x14ac:dyDescent="0.35">
      <c r="K2121" s="4"/>
      <c r="AC2121" s="7">
        <v>2022</v>
      </c>
      <c r="AD2121" s="7">
        <v>3</v>
      </c>
      <c r="AE2121" s="7">
        <v>30</v>
      </c>
      <c r="AF2121" s="8">
        <v>0.29166666666666669</v>
      </c>
      <c r="AG2121" s="9">
        <v>-2.8</v>
      </c>
      <c r="AH2121" s="10">
        <f t="shared" si="47"/>
        <v>-3</v>
      </c>
    </row>
    <row r="2122" spans="11:34" ht="14.5" x14ac:dyDescent="0.35">
      <c r="K2122" s="4"/>
      <c r="AC2122" s="7">
        <v>2022</v>
      </c>
      <c r="AD2122" s="7">
        <v>3</v>
      </c>
      <c r="AE2122" s="7">
        <v>30</v>
      </c>
      <c r="AF2122" s="8">
        <v>0.33333333333333331</v>
      </c>
      <c r="AG2122" s="9">
        <v>2.2000000000000002</v>
      </c>
      <c r="AH2122" s="10">
        <f t="shared" si="47"/>
        <v>2</v>
      </c>
    </row>
    <row r="2123" spans="11:34" ht="14.5" x14ac:dyDescent="0.35">
      <c r="K2123" s="4"/>
      <c r="AC2123" s="7">
        <v>2022</v>
      </c>
      <c r="AD2123" s="7">
        <v>3</v>
      </c>
      <c r="AE2123" s="7">
        <v>30</v>
      </c>
      <c r="AF2123" s="8">
        <v>0.375</v>
      </c>
      <c r="AG2123" s="9">
        <v>6</v>
      </c>
      <c r="AH2123" s="10">
        <f t="shared" ref="AH2123:AH2186" si="48">ROUND(AG2123,0)</f>
        <v>6</v>
      </c>
    </row>
    <row r="2124" spans="11:34" ht="14.5" x14ac:dyDescent="0.35">
      <c r="K2124" s="4"/>
      <c r="AC2124" s="7">
        <v>2022</v>
      </c>
      <c r="AD2124" s="7">
        <v>3</v>
      </c>
      <c r="AE2124" s="7">
        <v>30</v>
      </c>
      <c r="AF2124" s="8">
        <v>0.41666666666666669</v>
      </c>
      <c r="AG2124" s="9">
        <v>10.8</v>
      </c>
      <c r="AH2124" s="10">
        <f t="shared" si="48"/>
        <v>11</v>
      </c>
    </row>
    <row r="2125" spans="11:34" ht="14.5" x14ac:dyDescent="0.35">
      <c r="K2125" s="4"/>
      <c r="AC2125" s="7">
        <v>2022</v>
      </c>
      <c r="AD2125" s="7">
        <v>3</v>
      </c>
      <c r="AE2125" s="7">
        <v>30</v>
      </c>
      <c r="AF2125" s="8">
        <v>0.45833333333333331</v>
      </c>
      <c r="AG2125" s="9">
        <v>15.1</v>
      </c>
      <c r="AH2125" s="10">
        <f t="shared" si="48"/>
        <v>15</v>
      </c>
    </row>
    <row r="2126" spans="11:34" ht="14.5" x14ac:dyDescent="0.35">
      <c r="K2126" s="4"/>
      <c r="AC2126" s="7">
        <v>2022</v>
      </c>
      <c r="AD2126" s="7">
        <v>3</v>
      </c>
      <c r="AE2126" s="7">
        <v>30</v>
      </c>
      <c r="AF2126" s="8">
        <v>0.5</v>
      </c>
      <c r="AG2126" s="9">
        <v>15.7</v>
      </c>
      <c r="AH2126" s="10">
        <f t="shared" si="48"/>
        <v>16</v>
      </c>
    </row>
    <row r="2127" spans="11:34" ht="14.5" x14ac:dyDescent="0.35">
      <c r="K2127" s="4"/>
      <c r="AC2127" s="7">
        <v>2022</v>
      </c>
      <c r="AD2127" s="7">
        <v>3</v>
      </c>
      <c r="AE2127" s="7">
        <v>30</v>
      </c>
      <c r="AF2127" s="8">
        <v>0.54166666666666663</v>
      </c>
      <c r="AG2127" s="9">
        <v>15.2</v>
      </c>
      <c r="AH2127" s="10">
        <f t="shared" si="48"/>
        <v>15</v>
      </c>
    </row>
    <row r="2128" spans="11:34" ht="14.5" x14ac:dyDescent="0.35">
      <c r="K2128" s="4"/>
      <c r="AC2128" s="7">
        <v>2022</v>
      </c>
      <c r="AD2128" s="7">
        <v>3</v>
      </c>
      <c r="AE2128" s="7">
        <v>30</v>
      </c>
      <c r="AF2128" s="8">
        <v>0.58333333333333337</v>
      </c>
      <c r="AG2128" s="9">
        <v>15.9</v>
      </c>
      <c r="AH2128" s="10">
        <f t="shared" si="48"/>
        <v>16</v>
      </c>
    </row>
    <row r="2129" spans="11:34" ht="14.5" x14ac:dyDescent="0.35">
      <c r="K2129" s="4"/>
      <c r="AC2129" s="7">
        <v>2022</v>
      </c>
      <c r="AD2129" s="7">
        <v>3</v>
      </c>
      <c r="AE2129" s="7">
        <v>30</v>
      </c>
      <c r="AF2129" s="8">
        <v>0.625</v>
      </c>
      <c r="AG2129" s="9">
        <v>16.3</v>
      </c>
      <c r="AH2129" s="10">
        <f t="shared" si="48"/>
        <v>16</v>
      </c>
    </row>
    <row r="2130" spans="11:34" ht="14.5" x14ac:dyDescent="0.35">
      <c r="K2130" s="4"/>
      <c r="AC2130" s="7">
        <v>2022</v>
      </c>
      <c r="AD2130" s="7">
        <v>3</v>
      </c>
      <c r="AE2130" s="7">
        <v>30</v>
      </c>
      <c r="AF2130" s="8">
        <v>0.66666666666666663</v>
      </c>
      <c r="AG2130" s="9">
        <v>14.3</v>
      </c>
      <c r="AH2130" s="10">
        <f t="shared" si="48"/>
        <v>14</v>
      </c>
    </row>
    <row r="2131" spans="11:34" ht="14.5" x14ac:dyDescent="0.35">
      <c r="K2131" s="4"/>
      <c r="AC2131" s="7">
        <v>2022</v>
      </c>
      <c r="AD2131" s="7">
        <v>3</v>
      </c>
      <c r="AE2131" s="7">
        <v>30</v>
      </c>
      <c r="AF2131" s="8">
        <v>0.70833333333333337</v>
      </c>
      <c r="AG2131" s="9">
        <v>13.4</v>
      </c>
      <c r="AH2131" s="10">
        <f t="shared" si="48"/>
        <v>13</v>
      </c>
    </row>
    <row r="2132" spans="11:34" ht="14.5" x14ac:dyDescent="0.35">
      <c r="K2132" s="4"/>
      <c r="AC2132" s="7">
        <v>2022</v>
      </c>
      <c r="AD2132" s="7">
        <v>3</v>
      </c>
      <c r="AE2132" s="7">
        <v>30</v>
      </c>
      <c r="AF2132" s="8">
        <v>0.75</v>
      </c>
      <c r="AG2132" s="9">
        <v>12.4</v>
      </c>
      <c r="AH2132" s="10">
        <f t="shared" si="48"/>
        <v>12</v>
      </c>
    </row>
    <row r="2133" spans="11:34" ht="14.5" x14ac:dyDescent="0.35">
      <c r="K2133" s="4"/>
      <c r="AC2133" s="7">
        <v>2022</v>
      </c>
      <c r="AD2133" s="7">
        <v>3</v>
      </c>
      <c r="AE2133" s="7">
        <v>30</v>
      </c>
      <c r="AF2133" s="8">
        <v>0.79166666666666663</v>
      </c>
      <c r="AG2133" s="9">
        <v>8.3000000000000007</v>
      </c>
      <c r="AH2133" s="10">
        <f t="shared" si="48"/>
        <v>8</v>
      </c>
    </row>
    <row r="2134" spans="11:34" ht="14.5" x14ac:dyDescent="0.35">
      <c r="K2134" s="4"/>
      <c r="AC2134" s="7">
        <v>2022</v>
      </c>
      <c r="AD2134" s="7">
        <v>3</v>
      </c>
      <c r="AE2134" s="7">
        <v>30</v>
      </c>
      <c r="AF2134" s="8">
        <v>0.83333333333333337</v>
      </c>
      <c r="AG2134" s="9">
        <v>7.7</v>
      </c>
      <c r="AH2134" s="10">
        <f t="shared" si="48"/>
        <v>8</v>
      </c>
    </row>
    <row r="2135" spans="11:34" ht="14.5" x14ac:dyDescent="0.35">
      <c r="K2135" s="4"/>
      <c r="AC2135" s="7">
        <v>2022</v>
      </c>
      <c r="AD2135" s="7">
        <v>3</v>
      </c>
      <c r="AE2135" s="7">
        <v>30</v>
      </c>
      <c r="AF2135" s="8">
        <v>0.875</v>
      </c>
      <c r="AG2135" s="9">
        <v>7.1</v>
      </c>
      <c r="AH2135" s="10">
        <f t="shared" si="48"/>
        <v>7</v>
      </c>
    </row>
    <row r="2136" spans="11:34" ht="14.5" x14ac:dyDescent="0.35">
      <c r="K2136" s="4"/>
      <c r="AC2136" s="7">
        <v>2022</v>
      </c>
      <c r="AD2136" s="7">
        <v>3</v>
      </c>
      <c r="AE2136" s="7">
        <v>30</v>
      </c>
      <c r="AF2136" s="8">
        <v>0.91666666666666663</v>
      </c>
      <c r="AG2136" s="9">
        <v>1.8</v>
      </c>
      <c r="AH2136" s="10">
        <f t="shared" si="48"/>
        <v>2</v>
      </c>
    </row>
    <row r="2137" spans="11:34" ht="14.5" x14ac:dyDescent="0.35">
      <c r="K2137" s="4"/>
      <c r="AC2137" s="7">
        <v>2022</v>
      </c>
      <c r="AD2137" s="7">
        <v>3</v>
      </c>
      <c r="AE2137" s="7">
        <v>30</v>
      </c>
      <c r="AF2137" s="8">
        <v>0.95833333333333337</v>
      </c>
      <c r="AG2137" s="9">
        <v>0.6</v>
      </c>
      <c r="AH2137" s="10">
        <f t="shared" si="48"/>
        <v>1</v>
      </c>
    </row>
    <row r="2138" spans="11:34" ht="14.5" x14ac:dyDescent="0.35">
      <c r="K2138" s="4"/>
      <c r="AC2138" s="7">
        <v>2022</v>
      </c>
      <c r="AD2138" s="7">
        <v>3</v>
      </c>
      <c r="AE2138" s="7">
        <v>31</v>
      </c>
      <c r="AF2138" s="8">
        <v>0</v>
      </c>
      <c r="AG2138" s="9">
        <v>0.5</v>
      </c>
      <c r="AH2138" s="10">
        <f t="shared" si="48"/>
        <v>1</v>
      </c>
    </row>
    <row r="2139" spans="11:34" ht="14.5" x14ac:dyDescent="0.35">
      <c r="K2139" s="4"/>
      <c r="AC2139" s="7">
        <v>2022</v>
      </c>
      <c r="AD2139" s="7">
        <v>3</v>
      </c>
      <c r="AE2139" s="7">
        <v>31</v>
      </c>
      <c r="AF2139" s="8">
        <v>4.1666666666666664E-2</v>
      </c>
      <c r="AG2139" s="9">
        <v>0.7</v>
      </c>
      <c r="AH2139" s="10">
        <f t="shared" si="48"/>
        <v>1</v>
      </c>
    </row>
    <row r="2140" spans="11:34" ht="14.5" x14ac:dyDescent="0.35">
      <c r="K2140" s="4"/>
      <c r="AC2140" s="7">
        <v>2022</v>
      </c>
      <c r="AD2140" s="7">
        <v>3</v>
      </c>
      <c r="AE2140" s="7">
        <v>31</v>
      </c>
      <c r="AF2140" s="8">
        <v>8.3333333333333329E-2</v>
      </c>
      <c r="AG2140" s="9">
        <v>1</v>
      </c>
      <c r="AH2140" s="10">
        <f t="shared" si="48"/>
        <v>1</v>
      </c>
    </row>
    <row r="2141" spans="11:34" ht="14.5" x14ac:dyDescent="0.35">
      <c r="K2141" s="4"/>
      <c r="AC2141" s="7">
        <v>2022</v>
      </c>
      <c r="AD2141" s="7">
        <v>3</v>
      </c>
      <c r="AE2141" s="7">
        <v>31</v>
      </c>
      <c r="AF2141" s="8">
        <v>0.125</v>
      </c>
      <c r="AG2141" s="9">
        <v>0.7</v>
      </c>
      <c r="AH2141" s="10">
        <f t="shared" si="48"/>
        <v>1</v>
      </c>
    </row>
    <row r="2142" spans="11:34" ht="14.5" x14ac:dyDescent="0.35">
      <c r="K2142" s="4"/>
      <c r="AC2142" s="7">
        <v>2022</v>
      </c>
      <c r="AD2142" s="7">
        <v>3</v>
      </c>
      <c r="AE2142" s="7">
        <v>31</v>
      </c>
      <c r="AF2142" s="8">
        <v>0.16666666666666666</v>
      </c>
      <c r="AG2142" s="9">
        <v>0.7</v>
      </c>
      <c r="AH2142" s="10">
        <f t="shared" si="48"/>
        <v>1</v>
      </c>
    </row>
    <row r="2143" spans="11:34" ht="14.5" x14ac:dyDescent="0.35">
      <c r="K2143" s="4"/>
      <c r="AC2143" s="7">
        <v>2022</v>
      </c>
      <c r="AD2143" s="7">
        <v>3</v>
      </c>
      <c r="AE2143" s="7">
        <v>31</v>
      </c>
      <c r="AF2143" s="8">
        <v>0.20833333333333334</v>
      </c>
      <c r="AG2143" s="9">
        <v>0.7</v>
      </c>
      <c r="AH2143" s="10">
        <f t="shared" si="48"/>
        <v>1</v>
      </c>
    </row>
    <row r="2144" spans="11:34" ht="14.5" x14ac:dyDescent="0.35">
      <c r="K2144" s="4"/>
      <c r="AC2144" s="7">
        <v>2022</v>
      </c>
      <c r="AD2144" s="7">
        <v>3</v>
      </c>
      <c r="AE2144" s="7">
        <v>31</v>
      </c>
      <c r="AF2144" s="8">
        <v>0.25</v>
      </c>
      <c r="AG2144" s="9">
        <v>-0.2</v>
      </c>
      <c r="AH2144" s="10">
        <f t="shared" si="48"/>
        <v>0</v>
      </c>
    </row>
    <row r="2145" spans="11:34" ht="14.5" x14ac:dyDescent="0.35">
      <c r="K2145" s="4"/>
      <c r="AC2145" s="7">
        <v>2022</v>
      </c>
      <c r="AD2145" s="7">
        <v>3</v>
      </c>
      <c r="AE2145" s="7">
        <v>31</v>
      </c>
      <c r="AF2145" s="8">
        <v>0.29166666666666669</v>
      </c>
      <c r="AG2145" s="9">
        <v>0.1</v>
      </c>
      <c r="AH2145" s="10">
        <f t="shared" si="48"/>
        <v>0</v>
      </c>
    </row>
    <row r="2146" spans="11:34" ht="14.5" x14ac:dyDescent="0.35">
      <c r="K2146" s="4"/>
      <c r="AC2146" s="7">
        <v>2022</v>
      </c>
      <c r="AD2146" s="7">
        <v>3</v>
      </c>
      <c r="AE2146" s="7">
        <v>31</v>
      </c>
      <c r="AF2146" s="8">
        <v>0.33333333333333331</v>
      </c>
      <c r="AG2146" s="9">
        <v>1.9</v>
      </c>
      <c r="AH2146" s="10">
        <f t="shared" si="48"/>
        <v>2</v>
      </c>
    </row>
    <row r="2147" spans="11:34" ht="14.5" x14ac:dyDescent="0.35">
      <c r="K2147" s="4"/>
      <c r="AC2147" s="7">
        <v>2022</v>
      </c>
      <c r="AD2147" s="7">
        <v>3</v>
      </c>
      <c r="AE2147" s="7">
        <v>31</v>
      </c>
      <c r="AF2147" s="8">
        <v>0.375</v>
      </c>
      <c r="AG2147" s="9">
        <v>3.7</v>
      </c>
      <c r="AH2147" s="10">
        <f t="shared" si="48"/>
        <v>4</v>
      </c>
    </row>
    <row r="2148" spans="11:34" ht="14.5" x14ac:dyDescent="0.35">
      <c r="K2148" s="4"/>
      <c r="AC2148" s="7">
        <v>2022</v>
      </c>
      <c r="AD2148" s="7">
        <v>3</v>
      </c>
      <c r="AE2148" s="7">
        <v>31</v>
      </c>
      <c r="AF2148" s="8">
        <v>0.41666666666666669</v>
      </c>
      <c r="AG2148" s="9">
        <v>4</v>
      </c>
      <c r="AH2148" s="10">
        <f t="shared" si="48"/>
        <v>4</v>
      </c>
    </row>
    <row r="2149" spans="11:34" ht="14.5" x14ac:dyDescent="0.35">
      <c r="K2149" s="4"/>
      <c r="AC2149" s="7">
        <v>2022</v>
      </c>
      <c r="AD2149" s="7">
        <v>3</v>
      </c>
      <c r="AE2149" s="7">
        <v>31</v>
      </c>
      <c r="AF2149" s="8">
        <v>0.45833333333333331</v>
      </c>
      <c r="AG2149" s="9">
        <v>5.7</v>
      </c>
      <c r="AH2149" s="10">
        <f t="shared" si="48"/>
        <v>6</v>
      </c>
    </row>
    <row r="2150" spans="11:34" ht="14.5" x14ac:dyDescent="0.35">
      <c r="K2150" s="4"/>
      <c r="AC2150" s="7">
        <v>2022</v>
      </c>
      <c r="AD2150" s="7">
        <v>3</v>
      </c>
      <c r="AE2150" s="7">
        <v>31</v>
      </c>
      <c r="AF2150" s="8">
        <v>0.5</v>
      </c>
      <c r="AG2150" s="9">
        <v>5.8</v>
      </c>
      <c r="AH2150" s="10">
        <f t="shared" si="48"/>
        <v>6</v>
      </c>
    </row>
    <row r="2151" spans="11:34" ht="14.5" x14ac:dyDescent="0.35">
      <c r="K2151" s="4"/>
      <c r="AC2151" s="7">
        <v>2022</v>
      </c>
      <c r="AD2151" s="7">
        <v>3</v>
      </c>
      <c r="AE2151" s="7">
        <v>31</v>
      </c>
      <c r="AF2151" s="8">
        <v>0.54166666666666663</v>
      </c>
      <c r="AG2151" s="9">
        <v>5.9</v>
      </c>
      <c r="AH2151" s="10">
        <f t="shared" si="48"/>
        <v>6</v>
      </c>
    </row>
    <row r="2152" spans="11:34" ht="14.5" x14ac:dyDescent="0.35">
      <c r="K2152" s="4"/>
      <c r="AC2152" s="7">
        <v>2022</v>
      </c>
      <c r="AD2152" s="7">
        <v>3</v>
      </c>
      <c r="AE2152" s="7">
        <v>31</v>
      </c>
      <c r="AF2152" s="8">
        <v>0.58333333333333337</v>
      </c>
      <c r="AG2152" s="9">
        <v>7.1</v>
      </c>
      <c r="AH2152" s="10">
        <f t="shared" si="48"/>
        <v>7</v>
      </c>
    </row>
    <row r="2153" spans="11:34" ht="14.5" x14ac:dyDescent="0.35">
      <c r="K2153" s="4"/>
      <c r="AC2153" s="7">
        <v>2022</v>
      </c>
      <c r="AD2153" s="7">
        <v>3</v>
      </c>
      <c r="AE2153" s="7">
        <v>31</v>
      </c>
      <c r="AF2153" s="8">
        <v>0.625</v>
      </c>
      <c r="AG2153" s="9">
        <v>6.5</v>
      </c>
      <c r="AH2153" s="10">
        <f t="shared" si="48"/>
        <v>7</v>
      </c>
    </row>
    <row r="2154" spans="11:34" ht="14.5" x14ac:dyDescent="0.35">
      <c r="K2154" s="4"/>
      <c r="AC2154" s="7">
        <v>2022</v>
      </c>
      <c r="AD2154" s="7">
        <v>3</v>
      </c>
      <c r="AE2154" s="7">
        <v>31</v>
      </c>
      <c r="AF2154" s="8">
        <v>0.66666666666666663</v>
      </c>
      <c r="AG2154" s="9">
        <v>7.4</v>
      </c>
      <c r="AH2154" s="10">
        <f t="shared" si="48"/>
        <v>7</v>
      </c>
    </row>
    <row r="2155" spans="11:34" ht="14.5" x14ac:dyDescent="0.35">
      <c r="K2155" s="4"/>
      <c r="AC2155" s="7">
        <v>2022</v>
      </c>
      <c r="AD2155" s="7">
        <v>3</v>
      </c>
      <c r="AE2155" s="7">
        <v>31</v>
      </c>
      <c r="AF2155" s="8">
        <v>0.70833333333333337</v>
      </c>
      <c r="AG2155" s="9">
        <v>5.4</v>
      </c>
      <c r="AH2155" s="10">
        <f t="shared" si="48"/>
        <v>5</v>
      </c>
    </row>
    <row r="2156" spans="11:34" ht="14.5" x14ac:dyDescent="0.35">
      <c r="K2156" s="4"/>
      <c r="AC2156" s="7">
        <v>2022</v>
      </c>
      <c r="AD2156" s="7">
        <v>3</v>
      </c>
      <c r="AE2156" s="7">
        <v>31</v>
      </c>
      <c r="AF2156" s="8">
        <v>0.75</v>
      </c>
      <c r="AG2156" s="9">
        <v>5.0999999999999996</v>
      </c>
      <c r="AH2156" s="10">
        <f t="shared" si="48"/>
        <v>5</v>
      </c>
    </row>
    <row r="2157" spans="11:34" ht="14.5" x14ac:dyDescent="0.35">
      <c r="K2157" s="4"/>
      <c r="AC2157" s="7">
        <v>2022</v>
      </c>
      <c r="AD2157" s="7">
        <v>3</v>
      </c>
      <c r="AE2157" s="7">
        <v>31</v>
      </c>
      <c r="AF2157" s="8">
        <v>0.79166666666666663</v>
      </c>
      <c r="AG2157" s="9">
        <v>3.6</v>
      </c>
      <c r="AH2157" s="10">
        <f t="shared" si="48"/>
        <v>4</v>
      </c>
    </row>
    <row r="2158" spans="11:34" ht="14.5" x14ac:dyDescent="0.35">
      <c r="K2158" s="4"/>
      <c r="AC2158" s="7">
        <v>2022</v>
      </c>
      <c r="AD2158" s="7">
        <v>3</v>
      </c>
      <c r="AE2158" s="7">
        <v>31</v>
      </c>
      <c r="AF2158" s="8">
        <v>0.83333333333333337</v>
      </c>
      <c r="AG2158" s="9">
        <v>2.6</v>
      </c>
      <c r="AH2158" s="10">
        <f t="shared" si="48"/>
        <v>3</v>
      </c>
    </row>
    <row r="2159" spans="11:34" ht="14.5" x14ac:dyDescent="0.35">
      <c r="K2159" s="4"/>
      <c r="AC2159" s="7">
        <v>2022</v>
      </c>
      <c r="AD2159" s="7">
        <v>3</v>
      </c>
      <c r="AE2159" s="7">
        <v>31</v>
      </c>
      <c r="AF2159" s="8">
        <v>0.875</v>
      </c>
      <c r="AG2159" s="9">
        <v>2.1</v>
      </c>
      <c r="AH2159" s="10">
        <f t="shared" si="48"/>
        <v>2</v>
      </c>
    </row>
    <row r="2160" spans="11:34" ht="14.5" x14ac:dyDescent="0.35">
      <c r="K2160" s="4"/>
      <c r="AC2160" s="7">
        <v>2022</v>
      </c>
      <c r="AD2160" s="7">
        <v>3</v>
      </c>
      <c r="AE2160" s="7">
        <v>31</v>
      </c>
      <c r="AF2160" s="8">
        <v>0.91666666666666663</v>
      </c>
      <c r="AG2160" s="9">
        <v>1.9</v>
      </c>
      <c r="AH2160" s="10">
        <f t="shared" si="48"/>
        <v>2</v>
      </c>
    </row>
    <row r="2161" spans="11:34" ht="14.5" x14ac:dyDescent="0.35">
      <c r="K2161" s="4"/>
      <c r="AC2161" s="7">
        <v>2022</v>
      </c>
      <c r="AD2161" s="7">
        <v>3</v>
      </c>
      <c r="AE2161" s="7">
        <v>31</v>
      </c>
      <c r="AF2161" s="8">
        <v>0.95833333333333337</v>
      </c>
      <c r="AG2161" s="9">
        <v>1.4</v>
      </c>
      <c r="AH2161" s="10">
        <f t="shared" si="48"/>
        <v>1</v>
      </c>
    </row>
    <row r="2162" spans="11:34" ht="14.5" x14ac:dyDescent="0.35">
      <c r="K2162" s="4"/>
      <c r="AC2162" s="7">
        <v>2022</v>
      </c>
      <c r="AD2162" s="7">
        <v>4</v>
      </c>
      <c r="AE2162" s="7">
        <v>1</v>
      </c>
      <c r="AF2162" s="8">
        <v>0</v>
      </c>
      <c r="AG2162" s="9">
        <v>-0.3</v>
      </c>
      <c r="AH2162" s="10">
        <f t="shared" si="48"/>
        <v>0</v>
      </c>
    </row>
    <row r="2163" spans="11:34" ht="14.5" x14ac:dyDescent="0.35">
      <c r="K2163" s="4"/>
      <c r="AC2163" s="7">
        <v>2022</v>
      </c>
      <c r="AD2163" s="7">
        <v>4</v>
      </c>
      <c r="AE2163" s="7">
        <v>1</v>
      </c>
      <c r="AF2163" s="8">
        <v>4.1666666666666664E-2</v>
      </c>
      <c r="AG2163" s="9">
        <v>0.4</v>
      </c>
      <c r="AH2163" s="10">
        <f t="shared" si="48"/>
        <v>0</v>
      </c>
    </row>
    <row r="2164" spans="11:34" ht="14.5" x14ac:dyDescent="0.35">
      <c r="K2164" s="4"/>
      <c r="AC2164" s="7">
        <v>2022</v>
      </c>
      <c r="AD2164" s="7">
        <v>4</v>
      </c>
      <c r="AE2164" s="7">
        <v>1</v>
      </c>
      <c r="AF2164" s="8">
        <v>8.3333333333333329E-2</v>
      </c>
      <c r="AG2164" s="9">
        <v>-0.4</v>
      </c>
      <c r="AH2164" s="10">
        <f t="shared" si="48"/>
        <v>0</v>
      </c>
    </row>
    <row r="2165" spans="11:34" ht="14.5" x14ac:dyDescent="0.35">
      <c r="K2165" s="4"/>
      <c r="AC2165" s="7">
        <v>2022</v>
      </c>
      <c r="AD2165" s="7">
        <v>4</v>
      </c>
      <c r="AE2165" s="7">
        <v>1</v>
      </c>
      <c r="AF2165" s="8">
        <v>0.125</v>
      </c>
      <c r="AG2165" s="9">
        <v>-1.3</v>
      </c>
      <c r="AH2165" s="10">
        <f t="shared" si="48"/>
        <v>-1</v>
      </c>
    </row>
    <row r="2166" spans="11:34" ht="14.5" x14ac:dyDescent="0.35">
      <c r="K2166" s="4"/>
      <c r="AC2166" s="7">
        <v>2022</v>
      </c>
      <c r="AD2166" s="7">
        <v>4</v>
      </c>
      <c r="AE2166" s="7">
        <v>1</v>
      </c>
      <c r="AF2166" s="8">
        <v>0.16666666666666666</v>
      </c>
      <c r="AG2166" s="9">
        <v>-1.7</v>
      </c>
      <c r="AH2166" s="10">
        <f t="shared" si="48"/>
        <v>-2</v>
      </c>
    </row>
    <row r="2167" spans="11:34" ht="14.5" x14ac:dyDescent="0.35">
      <c r="K2167" s="4"/>
      <c r="AC2167" s="7">
        <v>2022</v>
      </c>
      <c r="AD2167" s="7">
        <v>4</v>
      </c>
      <c r="AE2167" s="7">
        <v>1</v>
      </c>
      <c r="AF2167" s="8">
        <v>0.20833333333333334</v>
      </c>
      <c r="AG2167" s="9">
        <v>-3.4</v>
      </c>
      <c r="AH2167" s="10">
        <f t="shared" si="48"/>
        <v>-3</v>
      </c>
    </row>
    <row r="2168" spans="11:34" ht="14.5" x14ac:dyDescent="0.35">
      <c r="K2168" s="4"/>
      <c r="AC2168" s="7">
        <v>2022</v>
      </c>
      <c r="AD2168" s="7">
        <v>4</v>
      </c>
      <c r="AE2168" s="7">
        <v>1</v>
      </c>
      <c r="AF2168" s="8">
        <v>0.25</v>
      </c>
      <c r="AG2168" s="9">
        <v>-4.0999999999999996</v>
      </c>
      <c r="AH2168" s="10">
        <f t="shared" si="48"/>
        <v>-4</v>
      </c>
    </row>
    <row r="2169" spans="11:34" ht="14.5" x14ac:dyDescent="0.35">
      <c r="K2169" s="4"/>
      <c r="AC2169" s="7">
        <v>2022</v>
      </c>
      <c r="AD2169" s="7">
        <v>4</v>
      </c>
      <c r="AE2169" s="7">
        <v>1</v>
      </c>
      <c r="AF2169" s="8">
        <v>0.29166666666666669</v>
      </c>
      <c r="AG2169" s="9">
        <v>-2.2000000000000002</v>
      </c>
      <c r="AH2169" s="10">
        <f t="shared" si="48"/>
        <v>-2</v>
      </c>
    </row>
    <row r="2170" spans="11:34" ht="14.5" x14ac:dyDescent="0.35">
      <c r="K2170" s="4"/>
      <c r="AC2170" s="7">
        <v>2022</v>
      </c>
      <c r="AD2170" s="7">
        <v>4</v>
      </c>
      <c r="AE2170" s="7">
        <v>1</v>
      </c>
      <c r="AF2170" s="8">
        <v>0.33333333333333331</v>
      </c>
      <c r="AG2170" s="9">
        <v>1.3</v>
      </c>
      <c r="AH2170" s="10">
        <f t="shared" si="48"/>
        <v>1</v>
      </c>
    </row>
    <row r="2171" spans="11:34" ht="14.5" x14ac:dyDescent="0.35">
      <c r="K2171" s="4"/>
      <c r="AC2171" s="7">
        <v>2022</v>
      </c>
      <c r="AD2171" s="7">
        <v>4</v>
      </c>
      <c r="AE2171" s="7">
        <v>1</v>
      </c>
      <c r="AF2171" s="8">
        <v>0.375</v>
      </c>
      <c r="AG2171" s="9">
        <v>1.6</v>
      </c>
      <c r="AH2171" s="10">
        <f t="shared" si="48"/>
        <v>2</v>
      </c>
    </row>
    <row r="2172" spans="11:34" ht="14.5" x14ac:dyDescent="0.35">
      <c r="K2172" s="4"/>
      <c r="AC2172" s="7">
        <v>2022</v>
      </c>
      <c r="AD2172" s="7">
        <v>4</v>
      </c>
      <c r="AE2172" s="7">
        <v>1</v>
      </c>
      <c r="AF2172" s="8">
        <v>0.41666666666666669</v>
      </c>
      <c r="AG2172" s="9">
        <v>2.7</v>
      </c>
      <c r="AH2172" s="10">
        <f t="shared" si="48"/>
        <v>3</v>
      </c>
    </row>
    <row r="2173" spans="11:34" ht="14.5" x14ac:dyDescent="0.35">
      <c r="K2173" s="4"/>
      <c r="AC2173" s="7">
        <v>2022</v>
      </c>
      <c r="AD2173" s="7">
        <v>4</v>
      </c>
      <c r="AE2173" s="7">
        <v>1</v>
      </c>
      <c r="AF2173" s="8">
        <v>0.45833333333333331</v>
      </c>
      <c r="AG2173" s="9">
        <v>4</v>
      </c>
      <c r="AH2173" s="10">
        <f t="shared" si="48"/>
        <v>4</v>
      </c>
    </row>
    <row r="2174" spans="11:34" ht="14.5" x14ac:dyDescent="0.35">
      <c r="K2174" s="4"/>
      <c r="AC2174" s="7">
        <v>2022</v>
      </c>
      <c r="AD2174" s="7">
        <v>4</v>
      </c>
      <c r="AE2174" s="7">
        <v>1</v>
      </c>
      <c r="AF2174" s="8">
        <v>0.5</v>
      </c>
      <c r="AG2174" s="9">
        <v>4.9000000000000004</v>
      </c>
      <c r="AH2174" s="10">
        <f t="shared" si="48"/>
        <v>5</v>
      </c>
    </row>
    <row r="2175" spans="11:34" ht="14.5" x14ac:dyDescent="0.35">
      <c r="K2175" s="4"/>
      <c r="AC2175" s="7">
        <v>2022</v>
      </c>
      <c r="AD2175" s="7">
        <v>4</v>
      </c>
      <c r="AE2175" s="7">
        <v>1</v>
      </c>
      <c r="AF2175" s="8">
        <v>0.54166666666666663</v>
      </c>
      <c r="AG2175" s="9">
        <v>5.6</v>
      </c>
      <c r="AH2175" s="10">
        <f t="shared" si="48"/>
        <v>6</v>
      </c>
    </row>
    <row r="2176" spans="11:34" ht="14.5" x14ac:dyDescent="0.35">
      <c r="K2176" s="4"/>
      <c r="AC2176" s="7">
        <v>2022</v>
      </c>
      <c r="AD2176" s="7">
        <v>4</v>
      </c>
      <c r="AE2176" s="7">
        <v>1</v>
      </c>
      <c r="AF2176" s="8">
        <v>0.58333333333333337</v>
      </c>
      <c r="AG2176" s="9">
        <v>6.9</v>
      </c>
      <c r="AH2176" s="10">
        <f t="shared" si="48"/>
        <v>7</v>
      </c>
    </row>
    <row r="2177" spans="11:34" ht="14.5" x14ac:dyDescent="0.35">
      <c r="K2177" s="4"/>
      <c r="AC2177" s="7">
        <v>2022</v>
      </c>
      <c r="AD2177" s="7">
        <v>4</v>
      </c>
      <c r="AE2177" s="7">
        <v>1</v>
      </c>
      <c r="AF2177" s="8">
        <v>0.625</v>
      </c>
      <c r="AG2177" s="9">
        <v>7.8</v>
      </c>
      <c r="AH2177" s="10">
        <f t="shared" si="48"/>
        <v>8</v>
      </c>
    </row>
    <row r="2178" spans="11:34" ht="14.5" x14ac:dyDescent="0.35">
      <c r="K2178" s="4"/>
      <c r="AC2178" s="7">
        <v>2022</v>
      </c>
      <c r="AD2178" s="7">
        <v>4</v>
      </c>
      <c r="AE2178" s="7">
        <v>1</v>
      </c>
      <c r="AF2178" s="8">
        <v>0.66666666666666663</v>
      </c>
      <c r="AG2178" s="9">
        <v>8.9</v>
      </c>
      <c r="AH2178" s="10">
        <f t="shared" si="48"/>
        <v>9</v>
      </c>
    </row>
    <row r="2179" spans="11:34" ht="14.5" x14ac:dyDescent="0.35">
      <c r="K2179" s="4"/>
      <c r="AC2179" s="7">
        <v>2022</v>
      </c>
      <c r="AD2179" s="7">
        <v>4</v>
      </c>
      <c r="AE2179" s="7">
        <v>1</v>
      </c>
      <c r="AF2179" s="8">
        <v>0.70833333333333337</v>
      </c>
      <c r="AG2179" s="9">
        <v>7.7</v>
      </c>
      <c r="AH2179" s="10">
        <f t="shared" si="48"/>
        <v>8</v>
      </c>
    </row>
    <row r="2180" spans="11:34" ht="14.5" x14ac:dyDescent="0.35">
      <c r="K2180" s="4"/>
      <c r="AC2180" s="7">
        <v>2022</v>
      </c>
      <c r="AD2180" s="7">
        <v>4</v>
      </c>
      <c r="AE2180" s="7">
        <v>1</v>
      </c>
      <c r="AF2180" s="8">
        <v>0.75</v>
      </c>
      <c r="AG2180" s="9">
        <v>7.2</v>
      </c>
      <c r="AH2180" s="10">
        <f t="shared" si="48"/>
        <v>7</v>
      </c>
    </row>
    <row r="2181" spans="11:34" ht="14.5" x14ac:dyDescent="0.35">
      <c r="K2181" s="4"/>
      <c r="AC2181" s="7">
        <v>2022</v>
      </c>
      <c r="AD2181" s="7">
        <v>4</v>
      </c>
      <c r="AE2181" s="7">
        <v>1</v>
      </c>
      <c r="AF2181" s="8">
        <v>0.79166666666666663</v>
      </c>
      <c r="AG2181" s="9">
        <v>5.9</v>
      </c>
      <c r="AH2181" s="10">
        <f t="shared" si="48"/>
        <v>6</v>
      </c>
    </row>
    <row r="2182" spans="11:34" ht="14.5" x14ac:dyDescent="0.35">
      <c r="K2182" s="4"/>
      <c r="AC2182" s="7">
        <v>2022</v>
      </c>
      <c r="AD2182" s="7">
        <v>4</v>
      </c>
      <c r="AE2182" s="7">
        <v>1</v>
      </c>
      <c r="AF2182" s="8">
        <v>0.83333333333333337</v>
      </c>
      <c r="AG2182" s="9">
        <v>3.7</v>
      </c>
      <c r="AH2182" s="10">
        <f t="shared" si="48"/>
        <v>4</v>
      </c>
    </row>
    <row r="2183" spans="11:34" ht="14.5" x14ac:dyDescent="0.35">
      <c r="K2183" s="4"/>
      <c r="AC2183" s="7">
        <v>2022</v>
      </c>
      <c r="AD2183" s="7">
        <v>4</v>
      </c>
      <c r="AE2183" s="7">
        <v>1</v>
      </c>
      <c r="AF2183" s="8">
        <v>0.875</v>
      </c>
      <c r="AG2183" s="9">
        <v>1.7</v>
      </c>
      <c r="AH2183" s="10">
        <f t="shared" si="48"/>
        <v>2</v>
      </c>
    </row>
    <row r="2184" spans="11:34" ht="14.5" x14ac:dyDescent="0.35">
      <c r="K2184" s="4"/>
      <c r="AC2184" s="7">
        <v>2022</v>
      </c>
      <c r="AD2184" s="7">
        <v>4</v>
      </c>
      <c r="AE2184" s="7">
        <v>1</v>
      </c>
      <c r="AF2184" s="8">
        <v>0.91666666666666663</v>
      </c>
      <c r="AG2184" s="9">
        <v>-0.3</v>
      </c>
      <c r="AH2184" s="10">
        <f t="shared" si="48"/>
        <v>0</v>
      </c>
    </row>
    <row r="2185" spans="11:34" ht="14.5" x14ac:dyDescent="0.35">
      <c r="K2185" s="4"/>
      <c r="AC2185" s="7">
        <v>2022</v>
      </c>
      <c r="AD2185" s="7">
        <v>4</v>
      </c>
      <c r="AE2185" s="7">
        <v>1</v>
      </c>
      <c r="AF2185" s="8">
        <v>0.95833333333333337</v>
      </c>
      <c r="AG2185" s="9">
        <v>0</v>
      </c>
      <c r="AH2185" s="10">
        <f t="shared" si="48"/>
        <v>0</v>
      </c>
    </row>
    <row r="2186" spans="11:34" ht="14.5" x14ac:dyDescent="0.35">
      <c r="K2186" s="4"/>
      <c r="AC2186" s="7">
        <v>2022</v>
      </c>
      <c r="AD2186" s="7">
        <v>4</v>
      </c>
      <c r="AE2186" s="7">
        <v>2</v>
      </c>
      <c r="AF2186" s="8">
        <v>0</v>
      </c>
      <c r="AG2186" s="9">
        <v>-1</v>
      </c>
      <c r="AH2186" s="10">
        <f t="shared" si="48"/>
        <v>-1</v>
      </c>
    </row>
    <row r="2187" spans="11:34" ht="14.5" x14ac:dyDescent="0.35">
      <c r="K2187" s="4"/>
      <c r="AC2187" s="7">
        <v>2022</v>
      </c>
      <c r="AD2187" s="7">
        <v>4</v>
      </c>
      <c r="AE2187" s="7">
        <v>2</v>
      </c>
      <c r="AF2187" s="8">
        <v>4.1666666666666664E-2</v>
      </c>
      <c r="AG2187" s="9">
        <v>-1</v>
      </c>
      <c r="AH2187" s="10">
        <f t="shared" ref="AH2187:AH2250" si="49">ROUND(AG2187,0)</f>
        <v>-1</v>
      </c>
    </row>
    <row r="2188" spans="11:34" ht="14.5" x14ac:dyDescent="0.35">
      <c r="K2188" s="4"/>
      <c r="AC2188" s="7">
        <v>2022</v>
      </c>
      <c r="AD2188" s="7">
        <v>4</v>
      </c>
      <c r="AE2188" s="7">
        <v>2</v>
      </c>
      <c r="AF2188" s="8">
        <v>8.3333333333333329E-2</v>
      </c>
      <c r="AG2188" s="9">
        <v>-1.5</v>
      </c>
      <c r="AH2188" s="10">
        <f t="shared" si="49"/>
        <v>-2</v>
      </c>
    </row>
    <row r="2189" spans="11:34" ht="14.5" x14ac:dyDescent="0.35">
      <c r="K2189" s="4"/>
      <c r="AC2189" s="7">
        <v>2022</v>
      </c>
      <c r="AD2189" s="7">
        <v>4</v>
      </c>
      <c r="AE2189" s="7">
        <v>2</v>
      </c>
      <c r="AF2189" s="8">
        <v>0.125</v>
      </c>
      <c r="AG2189" s="9">
        <v>-0.3</v>
      </c>
      <c r="AH2189" s="10">
        <f t="shared" si="49"/>
        <v>0</v>
      </c>
    </row>
    <row r="2190" spans="11:34" ht="14.5" x14ac:dyDescent="0.35">
      <c r="K2190" s="4"/>
      <c r="AC2190" s="7">
        <v>2022</v>
      </c>
      <c r="AD2190" s="7">
        <v>4</v>
      </c>
      <c r="AE2190" s="7">
        <v>2</v>
      </c>
      <c r="AF2190" s="8">
        <v>0.16666666666666666</v>
      </c>
      <c r="AG2190" s="9">
        <v>0.3</v>
      </c>
      <c r="AH2190" s="10">
        <f t="shared" si="49"/>
        <v>0</v>
      </c>
    </row>
    <row r="2191" spans="11:34" ht="14.5" x14ac:dyDescent="0.35">
      <c r="K2191" s="4"/>
      <c r="AC2191" s="7">
        <v>2022</v>
      </c>
      <c r="AD2191" s="7">
        <v>4</v>
      </c>
      <c r="AE2191" s="7">
        <v>2</v>
      </c>
      <c r="AF2191" s="8">
        <v>0.20833333333333334</v>
      </c>
      <c r="AG2191" s="9">
        <v>-1</v>
      </c>
      <c r="AH2191" s="10">
        <f t="shared" si="49"/>
        <v>-1</v>
      </c>
    </row>
    <row r="2192" spans="11:34" ht="14.5" x14ac:dyDescent="0.35">
      <c r="K2192" s="4"/>
      <c r="AC2192" s="7">
        <v>2022</v>
      </c>
      <c r="AD2192" s="7">
        <v>4</v>
      </c>
      <c r="AE2192" s="7">
        <v>2</v>
      </c>
      <c r="AF2192" s="8">
        <v>0.25</v>
      </c>
      <c r="AG2192" s="9">
        <v>0.3</v>
      </c>
      <c r="AH2192" s="10">
        <f t="shared" si="49"/>
        <v>0</v>
      </c>
    </row>
    <row r="2193" spans="11:34" ht="14.5" x14ac:dyDescent="0.35">
      <c r="K2193" s="4"/>
      <c r="AC2193" s="7">
        <v>2022</v>
      </c>
      <c r="AD2193" s="7">
        <v>4</v>
      </c>
      <c r="AE2193" s="7">
        <v>2</v>
      </c>
      <c r="AF2193" s="8">
        <v>0.29166666666666669</v>
      </c>
      <c r="AG2193" s="9">
        <v>0.7</v>
      </c>
      <c r="AH2193" s="10">
        <f t="shared" si="49"/>
        <v>1</v>
      </c>
    </row>
    <row r="2194" spans="11:34" ht="14.5" x14ac:dyDescent="0.35">
      <c r="K2194" s="4"/>
      <c r="AC2194" s="7">
        <v>2022</v>
      </c>
      <c r="AD2194" s="7">
        <v>4</v>
      </c>
      <c r="AE2194" s="7">
        <v>2</v>
      </c>
      <c r="AF2194" s="8">
        <v>0.33333333333333331</v>
      </c>
      <c r="AG2194" s="9">
        <v>2.6</v>
      </c>
      <c r="AH2194" s="10">
        <f t="shared" si="49"/>
        <v>3</v>
      </c>
    </row>
    <row r="2195" spans="11:34" ht="14.5" x14ac:dyDescent="0.35">
      <c r="K2195" s="4"/>
      <c r="AC2195" s="7">
        <v>2022</v>
      </c>
      <c r="AD2195" s="7">
        <v>4</v>
      </c>
      <c r="AE2195" s="7">
        <v>2</v>
      </c>
      <c r="AF2195" s="8">
        <v>0.375</v>
      </c>
      <c r="AG2195" s="9">
        <v>6.8</v>
      </c>
      <c r="AH2195" s="10">
        <f t="shared" si="49"/>
        <v>7</v>
      </c>
    </row>
    <row r="2196" spans="11:34" ht="14.5" x14ac:dyDescent="0.35">
      <c r="K2196" s="4"/>
      <c r="AC2196" s="7">
        <v>2022</v>
      </c>
      <c r="AD2196" s="7">
        <v>4</v>
      </c>
      <c r="AE2196" s="7">
        <v>2</v>
      </c>
      <c r="AF2196" s="8">
        <v>0.41666666666666669</v>
      </c>
      <c r="AG2196" s="9">
        <v>8.9</v>
      </c>
      <c r="AH2196" s="10">
        <f t="shared" si="49"/>
        <v>9</v>
      </c>
    </row>
    <row r="2197" spans="11:34" ht="14.5" x14ac:dyDescent="0.35">
      <c r="K2197" s="4"/>
      <c r="AC2197" s="7">
        <v>2022</v>
      </c>
      <c r="AD2197" s="7">
        <v>4</v>
      </c>
      <c r="AE2197" s="7">
        <v>2</v>
      </c>
      <c r="AF2197" s="8">
        <v>0.45833333333333331</v>
      </c>
      <c r="AG2197" s="9">
        <v>8.9</v>
      </c>
      <c r="AH2197" s="10">
        <f t="shared" si="49"/>
        <v>9</v>
      </c>
    </row>
    <row r="2198" spans="11:34" ht="14.5" x14ac:dyDescent="0.35">
      <c r="K2198" s="4"/>
      <c r="AC2198" s="7">
        <v>2022</v>
      </c>
      <c r="AD2198" s="7">
        <v>4</v>
      </c>
      <c r="AE2198" s="7">
        <v>2</v>
      </c>
      <c r="AF2198" s="8">
        <v>0.5</v>
      </c>
      <c r="AG2198" s="9">
        <v>9.6</v>
      </c>
      <c r="AH2198" s="10">
        <f t="shared" si="49"/>
        <v>10</v>
      </c>
    </row>
    <row r="2199" spans="11:34" ht="14.5" x14ac:dyDescent="0.35">
      <c r="K2199" s="4"/>
      <c r="AC2199" s="7">
        <v>2022</v>
      </c>
      <c r="AD2199" s="7">
        <v>4</v>
      </c>
      <c r="AE2199" s="7">
        <v>2</v>
      </c>
      <c r="AF2199" s="8">
        <v>0.54166666666666663</v>
      </c>
      <c r="AG2199" s="9">
        <v>9.1</v>
      </c>
      <c r="AH2199" s="10">
        <f t="shared" si="49"/>
        <v>9</v>
      </c>
    </row>
    <row r="2200" spans="11:34" ht="14.5" x14ac:dyDescent="0.35">
      <c r="K2200" s="4"/>
      <c r="AC2200" s="7">
        <v>2022</v>
      </c>
      <c r="AD2200" s="7">
        <v>4</v>
      </c>
      <c r="AE2200" s="7">
        <v>2</v>
      </c>
      <c r="AF2200" s="8">
        <v>0.58333333333333337</v>
      </c>
      <c r="AG2200" s="9">
        <v>6.7</v>
      </c>
      <c r="AH2200" s="10">
        <f t="shared" si="49"/>
        <v>7</v>
      </c>
    </row>
    <row r="2201" spans="11:34" ht="14.5" x14ac:dyDescent="0.35">
      <c r="K2201" s="4"/>
      <c r="AC2201" s="7">
        <v>2022</v>
      </c>
      <c r="AD2201" s="7">
        <v>4</v>
      </c>
      <c r="AE2201" s="7">
        <v>2</v>
      </c>
      <c r="AF2201" s="8">
        <v>0.625</v>
      </c>
      <c r="AG2201" s="9">
        <v>2.7</v>
      </c>
      <c r="AH2201" s="10">
        <f t="shared" si="49"/>
        <v>3</v>
      </c>
    </row>
    <row r="2202" spans="11:34" ht="14.5" x14ac:dyDescent="0.35">
      <c r="K2202" s="4"/>
      <c r="AC2202" s="7">
        <v>2022</v>
      </c>
      <c r="AD2202" s="7">
        <v>4</v>
      </c>
      <c r="AE2202" s="7">
        <v>2</v>
      </c>
      <c r="AF2202" s="8">
        <v>0.66666666666666663</v>
      </c>
      <c r="AG2202" s="9">
        <v>4.8</v>
      </c>
      <c r="AH2202" s="10">
        <f t="shared" si="49"/>
        <v>5</v>
      </c>
    </row>
    <row r="2203" spans="11:34" ht="14.5" x14ac:dyDescent="0.35">
      <c r="K2203" s="4"/>
      <c r="AC2203" s="7">
        <v>2022</v>
      </c>
      <c r="AD2203" s="7">
        <v>4</v>
      </c>
      <c r="AE2203" s="7">
        <v>2</v>
      </c>
      <c r="AF2203" s="8">
        <v>0.70833333333333337</v>
      </c>
      <c r="AG2203" s="9">
        <v>3.9</v>
      </c>
      <c r="AH2203" s="10">
        <f t="shared" si="49"/>
        <v>4</v>
      </c>
    </row>
    <row r="2204" spans="11:34" ht="14.5" x14ac:dyDescent="0.35">
      <c r="K2204" s="4"/>
      <c r="AC2204" s="7">
        <v>2022</v>
      </c>
      <c r="AD2204" s="7">
        <v>4</v>
      </c>
      <c r="AE2204" s="7">
        <v>2</v>
      </c>
      <c r="AF2204" s="8">
        <v>0.75</v>
      </c>
      <c r="AG2204" s="9">
        <v>4.0999999999999996</v>
      </c>
      <c r="AH2204" s="10">
        <f t="shared" si="49"/>
        <v>4</v>
      </c>
    </row>
    <row r="2205" spans="11:34" ht="14.5" x14ac:dyDescent="0.35">
      <c r="K2205" s="4"/>
      <c r="AC2205" s="7">
        <v>2022</v>
      </c>
      <c r="AD2205" s="7">
        <v>4</v>
      </c>
      <c r="AE2205" s="7">
        <v>2</v>
      </c>
      <c r="AF2205" s="8">
        <v>0.79166666666666663</v>
      </c>
      <c r="AG2205" s="9">
        <v>0.8</v>
      </c>
      <c r="AH2205" s="10">
        <f t="shared" si="49"/>
        <v>1</v>
      </c>
    </row>
    <row r="2206" spans="11:34" ht="14.5" x14ac:dyDescent="0.35">
      <c r="K2206" s="4"/>
      <c r="AC2206" s="7">
        <v>2022</v>
      </c>
      <c r="AD2206" s="7">
        <v>4</v>
      </c>
      <c r="AE2206" s="7">
        <v>2</v>
      </c>
      <c r="AF2206" s="8">
        <v>0.83333333333333337</v>
      </c>
      <c r="AG2206" s="9">
        <v>-0.3</v>
      </c>
      <c r="AH2206" s="10">
        <f t="shared" si="49"/>
        <v>0</v>
      </c>
    </row>
    <row r="2207" spans="11:34" ht="14.5" x14ac:dyDescent="0.35">
      <c r="K2207" s="4"/>
      <c r="AC2207" s="7">
        <v>2022</v>
      </c>
      <c r="AD2207" s="7">
        <v>4</v>
      </c>
      <c r="AE2207" s="7">
        <v>2</v>
      </c>
      <c r="AF2207" s="8">
        <v>0.875</v>
      </c>
      <c r="AG2207" s="9">
        <v>-1.7</v>
      </c>
      <c r="AH2207" s="10">
        <f t="shared" si="49"/>
        <v>-2</v>
      </c>
    </row>
    <row r="2208" spans="11:34" ht="14.5" x14ac:dyDescent="0.35">
      <c r="K2208" s="4"/>
      <c r="AC2208" s="7">
        <v>2022</v>
      </c>
      <c r="AD2208" s="7">
        <v>4</v>
      </c>
      <c r="AE2208" s="7">
        <v>2</v>
      </c>
      <c r="AF2208" s="8">
        <v>0.91666666666666663</v>
      </c>
      <c r="AG2208" s="9">
        <v>-1.9</v>
      </c>
      <c r="AH2208" s="10">
        <f t="shared" si="49"/>
        <v>-2</v>
      </c>
    </row>
    <row r="2209" spans="11:34" ht="14.5" x14ac:dyDescent="0.35">
      <c r="K2209" s="4"/>
      <c r="AC2209" s="7">
        <v>2022</v>
      </c>
      <c r="AD2209" s="7">
        <v>4</v>
      </c>
      <c r="AE2209" s="7">
        <v>2</v>
      </c>
      <c r="AF2209" s="8">
        <v>0.95833333333333337</v>
      </c>
      <c r="AG2209" s="9">
        <v>-1.8</v>
      </c>
      <c r="AH2209" s="10">
        <f t="shared" si="49"/>
        <v>-2</v>
      </c>
    </row>
    <row r="2210" spans="11:34" ht="14.5" x14ac:dyDescent="0.35">
      <c r="K2210" s="4"/>
      <c r="AC2210" s="7">
        <v>2022</v>
      </c>
      <c r="AD2210" s="7">
        <v>4</v>
      </c>
      <c r="AE2210" s="7">
        <v>3</v>
      </c>
      <c r="AF2210" s="8">
        <v>0</v>
      </c>
      <c r="AG2210" s="9">
        <v>-1.9</v>
      </c>
      <c r="AH2210" s="10">
        <f t="shared" si="49"/>
        <v>-2</v>
      </c>
    </row>
    <row r="2211" spans="11:34" ht="14.5" x14ac:dyDescent="0.35">
      <c r="K2211" s="4"/>
      <c r="AC2211" s="7">
        <v>2022</v>
      </c>
      <c r="AD2211" s="7">
        <v>4</v>
      </c>
      <c r="AE2211" s="7">
        <v>3</v>
      </c>
      <c r="AF2211" s="8">
        <v>4.1666666666666664E-2</v>
      </c>
      <c r="AG2211" s="9">
        <v>-2.9</v>
      </c>
      <c r="AH2211" s="10">
        <f t="shared" si="49"/>
        <v>-3</v>
      </c>
    </row>
    <row r="2212" spans="11:34" ht="14.5" x14ac:dyDescent="0.35">
      <c r="K2212" s="4"/>
      <c r="AC2212" s="7">
        <v>2022</v>
      </c>
      <c r="AD2212" s="7">
        <v>4</v>
      </c>
      <c r="AE2212" s="7">
        <v>3</v>
      </c>
      <c r="AF2212" s="8">
        <v>8.3333333333333329E-2</v>
      </c>
      <c r="AG2212" s="9">
        <v>-4.2</v>
      </c>
      <c r="AH2212" s="10">
        <f t="shared" si="49"/>
        <v>-4</v>
      </c>
    </row>
    <row r="2213" spans="11:34" ht="14.5" x14ac:dyDescent="0.35">
      <c r="K2213" s="4"/>
      <c r="AC2213" s="7">
        <v>2022</v>
      </c>
      <c r="AD2213" s="7">
        <v>4</v>
      </c>
      <c r="AE2213" s="7">
        <v>3</v>
      </c>
      <c r="AF2213" s="8">
        <v>0.125</v>
      </c>
      <c r="AG2213" s="9">
        <v>-3.5</v>
      </c>
      <c r="AH2213" s="10">
        <f t="shared" si="49"/>
        <v>-4</v>
      </c>
    </row>
    <row r="2214" spans="11:34" ht="14.5" x14ac:dyDescent="0.35">
      <c r="K2214" s="4"/>
      <c r="AC2214" s="7">
        <v>2022</v>
      </c>
      <c r="AD2214" s="7">
        <v>4</v>
      </c>
      <c r="AE2214" s="7">
        <v>3</v>
      </c>
      <c r="AF2214" s="8">
        <v>0.16666666666666666</v>
      </c>
      <c r="AG2214" s="9">
        <v>-3.9</v>
      </c>
      <c r="AH2214" s="10">
        <f t="shared" si="49"/>
        <v>-4</v>
      </c>
    </row>
    <row r="2215" spans="11:34" ht="14.5" x14ac:dyDescent="0.35">
      <c r="K2215" s="4"/>
      <c r="AC2215" s="7">
        <v>2022</v>
      </c>
      <c r="AD2215" s="7">
        <v>4</v>
      </c>
      <c r="AE2215" s="7">
        <v>3</v>
      </c>
      <c r="AF2215" s="8">
        <v>0.20833333333333334</v>
      </c>
      <c r="AG2215" s="9">
        <v>-4.4000000000000004</v>
      </c>
      <c r="AH2215" s="10">
        <f t="shared" si="49"/>
        <v>-4</v>
      </c>
    </row>
    <row r="2216" spans="11:34" ht="14.5" x14ac:dyDescent="0.35">
      <c r="K2216" s="4"/>
      <c r="AC2216" s="7">
        <v>2022</v>
      </c>
      <c r="AD2216" s="7">
        <v>4</v>
      </c>
      <c r="AE2216" s="7">
        <v>3</v>
      </c>
      <c r="AF2216" s="8">
        <v>0.25</v>
      </c>
      <c r="AG2216" s="9">
        <v>-3.3</v>
      </c>
      <c r="AH2216" s="10">
        <f t="shared" si="49"/>
        <v>-3</v>
      </c>
    </row>
    <row r="2217" spans="11:34" ht="14.5" x14ac:dyDescent="0.35">
      <c r="K2217" s="4"/>
      <c r="AC2217" s="7">
        <v>2022</v>
      </c>
      <c r="AD2217" s="7">
        <v>4</v>
      </c>
      <c r="AE2217" s="7">
        <v>3</v>
      </c>
      <c r="AF2217" s="8">
        <v>0.29166666666666669</v>
      </c>
      <c r="AG2217" s="9">
        <v>-2.1</v>
      </c>
      <c r="AH2217" s="10">
        <f t="shared" si="49"/>
        <v>-2</v>
      </c>
    </row>
    <row r="2218" spans="11:34" ht="14.5" x14ac:dyDescent="0.35">
      <c r="K2218" s="4"/>
      <c r="AC2218" s="7">
        <v>2022</v>
      </c>
      <c r="AD2218" s="7">
        <v>4</v>
      </c>
      <c r="AE2218" s="7">
        <v>3</v>
      </c>
      <c r="AF2218" s="8">
        <v>0.33333333333333331</v>
      </c>
      <c r="AG2218" s="9">
        <v>0</v>
      </c>
      <c r="AH2218" s="10">
        <f t="shared" si="49"/>
        <v>0</v>
      </c>
    </row>
    <row r="2219" spans="11:34" ht="14.5" x14ac:dyDescent="0.35">
      <c r="K2219" s="4"/>
      <c r="AC2219" s="7">
        <v>2022</v>
      </c>
      <c r="AD2219" s="7">
        <v>4</v>
      </c>
      <c r="AE2219" s="7">
        <v>3</v>
      </c>
      <c r="AF2219" s="8">
        <v>0.375</v>
      </c>
      <c r="AG2219" s="9">
        <v>0.7</v>
      </c>
      <c r="AH2219" s="10">
        <f t="shared" si="49"/>
        <v>1</v>
      </c>
    </row>
    <row r="2220" spans="11:34" ht="14.5" x14ac:dyDescent="0.35">
      <c r="K2220" s="4"/>
      <c r="AC2220" s="7">
        <v>2022</v>
      </c>
      <c r="AD2220" s="7">
        <v>4</v>
      </c>
      <c r="AE2220" s="7">
        <v>3</v>
      </c>
      <c r="AF2220" s="8">
        <v>0.41666666666666669</v>
      </c>
      <c r="AG2220" s="9">
        <v>1.6</v>
      </c>
      <c r="AH2220" s="10">
        <f t="shared" si="49"/>
        <v>2</v>
      </c>
    </row>
    <row r="2221" spans="11:34" ht="14.5" x14ac:dyDescent="0.35">
      <c r="K2221" s="4"/>
      <c r="AC2221" s="7">
        <v>2022</v>
      </c>
      <c r="AD2221" s="7">
        <v>4</v>
      </c>
      <c r="AE2221" s="7">
        <v>3</v>
      </c>
      <c r="AF2221" s="8">
        <v>0.45833333333333331</v>
      </c>
      <c r="AG2221" s="9">
        <v>2.9</v>
      </c>
      <c r="AH2221" s="10">
        <f t="shared" si="49"/>
        <v>3</v>
      </c>
    </row>
    <row r="2222" spans="11:34" ht="14.5" x14ac:dyDescent="0.35">
      <c r="K2222" s="4"/>
      <c r="AC2222" s="7">
        <v>2022</v>
      </c>
      <c r="AD2222" s="7">
        <v>4</v>
      </c>
      <c r="AE2222" s="7">
        <v>3</v>
      </c>
      <c r="AF2222" s="8">
        <v>0.5</v>
      </c>
      <c r="AG2222" s="9">
        <v>3.5</v>
      </c>
      <c r="AH2222" s="10">
        <f t="shared" si="49"/>
        <v>4</v>
      </c>
    </row>
    <row r="2223" spans="11:34" ht="14.5" x14ac:dyDescent="0.35">
      <c r="K2223" s="4"/>
      <c r="AC2223" s="7">
        <v>2022</v>
      </c>
      <c r="AD2223" s="7">
        <v>4</v>
      </c>
      <c r="AE2223" s="7">
        <v>3</v>
      </c>
      <c r="AF2223" s="8">
        <v>0.54166666666666663</v>
      </c>
      <c r="AG2223" s="9">
        <v>4.7</v>
      </c>
      <c r="AH2223" s="10">
        <f t="shared" si="49"/>
        <v>5</v>
      </c>
    </row>
    <row r="2224" spans="11:34" ht="14.5" x14ac:dyDescent="0.35">
      <c r="K2224" s="4"/>
      <c r="AC2224" s="7">
        <v>2022</v>
      </c>
      <c r="AD2224" s="7">
        <v>4</v>
      </c>
      <c r="AE2224" s="7">
        <v>3</v>
      </c>
      <c r="AF2224" s="8">
        <v>0.58333333333333337</v>
      </c>
      <c r="AG2224" s="9">
        <v>5.7</v>
      </c>
      <c r="AH2224" s="10">
        <f t="shared" si="49"/>
        <v>6</v>
      </c>
    </row>
    <row r="2225" spans="11:34" ht="14.5" x14ac:dyDescent="0.35">
      <c r="K2225" s="4"/>
      <c r="AC2225" s="7">
        <v>2022</v>
      </c>
      <c r="AD2225" s="7">
        <v>4</v>
      </c>
      <c r="AE2225" s="7">
        <v>3</v>
      </c>
      <c r="AF2225" s="8">
        <v>0.625</v>
      </c>
      <c r="AG2225" s="9">
        <v>6.4</v>
      </c>
      <c r="AH2225" s="10">
        <f t="shared" si="49"/>
        <v>6</v>
      </c>
    </row>
    <row r="2226" spans="11:34" ht="14.5" x14ac:dyDescent="0.35">
      <c r="K2226" s="4"/>
      <c r="AC2226" s="7">
        <v>2022</v>
      </c>
      <c r="AD2226" s="7">
        <v>4</v>
      </c>
      <c r="AE2226" s="7">
        <v>3</v>
      </c>
      <c r="AF2226" s="8">
        <v>0.66666666666666663</v>
      </c>
      <c r="AG2226" s="9">
        <v>6.7</v>
      </c>
      <c r="AH2226" s="10">
        <f t="shared" si="49"/>
        <v>7</v>
      </c>
    </row>
    <row r="2227" spans="11:34" ht="14.5" x14ac:dyDescent="0.35">
      <c r="K2227" s="4"/>
      <c r="AC2227" s="7">
        <v>2022</v>
      </c>
      <c r="AD2227" s="7">
        <v>4</v>
      </c>
      <c r="AE2227" s="7">
        <v>3</v>
      </c>
      <c r="AF2227" s="8">
        <v>0.70833333333333337</v>
      </c>
      <c r="AG2227" s="9">
        <v>8.6999999999999993</v>
      </c>
      <c r="AH2227" s="10">
        <f t="shared" si="49"/>
        <v>9</v>
      </c>
    </row>
    <row r="2228" spans="11:34" ht="14.5" x14ac:dyDescent="0.35">
      <c r="K2228" s="4"/>
      <c r="AC2228" s="7">
        <v>2022</v>
      </c>
      <c r="AD2228" s="7">
        <v>4</v>
      </c>
      <c r="AE2228" s="7">
        <v>3</v>
      </c>
      <c r="AF2228" s="8">
        <v>0.75</v>
      </c>
      <c r="AG2228" s="9">
        <v>9.1</v>
      </c>
      <c r="AH2228" s="10">
        <f t="shared" si="49"/>
        <v>9</v>
      </c>
    </row>
    <row r="2229" spans="11:34" ht="14.5" x14ac:dyDescent="0.35">
      <c r="K2229" s="4"/>
      <c r="AC2229" s="7">
        <v>2022</v>
      </c>
      <c r="AD2229" s="7">
        <v>4</v>
      </c>
      <c r="AE2229" s="7">
        <v>3</v>
      </c>
      <c r="AF2229" s="8">
        <v>0.79166666666666663</v>
      </c>
      <c r="AG2229" s="9">
        <v>7.7</v>
      </c>
      <c r="AH2229" s="10">
        <f t="shared" si="49"/>
        <v>8</v>
      </c>
    </row>
    <row r="2230" spans="11:34" ht="14.5" x14ac:dyDescent="0.35">
      <c r="K2230" s="4"/>
      <c r="AC2230" s="7">
        <v>2022</v>
      </c>
      <c r="AD2230" s="7">
        <v>4</v>
      </c>
      <c r="AE2230" s="7">
        <v>3</v>
      </c>
      <c r="AF2230" s="8">
        <v>0.83333333333333337</v>
      </c>
      <c r="AG2230" s="9">
        <v>3.8</v>
      </c>
      <c r="AH2230" s="10">
        <f t="shared" si="49"/>
        <v>4</v>
      </c>
    </row>
    <row r="2231" spans="11:34" ht="14.5" x14ac:dyDescent="0.35">
      <c r="K2231" s="4"/>
      <c r="AC2231" s="7">
        <v>2022</v>
      </c>
      <c r="AD2231" s="7">
        <v>4</v>
      </c>
      <c r="AE2231" s="7">
        <v>3</v>
      </c>
      <c r="AF2231" s="8">
        <v>0.875</v>
      </c>
      <c r="AG2231" s="9">
        <v>1.9</v>
      </c>
      <c r="AH2231" s="10">
        <f t="shared" si="49"/>
        <v>2</v>
      </c>
    </row>
    <row r="2232" spans="11:34" ht="14.5" x14ac:dyDescent="0.35">
      <c r="K2232" s="4"/>
      <c r="AC2232" s="7">
        <v>2022</v>
      </c>
      <c r="AD2232" s="7">
        <v>4</v>
      </c>
      <c r="AE2232" s="7">
        <v>3</v>
      </c>
      <c r="AF2232" s="8">
        <v>0.91666666666666663</v>
      </c>
      <c r="AG2232" s="9">
        <v>2.5</v>
      </c>
      <c r="AH2232" s="10">
        <f t="shared" si="49"/>
        <v>3</v>
      </c>
    </row>
    <row r="2233" spans="11:34" ht="14.5" x14ac:dyDescent="0.35">
      <c r="K2233" s="4"/>
      <c r="AC2233" s="7">
        <v>2022</v>
      </c>
      <c r="AD2233" s="7">
        <v>4</v>
      </c>
      <c r="AE2233" s="7">
        <v>3</v>
      </c>
      <c r="AF2233" s="8">
        <v>0.95833333333333337</v>
      </c>
      <c r="AG2233" s="9">
        <v>1.8</v>
      </c>
      <c r="AH2233" s="10">
        <f t="shared" si="49"/>
        <v>2</v>
      </c>
    </row>
    <row r="2234" spans="11:34" ht="14.5" x14ac:dyDescent="0.35">
      <c r="K2234" s="4"/>
      <c r="AC2234" s="7">
        <v>2022</v>
      </c>
      <c r="AD2234" s="7">
        <v>4</v>
      </c>
      <c r="AE2234" s="7">
        <v>4</v>
      </c>
      <c r="AF2234" s="8">
        <v>0</v>
      </c>
      <c r="AG2234" s="9">
        <v>2.2000000000000002</v>
      </c>
      <c r="AH2234" s="10">
        <f t="shared" si="49"/>
        <v>2</v>
      </c>
    </row>
    <row r="2235" spans="11:34" ht="14.5" x14ac:dyDescent="0.35">
      <c r="K2235" s="4"/>
      <c r="AC2235" s="7">
        <v>2022</v>
      </c>
      <c r="AD2235" s="7">
        <v>4</v>
      </c>
      <c r="AE2235" s="7">
        <v>4</v>
      </c>
      <c r="AF2235" s="8">
        <v>4.1666666666666664E-2</v>
      </c>
      <c r="AG2235" s="9">
        <v>1.5</v>
      </c>
      <c r="AH2235" s="10">
        <f t="shared" si="49"/>
        <v>2</v>
      </c>
    </row>
    <row r="2236" spans="11:34" ht="14.5" x14ac:dyDescent="0.35">
      <c r="K2236" s="4"/>
      <c r="AC2236" s="7">
        <v>2022</v>
      </c>
      <c r="AD2236" s="7">
        <v>4</v>
      </c>
      <c r="AE2236" s="7">
        <v>4</v>
      </c>
      <c r="AF2236" s="8">
        <v>8.3333333333333329E-2</v>
      </c>
      <c r="AG2236" s="9">
        <v>2</v>
      </c>
      <c r="AH2236" s="10">
        <f t="shared" si="49"/>
        <v>2</v>
      </c>
    </row>
    <row r="2237" spans="11:34" ht="14.5" x14ac:dyDescent="0.35">
      <c r="K2237" s="4"/>
      <c r="AC2237" s="7">
        <v>2022</v>
      </c>
      <c r="AD2237" s="7">
        <v>4</v>
      </c>
      <c r="AE2237" s="7">
        <v>4</v>
      </c>
      <c r="AF2237" s="8">
        <v>0.125</v>
      </c>
      <c r="AG2237" s="9">
        <v>2.1</v>
      </c>
      <c r="AH2237" s="10">
        <f t="shared" si="49"/>
        <v>2</v>
      </c>
    </row>
    <row r="2238" spans="11:34" ht="14.5" x14ac:dyDescent="0.35">
      <c r="K2238" s="4"/>
      <c r="AC2238" s="7">
        <v>2022</v>
      </c>
      <c r="AD2238" s="7">
        <v>4</v>
      </c>
      <c r="AE2238" s="7">
        <v>4</v>
      </c>
      <c r="AF2238" s="8">
        <v>0.16666666666666666</v>
      </c>
      <c r="AG2238" s="9">
        <v>2.4</v>
      </c>
      <c r="AH2238" s="10">
        <f t="shared" si="49"/>
        <v>2</v>
      </c>
    </row>
    <row r="2239" spans="11:34" ht="14.5" x14ac:dyDescent="0.35">
      <c r="K2239" s="4"/>
      <c r="AC2239" s="7">
        <v>2022</v>
      </c>
      <c r="AD2239" s="7">
        <v>4</v>
      </c>
      <c r="AE2239" s="7">
        <v>4</v>
      </c>
      <c r="AF2239" s="8">
        <v>0.20833333333333334</v>
      </c>
      <c r="AG2239" s="9">
        <v>2.8</v>
      </c>
      <c r="AH2239" s="10">
        <f t="shared" si="49"/>
        <v>3</v>
      </c>
    </row>
    <row r="2240" spans="11:34" ht="14.5" x14ac:dyDescent="0.35">
      <c r="K2240" s="4"/>
      <c r="AC2240" s="7">
        <v>2022</v>
      </c>
      <c r="AD2240" s="7">
        <v>4</v>
      </c>
      <c r="AE2240" s="7">
        <v>4</v>
      </c>
      <c r="AF2240" s="8">
        <v>0.25</v>
      </c>
      <c r="AG2240" s="9">
        <v>4.0999999999999996</v>
      </c>
      <c r="AH2240" s="10">
        <f t="shared" si="49"/>
        <v>4</v>
      </c>
    </row>
    <row r="2241" spans="11:34" ht="14.5" x14ac:dyDescent="0.35">
      <c r="K2241" s="4"/>
      <c r="AC2241" s="7">
        <v>2022</v>
      </c>
      <c r="AD2241" s="7">
        <v>4</v>
      </c>
      <c r="AE2241" s="7">
        <v>4</v>
      </c>
      <c r="AF2241" s="8">
        <v>0.29166666666666669</v>
      </c>
      <c r="AG2241" s="9">
        <v>3.4</v>
      </c>
      <c r="AH2241" s="10">
        <f t="shared" si="49"/>
        <v>3</v>
      </c>
    </row>
    <row r="2242" spans="11:34" ht="14.5" x14ac:dyDescent="0.35">
      <c r="K2242" s="4"/>
      <c r="AC2242" s="7">
        <v>2022</v>
      </c>
      <c r="AD2242" s="7">
        <v>4</v>
      </c>
      <c r="AE2242" s="7">
        <v>4</v>
      </c>
      <c r="AF2242" s="8">
        <v>0.33333333333333331</v>
      </c>
      <c r="AG2242" s="9">
        <v>3.5</v>
      </c>
      <c r="AH2242" s="10">
        <f t="shared" si="49"/>
        <v>4</v>
      </c>
    </row>
    <row r="2243" spans="11:34" ht="14.5" x14ac:dyDescent="0.35">
      <c r="K2243" s="4"/>
      <c r="AC2243" s="7">
        <v>2022</v>
      </c>
      <c r="AD2243" s="7">
        <v>4</v>
      </c>
      <c r="AE2243" s="7">
        <v>4</v>
      </c>
      <c r="AF2243" s="8">
        <v>0.375</v>
      </c>
      <c r="AG2243" s="9">
        <v>5.2</v>
      </c>
      <c r="AH2243" s="10">
        <f t="shared" si="49"/>
        <v>5</v>
      </c>
    </row>
    <row r="2244" spans="11:34" ht="14.5" x14ac:dyDescent="0.35">
      <c r="K2244" s="4"/>
      <c r="AC2244" s="7">
        <v>2022</v>
      </c>
      <c r="AD2244" s="7">
        <v>4</v>
      </c>
      <c r="AE2244" s="7">
        <v>4</v>
      </c>
      <c r="AF2244" s="8">
        <v>0.41666666666666669</v>
      </c>
      <c r="AG2244" s="9">
        <v>7.6</v>
      </c>
      <c r="AH2244" s="10">
        <f t="shared" si="49"/>
        <v>8</v>
      </c>
    </row>
    <row r="2245" spans="11:34" ht="14.5" x14ac:dyDescent="0.35">
      <c r="K2245" s="4"/>
      <c r="AC2245" s="7">
        <v>2022</v>
      </c>
      <c r="AD2245" s="7">
        <v>4</v>
      </c>
      <c r="AE2245" s="7">
        <v>4</v>
      </c>
      <c r="AF2245" s="8">
        <v>0.45833333333333331</v>
      </c>
      <c r="AG2245" s="9">
        <v>11.2</v>
      </c>
      <c r="AH2245" s="10">
        <f t="shared" si="49"/>
        <v>11</v>
      </c>
    </row>
    <row r="2246" spans="11:34" ht="14.5" x14ac:dyDescent="0.35">
      <c r="K2246" s="4"/>
      <c r="AC2246" s="7">
        <v>2022</v>
      </c>
      <c r="AD2246" s="7">
        <v>4</v>
      </c>
      <c r="AE2246" s="7">
        <v>4</v>
      </c>
      <c r="AF2246" s="8">
        <v>0.5</v>
      </c>
      <c r="AG2246" s="9">
        <v>12.3</v>
      </c>
      <c r="AH2246" s="10">
        <f t="shared" si="49"/>
        <v>12</v>
      </c>
    </row>
    <row r="2247" spans="11:34" ht="14.5" x14ac:dyDescent="0.35">
      <c r="K2247" s="4"/>
      <c r="AC2247" s="7">
        <v>2022</v>
      </c>
      <c r="AD2247" s="7">
        <v>4</v>
      </c>
      <c r="AE2247" s="7">
        <v>4</v>
      </c>
      <c r="AF2247" s="8">
        <v>0.54166666666666663</v>
      </c>
      <c r="AG2247" s="9">
        <v>13.1</v>
      </c>
      <c r="AH2247" s="10">
        <f t="shared" si="49"/>
        <v>13</v>
      </c>
    </row>
    <row r="2248" spans="11:34" ht="14.5" x14ac:dyDescent="0.35">
      <c r="K2248" s="4"/>
      <c r="AC2248" s="7">
        <v>2022</v>
      </c>
      <c r="AD2248" s="7">
        <v>4</v>
      </c>
      <c r="AE2248" s="7">
        <v>4</v>
      </c>
      <c r="AF2248" s="8">
        <v>0.58333333333333337</v>
      </c>
      <c r="AG2248" s="9">
        <v>12.6</v>
      </c>
      <c r="AH2248" s="10">
        <f t="shared" si="49"/>
        <v>13</v>
      </c>
    </row>
    <row r="2249" spans="11:34" ht="14.5" x14ac:dyDescent="0.35">
      <c r="K2249" s="4"/>
      <c r="AC2249" s="7">
        <v>2022</v>
      </c>
      <c r="AD2249" s="7">
        <v>4</v>
      </c>
      <c r="AE2249" s="7">
        <v>4</v>
      </c>
      <c r="AF2249" s="8">
        <v>0.625</v>
      </c>
      <c r="AG2249" s="9">
        <v>12.1</v>
      </c>
      <c r="AH2249" s="10">
        <f t="shared" si="49"/>
        <v>12</v>
      </c>
    </row>
    <row r="2250" spans="11:34" ht="14.5" x14ac:dyDescent="0.35">
      <c r="K2250" s="4"/>
      <c r="AC2250" s="7">
        <v>2022</v>
      </c>
      <c r="AD2250" s="7">
        <v>4</v>
      </c>
      <c r="AE2250" s="7">
        <v>4</v>
      </c>
      <c r="AF2250" s="8">
        <v>0.66666666666666663</v>
      </c>
      <c r="AG2250" s="9">
        <v>11</v>
      </c>
      <c r="AH2250" s="10">
        <f t="shared" si="49"/>
        <v>11</v>
      </c>
    </row>
    <row r="2251" spans="11:34" ht="14.5" x14ac:dyDescent="0.35">
      <c r="K2251" s="4"/>
      <c r="AC2251" s="7">
        <v>2022</v>
      </c>
      <c r="AD2251" s="7">
        <v>4</v>
      </c>
      <c r="AE2251" s="7">
        <v>4</v>
      </c>
      <c r="AF2251" s="8">
        <v>0.70833333333333337</v>
      </c>
      <c r="AG2251" s="9">
        <v>9.5</v>
      </c>
      <c r="AH2251" s="10">
        <f t="shared" ref="AH2251:AH2314" si="50">ROUND(AG2251,0)</f>
        <v>10</v>
      </c>
    </row>
    <row r="2252" spans="11:34" ht="14.5" x14ac:dyDescent="0.35">
      <c r="K2252" s="4"/>
      <c r="AC2252" s="7">
        <v>2022</v>
      </c>
      <c r="AD2252" s="7">
        <v>4</v>
      </c>
      <c r="AE2252" s="7">
        <v>4</v>
      </c>
      <c r="AF2252" s="8">
        <v>0.75</v>
      </c>
      <c r="AG2252" s="9">
        <v>8.3000000000000007</v>
      </c>
      <c r="AH2252" s="10">
        <f t="shared" si="50"/>
        <v>8</v>
      </c>
    </row>
    <row r="2253" spans="11:34" ht="14.5" x14ac:dyDescent="0.35">
      <c r="K2253" s="4"/>
      <c r="AC2253" s="7">
        <v>2022</v>
      </c>
      <c r="AD2253" s="7">
        <v>4</v>
      </c>
      <c r="AE2253" s="7">
        <v>4</v>
      </c>
      <c r="AF2253" s="8">
        <v>0.79166666666666663</v>
      </c>
      <c r="AG2253" s="9">
        <v>6.1</v>
      </c>
      <c r="AH2253" s="10">
        <f t="shared" si="50"/>
        <v>6</v>
      </c>
    </row>
    <row r="2254" spans="11:34" ht="14.5" x14ac:dyDescent="0.35">
      <c r="K2254" s="4"/>
      <c r="AC2254" s="7">
        <v>2022</v>
      </c>
      <c r="AD2254" s="7">
        <v>4</v>
      </c>
      <c r="AE2254" s="7">
        <v>4</v>
      </c>
      <c r="AF2254" s="8">
        <v>0.83333333333333337</v>
      </c>
      <c r="AG2254" s="9">
        <v>6</v>
      </c>
      <c r="AH2254" s="10">
        <f t="shared" si="50"/>
        <v>6</v>
      </c>
    </row>
    <row r="2255" spans="11:34" ht="14.5" x14ac:dyDescent="0.35">
      <c r="K2255" s="4"/>
      <c r="AC2255" s="7">
        <v>2022</v>
      </c>
      <c r="AD2255" s="7">
        <v>4</v>
      </c>
      <c r="AE2255" s="7">
        <v>4</v>
      </c>
      <c r="AF2255" s="8">
        <v>0.875</v>
      </c>
      <c r="AG2255" s="9">
        <v>5.4</v>
      </c>
      <c r="AH2255" s="10">
        <f t="shared" si="50"/>
        <v>5</v>
      </c>
    </row>
    <row r="2256" spans="11:34" ht="14.5" x14ac:dyDescent="0.35">
      <c r="K2256" s="4"/>
      <c r="AC2256" s="7">
        <v>2022</v>
      </c>
      <c r="AD2256" s="7">
        <v>4</v>
      </c>
      <c r="AE2256" s="7">
        <v>4</v>
      </c>
      <c r="AF2256" s="8">
        <v>0.91666666666666663</v>
      </c>
      <c r="AG2256" s="9">
        <v>5.3</v>
      </c>
      <c r="AH2256" s="10">
        <f t="shared" si="50"/>
        <v>5</v>
      </c>
    </row>
    <row r="2257" spans="11:34" ht="14.5" x14ac:dyDescent="0.35">
      <c r="K2257" s="4"/>
      <c r="AC2257" s="7">
        <v>2022</v>
      </c>
      <c r="AD2257" s="7">
        <v>4</v>
      </c>
      <c r="AE2257" s="7">
        <v>4</v>
      </c>
      <c r="AF2257" s="8">
        <v>0.95833333333333337</v>
      </c>
      <c r="AG2257" s="9">
        <v>4.9000000000000004</v>
      </c>
      <c r="AH2257" s="10">
        <f t="shared" si="50"/>
        <v>5</v>
      </c>
    </row>
    <row r="2258" spans="11:34" ht="14.5" x14ac:dyDescent="0.35">
      <c r="K2258" s="4"/>
      <c r="AC2258" s="7">
        <v>2022</v>
      </c>
      <c r="AD2258" s="7">
        <v>4</v>
      </c>
      <c r="AE2258" s="7">
        <v>5</v>
      </c>
      <c r="AF2258" s="8">
        <v>0</v>
      </c>
      <c r="AG2258" s="9">
        <v>4.5999999999999996</v>
      </c>
      <c r="AH2258" s="10">
        <f t="shared" si="50"/>
        <v>5</v>
      </c>
    </row>
    <row r="2259" spans="11:34" ht="14.5" x14ac:dyDescent="0.35">
      <c r="K2259" s="4"/>
      <c r="AC2259" s="7">
        <v>2022</v>
      </c>
      <c r="AD2259" s="7">
        <v>4</v>
      </c>
      <c r="AE2259" s="7">
        <v>5</v>
      </c>
      <c r="AF2259" s="8">
        <v>4.1666666666666664E-2</v>
      </c>
      <c r="AG2259" s="9">
        <v>3.7</v>
      </c>
      <c r="AH2259" s="10">
        <f t="shared" si="50"/>
        <v>4</v>
      </c>
    </row>
    <row r="2260" spans="11:34" ht="14.5" x14ac:dyDescent="0.35">
      <c r="K2260" s="4"/>
      <c r="AC2260" s="7">
        <v>2022</v>
      </c>
      <c r="AD2260" s="7">
        <v>4</v>
      </c>
      <c r="AE2260" s="7">
        <v>5</v>
      </c>
      <c r="AF2260" s="8">
        <v>8.3333333333333329E-2</v>
      </c>
      <c r="AG2260" s="9">
        <v>3.2</v>
      </c>
      <c r="AH2260" s="10">
        <f t="shared" si="50"/>
        <v>3</v>
      </c>
    </row>
    <row r="2261" spans="11:34" ht="14.5" x14ac:dyDescent="0.35">
      <c r="K2261" s="4"/>
      <c r="AC2261" s="7">
        <v>2022</v>
      </c>
      <c r="AD2261" s="7">
        <v>4</v>
      </c>
      <c r="AE2261" s="7">
        <v>5</v>
      </c>
      <c r="AF2261" s="8">
        <v>0.125</v>
      </c>
      <c r="AG2261" s="9">
        <v>3.8</v>
      </c>
      <c r="AH2261" s="10">
        <f t="shared" si="50"/>
        <v>4</v>
      </c>
    </row>
    <row r="2262" spans="11:34" ht="14.5" x14ac:dyDescent="0.35">
      <c r="K2262" s="4"/>
      <c r="AC2262" s="7">
        <v>2022</v>
      </c>
      <c r="AD2262" s="7">
        <v>4</v>
      </c>
      <c r="AE2262" s="7">
        <v>5</v>
      </c>
      <c r="AF2262" s="8">
        <v>0.16666666666666666</v>
      </c>
      <c r="AG2262" s="9">
        <v>1.7</v>
      </c>
      <c r="AH2262" s="10">
        <f t="shared" si="50"/>
        <v>2</v>
      </c>
    </row>
    <row r="2263" spans="11:34" ht="14.5" x14ac:dyDescent="0.35">
      <c r="K2263" s="4"/>
      <c r="AC2263" s="7">
        <v>2022</v>
      </c>
      <c r="AD2263" s="7">
        <v>4</v>
      </c>
      <c r="AE2263" s="7">
        <v>5</v>
      </c>
      <c r="AF2263" s="8">
        <v>0.20833333333333334</v>
      </c>
      <c r="AG2263" s="9">
        <v>1.3</v>
      </c>
      <c r="AH2263" s="10">
        <f t="shared" si="50"/>
        <v>1</v>
      </c>
    </row>
    <row r="2264" spans="11:34" ht="14.5" x14ac:dyDescent="0.35">
      <c r="K2264" s="4"/>
      <c r="AC2264" s="7">
        <v>2022</v>
      </c>
      <c r="AD2264" s="7">
        <v>4</v>
      </c>
      <c r="AE2264" s="7">
        <v>5</v>
      </c>
      <c r="AF2264" s="8">
        <v>0.25</v>
      </c>
      <c r="AG2264" s="9">
        <v>3.1</v>
      </c>
      <c r="AH2264" s="10">
        <f t="shared" si="50"/>
        <v>3</v>
      </c>
    </row>
    <row r="2265" spans="11:34" ht="14.5" x14ac:dyDescent="0.35">
      <c r="K2265" s="4"/>
      <c r="AC2265" s="7">
        <v>2022</v>
      </c>
      <c r="AD2265" s="7">
        <v>4</v>
      </c>
      <c r="AE2265" s="7">
        <v>5</v>
      </c>
      <c r="AF2265" s="8">
        <v>0.29166666666666669</v>
      </c>
      <c r="AG2265" s="9">
        <v>3.7</v>
      </c>
      <c r="AH2265" s="10">
        <f t="shared" si="50"/>
        <v>4</v>
      </c>
    </row>
    <row r="2266" spans="11:34" ht="14.5" x14ac:dyDescent="0.35">
      <c r="K2266" s="4"/>
      <c r="AC2266" s="7">
        <v>2022</v>
      </c>
      <c r="AD2266" s="7">
        <v>4</v>
      </c>
      <c r="AE2266" s="7">
        <v>5</v>
      </c>
      <c r="AF2266" s="8">
        <v>0.33333333333333331</v>
      </c>
      <c r="AG2266" s="9">
        <v>3.3</v>
      </c>
      <c r="AH2266" s="10">
        <f t="shared" si="50"/>
        <v>3</v>
      </c>
    </row>
    <row r="2267" spans="11:34" ht="14.5" x14ac:dyDescent="0.35">
      <c r="K2267" s="4"/>
      <c r="AC2267" s="7">
        <v>2022</v>
      </c>
      <c r="AD2267" s="7">
        <v>4</v>
      </c>
      <c r="AE2267" s="7">
        <v>5</v>
      </c>
      <c r="AF2267" s="8">
        <v>0.375</v>
      </c>
      <c r="AG2267" s="9">
        <v>4.7</v>
      </c>
      <c r="AH2267" s="10">
        <f t="shared" si="50"/>
        <v>5</v>
      </c>
    </row>
    <row r="2268" spans="11:34" ht="14.5" x14ac:dyDescent="0.35">
      <c r="K2268" s="4"/>
      <c r="AC2268" s="7">
        <v>2022</v>
      </c>
      <c r="AD2268" s="7">
        <v>4</v>
      </c>
      <c r="AE2268" s="7">
        <v>5</v>
      </c>
      <c r="AF2268" s="8">
        <v>0.41666666666666669</v>
      </c>
      <c r="AG2268" s="9">
        <v>5.7</v>
      </c>
      <c r="AH2268" s="10">
        <f t="shared" si="50"/>
        <v>6</v>
      </c>
    </row>
    <row r="2269" spans="11:34" ht="14.5" x14ac:dyDescent="0.35">
      <c r="K2269" s="4"/>
      <c r="AC2269" s="7">
        <v>2022</v>
      </c>
      <c r="AD2269" s="7">
        <v>4</v>
      </c>
      <c r="AE2269" s="7">
        <v>5</v>
      </c>
      <c r="AF2269" s="8">
        <v>0.45833333333333331</v>
      </c>
      <c r="AG2269" s="9">
        <v>7.3</v>
      </c>
      <c r="AH2269" s="10">
        <f t="shared" si="50"/>
        <v>7</v>
      </c>
    </row>
    <row r="2270" spans="11:34" ht="14.5" x14ac:dyDescent="0.35">
      <c r="K2270" s="4"/>
      <c r="AC2270" s="7">
        <v>2022</v>
      </c>
      <c r="AD2270" s="7">
        <v>4</v>
      </c>
      <c r="AE2270" s="7">
        <v>5</v>
      </c>
      <c r="AF2270" s="8">
        <v>0.5</v>
      </c>
      <c r="AG2270" s="9">
        <v>7.9</v>
      </c>
      <c r="AH2270" s="10">
        <f t="shared" si="50"/>
        <v>8</v>
      </c>
    </row>
    <row r="2271" spans="11:34" ht="14.5" x14ac:dyDescent="0.35">
      <c r="K2271" s="4"/>
      <c r="AC2271" s="7">
        <v>2022</v>
      </c>
      <c r="AD2271" s="7">
        <v>4</v>
      </c>
      <c r="AE2271" s="7">
        <v>5</v>
      </c>
      <c r="AF2271" s="8">
        <v>0.54166666666666663</v>
      </c>
      <c r="AG2271" s="9">
        <v>7.7</v>
      </c>
      <c r="AH2271" s="10">
        <f t="shared" si="50"/>
        <v>8</v>
      </c>
    </row>
    <row r="2272" spans="11:34" ht="14.5" x14ac:dyDescent="0.35">
      <c r="K2272" s="4"/>
      <c r="AC2272" s="7">
        <v>2022</v>
      </c>
      <c r="AD2272" s="7">
        <v>4</v>
      </c>
      <c r="AE2272" s="7">
        <v>5</v>
      </c>
      <c r="AF2272" s="8">
        <v>0.58333333333333337</v>
      </c>
      <c r="AG2272" s="9">
        <v>8.8000000000000007</v>
      </c>
      <c r="AH2272" s="10">
        <f t="shared" si="50"/>
        <v>9</v>
      </c>
    </row>
    <row r="2273" spans="11:34" ht="14.5" x14ac:dyDescent="0.35">
      <c r="K2273" s="4"/>
      <c r="AC2273" s="7">
        <v>2022</v>
      </c>
      <c r="AD2273" s="7">
        <v>4</v>
      </c>
      <c r="AE2273" s="7">
        <v>5</v>
      </c>
      <c r="AF2273" s="8">
        <v>0.625</v>
      </c>
      <c r="AG2273" s="9">
        <v>8.8000000000000007</v>
      </c>
      <c r="AH2273" s="10">
        <f t="shared" si="50"/>
        <v>9</v>
      </c>
    </row>
    <row r="2274" spans="11:34" ht="14.5" x14ac:dyDescent="0.35">
      <c r="K2274" s="4"/>
      <c r="AC2274" s="7">
        <v>2022</v>
      </c>
      <c r="AD2274" s="7">
        <v>4</v>
      </c>
      <c r="AE2274" s="7">
        <v>5</v>
      </c>
      <c r="AF2274" s="8">
        <v>0.66666666666666663</v>
      </c>
      <c r="AG2274" s="9">
        <v>7.9</v>
      </c>
      <c r="AH2274" s="10">
        <f t="shared" si="50"/>
        <v>8</v>
      </c>
    </row>
    <row r="2275" spans="11:34" ht="14.5" x14ac:dyDescent="0.35">
      <c r="K2275" s="4"/>
      <c r="AC2275" s="7">
        <v>2022</v>
      </c>
      <c r="AD2275" s="7">
        <v>4</v>
      </c>
      <c r="AE2275" s="7">
        <v>5</v>
      </c>
      <c r="AF2275" s="8">
        <v>0.70833333333333337</v>
      </c>
      <c r="AG2275" s="9">
        <v>8.9</v>
      </c>
      <c r="AH2275" s="10">
        <f t="shared" si="50"/>
        <v>9</v>
      </c>
    </row>
    <row r="2276" spans="11:34" ht="14.5" x14ac:dyDescent="0.35">
      <c r="K2276" s="4"/>
      <c r="AC2276" s="7">
        <v>2022</v>
      </c>
      <c r="AD2276" s="7">
        <v>4</v>
      </c>
      <c r="AE2276" s="7">
        <v>5</v>
      </c>
      <c r="AF2276" s="8">
        <v>0.75</v>
      </c>
      <c r="AG2276" s="9">
        <v>8.3000000000000007</v>
      </c>
      <c r="AH2276" s="10">
        <f t="shared" si="50"/>
        <v>8</v>
      </c>
    </row>
    <row r="2277" spans="11:34" ht="14.5" x14ac:dyDescent="0.35">
      <c r="K2277" s="4"/>
      <c r="AC2277" s="7">
        <v>2022</v>
      </c>
      <c r="AD2277" s="7">
        <v>4</v>
      </c>
      <c r="AE2277" s="7">
        <v>5</v>
      </c>
      <c r="AF2277" s="8">
        <v>0.79166666666666663</v>
      </c>
      <c r="AG2277" s="9">
        <v>6.2</v>
      </c>
      <c r="AH2277" s="10">
        <f t="shared" si="50"/>
        <v>6</v>
      </c>
    </row>
    <row r="2278" spans="11:34" ht="14.5" x14ac:dyDescent="0.35">
      <c r="K2278" s="4"/>
      <c r="AC2278" s="7">
        <v>2022</v>
      </c>
      <c r="AD2278" s="7">
        <v>4</v>
      </c>
      <c r="AE2278" s="7">
        <v>5</v>
      </c>
      <c r="AF2278" s="8">
        <v>0.83333333333333337</v>
      </c>
      <c r="AG2278" s="9">
        <v>5.2</v>
      </c>
      <c r="AH2278" s="10">
        <f t="shared" si="50"/>
        <v>5</v>
      </c>
    </row>
    <row r="2279" spans="11:34" ht="14.5" x14ac:dyDescent="0.35">
      <c r="K2279" s="4"/>
      <c r="AC2279" s="7">
        <v>2022</v>
      </c>
      <c r="AD2279" s="7">
        <v>4</v>
      </c>
      <c r="AE2279" s="7">
        <v>5</v>
      </c>
      <c r="AF2279" s="8">
        <v>0.875</v>
      </c>
      <c r="AG2279" s="9">
        <v>4.5</v>
      </c>
      <c r="AH2279" s="10">
        <f t="shared" si="50"/>
        <v>5</v>
      </c>
    </row>
    <row r="2280" spans="11:34" ht="14.5" x14ac:dyDescent="0.35">
      <c r="K2280" s="4"/>
      <c r="AC2280" s="7">
        <v>2022</v>
      </c>
      <c r="AD2280" s="7">
        <v>4</v>
      </c>
      <c r="AE2280" s="7">
        <v>5</v>
      </c>
      <c r="AF2280" s="8">
        <v>0.91666666666666663</v>
      </c>
      <c r="AG2280" s="9">
        <v>3.5</v>
      </c>
      <c r="AH2280" s="10">
        <f t="shared" si="50"/>
        <v>4</v>
      </c>
    </row>
    <row r="2281" spans="11:34" ht="14.5" x14ac:dyDescent="0.35">
      <c r="K2281" s="4"/>
      <c r="AC2281" s="7">
        <v>2022</v>
      </c>
      <c r="AD2281" s="7">
        <v>4</v>
      </c>
      <c r="AE2281" s="7">
        <v>5</v>
      </c>
      <c r="AF2281" s="8">
        <v>0.95833333333333337</v>
      </c>
      <c r="AG2281" s="9">
        <v>2.9</v>
      </c>
      <c r="AH2281" s="10">
        <f t="shared" si="50"/>
        <v>3</v>
      </c>
    </row>
    <row r="2282" spans="11:34" ht="14.5" x14ac:dyDescent="0.35">
      <c r="K2282" s="4"/>
      <c r="AC2282" s="7">
        <v>2022</v>
      </c>
      <c r="AD2282" s="7">
        <v>4</v>
      </c>
      <c r="AE2282" s="7">
        <v>6</v>
      </c>
      <c r="AF2282" s="8">
        <v>0</v>
      </c>
      <c r="AG2282" s="9">
        <v>0.5</v>
      </c>
      <c r="AH2282" s="10">
        <f t="shared" si="50"/>
        <v>1</v>
      </c>
    </row>
    <row r="2283" spans="11:34" ht="14.5" x14ac:dyDescent="0.35">
      <c r="K2283" s="4"/>
      <c r="AC2283" s="7">
        <v>2022</v>
      </c>
      <c r="AD2283" s="7">
        <v>4</v>
      </c>
      <c r="AE2283" s="7">
        <v>6</v>
      </c>
      <c r="AF2283" s="8">
        <v>4.1666666666666664E-2</v>
      </c>
      <c r="AG2283" s="9">
        <v>-1.4</v>
      </c>
      <c r="AH2283" s="10">
        <f t="shared" si="50"/>
        <v>-1</v>
      </c>
    </row>
    <row r="2284" spans="11:34" ht="14.5" x14ac:dyDescent="0.35">
      <c r="K2284" s="4"/>
      <c r="AC2284" s="7">
        <v>2022</v>
      </c>
      <c r="AD2284" s="7">
        <v>4</v>
      </c>
      <c r="AE2284" s="7">
        <v>6</v>
      </c>
      <c r="AF2284" s="8">
        <v>8.3333333333333329E-2</v>
      </c>
      <c r="AG2284" s="9">
        <v>1.6</v>
      </c>
      <c r="AH2284" s="10">
        <f t="shared" si="50"/>
        <v>2</v>
      </c>
    </row>
    <row r="2285" spans="11:34" ht="14.5" x14ac:dyDescent="0.35">
      <c r="K2285" s="4"/>
      <c r="AC2285" s="7">
        <v>2022</v>
      </c>
      <c r="AD2285" s="7">
        <v>4</v>
      </c>
      <c r="AE2285" s="7">
        <v>6</v>
      </c>
      <c r="AF2285" s="8">
        <v>0.125</v>
      </c>
      <c r="AG2285" s="9">
        <v>2.2000000000000002</v>
      </c>
      <c r="AH2285" s="10">
        <f t="shared" si="50"/>
        <v>2</v>
      </c>
    </row>
    <row r="2286" spans="11:34" ht="14.5" x14ac:dyDescent="0.35">
      <c r="K2286" s="4"/>
      <c r="AC2286" s="7">
        <v>2022</v>
      </c>
      <c r="AD2286" s="7">
        <v>4</v>
      </c>
      <c r="AE2286" s="7">
        <v>6</v>
      </c>
      <c r="AF2286" s="8">
        <v>0.16666666666666666</v>
      </c>
      <c r="AG2286" s="9">
        <v>1</v>
      </c>
      <c r="AH2286" s="10">
        <f t="shared" si="50"/>
        <v>1</v>
      </c>
    </row>
    <row r="2287" spans="11:34" ht="14.5" x14ac:dyDescent="0.35">
      <c r="K2287" s="4"/>
      <c r="AC2287" s="7">
        <v>2022</v>
      </c>
      <c r="AD2287" s="7">
        <v>4</v>
      </c>
      <c r="AE2287" s="7">
        <v>6</v>
      </c>
      <c r="AF2287" s="8">
        <v>0.20833333333333334</v>
      </c>
      <c r="AG2287" s="9">
        <v>-2</v>
      </c>
      <c r="AH2287" s="10">
        <f t="shared" si="50"/>
        <v>-2</v>
      </c>
    </row>
    <row r="2288" spans="11:34" ht="14.5" x14ac:dyDescent="0.35">
      <c r="K2288" s="4"/>
      <c r="AC2288" s="7">
        <v>2022</v>
      </c>
      <c r="AD2288" s="7">
        <v>4</v>
      </c>
      <c r="AE2288" s="7">
        <v>6</v>
      </c>
      <c r="AF2288" s="8">
        <v>0.25</v>
      </c>
      <c r="AG2288" s="9">
        <v>-0.6</v>
      </c>
      <c r="AH2288" s="10">
        <f t="shared" si="50"/>
        <v>-1</v>
      </c>
    </row>
    <row r="2289" spans="11:34" ht="14.5" x14ac:dyDescent="0.35">
      <c r="K2289" s="4"/>
      <c r="AC2289" s="7">
        <v>2022</v>
      </c>
      <c r="AD2289" s="7">
        <v>4</v>
      </c>
      <c r="AE2289" s="7">
        <v>6</v>
      </c>
      <c r="AF2289" s="8">
        <v>0.29166666666666669</v>
      </c>
      <c r="AG2289" s="9">
        <v>0.4</v>
      </c>
      <c r="AH2289" s="10">
        <f t="shared" si="50"/>
        <v>0</v>
      </c>
    </row>
    <row r="2290" spans="11:34" ht="14.5" x14ac:dyDescent="0.35">
      <c r="K2290" s="4"/>
      <c r="AC2290" s="7">
        <v>2022</v>
      </c>
      <c r="AD2290" s="7">
        <v>4</v>
      </c>
      <c r="AE2290" s="7">
        <v>6</v>
      </c>
      <c r="AF2290" s="8">
        <v>0.33333333333333331</v>
      </c>
      <c r="AG2290" s="9">
        <v>3.4</v>
      </c>
      <c r="AH2290" s="10">
        <f t="shared" si="50"/>
        <v>3</v>
      </c>
    </row>
    <row r="2291" spans="11:34" ht="14.5" x14ac:dyDescent="0.35">
      <c r="K2291" s="4"/>
      <c r="AC2291" s="7">
        <v>2022</v>
      </c>
      <c r="AD2291" s="7">
        <v>4</v>
      </c>
      <c r="AE2291" s="7">
        <v>6</v>
      </c>
      <c r="AF2291" s="8">
        <v>0.375</v>
      </c>
      <c r="AG2291" s="9">
        <v>4.5999999999999996</v>
      </c>
      <c r="AH2291" s="10">
        <f t="shared" si="50"/>
        <v>5</v>
      </c>
    </row>
    <row r="2292" spans="11:34" ht="14.5" x14ac:dyDescent="0.35">
      <c r="K2292" s="4"/>
      <c r="AC2292" s="7">
        <v>2022</v>
      </c>
      <c r="AD2292" s="7">
        <v>4</v>
      </c>
      <c r="AE2292" s="7">
        <v>6</v>
      </c>
      <c r="AF2292" s="8">
        <v>0.41666666666666669</v>
      </c>
      <c r="AG2292" s="9">
        <v>4.7</v>
      </c>
      <c r="AH2292" s="10">
        <f t="shared" si="50"/>
        <v>5</v>
      </c>
    </row>
    <row r="2293" spans="11:34" ht="14.5" x14ac:dyDescent="0.35">
      <c r="K2293" s="4"/>
      <c r="AC2293" s="7">
        <v>2022</v>
      </c>
      <c r="AD2293" s="7">
        <v>4</v>
      </c>
      <c r="AE2293" s="7">
        <v>6</v>
      </c>
      <c r="AF2293" s="8">
        <v>0.45833333333333331</v>
      </c>
      <c r="AG2293" s="9">
        <v>6.7</v>
      </c>
      <c r="AH2293" s="10">
        <f t="shared" si="50"/>
        <v>7</v>
      </c>
    </row>
    <row r="2294" spans="11:34" ht="14.5" x14ac:dyDescent="0.35">
      <c r="K2294" s="4"/>
      <c r="AC2294" s="7">
        <v>2022</v>
      </c>
      <c r="AD2294" s="7">
        <v>4</v>
      </c>
      <c r="AE2294" s="7">
        <v>6</v>
      </c>
      <c r="AF2294" s="8">
        <v>0.5</v>
      </c>
      <c r="AG2294" s="9">
        <v>5.5</v>
      </c>
      <c r="AH2294" s="10">
        <f t="shared" si="50"/>
        <v>6</v>
      </c>
    </row>
    <row r="2295" spans="11:34" ht="14.5" x14ac:dyDescent="0.35">
      <c r="K2295" s="4"/>
      <c r="AC2295" s="7">
        <v>2022</v>
      </c>
      <c r="AD2295" s="7">
        <v>4</v>
      </c>
      <c r="AE2295" s="7">
        <v>6</v>
      </c>
      <c r="AF2295" s="8">
        <v>0.54166666666666663</v>
      </c>
      <c r="AG2295" s="9">
        <v>6.6</v>
      </c>
      <c r="AH2295" s="10">
        <f t="shared" si="50"/>
        <v>7</v>
      </c>
    </row>
    <row r="2296" spans="11:34" ht="14.5" x14ac:dyDescent="0.35">
      <c r="K2296" s="4"/>
      <c r="AC2296" s="7">
        <v>2022</v>
      </c>
      <c r="AD2296" s="7">
        <v>4</v>
      </c>
      <c r="AE2296" s="7">
        <v>6</v>
      </c>
      <c r="AF2296" s="8">
        <v>0.58333333333333337</v>
      </c>
      <c r="AG2296" s="9">
        <v>7.4</v>
      </c>
      <c r="AH2296" s="10">
        <f t="shared" si="50"/>
        <v>7</v>
      </c>
    </row>
    <row r="2297" spans="11:34" ht="14.5" x14ac:dyDescent="0.35">
      <c r="K2297" s="4"/>
      <c r="AC2297" s="7">
        <v>2022</v>
      </c>
      <c r="AD2297" s="7">
        <v>4</v>
      </c>
      <c r="AE2297" s="7">
        <v>6</v>
      </c>
      <c r="AF2297" s="8">
        <v>0.625</v>
      </c>
      <c r="AG2297" s="9">
        <v>8.1999999999999993</v>
      </c>
      <c r="AH2297" s="10">
        <f t="shared" si="50"/>
        <v>8</v>
      </c>
    </row>
    <row r="2298" spans="11:34" ht="14.5" x14ac:dyDescent="0.35">
      <c r="K2298" s="4"/>
      <c r="AC2298" s="7">
        <v>2022</v>
      </c>
      <c r="AD2298" s="7">
        <v>4</v>
      </c>
      <c r="AE2298" s="7">
        <v>6</v>
      </c>
      <c r="AF2298" s="8">
        <v>0.66666666666666663</v>
      </c>
      <c r="AG2298" s="9">
        <v>7.5</v>
      </c>
      <c r="AH2298" s="10">
        <f t="shared" si="50"/>
        <v>8</v>
      </c>
    </row>
    <row r="2299" spans="11:34" ht="14.5" x14ac:dyDescent="0.35">
      <c r="K2299" s="4"/>
      <c r="AC2299" s="7">
        <v>2022</v>
      </c>
      <c r="AD2299" s="7">
        <v>4</v>
      </c>
      <c r="AE2299" s="7">
        <v>6</v>
      </c>
      <c r="AF2299" s="8">
        <v>0.70833333333333337</v>
      </c>
      <c r="AG2299" s="9">
        <v>7.5</v>
      </c>
      <c r="AH2299" s="10">
        <f t="shared" si="50"/>
        <v>8</v>
      </c>
    </row>
    <row r="2300" spans="11:34" ht="14.5" x14ac:dyDescent="0.35">
      <c r="K2300" s="4"/>
      <c r="AC2300" s="7">
        <v>2022</v>
      </c>
      <c r="AD2300" s="7">
        <v>4</v>
      </c>
      <c r="AE2300" s="7">
        <v>6</v>
      </c>
      <c r="AF2300" s="8">
        <v>0.75</v>
      </c>
      <c r="AG2300" s="9">
        <v>7.2</v>
      </c>
      <c r="AH2300" s="10">
        <f t="shared" si="50"/>
        <v>7</v>
      </c>
    </row>
    <row r="2301" spans="11:34" ht="14.5" x14ac:dyDescent="0.35">
      <c r="K2301" s="4"/>
      <c r="AC2301" s="7">
        <v>2022</v>
      </c>
      <c r="AD2301" s="7">
        <v>4</v>
      </c>
      <c r="AE2301" s="7">
        <v>6</v>
      </c>
      <c r="AF2301" s="8">
        <v>0.79166666666666663</v>
      </c>
      <c r="AG2301" s="9">
        <v>5.0999999999999996</v>
      </c>
      <c r="AH2301" s="10">
        <f t="shared" si="50"/>
        <v>5</v>
      </c>
    </row>
    <row r="2302" spans="11:34" ht="14.5" x14ac:dyDescent="0.35">
      <c r="K2302" s="4"/>
      <c r="AC2302" s="7">
        <v>2022</v>
      </c>
      <c r="AD2302" s="7">
        <v>4</v>
      </c>
      <c r="AE2302" s="7">
        <v>6</v>
      </c>
      <c r="AF2302" s="8">
        <v>0.83333333333333337</v>
      </c>
      <c r="AG2302" s="9">
        <v>2</v>
      </c>
      <c r="AH2302" s="10">
        <f t="shared" si="50"/>
        <v>2</v>
      </c>
    </row>
    <row r="2303" spans="11:34" ht="14.5" x14ac:dyDescent="0.35">
      <c r="K2303" s="4"/>
      <c r="AC2303" s="7">
        <v>2022</v>
      </c>
      <c r="AD2303" s="7">
        <v>4</v>
      </c>
      <c r="AE2303" s="7">
        <v>6</v>
      </c>
      <c r="AF2303" s="8">
        <v>0.875</v>
      </c>
      <c r="AG2303" s="9">
        <v>-0.6</v>
      </c>
      <c r="AH2303" s="10">
        <f t="shared" si="50"/>
        <v>-1</v>
      </c>
    </row>
    <row r="2304" spans="11:34" ht="14.5" x14ac:dyDescent="0.35">
      <c r="K2304" s="4"/>
      <c r="AC2304" s="7">
        <v>2022</v>
      </c>
      <c r="AD2304" s="7">
        <v>4</v>
      </c>
      <c r="AE2304" s="7">
        <v>6</v>
      </c>
      <c r="AF2304" s="8">
        <v>0.91666666666666663</v>
      </c>
      <c r="AG2304" s="9">
        <v>-1.1000000000000001</v>
      </c>
      <c r="AH2304" s="10">
        <f t="shared" si="50"/>
        <v>-1</v>
      </c>
    </row>
    <row r="2305" spans="11:34" ht="14.5" x14ac:dyDescent="0.35">
      <c r="K2305" s="4"/>
      <c r="AC2305" s="7">
        <v>2022</v>
      </c>
      <c r="AD2305" s="7">
        <v>4</v>
      </c>
      <c r="AE2305" s="7">
        <v>6</v>
      </c>
      <c r="AF2305" s="8">
        <v>0.95833333333333337</v>
      </c>
      <c r="AG2305" s="9">
        <v>-1.9</v>
      </c>
      <c r="AH2305" s="10">
        <f t="shared" si="50"/>
        <v>-2</v>
      </c>
    </row>
    <row r="2306" spans="11:34" ht="14.5" x14ac:dyDescent="0.35">
      <c r="K2306" s="4"/>
      <c r="AC2306" s="7">
        <v>2022</v>
      </c>
      <c r="AD2306" s="7">
        <v>4</v>
      </c>
      <c r="AE2306" s="7">
        <v>7</v>
      </c>
      <c r="AF2306" s="8">
        <v>0</v>
      </c>
      <c r="AG2306" s="9">
        <v>-2.2000000000000002</v>
      </c>
      <c r="AH2306" s="10">
        <f t="shared" si="50"/>
        <v>-2</v>
      </c>
    </row>
    <row r="2307" spans="11:34" ht="14.5" x14ac:dyDescent="0.35">
      <c r="K2307" s="4"/>
      <c r="AC2307" s="7">
        <v>2022</v>
      </c>
      <c r="AD2307" s="7">
        <v>4</v>
      </c>
      <c r="AE2307" s="7">
        <v>7</v>
      </c>
      <c r="AF2307" s="8">
        <v>4.1666666666666664E-2</v>
      </c>
      <c r="AG2307" s="9">
        <v>-1.8</v>
      </c>
      <c r="AH2307" s="10">
        <f t="shared" si="50"/>
        <v>-2</v>
      </c>
    </row>
    <row r="2308" spans="11:34" ht="14.5" x14ac:dyDescent="0.35">
      <c r="K2308" s="4"/>
      <c r="AC2308" s="7">
        <v>2022</v>
      </c>
      <c r="AD2308" s="7">
        <v>4</v>
      </c>
      <c r="AE2308" s="7">
        <v>7</v>
      </c>
      <c r="AF2308" s="8">
        <v>8.3333333333333329E-2</v>
      </c>
      <c r="AG2308" s="9">
        <v>-2.2000000000000002</v>
      </c>
      <c r="AH2308" s="10">
        <f t="shared" si="50"/>
        <v>-2</v>
      </c>
    </row>
    <row r="2309" spans="11:34" ht="14.5" x14ac:dyDescent="0.35">
      <c r="K2309" s="4"/>
      <c r="AC2309" s="7">
        <v>2022</v>
      </c>
      <c r="AD2309" s="7">
        <v>4</v>
      </c>
      <c r="AE2309" s="7">
        <v>7</v>
      </c>
      <c r="AF2309" s="8">
        <v>0.125</v>
      </c>
      <c r="AG2309" s="9">
        <v>-2.4</v>
      </c>
      <c r="AH2309" s="10">
        <f t="shared" si="50"/>
        <v>-2</v>
      </c>
    </row>
    <row r="2310" spans="11:34" ht="14.5" x14ac:dyDescent="0.35">
      <c r="K2310" s="4"/>
      <c r="AC2310" s="7">
        <v>2022</v>
      </c>
      <c r="AD2310" s="7">
        <v>4</v>
      </c>
      <c r="AE2310" s="7">
        <v>7</v>
      </c>
      <c r="AF2310" s="8">
        <v>0.16666666666666666</v>
      </c>
      <c r="AG2310" s="9">
        <v>-3.5</v>
      </c>
      <c r="AH2310" s="10">
        <f t="shared" si="50"/>
        <v>-4</v>
      </c>
    </row>
    <row r="2311" spans="11:34" ht="14.5" x14ac:dyDescent="0.35">
      <c r="K2311" s="4"/>
      <c r="AC2311" s="7">
        <v>2022</v>
      </c>
      <c r="AD2311" s="7">
        <v>4</v>
      </c>
      <c r="AE2311" s="7">
        <v>7</v>
      </c>
      <c r="AF2311" s="8">
        <v>0.20833333333333334</v>
      </c>
      <c r="AG2311" s="9">
        <v>-3.7</v>
      </c>
      <c r="AH2311" s="10">
        <f t="shared" si="50"/>
        <v>-4</v>
      </c>
    </row>
    <row r="2312" spans="11:34" ht="14.5" x14ac:dyDescent="0.35">
      <c r="K2312" s="4"/>
      <c r="AC2312" s="7">
        <v>2022</v>
      </c>
      <c r="AD2312" s="7">
        <v>4</v>
      </c>
      <c r="AE2312" s="7">
        <v>7</v>
      </c>
      <c r="AF2312" s="8">
        <v>0.25</v>
      </c>
      <c r="AG2312" s="9">
        <v>-4.0999999999999996</v>
      </c>
      <c r="AH2312" s="10">
        <f t="shared" si="50"/>
        <v>-4</v>
      </c>
    </row>
    <row r="2313" spans="11:34" ht="14.5" x14ac:dyDescent="0.35">
      <c r="K2313" s="4"/>
      <c r="AC2313" s="7">
        <v>2022</v>
      </c>
      <c r="AD2313" s="7">
        <v>4</v>
      </c>
      <c r="AE2313" s="7">
        <v>7</v>
      </c>
      <c r="AF2313" s="8">
        <v>0.29166666666666669</v>
      </c>
      <c r="AG2313" s="9">
        <v>-2.1</v>
      </c>
      <c r="AH2313" s="10">
        <f t="shared" si="50"/>
        <v>-2</v>
      </c>
    </row>
    <row r="2314" spans="11:34" ht="14.5" x14ac:dyDescent="0.35">
      <c r="K2314" s="4"/>
      <c r="AC2314" s="7">
        <v>2022</v>
      </c>
      <c r="AD2314" s="7">
        <v>4</v>
      </c>
      <c r="AE2314" s="7">
        <v>7</v>
      </c>
      <c r="AF2314" s="8">
        <v>0.33333333333333331</v>
      </c>
      <c r="AG2314" s="9">
        <v>1.2</v>
      </c>
      <c r="AH2314" s="10">
        <f t="shared" si="50"/>
        <v>1</v>
      </c>
    </row>
    <row r="2315" spans="11:34" ht="14.5" x14ac:dyDescent="0.35">
      <c r="K2315" s="4"/>
      <c r="AC2315" s="7">
        <v>2022</v>
      </c>
      <c r="AD2315" s="7">
        <v>4</v>
      </c>
      <c r="AE2315" s="7">
        <v>7</v>
      </c>
      <c r="AF2315" s="8">
        <v>0.375</v>
      </c>
      <c r="AG2315" s="9">
        <v>3.7</v>
      </c>
      <c r="AH2315" s="10">
        <f t="shared" ref="AH2315:AH2378" si="51">ROUND(AG2315,0)</f>
        <v>4</v>
      </c>
    </row>
    <row r="2316" spans="11:34" ht="14.5" x14ac:dyDescent="0.35">
      <c r="K2316" s="4"/>
      <c r="AC2316" s="7">
        <v>2022</v>
      </c>
      <c r="AD2316" s="7">
        <v>4</v>
      </c>
      <c r="AE2316" s="7">
        <v>7</v>
      </c>
      <c r="AF2316" s="8">
        <v>0.41666666666666669</v>
      </c>
      <c r="AG2316" s="9">
        <v>6.1</v>
      </c>
      <c r="AH2316" s="10">
        <f t="shared" si="51"/>
        <v>6</v>
      </c>
    </row>
    <row r="2317" spans="11:34" ht="14.5" x14ac:dyDescent="0.35">
      <c r="K2317" s="4"/>
      <c r="AC2317" s="7">
        <v>2022</v>
      </c>
      <c r="AD2317" s="7">
        <v>4</v>
      </c>
      <c r="AE2317" s="7">
        <v>7</v>
      </c>
      <c r="AF2317" s="8">
        <v>0.45833333333333331</v>
      </c>
      <c r="AG2317" s="9">
        <v>9.1</v>
      </c>
      <c r="AH2317" s="10">
        <f t="shared" si="51"/>
        <v>9</v>
      </c>
    </row>
    <row r="2318" spans="11:34" ht="14.5" x14ac:dyDescent="0.35">
      <c r="K2318" s="4"/>
      <c r="AC2318" s="7">
        <v>2022</v>
      </c>
      <c r="AD2318" s="7">
        <v>4</v>
      </c>
      <c r="AE2318" s="7">
        <v>7</v>
      </c>
      <c r="AF2318" s="8">
        <v>0.5</v>
      </c>
      <c r="AG2318" s="9">
        <v>12</v>
      </c>
      <c r="AH2318" s="10">
        <f t="shared" si="51"/>
        <v>12</v>
      </c>
    </row>
    <row r="2319" spans="11:34" ht="14.5" x14ac:dyDescent="0.35">
      <c r="K2319" s="4"/>
      <c r="AC2319" s="7">
        <v>2022</v>
      </c>
      <c r="AD2319" s="7">
        <v>4</v>
      </c>
      <c r="AE2319" s="7">
        <v>7</v>
      </c>
      <c r="AF2319" s="8">
        <v>0.54166666666666663</v>
      </c>
      <c r="AG2319" s="9">
        <v>14.3</v>
      </c>
      <c r="AH2319" s="10">
        <f t="shared" si="51"/>
        <v>14</v>
      </c>
    </row>
    <row r="2320" spans="11:34" ht="14.5" x14ac:dyDescent="0.35">
      <c r="K2320" s="4"/>
      <c r="AC2320" s="7">
        <v>2022</v>
      </c>
      <c r="AD2320" s="7">
        <v>4</v>
      </c>
      <c r="AE2320" s="7">
        <v>7</v>
      </c>
      <c r="AF2320" s="8">
        <v>0.58333333333333337</v>
      </c>
      <c r="AG2320" s="9">
        <v>15.2</v>
      </c>
      <c r="AH2320" s="10">
        <f t="shared" si="51"/>
        <v>15</v>
      </c>
    </row>
    <row r="2321" spans="11:34" ht="14.5" x14ac:dyDescent="0.35">
      <c r="K2321" s="4"/>
      <c r="AC2321" s="7">
        <v>2022</v>
      </c>
      <c r="AD2321" s="7">
        <v>4</v>
      </c>
      <c r="AE2321" s="7">
        <v>7</v>
      </c>
      <c r="AF2321" s="8">
        <v>0.625</v>
      </c>
      <c r="AG2321" s="9">
        <v>16</v>
      </c>
      <c r="AH2321" s="10">
        <f t="shared" si="51"/>
        <v>16</v>
      </c>
    </row>
    <row r="2322" spans="11:34" ht="14.5" x14ac:dyDescent="0.35">
      <c r="K2322" s="4"/>
      <c r="AC2322" s="7">
        <v>2022</v>
      </c>
      <c r="AD2322" s="7">
        <v>4</v>
      </c>
      <c r="AE2322" s="7">
        <v>7</v>
      </c>
      <c r="AF2322" s="8">
        <v>0.66666666666666663</v>
      </c>
      <c r="AG2322" s="9">
        <v>16.5</v>
      </c>
      <c r="AH2322" s="10">
        <f t="shared" si="51"/>
        <v>17</v>
      </c>
    </row>
    <row r="2323" spans="11:34" ht="14.5" x14ac:dyDescent="0.35">
      <c r="K2323" s="4"/>
      <c r="AC2323" s="7">
        <v>2022</v>
      </c>
      <c r="AD2323" s="7">
        <v>4</v>
      </c>
      <c r="AE2323" s="7">
        <v>7</v>
      </c>
      <c r="AF2323" s="8">
        <v>0.70833333333333337</v>
      </c>
      <c r="AG2323" s="9">
        <v>16.399999999999999</v>
      </c>
      <c r="AH2323" s="10">
        <f t="shared" si="51"/>
        <v>16</v>
      </c>
    </row>
    <row r="2324" spans="11:34" ht="14.5" x14ac:dyDescent="0.35">
      <c r="K2324" s="4"/>
      <c r="AC2324" s="7">
        <v>2022</v>
      </c>
      <c r="AD2324" s="7">
        <v>4</v>
      </c>
      <c r="AE2324" s="7">
        <v>7</v>
      </c>
      <c r="AF2324" s="8">
        <v>0.75</v>
      </c>
      <c r="AG2324" s="9">
        <v>15.7</v>
      </c>
      <c r="AH2324" s="10">
        <f t="shared" si="51"/>
        <v>16</v>
      </c>
    </row>
    <row r="2325" spans="11:34" ht="14.5" x14ac:dyDescent="0.35">
      <c r="K2325" s="4"/>
      <c r="AC2325" s="7">
        <v>2022</v>
      </c>
      <c r="AD2325" s="7">
        <v>4</v>
      </c>
      <c r="AE2325" s="7">
        <v>7</v>
      </c>
      <c r="AF2325" s="8">
        <v>0.79166666666666663</v>
      </c>
      <c r="AG2325" s="9">
        <v>13.6</v>
      </c>
      <c r="AH2325" s="10">
        <f t="shared" si="51"/>
        <v>14</v>
      </c>
    </row>
    <row r="2326" spans="11:34" ht="14.5" x14ac:dyDescent="0.35">
      <c r="K2326" s="4"/>
      <c r="AC2326" s="7">
        <v>2022</v>
      </c>
      <c r="AD2326" s="7">
        <v>4</v>
      </c>
      <c r="AE2326" s="7">
        <v>7</v>
      </c>
      <c r="AF2326" s="8">
        <v>0.83333333333333337</v>
      </c>
      <c r="AG2326" s="9">
        <v>12.1</v>
      </c>
      <c r="AH2326" s="10">
        <f t="shared" si="51"/>
        <v>12</v>
      </c>
    </row>
    <row r="2327" spans="11:34" ht="14.5" x14ac:dyDescent="0.35">
      <c r="K2327" s="4"/>
      <c r="AC2327" s="7">
        <v>2022</v>
      </c>
      <c r="AD2327" s="7">
        <v>4</v>
      </c>
      <c r="AE2327" s="7">
        <v>7</v>
      </c>
      <c r="AF2327" s="8">
        <v>0.875</v>
      </c>
      <c r="AG2327" s="9">
        <v>9.6999999999999993</v>
      </c>
      <c r="AH2327" s="10">
        <f t="shared" si="51"/>
        <v>10</v>
      </c>
    </row>
    <row r="2328" spans="11:34" ht="14.5" x14ac:dyDescent="0.35">
      <c r="K2328" s="4"/>
      <c r="AC2328" s="7">
        <v>2022</v>
      </c>
      <c r="AD2328" s="7">
        <v>4</v>
      </c>
      <c r="AE2328" s="7">
        <v>7</v>
      </c>
      <c r="AF2328" s="8">
        <v>0.91666666666666663</v>
      </c>
      <c r="AG2328" s="9">
        <v>8.5</v>
      </c>
      <c r="AH2328" s="10">
        <f t="shared" si="51"/>
        <v>9</v>
      </c>
    </row>
    <row r="2329" spans="11:34" ht="14.5" x14ac:dyDescent="0.35">
      <c r="K2329" s="4"/>
      <c r="AC2329" s="7">
        <v>2022</v>
      </c>
      <c r="AD2329" s="7">
        <v>4</v>
      </c>
      <c r="AE2329" s="7">
        <v>7</v>
      </c>
      <c r="AF2329" s="8">
        <v>0.95833333333333337</v>
      </c>
      <c r="AG2329" s="9">
        <v>8.1999999999999993</v>
      </c>
      <c r="AH2329" s="10">
        <f t="shared" si="51"/>
        <v>8</v>
      </c>
    </row>
    <row r="2330" spans="11:34" ht="14.5" x14ac:dyDescent="0.35">
      <c r="K2330" s="4"/>
      <c r="AC2330" s="7">
        <v>2022</v>
      </c>
      <c r="AD2330" s="7">
        <v>4</v>
      </c>
      <c r="AE2330" s="7">
        <v>8</v>
      </c>
      <c r="AF2330" s="8">
        <v>0</v>
      </c>
      <c r="AG2330" s="9">
        <v>9.1999999999999993</v>
      </c>
      <c r="AH2330" s="10">
        <f t="shared" si="51"/>
        <v>9</v>
      </c>
    </row>
    <row r="2331" spans="11:34" ht="14.5" x14ac:dyDescent="0.35">
      <c r="K2331" s="4"/>
      <c r="AC2331" s="7">
        <v>2022</v>
      </c>
      <c r="AD2331" s="7">
        <v>4</v>
      </c>
      <c r="AE2331" s="7">
        <v>8</v>
      </c>
      <c r="AF2331" s="8">
        <v>4.1666666666666664E-2</v>
      </c>
      <c r="AG2331" s="9">
        <v>8.6999999999999993</v>
      </c>
      <c r="AH2331" s="10">
        <f t="shared" si="51"/>
        <v>9</v>
      </c>
    </row>
    <row r="2332" spans="11:34" ht="14.5" x14ac:dyDescent="0.35">
      <c r="K2332" s="4"/>
      <c r="AC2332" s="7">
        <v>2022</v>
      </c>
      <c r="AD2332" s="7">
        <v>4</v>
      </c>
      <c r="AE2332" s="7">
        <v>8</v>
      </c>
      <c r="AF2332" s="8">
        <v>8.3333333333333329E-2</v>
      </c>
      <c r="AG2332" s="9">
        <v>8.8000000000000007</v>
      </c>
      <c r="AH2332" s="10">
        <f t="shared" si="51"/>
        <v>9</v>
      </c>
    </row>
    <row r="2333" spans="11:34" ht="14.5" x14ac:dyDescent="0.35">
      <c r="K2333" s="4"/>
      <c r="AC2333" s="7">
        <v>2022</v>
      </c>
      <c r="AD2333" s="7">
        <v>4</v>
      </c>
      <c r="AE2333" s="7">
        <v>8</v>
      </c>
      <c r="AF2333" s="8">
        <v>0.125</v>
      </c>
      <c r="AG2333" s="9">
        <v>8.4</v>
      </c>
      <c r="AH2333" s="10">
        <f t="shared" si="51"/>
        <v>8</v>
      </c>
    </row>
    <row r="2334" spans="11:34" ht="14.5" x14ac:dyDescent="0.35">
      <c r="K2334" s="4"/>
      <c r="AC2334" s="7">
        <v>2022</v>
      </c>
      <c r="AD2334" s="7">
        <v>4</v>
      </c>
      <c r="AE2334" s="7">
        <v>8</v>
      </c>
      <c r="AF2334" s="8">
        <v>0.16666666666666666</v>
      </c>
      <c r="AG2334" s="9">
        <v>7.8</v>
      </c>
      <c r="AH2334" s="10">
        <f t="shared" si="51"/>
        <v>8</v>
      </c>
    </row>
    <row r="2335" spans="11:34" ht="14.5" x14ac:dyDescent="0.35">
      <c r="K2335" s="4"/>
      <c r="AC2335" s="7">
        <v>2022</v>
      </c>
      <c r="AD2335" s="7">
        <v>4</v>
      </c>
      <c r="AE2335" s="7">
        <v>8</v>
      </c>
      <c r="AF2335" s="8">
        <v>0.20833333333333334</v>
      </c>
      <c r="AG2335" s="9">
        <v>6.5</v>
      </c>
      <c r="AH2335" s="10">
        <f t="shared" si="51"/>
        <v>7</v>
      </c>
    </row>
    <row r="2336" spans="11:34" ht="14.5" x14ac:dyDescent="0.35">
      <c r="K2336" s="4"/>
      <c r="AC2336" s="7">
        <v>2022</v>
      </c>
      <c r="AD2336" s="7">
        <v>4</v>
      </c>
      <c r="AE2336" s="7">
        <v>8</v>
      </c>
      <c r="AF2336" s="8">
        <v>0.25</v>
      </c>
      <c r="AG2336" s="9">
        <v>8.5</v>
      </c>
      <c r="AH2336" s="10">
        <f t="shared" si="51"/>
        <v>9</v>
      </c>
    </row>
    <row r="2337" spans="11:34" ht="14.5" x14ac:dyDescent="0.35">
      <c r="K2337" s="4"/>
      <c r="AC2337" s="7">
        <v>2022</v>
      </c>
      <c r="AD2337" s="7">
        <v>4</v>
      </c>
      <c r="AE2337" s="7">
        <v>8</v>
      </c>
      <c r="AF2337" s="8">
        <v>0.29166666666666669</v>
      </c>
      <c r="AG2337" s="9">
        <v>7.8</v>
      </c>
      <c r="AH2337" s="10">
        <f t="shared" si="51"/>
        <v>8</v>
      </c>
    </row>
    <row r="2338" spans="11:34" ht="14.5" x14ac:dyDescent="0.35">
      <c r="K2338" s="4"/>
      <c r="AC2338" s="7">
        <v>2022</v>
      </c>
      <c r="AD2338" s="7">
        <v>4</v>
      </c>
      <c r="AE2338" s="7">
        <v>8</v>
      </c>
      <c r="AF2338" s="8">
        <v>0.33333333333333331</v>
      </c>
      <c r="AG2338" s="9">
        <v>9.6999999999999993</v>
      </c>
      <c r="AH2338" s="10">
        <f t="shared" si="51"/>
        <v>10</v>
      </c>
    </row>
    <row r="2339" spans="11:34" ht="14.5" x14ac:dyDescent="0.35">
      <c r="K2339" s="4"/>
      <c r="AC2339" s="7">
        <v>2022</v>
      </c>
      <c r="AD2339" s="7">
        <v>4</v>
      </c>
      <c r="AE2339" s="7">
        <v>8</v>
      </c>
      <c r="AF2339" s="8">
        <v>0.375</v>
      </c>
      <c r="AG2339" s="9">
        <v>13.2</v>
      </c>
      <c r="AH2339" s="10">
        <f t="shared" si="51"/>
        <v>13</v>
      </c>
    </row>
    <row r="2340" spans="11:34" ht="14.5" x14ac:dyDescent="0.35">
      <c r="K2340" s="4"/>
      <c r="AC2340" s="7">
        <v>2022</v>
      </c>
      <c r="AD2340" s="7">
        <v>4</v>
      </c>
      <c r="AE2340" s="7">
        <v>8</v>
      </c>
      <c r="AF2340" s="8">
        <v>0.41666666666666669</v>
      </c>
      <c r="AG2340" s="9">
        <v>15.7</v>
      </c>
      <c r="AH2340" s="10">
        <f t="shared" si="51"/>
        <v>16</v>
      </c>
    </row>
    <row r="2341" spans="11:34" ht="14.5" x14ac:dyDescent="0.35">
      <c r="K2341" s="4"/>
      <c r="AC2341" s="7">
        <v>2022</v>
      </c>
      <c r="AD2341" s="7">
        <v>4</v>
      </c>
      <c r="AE2341" s="7">
        <v>8</v>
      </c>
      <c r="AF2341" s="8">
        <v>0.45833333333333331</v>
      </c>
      <c r="AG2341" s="9">
        <v>20.5</v>
      </c>
      <c r="AH2341" s="10">
        <f t="shared" si="51"/>
        <v>21</v>
      </c>
    </row>
    <row r="2342" spans="11:34" ht="14.5" x14ac:dyDescent="0.35">
      <c r="K2342" s="4"/>
      <c r="AC2342" s="7">
        <v>2022</v>
      </c>
      <c r="AD2342" s="7">
        <v>4</v>
      </c>
      <c r="AE2342" s="7">
        <v>8</v>
      </c>
      <c r="AF2342" s="8">
        <v>0.5</v>
      </c>
      <c r="AG2342" s="9">
        <v>20.5</v>
      </c>
      <c r="AH2342" s="10">
        <f t="shared" si="51"/>
        <v>21</v>
      </c>
    </row>
    <row r="2343" spans="11:34" ht="14.5" x14ac:dyDescent="0.35">
      <c r="K2343" s="4"/>
      <c r="AC2343" s="7">
        <v>2022</v>
      </c>
      <c r="AD2343" s="7">
        <v>4</v>
      </c>
      <c r="AE2343" s="7">
        <v>8</v>
      </c>
      <c r="AF2343" s="8">
        <v>0.54166666666666663</v>
      </c>
      <c r="AG2343" s="9">
        <v>19.899999999999999</v>
      </c>
      <c r="AH2343" s="10">
        <f t="shared" si="51"/>
        <v>20</v>
      </c>
    </row>
    <row r="2344" spans="11:34" ht="14.5" x14ac:dyDescent="0.35">
      <c r="K2344" s="4"/>
      <c r="AC2344" s="7">
        <v>2022</v>
      </c>
      <c r="AD2344" s="7">
        <v>4</v>
      </c>
      <c r="AE2344" s="7">
        <v>8</v>
      </c>
      <c r="AF2344" s="8">
        <v>0.58333333333333337</v>
      </c>
      <c r="AG2344" s="9">
        <v>19.8</v>
      </c>
      <c r="AH2344" s="10">
        <f t="shared" si="51"/>
        <v>20</v>
      </c>
    </row>
    <row r="2345" spans="11:34" ht="14.5" x14ac:dyDescent="0.35">
      <c r="K2345" s="4"/>
      <c r="AC2345" s="7">
        <v>2022</v>
      </c>
      <c r="AD2345" s="7">
        <v>4</v>
      </c>
      <c r="AE2345" s="7">
        <v>8</v>
      </c>
      <c r="AF2345" s="8">
        <v>0.625</v>
      </c>
      <c r="AG2345" s="9">
        <v>19.2</v>
      </c>
      <c r="AH2345" s="10">
        <f t="shared" si="51"/>
        <v>19</v>
      </c>
    </row>
    <row r="2346" spans="11:34" ht="14.5" x14ac:dyDescent="0.35">
      <c r="K2346" s="4"/>
      <c r="AC2346" s="7">
        <v>2022</v>
      </c>
      <c r="AD2346" s="7">
        <v>4</v>
      </c>
      <c r="AE2346" s="7">
        <v>8</v>
      </c>
      <c r="AF2346" s="8">
        <v>0.66666666666666663</v>
      </c>
      <c r="AG2346" s="9">
        <v>18.100000000000001</v>
      </c>
      <c r="AH2346" s="10">
        <f t="shared" si="51"/>
        <v>18</v>
      </c>
    </row>
    <row r="2347" spans="11:34" ht="14.5" x14ac:dyDescent="0.35">
      <c r="K2347" s="4"/>
      <c r="AC2347" s="7">
        <v>2022</v>
      </c>
      <c r="AD2347" s="7">
        <v>4</v>
      </c>
      <c r="AE2347" s="7">
        <v>8</v>
      </c>
      <c r="AF2347" s="8">
        <v>0.70833333333333337</v>
      </c>
      <c r="AG2347" s="9">
        <v>17.100000000000001</v>
      </c>
      <c r="AH2347" s="10">
        <f t="shared" si="51"/>
        <v>17</v>
      </c>
    </row>
    <row r="2348" spans="11:34" ht="14.5" x14ac:dyDescent="0.35">
      <c r="K2348" s="4"/>
      <c r="AC2348" s="7">
        <v>2022</v>
      </c>
      <c r="AD2348" s="7">
        <v>4</v>
      </c>
      <c r="AE2348" s="7">
        <v>8</v>
      </c>
      <c r="AF2348" s="8">
        <v>0.75</v>
      </c>
      <c r="AG2348" s="9">
        <v>11.2</v>
      </c>
      <c r="AH2348" s="10">
        <f t="shared" si="51"/>
        <v>11</v>
      </c>
    </row>
    <row r="2349" spans="11:34" ht="14.5" x14ac:dyDescent="0.35">
      <c r="K2349" s="4"/>
      <c r="AC2349" s="7">
        <v>2022</v>
      </c>
      <c r="AD2349" s="7">
        <v>4</v>
      </c>
      <c r="AE2349" s="7">
        <v>8</v>
      </c>
      <c r="AF2349" s="8">
        <v>0.79166666666666663</v>
      </c>
      <c r="AG2349" s="9">
        <v>7.9</v>
      </c>
      <c r="AH2349" s="10">
        <f t="shared" si="51"/>
        <v>8</v>
      </c>
    </row>
    <row r="2350" spans="11:34" ht="14.5" x14ac:dyDescent="0.35">
      <c r="K2350" s="4"/>
      <c r="AC2350" s="7">
        <v>2022</v>
      </c>
      <c r="AD2350" s="7">
        <v>4</v>
      </c>
      <c r="AE2350" s="7">
        <v>8</v>
      </c>
      <c r="AF2350" s="8">
        <v>0.83333333333333337</v>
      </c>
      <c r="AG2350" s="9">
        <v>7.3</v>
      </c>
      <c r="AH2350" s="10">
        <f t="shared" si="51"/>
        <v>7</v>
      </c>
    </row>
    <row r="2351" spans="11:34" ht="14.5" x14ac:dyDescent="0.35">
      <c r="K2351" s="4"/>
      <c r="AC2351" s="7">
        <v>2022</v>
      </c>
      <c r="AD2351" s="7">
        <v>4</v>
      </c>
      <c r="AE2351" s="7">
        <v>8</v>
      </c>
      <c r="AF2351" s="8">
        <v>0.875</v>
      </c>
      <c r="AG2351" s="9">
        <v>7.1</v>
      </c>
      <c r="AH2351" s="10">
        <f t="shared" si="51"/>
        <v>7</v>
      </c>
    </row>
    <row r="2352" spans="11:34" ht="14.5" x14ac:dyDescent="0.35">
      <c r="K2352" s="4"/>
      <c r="AC2352" s="7">
        <v>2022</v>
      </c>
      <c r="AD2352" s="7">
        <v>4</v>
      </c>
      <c r="AE2352" s="7">
        <v>8</v>
      </c>
      <c r="AF2352" s="8">
        <v>0.91666666666666663</v>
      </c>
      <c r="AG2352" s="9">
        <v>6</v>
      </c>
      <c r="AH2352" s="10">
        <f t="shared" si="51"/>
        <v>6</v>
      </c>
    </row>
    <row r="2353" spans="11:34" ht="14.5" x14ac:dyDescent="0.35">
      <c r="K2353" s="4"/>
      <c r="AC2353" s="7">
        <v>2022</v>
      </c>
      <c r="AD2353" s="7">
        <v>4</v>
      </c>
      <c r="AE2353" s="7">
        <v>8</v>
      </c>
      <c r="AF2353" s="8">
        <v>0.95833333333333337</v>
      </c>
      <c r="AG2353" s="9">
        <v>4.7</v>
      </c>
      <c r="AH2353" s="10">
        <f t="shared" si="51"/>
        <v>5</v>
      </c>
    </row>
    <row r="2354" spans="11:34" ht="14.5" x14ac:dyDescent="0.35">
      <c r="K2354" s="4"/>
      <c r="AC2354" s="7">
        <v>2022</v>
      </c>
      <c r="AD2354" s="7">
        <v>4</v>
      </c>
      <c r="AE2354" s="7">
        <v>9</v>
      </c>
      <c r="AF2354" s="8">
        <v>0</v>
      </c>
      <c r="AG2354" s="9">
        <v>3.6</v>
      </c>
      <c r="AH2354" s="10">
        <f t="shared" si="51"/>
        <v>4</v>
      </c>
    </row>
    <row r="2355" spans="11:34" ht="14.5" x14ac:dyDescent="0.35">
      <c r="K2355" s="4"/>
      <c r="AC2355" s="7">
        <v>2022</v>
      </c>
      <c r="AD2355" s="7">
        <v>4</v>
      </c>
      <c r="AE2355" s="7">
        <v>9</v>
      </c>
      <c r="AF2355" s="8">
        <v>4.1666666666666664E-2</v>
      </c>
      <c r="AG2355" s="9">
        <v>3.3</v>
      </c>
      <c r="AH2355" s="10">
        <f t="shared" si="51"/>
        <v>3</v>
      </c>
    </row>
    <row r="2356" spans="11:34" ht="14.5" x14ac:dyDescent="0.35">
      <c r="K2356" s="4"/>
      <c r="AC2356" s="7">
        <v>2022</v>
      </c>
      <c r="AD2356" s="7">
        <v>4</v>
      </c>
      <c r="AE2356" s="7">
        <v>9</v>
      </c>
      <c r="AF2356" s="8">
        <v>8.3333333333333329E-2</v>
      </c>
      <c r="AG2356" s="9">
        <v>3.4</v>
      </c>
      <c r="AH2356" s="10">
        <f t="shared" si="51"/>
        <v>3</v>
      </c>
    </row>
    <row r="2357" spans="11:34" ht="14.5" x14ac:dyDescent="0.35">
      <c r="K2357" s="4"/>
      <c r="AC2357" s="7">
        <v>2022</v>
      </c>
      <c r="AD2357" s="7">
        <v>4</v>
      </c>
      <c r="AE2357" s="7">
        <v>9</v>
      </c>
      <c r="AF2357" s="8">
        <v>0.125</v>
      </c>
      <c r="AG2357" s="9">
        <v>3</v>
      </c>
      <c r="AH2357" s="10">
        <f t="shared" si="51"/>
        <v>3</v>
      </c>
    </row>
    <row r="2358" spans="11:34" ht="14.5" x14ac:dyDescent="0.35">
      <c r="K2358" s="4"/>
      <c r="AC2358" s="7">
        <v>2022</v>
      </c>
      <c r="AD2358" s="7">
        <v>4</v>
      </c>
      <c r="AE2358" s="7">
        <v>9</v>
      </c>
      <c r="AF2358" s="8">
        <v>0.16666666666666666</v>
      </c>
      <c r="AG2358" s="9">
        <v>1.7</v>
      </c>
      <c r="AH2358" s="10">
        <f t="shared" si="51"/>
        <v>2</v>
      </c>
    </row>
    <row r="2359" spans="11:34" ht="14.5" x14ac:dyDescent="0.35">
      <c r="K2359" s="4"/>
      <c r="AC2359" s="7">
        <v>2022</v>
      </c>
      <c r="AD2359" s="7">
        <v>4</v>
      </c>
      <c r="AE2359" s="7">
        <v>9</v>
      </c>
      <c r="AF2359" s="8">
        <v>0.20833333333333334</v>
      </c>
      <c r="AG2359" s="9">
        <v>1</v>
      </c>
      <c r="AH2359" s="10">
        <f t="shared" si="51"/>
        <v>1</v>
      </c>
    </row>
    <row r="2360" spans="11:34" ht="14.5" x14ac:dyDescent="0.35">
      <c r="K2360" s="4"/>
      <c r="AC2360" s="7">
        <v>2022</v>
      </c>
      <c r="AD2360" s="7">
        <v>4</v>
      </c>
      <c r="AE2360" s="7">
        <v>9</v>
      </c>
      <c r="AF2360" s="8">
        <v>0.25</v>
      </c>
      <c r="AG2360" s="9">
        <v>1.7</v>
      </c>
      <c r="AH2360" s="10">
        <f t="shared" si="51"/>
        <v>2</v>
      </c>
    </row>
    <row r="2361" spans="11:34" ht="14.5" x14ac:dyDescent="0.35">
      <c r="K2361" s="4"/>
      <c r="AC2361" s="7">
        <v>2022</v>
      </c>
      <c r="AD2361" s="7">
        <v>4</v>
      </c>
      <c r="AE2361" s="7">
        <v>9</v>
      </c>
      <c r="AF2361" s="8">
        <v>0.29166666666666669</v>
      </c>
      <c r="AG2361" s="9">
        <v>1.3</v>
      </c>
      <c r="AH2361" s="10">
        <f t="shared" si="51"/>
        <v>1</v>
      </c>
    </row>
    <row r="2362" spans="11:34" ht="14.5" x14ac:dyDescent="0.35">
      <c r="K2362" s="4"/>
      <c r="AC2362" s="7">
        <v>2022</v>
      </c>
      <c r="AD2362" s="7">
        <v>4</v>
      </c>
      <c r="AE2362" s="7">
        <v>9</v>
      </c>
      <c r="AF2362" s="8">
        <v>0.33333333333333331</v>
      </c>
      <c r="AG2362" s="9">
        <v>3</v>
      </c>
      <c r="AH2362" s="10">
        <f t="shared" si="51"/>
        <v>3</v>
      </c>
    </row>
    <row r="2363" spans="11:34" ht="14.5" x14ac:dyDescent="0.35">
      <c r="K2363" s="4"/>
      <c r="AC2363" s="7">
        <v>2022</v>
      </c>
      <c r="AD2363" s="7">
        <v>4</v>
      </c>
      <c r="AE2363" s="7">
        <v>9</v>
      </c>
      <c r="AF2363" s="8">
        <v>0.375</v>
      </c>
      <c r="AG2363" s="9">
        <v>4.0999999999999996</v>
      </c>
      <c r="AH2363" s="10">
        <f t="shared" si="51"/>
        <v>4</v>
      </c>
    </row>
    <row r="2364" spans="11:34" ht="14.5" x14ac:dyDescent="0.35">
      <c r="K2364" s="4"/>
      <c r="AC2364" s="7">
        <v>2022</v>
      </c>
      <c r="AD2364" s="7">
        <v>4</v>
      </c>
      <c r="AE2364" s="7">
        <v>9</v>
      </c>
      <c r="AF2364" s="8">
        <v>0.41666666666666669</v>
      </c>
      <c r="AG2364" s="9">
        <v>2.5</v>
      </c>
      <c r="AH2364" s="10">
        <f t="shared" si="51"/>
        <v>3</v>
      </c>
    </row>
    <row r="2365" spans="11:34" ht="14.5" x14ac:dyDescent="0.35">
      <c r="K2365" s="4"/>
      <c r="AC2365" s="7">
        <v>2022</v>
      </c>
      <c r="AD2365" s="7">
        <v>4</v>
      </c>
      <c r="AE2365" s="7">
        <v>9</v>
      </c>
      <c r="AF2365" s="8">
        <v>0.45833333333333331</v>
      </c>
      <c r="AG2365" s="9">
        <v>4.5</v>
      </c>
      <c r="AH2365" s="10">
        <f t="shared" si="51"/>
        <v>5</v>
      </c>
    </row>
    <row r="2366" spans="11:34" ht="14.5" x14ac:dyDescent="0.35">
      <c r="K2366" s="4"/>
      <c r="AC2366" s="7">
        <v>2022</v>
      </c>
      <c r="AD2366" s="7">
        <v>4</v>
      </c>
      <c r="AE2366" s="7">
        <v>9</v>
      </c>
      <c r="AF2366" s="8">
        <v>0.5</v>
      </c>
      <c r="AG2366" s="9">
        <v>5.8</v>
      </c>
      <c r="AH2366" s="10">
        <f t="shared" si="51"/>
        <v>6</v>
      </c>
    </row>
    <row r="2367" spans="11:34" ht="14.5" x14ac:dyDescent="0.35">
      <c r="K2367" s="4"/>
      <c r="AC2367" s="7">
        <v>2022</v>
      </c>
      <c r="AD2367" s="7">
        <v>4</v>
      </c>
      <c r="AE2367" s="7">
        <v>9</v>
      </c>
      <c r="AF2367" s="8">
        <v>0.54166666666666663</v>
      </c>
      <c r="AG2367" s="9">
        <v>5.0999999999999996</v>
      </c>
      <c r="AH2367" s="10">
        <f t="shared" si="51"/>
        <v>5</v>
      </c>
    </row>
    <row r="2368" spans="11:34" ht="14.5" x14ac:dyDescent="0.35">
      <c r="K2368" s="4"/>
      <c r="AC2368" s="7">
        <v>2022</v>
      </c>
      <c r="AD2368" s="7">
        <v>4</v>
      </c>
      <c r="AE2368" s="7">
        <v>9</v>
      </c>
      <c r="AF2368" s="8">
        <v>0.58333333333333337</v>
      </c>
      <c r="AG2368" s="9">
        <v>4.5999999999999996</v>
      </c>
      <c r="AH2368" s="10">
        <f t="shared" si="51"/>
        <v>5</v>
      </c>
    </row>
    <row r="2369" spans="11:34" ht="14.5" x14ac:dyDescent="0.35">
      <c r="K2369" s="4"/>
      <c r="AC2369" s="7">
        <v>2022</v>
      </c>
      <c r="AD2369" s="7">
        <v>4</v>
      </c>
      <c r="AE2369" s="7">
        <v>9</v>
      </c>
      <c r="AF2369" s="8">
        <v>0.625</v>
      </c>
      <c r="AG2369" s="9">
        <v>1.4</v>
      </c>
      <c r="AH2369" s="10">
        <f t="shared" si="51"/>
        <v>1</v>
      </c>
    </row>
    <row r="2370" spans="11:34" ht="14.5" x14ac:dyDescent="0.35">
      <c r="K2370" s="4"/>
      <c r="AC2370" s="7">
        <v>2022</v>
      </c>
      <c r="AD2370" s="7">
        <v>4</v>
      </c>
      <c r="AE2370" s="7">
        <v>9</v>
      </c>
      <c r="AF2370" s="8">
        <v>0.66666666666666663</v>
      </c>
      <c r="AG2370" s="9">
        <v>5</v>
      </c>
      <c r="AH2370" s="10">
        <f t="shared" si="51"/>
        <v>5</v>
      </c>
    </row>
    <row r="2371" spans="11:34" ht="14.5" x14ac:dyDescent="0.35">
      <c r="K2371" s="4"/>
      <c r="AC2371" s="7">
        <v>2022</v>
      </c>
      <c r="AD2371" s="7">
        <v>4</v>
      </c>
      <c r="AE2371" s="7">
        <v>9</v>
      </c>
      <c r="AF2371" s="8">
        <v>0.70833333333333337</v>
      </c>
      <c r="AG2371" s="9">
        <v>5.6</v>
      </c>
      <c r="AH2371" s="10">
        <f t="shared" si="51"/>
        <v>6</v>
      </c>
    </row>
    <row r="2372" spans="11:34" ht="14.5" x14ac:dyDescent="0.35">
      <c r="K2372" s="4"/>
      <c r="AC2372" s="7">
        <v>2022</v>
      </c>
      <c r="AD2372" s="7">
        <v>4</v>
      </c>
      <c r="AE2372" s="7">
        <v>9</v>
      </c>
      <c r="AF2372" s="8">
        <v>0.75</v>
      </c>
      <c r="AG2372" s="9">
        <v>2.2000000000000002</v>
      </c>
      <c r="AH2372" s="10">
        <f t="shared" si="51"/>
        <v>2</v>
      </c>
    </row>
    <row r="2373" spans="11:34" ht="14.5" x14ac:dyDescent="0.35">
      <c r="K2373" s="4"/>
      <c r="AC2373" s="7">
        <v>2022</v>
      </c>
      <c r="AD2373" s="7">
        <v>4</v>
      </c>
      <c r="AE2373" s="7">
        <v>9</v>
      </c>
      <c r="AF2373" s="8">
        <v>0.79166666666666663</v>
      </c>
      <c r="AG2373" s="9">
        <v>3.2</v>
      </c>
      <c r="AH2373" s="10">
        <f t="shared" si="51"/>
        <v>3</v>
      </c>
    </row>
    <row r="2374" spans="11:34" ht="14.5" x14ac:dyDescent="0.35">
      <c r="K2374" s="4"/>
      <c r="AC2374" s="7">
        <v>2022</v>
      </c>
      <c r="AD2374" s="7">
        <v>4</v>
      </c>
      <c r="AE2374" s="7">
        <v>9</v>
      </c>
      <c r="AF2374" s="8">
        <v>0.83333333333333337</v>
      </c>
      <c r="AG2374" s="9">
        <v>2.6</v>
      </c>
      <c r="AH2374" s="10">
        <f t="shared" si="51"/>
        <v>3</v>
      </c>
    </row>
    <row r="2375" spans="11:34" ht="14.5" x14ac:dyDescent="0.35">
      <c r="K2375" s="4"/>
      <c r="AC2375" s="7">
        <v>2022</v>
      </c>
      <c r="AD2375" s="7">
        <v>4</v>
      </c>
      <c r="AE2375" s="7">
        <v>9</v>
      </c>
      <c r="AF2375" s="8">
        <v>0.875</v>
      </c>
      <c r="AG2375" s="9">
        <v>2.4</v>
      </c>
      <c r="AH2375" s="10">
        <f t="shared" si="51"/>
        <v>2</v>
      </c>
    </row>
    <row r="2376" spans="11:34" ht="14.5" x14ac:dyDescent="0.35">
      <c r="K2376" s="4"/>
      <c r="AC2376" s="7">
        <v>2022</v>
      </c>
      <c r="AD2376" s="7">
        <v>4</v>
      </c>
      <c r="AE2376" s="7">
        <v>9</v>
      </c>
      <c r="AF2376" s="8">
        <v>0.91666666666666663</v>
      </c>
      <c r="AG2376" s="9">
        <v>1.8</v>
      </c>
      <c r="AH2376" s="10">
        <f t="shared" si="51"/>
        <v>2</v>
      </c>
    </row>
    <row r="2377" spans="11:34" ht="14.5" x14ac:dyDescent="0.35">
      <c r="K2377" s="4"/>
      <c r="AC2377" s="7">
        <v>2022</v>
      </c>
      <c r="AD2377" s="7">
        <v>4</v>
      </c>
      <c r="AE2377" s="7">
        <v>9</v>
      </c>
      <c r="AF2377" s="8">
        <v>0.95833333333333337</v>
      </c>
      <c r="AG2377" s="9">
        <v>1.4</v>
      </c>
      <c r="AH2377" s="10">
        <f t="shared" si="51"/>
        <v>1</v>
      </c>
    </row>
    <row r="2378" spans="11:34" ht="14.5" x14ac:dyDescent="0.35">
      <c r="K2378" s="4"/>
      <c r="AC2378" s="7">
        <v>2022</v>
      </c>
      <c r="AD2378" s="7">
        <v>4</v>
      </c>
      <c r="AE2378" s="7">
        <v>10</v>
      </c>
      <c r="AF2378" s="8">
        <v>0</v>
      </c>
      <c r="AG2378" s="9">
        <v>0.5</v>
      </c>
      <c r="AH2378" s="10">
        <f t="shared" si="51"/>
        <v>1</v>
      </c>
    </row>
    <row r="2379" spans="11:34" ht="14.5" x14ac:dyDescent="0.35">
      <c r="K2379" s="4"/>
      <c r="AC2379" s="7">
        <v>2022</v>
      </c>
      <c r="AD2379" s="7">
        <v>4</v>
      </c>
      <c r="AE2379" s="7">
        <v>10</v>
      </c>
      <c r="AF2379" s="8">
        <v>4.1666666666666664E-2</v>
      </c>
      <c r="AG2379" s="9">
        <v>-0.2</v>
      </c>
      <c r="AH2379" s="10">
        <f t="shared" ref="AH2379:AH2442" si="52">ROUND(AG2379,0)</f>
        <v>0</v>
      </c>
    </row>
    <row r="2380" spans="11:34" ht="14.5" x14ac:dyDescent="0.35">
      <c r="K2380" s="4"/>
      <c r="AC2380" s="7">
        <v>2022</v>
      </c>
      <c r="AD2380" s="7">
        <v>4</v>
      </c>
      <c r="AE2380" s="7">
        <v>10</v>
      </c>
      <c r="AF2380" s="8">
        <v>8.3333333333333329E-2</v>
      </c>
      <c r="AG2380" s="9">
        <v>-1.9</v>
      </c>
      <c r="AH2380" s="10">
        <f t="shared" si="52"/>
        <v>-2</v>
      </c>
    </row>
    <row r="2381" spans="11:34" ht="14.5" x14ac:dyDescent="0.35">
      <c r="K2381" s="4"/>
      <c r="AC2381" s="7">
        <v>2022</v>
      </c>
      <c r="AD2381" s="7">
        <v>4</v>
      </c>
      <c r="AE2381" s="7">
        <v>10</v>
      </c>
      <c r="AF2381" s="8">
        <v>0.125</v>
      </c>
      <c r="AG2381" s="9">
        <v>-2.5</v>
      </c>
      <c r="AH2381" s="10">
        <f t="shared" si="52"/>
        <v>-3</v>
      </c>
    </row>
    <row r="2382" spans="11:34" ht="14.5" x14ac:dyDescent="0.35">
      <c r="K2382" s="4"/>
      <c r="AC2382" s="7">
        <v>2022</v>
      </c>
      <c r="AD2382" s="7">
        <v>4</v>
      </c>
      <c r="AE2382" s="7">
        <v>10</v>
      </c>
      <c r="AF2382" s="8">
        <v>0.16666666666666666</v>
      </c>
      <c r="AG2382" s="9">
        <v>-2.9</v>
      </c>
      <c r="AH2382" s="10">
        <f t="shared" si="52"/>
        <v>-3</v>
      </c>
    </row>
    <row r="2383" spans="11:34" ht="14.5" x14ac:dyDescent="0.35">
      <c r="K2383" s="4"/>
      <c r="AC2383" s="7">
        <v>2022</v>
      </c>
      <c r="AD2383" s="7">
        <v>4</v>
      </c>
      <c r="AE2383" s="7">
        <v>10</v>
      </c>
      <c r="AF2383" s="8">
        <v>0.20833333333333334</v>
      </c>
      <c r="AG2383" s="9">
        <v>-4.4000000000000004</v>
      </c>
      <c r="AH2383" s="10">
        <f t="shared" si="52"/>
        <v>-4</v>
      </c>
    </row>
    <row r="2384" spans="11:34" ht="14.5" x14ac:dyDescent="0.35">
      <c r="K2384" s="4"/>
      <c r="AC2384" s="7">
        <v>2022</v>
      </c>
      <c r="AD2384" s="7">
        <v>4</v>
      </c>
      <c r="AE2384" s="7">
        <v>10</v>
      </c>
      <c r="AF2384" s="8">
        <v>0.25</v>
      </c>
      <c r="AG2384" s="9">
        <v>-4.3</v>
      </c>
      <c r="AH2384" s="10">
        <f t="shared" si="52"/>
        <v>-4</v>
      </c>
    </row>
    <row r="2385" spans="11:34" ht="14.5" x14ac:dyDescent="0.35">
      <c r="K2385" s="4"/>
      <c r="AC2385" s="7">
        <v>2022</v>
      </c>
      <c r="AD2385" s="7">
        <v>4</v>
      </c>
      <c r="AE2385" s="7">
        <v>10</v>
      </c>
      <c r="AF2385" s="8">
        <v>0.29166666666666669</v>
      </c>
      <c r="AG2385" s="9">
        <v>-2.4</v>
      </c>
      <c r="AH2385" s="10">
        <f t="shared" si="52"/>
        <v>-2</v>
      </c>
    </row>
    <row r="2386" spans="11:34" ht="14.5" x14ac:dyDescent="0.35">
      <c r="K2386" s="4"/>
      <c r="AC2386" s="7">
        <v>2022</v>
      </c>
      <c r="AD2386" s="7">
        <v>4</v>
      </c>
      <c r="AE2386" s="7">
        <v>10</v>
      </c>
      <c r="AF2386" s="8">
        <v>0.33333333333333331</v>
      </c>
      <c r="AG2386" s="9">
        <v>-2.4</v>
      </c>
      <c r="AH2386" s="10">
        <f t="shared" si="52"/>
        <v>-2</v>
      </c>
    </row>
    <row r="2387" spans="11:34" ht="14.5" x14ac:dyDescent="0.35">
      <c r="K2387" s="4"/>
      <c r="AC2387" s="7">
        <v>2022</v>
      </c>
      <c r="AD2387" s="7">
        <v>4</v>
      </c>
      <c r="AE2387" s="7">
        <v>10</v>
      </c>
      <c r="AF2387" s="8">
        <v>0.375</v>
      </c>
      <c r="AG2387" s="9">
        <v>-0.7</v>
      </c>
      <c r="AH2387" s="10">
        <f t="shared" si="52"/>
        <v>-1</v>
      </c>
    </row>
    <row r="2388" spans="11:34" ht="14.5" x14ac:dyDescent="0.35">
      <c r="K2388" s="4"/>
      <c r="AC2388" s="7">
        <v>2022</v>
      </c>
      <c r="AD2388" s="7">
        <v>4</v>
      </c>
      <c r="AE2388" s="7">
        <v>10</v>
      </c>
      <c r="AF2388" s="8">
        <v>0.41666666666666669</v>
      </c>
      <c r="AG2388" s="9">
        <v>0.2</v>
      </c>
      <c r="AH2388" s="10">
        <f t="shared" si="52"/>
        <v>0</v>
      </c>
    </row>
    <row r="2389" spans="11:34" ht="14.5" x14ac:dyDescent="0.35">
      <c r="K2389" s="4"/>
      <c r="AC2389" s="7">
        <v>2022</v>
      </c>
      <c r="AD2389" s="7">
        <v>4</v>
      </c>
      <c r="AE2389" s="7">
        <v>10</v>
      </c>
      <c r="AF2389" s="8">
        <v>0.45833333333333331</v>
      </c>
      <c r="AG2389" s="9">
        <v>1</v>
      </c>
      <c r="AH2389" s="10">
        <f t="shared" si="52"/>
        <v>1</v>
      </c>
    </row>
    <row r="2390" spans="11:34" ht="14.5" x14ac:dyDescent="0.35">
      <c r="K2390" s="4"/>
      <c r="AC2390" s="7">
        <v>2022</v>
      </c>
      <c r="AD2390" s="7">
        <v>4</v>
      </c>
      <c r="AE2390" s="7">
        <v>10</v>
      </c>
      <c r="AF2390" s="8">
        <v>0.5</v>
      </c>
      <c r="AG2390" s="9">
        <v>1.9</v>
      </c>
      <c r="AH2390" s="10">
        <f t="shared" si="52"/>
        <v>2</v>
      </c>
    </row>
    <row r="2391" spans="11:34" ht="14.5" x14ac:dyDescent="0.35">
      <c r="K2391" s="4"/>
      <c r="AC2391" s="7">
        <v>2022</v>
      </c>
      <c r="AD2391" s="7">
        <v>4</v>
      </c>
      <c r="AE2391" s="7">
        <v>10</v>
      </c>
      <c r="AF2391" s="8">
        <v>0.54166666666666663</v>
      </c>
      <c r="AG2391" s="9">
        <v>2.1</v>
      </c>
      <c r="AH2391" s="10">
        <f t="shared" si="52"/>
        <v>2</v>
      </c>
    </row>
    <row r="2392" spans="11:34" ht="14.5" x14ac:dyDescent="0.35">
      <c r="K2392" s="4"/>
      <c r="AC2392" s="7">
        <v>2022</v>
      </c>
      <c r="AD2392" s="7">
        <v>4</v>
      </c>
      <c r="AE2392" s="7">
        <v>10</v>
      </c>
      <c r="AF2392" s="8">
        <v>0.58333333333333337</v>
      </c>
      <c r="AG2392" s="9">
        <v>2.4</v>
      </c>
      <c r="AH2392" s="10">
        <f t="shared" si="52"/>
        <v>2</v>
      </c>
    </row>
    <row r="2393" spans="11:34" ht="14.5" x14ac:dyDescent="0.35">
      <c r="K2393" s="4"/>
      <c r="AC2393" s="7">
        <v>2022</v>
      </c>
      <c r="AD2393" s="7">
        <v>4</v>
      </c>
      <c r="AE2393" s="7">
        <v>10</v>
      </c>
      <c r="AF2393" s="8">
        <v>0.625</v>
      </c>
      <c r="AG2393" s="9">
        <v>2.4</v>
      </c>
      <c r="AH2393" s="10">
        <f t="shared" si="52"/>
        <v>2</v>
      </c>
    </row>
    <row r="2394" spans="11:34" ht="14.5" x14ac:dyDescent="0.35">
      <c r="K2394" s="4"/>
      <c r="AC2394" s="7">
        <v>2022</v>
      </c>
      <c r="AD2394" s="7">
        <v>4</v>
      </c>
      <c r="AE2394" s="7">
        <v>10</v>
      </c>
      <c r="AF2394" s="8">
        <v>0.66666666666666663</v>
      </c>
      <c r="AG2394" s="9">
        <v>2.1</v>
      </c>
      <c r="AH2394" s="10">
        <f t="shared" si="52"/>
        <v>2</v>
      </c>
    </row>
    <row r="2395" spans="11:34" ht="14.5" x14ac:dyDescent="0.35">
      <c r="K2395" s="4"/>
      <c r="AC2395" s="7">
        <v>2022</v>
      </c>
      <c r="AD2395" s="7">
        <v>4</v>
      </c>
      <c r="AE2395" s="7">
        <v>10</v>
      </c>
      <c r="AF2395" s="8">
        <v>0.70833333333333337</v>
      </c>
      <c r="AG2395" s="9">
        <v>1.6</v>
      </c>
      <c r="AH2395" s="10">
        <f t="shared" si="52"/>
        <v>2</v>
      </c>
    </row>
    <row r="2396" spans="11:34" ht="14.5" x14ac:dyDescent="0.35">
      <c r="K2396" s="4"/>
      <c r="AC2396" s="7">
        <v>2022</v>
      </c>
      <c r="AD2396" s="7">
        <v>4</v>
      </c>
      <c r="AE2396" s="7">
        <v>10</v>
      </c>
      <c r="AF2396" s="8">
        <v>0.75</v>
      </c>
      <c r="AG2396" s="9">
        <v>0.6</v>
      </c>
      <c r="AH2396" s="10">
        <f t="shared" si="52"/>
        <v>1</v>
      </c>
    </row>
    <row r="2397" spans="11:34" ht="14.5" x14ac:dyDescent="0.35">
      <c r="K2397" s="4"/>
      <c r="AC2397" s="7">
        <v>2022</v>
      </c>
      <c r="AD2397" s="7">
        <v>4</v>
      </c>
      <c r="AE2397" s="7">
        <v>10</v>
      </c>
      <c r="AF2397" s="8">
        <v>0.79166666666666663</v>
      </c>
      <c r="AG2397" s="9">
        <v>-0.8</v>
      </c>
      <c r="AH2397" s="10">
        <f t="shared" si="52"/>
        <v>-1</v>
      </c>
    </row>
    <row r="2398" spans="11:34" ht="14.5" x14ac:dyDescent="0.35">
      <c r="K2398" s="4"/>
      <c r="AC2398" s="7">
        <v>2022</v>
      </c>
      <c r="AD2398" s="7">
        <v>4</v>
      </c>
      <c r="AE2398" s="7">
        <v>10</v>
      </c>
      <c r="AF2398" s="8">
        <v>0.83333333333333337</v>
      </c>
      <c r="AG2398" s="9">
        <v>-2.1</v>
      </c>
      <c r="AH2398" s="10">
        <f t="shared" si="52"/>
        <v>-2</v>
      </c>
    </row>
    <row r="2399" spans="11:34" ht="14.5" x14ac:dyDescent="0.35">
      <c r="K2399" s="4"/>
      <c r="AC2399" s="7">
        <v>2022</v>
      </c>
      <c r="AD2399" s="7">
        <v>4</v>
      </c>
      <c r="AE2399" s="7">
        <v>10</v>
      </c>
      <c r="AF2399" s="8">
        <v>0.875</v>
      </c>
      <c r="AG2399" s="9">
        <v>-3.6</v>
      </c>
      <c r="AH2399" s="10">
        <f t="shared" si="52"/>
        <v>-4</v>
      </c>
    </row>
    <row r="2400" spans="11:34" ht="14.5" x14ac:dyDescent="0.35">
      <c r="K2400" s="4"/>
      <c r="AC2400" s="7">
        <v>2022</v>
      </c>
      <c r="AD2400" s="7">
        <v>4</v>
      </c>
      <c r="AE2400" s="7">
        <v>10</v>
      </c>
      <c r="AF2400" s="8">
        <v>0.91666666666666663</v>
      </c>
      <c r="AG2400" s="9">
        <v>-5.0999999999999996</v>
      </c>
      <c r="AH2400" s="10">
        <f t="shared" si="52"/>
        <v>-5</v>
      </c>
    </row>
    <row r="2401" spans="11:34" ht="14.5" x14ac:dyDescent="0.35">
      <c r="K2401" s="4"/>
      <c r="AC2401" s="7">
        <v>2022</v>
      </c>
      <c r="AD2401" s="7">
        <v>4</v>
      </c>
      <c r="AE2401" s="7">
        <v>10</v>
      </c>
      <c r="AF2401" s="8">
        <v>0.95833333333333337</v>
      </c>
      <c r="AG2401" s="9">
        <v>-6</v>
      </c>
      <c r="AH2401" s="10">
        <f t="shared" si="52"/>
        <v>-6</v>
      </c>
    </row>
    <row r="2402" spans="11:34" ht="14.5" x14ac:dyDescent="0.35">
      <c r="K2402" s="4"/>
      <c r="AC2402" s="7">
        <v>2022</v>
      </c>
      <c r="AD2402" s="7">
        <v>4</v>
      </c>
      <c r="AE2402" s="7">
        <v>11</v>
      </c>
      <c r="AF2402" s="8">
        <v>0</v>
      </c>
      <c r="AG2402" s="9">
        <v>-7.2</v>
      </c>
      <c r="AH2402" s="10">
        <f t="shared" si="52"/>
        <v>-7</v>
      </c>
    </row>
    <row r="2403" spans="11:34" ht="14.5" x14ac:dyDescent="0.35">
      <c r="K2403" s="4"/>
      <c r="AC2403" s="7">
        <v>2022</v>
      </c>
      <c r="AD2403" s="7">
        <v>4</v>
      </c>
      <c r="AE2403" s="7">
        <v>11</v>
      </c>
      <c r="AF2403" s="8">
        <v>4.1666666666666664E-2</v>
      </c>
      <c r="AG2403" s="9">
        <v>-7.9</v>
      </c>
      <c r="AH2403" s="10">
        <f t="shared" si="52"/>
        <v>-8</v>
      </c>
    </row>
    <row r="2404" spans="11:34" ht="14.5" x14ac:dyDescent="0.35">
      <c r="K2404" s="4"/>
      <c r="AC2404" s="7">
        <v>2022</v>
      </c>
      <c r="AD2404" s="7">
        <v>4</v>
      </c>
      <c r="AE2404" s="7">
        <v>11</v>
      </c>
      <c r="AF2404" s="8">
        <v>8.3333333333333329E-2</v>
      </c>
      <c r="AG2404" s="9">
        <v>-7.4</v>
      </c>
      <c r="AH2404" s="10">
        <f t="shared" si="52"/>
        <v>-7</v>
      </c>
    </row>
    <row r="2405" spans="11:34" ht="14.5" x14ac:dyDescent="0.35">
      <c r="K2405" s="4"/>
      <c r="AC2405" s="7">
        <v>2022</v>
      </c>
      <c r="AD2405" s="7">
        <v>4</v>
      </c>
      <c r="AE2405" s="7">
        <v>11</v>
      </c>
      <c r="AF2405" s="8">
        <v>0.125</v>
      </c>
      <c r="AG2405" s="9">
        <v>-6.7</v>
      </c>
      <c r="AH2405" s="10">
        <f t="shared" si="52"/>
        <v>-7</v>
      </c>
    </row>
    <row r="2406" spans="11:34" ht="14.5" x14ac:dyDescent="0.35">
      <c r="K2406" s="4"/>
      <c r="AC2406" s="7">
        <v>2022</v>
      </c>
      <c r="AD2406" s="7">
        <v>4</v>
      </c>
      <c r="AE2406" s="7">
        <v>11</v>
      </c>
      <c r="AF2406" s="8">
        <v>0.16666666666666666</v>
      </c>
      <c r="AG2406" s="9">
        <v>-6.8</v>
      </c>
      <c r="AH2406" s="10">
        <f t="shared" si="52"/>
        <v>-7</v>
      </c>
    </row>
    <row r="2407" spans="11:34" ht="14.5" x14ac:dyDescent="0.35">
      <c r="K2407" s="4"/>
      <c r="AC2407" s="7">
        <v>2022</v>
      </c>
      <c r="AD2407" s="7">
        <v>4</v>
      </c>
      <c r="AE2407" s="7">
        <v>11</v>
      </c>
      <c r="AF2407" s="8">
        <v>0.20833333333333334</v>
      </c>
      <c r="AG2407" s="9">
        <v>-6.2</v>
      </c>
      <c r="AH2407" s="10">
        <f t="shared" si="52"/>
        <v>-6</v>
      </c>
    </row>
    <row r="2408" spans="11:34" ht="14.5" x14ac:dyDescent="0.35">
      <c r="K2408" s="4"/>
      <c r="AC2408" s="7">
        <v>2022</v>
      </c>
      <c r="AD2408" s="7">
        <v>4</v>
      </c>
      <c r="AE2408" s="7">
        <v>11</v>
      </c>
      <c r="AF2408" s="8">
        <v>0.25</v>
      </c>
      <c r="AG2408" s="9">
        <v>-7.3</v>
      </c>
      <c r="AH2408" s="10">
        <f t="shared" si="52"/>
        <v>-7</v>
      </c>
    </row>
    <row r="2409" spans="11:34" ht="14.5" x14ac:dyDescent="0.35">
      <c r="K2409" s="4"/>
      <c r="AC2409" s="7">
        <v>2022</v>
      </c>
      <c r="AD2409" s="7">
        <v>4</v>
      </c>
      <c r="AE2409" s="7">
        <v>11</v>
      </c>
      <c r="AF2409" s="8">
        <v>0.29166666666666669</v>
      </c>
      <c r="AG2409" s="9">
        <v>-6.2</v>
      </c>
      <c r="AH2409" s="10">
        <f t="shared" si="52"/>
        <v>-6</v>
      </c>
    </row>
    <row r="2410" spans="11:34" ht="14.5" x14ac:dyDescent="0.35">
      <c r="K2410" s="4"/>
      <c r="AC2410" s="7">
        <v>2022</v>
      </c>
      <c r="AD2410" s="7">
        <v>4</v>
      </c>
      <c r="AE2410" s="7">
        <v>11</v>
      </c>
      <c r="AF2410" s="8">
        <v>0.33333333333333331</v>
      </c>
      <c r="AG2410" s="9">
        <v>-5.3</v>
      </c>
      <c r="AH2410" s="10">
        <f t="shared" si="52"/>
        <v>-5</v>
      </c>
    </row>
    <row r="2411" spans="11:34" ht="14.5" x14ac:dyDescent="0.35">
      <c r="K2411" s="4"/>
      <c r="AC2411" s="7">
        <v>2022</v>
      </c>
      <c r="AD2411" s="7">
        <v>4</v>
      </c>
      <c r="AE2411" s="7">
        <v>11</v>
      </c>
      <c r="AF2411" s="8">
        <v>0.375</v>
      </c>
      <c r="AG2411" s="9">
        <v>-4.0999999999999996</v>
      </c>
      <c r="AH2411" s="10">
        <f t="shared" si="52"/>
        <v>-4</v>
      </c>
    </row>
    <row r="2412" spans="11:34" ht="14.5" x14ac:dyDescent="0.35">
      <c r="K2412" s="4"/>
      <c r="AC2412" s="7">
        <v>2022</v>
      </c>
      <c r="AD2412" s="7">
        <v>4</v>
      </c>
      <c r="AE2412" s="7">
        <v>11</v>
      </c>
      <c r="AF2412" s="8">
        <v>0.41666666666666669</v>
      </c>
      <c r="AG2412" s="9">
        <v>-3.7</v>
      </c>
      <c r="AH2412" s="10">
        <f t="shared" si="52"/>
        <v>-4</v>
      </c>
    </row>
    <row r="2413" spans="11:34" ht="14.5" x14ac:dyDescent="0.35">
      <c r="K2413" s="4"/>
      <c r="AC2413" s="7">
        <v>2022</v>
      </c>
      <c r="AD2413" s="7">
        <v>4</v>
      </c>
      <c r="AE2413" s="7">
        <v>11</v>
      </c>
      <c r="AF2413" s="8">
        <v>0.45833333333333331</v>
      </c>
      <c r="AG2413" s="9">
        <v>-2</v>
      </c>
      <c r="AH2413" s="10">
        <f t="shared" si="52"/>
        <v>-2</v>
      </c>
    </row>
    <row r="2414" spans="11:34" ht="14.5" x14ac:dyDescent="0.35">
      <c r="K2414" s="4"/>
      <c r="AC2414" s="7">
        <v>2022</v>
      </c>
      <c r="AD2414" s="7">
        <v>4</v>
      </c>
      <c r="AE2414" s="7">
        <v>11</v>
      </c>
      <c r="AF2414" s="8">
        <v>0.5</v>
      </c>
      <c r="AG2414" s="9">
        <v>-2.5</v>
      </c>
      <c r="AH2414" s="10">
        <f t="shared" si="52"/>
        <v>-3</v>
      </c>
    </row>
    <row r="2415" spans="11:34" ht="14.5" x14ac:dyDescent="0.35">
      <c r="K2415" s="4"/>
      <c r="AC2415" s="7">
        <v>2022</v>
      </c>
      <c r="AD2415" s="7">
        <v>4</v>
      </c>
      <c r="AE2415" s="7">
        <v>11</v>
      </c>
      <c r="AF2415" s="8">
        <v>0.54166666666666663</v>
      </c>
      <c r="AG2415" s="9">
        <v>-1.8</v>
      </c>
      <c r="AH2415" s="10">
        <f t="shared" si="52"/>
        <v>-2</v>
      </c>
    </row>
    <row r="2416" spans="11:34" ht="14.5" x14ac:dyDescent="0.35">
      <c r="K2416" s="4"/>
      <c r="AC2416" s="7">
        <v>2022</v>
      </c>
      <c r="AD2416" s="7">
        <v>4</v>
      </c>
      <c r="AE2416" s="7">
        <v>11</v>
      </c>
      <c r="AF2416" s="8">
        <v>0.58333333333333337</v>
      </c>
      <c r="AG2416" s="9">
        <v>-0.6</v>
      </c>
      <c r="AH2416" s="10">
        <f t="shared" si="52"/>
        <v>-1</v>
      </c>
    </row>
    <row r="2417" spans="11:34" ht="14.5" x14ac:dyDescent="0.35">
      <c r="K2417" s="4"/>
      <c r="AC2417" s="7">
        <v>2022</v>
      </c>
      <c r="AD2417" s="7">
        <v>4</v>
      </c>
      <c r="AE2417" s="7">
        <v>11</v>
      </c>
      <c r="AF2417" s="8">
        <v>0.625</v>
      </c>
      <c r="AG2417" s="9">
        <v>-0.8</v>
      </c>
      <c r="AH2417" s="10">
        <f t="shared" si="52"/>
        <v>-1</v>
      </c>
    </row>
    <row r="2418" spans="11:34" ht="14.5" x14ac:dyDescent="0.35">
      <c r="K2418" s="4"/>
      <c r="AC2418" s="7">
        <v>2022</v>
      </c>
      <c r="AD2418" s="7">
        <v>4</v>
      </c>
      <c r="AE2418" s="7">
        <v>11</v>
      </c>
      <c r="AF2418" s="8">
        <v>0.66666666666666663</v>
      </c>
      <c r="AG2418" s="9">
        <v>-1.2</v>
      </c>
      <c r="AH2418" s="10">
        <f t="shared" si="52"/>
        <v>-1</v>
      </c>
    </row>
    <row r="2419" spans="11:34" ht="14.5" x14ac:dyDescent="0.35">
      <c r="K2419" s="4"/>
      <c r="AC2419" s="7">
        <v>2022</v>
      </c>
      <c r="AD2419" s="7">
        <v>4</v>
      </c>
      <c r="AE2419" s="7">
        <v>11</v>
      </c>
      <c r="AF2419" s="8">
        <v>0.70833333333333337</v>
      </c>
      <c r="AG2419" s="9">
        <v>-1.8</v>
      </c>
      <c r="AH2419" s="10">
        <f t="shared" si="52"/>
        <v>-2</v>
      </c>
    </row>
    <row r="2420" spans="11:34" ht="14.5" x14ac:dyDescent="0.35">
      <c r="K2420" s="4"/>
      <c r="AC2420" s="7">
        <v>2022</v>
      </c>
      <c r="AD2420" s="7">
        <v>4</v>
      </c>
      <c r="AE2420" s="7">
        <v>11</v>
      </c>
      <c r="AF2420" s="8">
        <v>0.75</v>
      </c>
      <c r="AG2420" s="9">
        <v>-3.4</v>
      </c>
      <c r="AH2420" s="10">
        <f t="shared" si="52"/>
        <v>-3</v>
      </c>
    </row>
    <row r="2421" spans="11:34" ht="14.5" x14ac:dyDescent="0.35">
      <c r="K2421" s="4"/>
      <c r="AC2421" s="7">
        <v>2022</v>
      </c>
      <c r="AD2421" s="7">
        <v>4</v>
      </c>
      <c r="AE2421" s="7">
        <v>11</v>
      </c>
      <c r="AF2421" s="8">
        <v>0.79166666666666663</v>
      </c>
      <c r="AG2421" s="9">
        <v>-4.5</v>
      </c>
      <c r="AH2421" s="10">
        <f t="shared" si="52"/>
        <v>-5</v>
      </c>
    </row>
    <row r="2422" spans="11:34" ht="14.5" x14ac:dyDescent="0.35">
      <c r="K2422" s="4"/>
      <c r="AC2422" s="7">
        <v>2022</v>
      </c>
      <c r="AD2422" s="7">
        <v>4</v>
      </c>
      <c r="AE2422" s="7">
        <v>11</v>
      </c>
      <c r="AF2422" s="8">
        <v>0.83333333333333337</v>
      </c>
      <c r="AG2422" s="9">
        <v>-5.5</v>
      </c>
      <c r="AH2422" s="10">
        <f t="shared" si="52"/>
        <v>-6</v>
      </c>
    </row>
    <row r="2423" spans="11:34" ht="14.5" x14ac:dyDescent="0.35">
      <c r="K2423" s="4"/>
      <c r="AC2423" s="7">
        <v>2022</v>
      </c>
      <c r="AD2423" s="7">
        <v>4</v>
      </c>
      <c r="AE2423" s="7">
        <v>11</v>
      </c>
      <c r="AF2423" s="8">
        <v>0.875</v>
      </c>
      <c r="AG2423" s="9">
        <v>-6.7</v>
      </c>
      <c r="AH2423" s="10">
        <f t="shared" si="52"/>
        <v>-7</v>
      </c>
    </row>
    <row r="2424" spans="11:34" ht="14.5" x14ac:dyDescent="0.35">
      <c r="K2424" s="4"/>
      <c r="AC2424" s="7">
        <v>2022</v>
      </c>
      <c r="AD2424" s="7">
        <v>4</v>
      </c>
      <c r="AE2424" s="7">
        <v>11</v>
      </c>
      <c r="AF2424" s="8">
        <v>0.91666666666666663</v>
      </c>
      <c r="AG2424" s="9">
        <v>-7.5</v>
      </c>
      <c r="AH2424" s="10">
        <f t="shared" si="52"/>
        <v>-8</v>
      </c>
    </row>
    <row r="2425" spans="11:34" ht="14.5" x14ac:dyDescent="0.35">
      <c r="K2425" s="4"/>
      <c r="AC2425" s="7">
        <v>2022</v>
      </c>
      <c r="AD2425" s="7">
        <v>4</v>
      </c>
      <c r="AE2425" s="7">
        <v>11</v>
      </c>
      <c r="AF2425" s="8">
        <v>0.95833333333333337</v>
      </c>
      <c r="AG2425" s="9">
        <v>-8.8000000000000007</v>
      </c>
      <c r="AH2425" s="10">
        <f t="shared" si="52"/>
        <v>-9</v>
      </c>
    </row>
    <row r="2426" spans="11:34" ht="14.5" x14ac:dyDescent="0.35">
      <c r="K2426" s="4"/>
      <c r="AC2426" s="7">
        <v>2022</v>
      </c>
      <c r="AD2426" s="7">
        <v>4</v>
      </c>
      <c r="AE2426" s="7">
        <v>12</v>
      </c>
      <c r="AF2426" s="8">
        <v>0</v>
      </c>
      <c r="AG2426" s="9">
        <v>-8.4</v>
      </c>
      <c r="AH2426" s="10">
        <f t="shared" si="52"/>
        <v>-8</v>
      </c>
    </row>
    <row r="2427" spans="11:34" ht="14.5" x14ac:dyDescent="0.35">
      <c r="K2427" s="4"/>
      <c r="AC2427" s="7">
        <v>2022</v>
      </c>
      <c r="AD2427" s="7">
        <v>4</v>
      </c>
      <c r="AE2427" s="7">
        <v>12</v>
      </c>
      <c r="AF2427" s="8">
        <v>4.1666666666666664E-2</v>
      </c>
      <c r="AG2427" s="9">
        <v>-8.4</v>
      </c>
      <c r="AH2427" s="10">
        <f t="shared" si="52"/>
        <v>-8</v>
      </c>
    </row>
    <row r="2428" spans="11:34" ht="14.5" x14ac:dyDescent="0.35">
      <c r="K2428" s="4"/>
      <c r="AC2428" s="7">
        <v>2022</v>
      </c>
      <c r="AD2428" s="7">
        <v>4</v>
      </c>
      <c r="AE2428" s="7">
        <v>12</v>
      </c>
      <c r="AF2428" s="8">
        <v>8.3333333333333329E-2</v>
      </c>
      <c r="AG2428" s="9">
        <v>-8.5</v>
      </c>
      <c r="AH2428" s="10">
        <f t="shared" si="52"/>
        <v>-9</v>
      </c>
    </row>
    <row r="2429" spans="11:34" ht="14.5" x14ac:dyDescent="0.35">
      <c r="K2429" s="4"/>
      <c r="AC2429" s="7">
        <v>2022</v>
      </c>
      <c r="AD2429" s="7">
        <v>4</v>
      </c>
      <c r="AE2429" s="7">
        <v>12</v>
      </c>
      <c r="AF2429" s="8">
        <v>0.125</v>
      </c>
      <c r="AG2429" s="9">
        <v>-9.1</v>
      </c>
      <c r="AH2429" s="10">
        <f t="shared" si="52"/>
        <v>-9</v>
      </c>
    </row>
    <row r="2430" spans="11:34" ht="14.5" x14ac:dyDescent="0.35">
      <c r="K2430" s="4"/>
      <c r="AC2430" s="7">
        <v>2022</v>
      </c>
      <c r="AD2430" s="7">
        <v>4</v>
      </c>
      <c r="AE2430" s="7">
        <v>12</v>
      </c>
      <c r="AF2430" s="8">
        <v>0.16666666666666666</v>
      </c>
      <c r="AG2430" s="9">
        <v>-9.6999999999999993</v>
      </c>
      <c r="AH2430" s="10">
        <f t="shared" si="52"/>
        <v>-10</v>
      </c>
    </row>
    <row r="2431" spans="11:34" ht="14.5" x14ac:dyDescent="0.35">
      <c r="K2431" s="4"/>
      <c r="AC2431" s="7">
        <v>2022</v>
      </c>
      <c r="AD2431" s="7">
        <v>4</v>
      </c>
      <c r="AE2431" s="7">
        <v>12</v>
      </c>
      <c r="AF2431" s="8">
        <v>0.20833333333333334</v>
      </c>
      <c r="AG2431" s="9">
        <v>-10.4</v>
      </c>
      <c r="AH2431" s="10">
        <f t="shared" si="52"/>
        <v>-10</v>
      </c>
    </row>
    <row r="2432" spans="11:34" ht="14.5" x14ac:dyDescent="0.35">
      <c r="K2432" s="4"/>
      <c r="AC2432" s="7">
        <v>2022</v>
      </c>
      <c r="AD2432" s="7">
        <v>4</v>
      </c>
      <c r="AE2432" s="7">
        <v>12</v>
      </c>
      <c r="AF2432" s="8">
        <v>0.25</v>
      </c>
      <c r="AG2432" s="9">
        <v>-10.8</v>
      </c>
      <c r="AH2432" s="10">
        <f t="shared" si="52"/>
        <v>-11</v>
      </c>
    </row>
    <row r="2433" spans="11:34" ht="14.5" x14ac:dyDescent="0.35">
      <c r="K2433" s="4"/>
      <c r="AC2433" s="7">
        <v>2022</v>
      </c>
      <c r="AD2433" s="7">
        <v>4</v>
      </c>
      <c r="AE2433" s="7">
        <v>12</v>
      </c>
      <c r="AF2433" s="8">
        <v>0.29166666666666669</v>
      </c>
      <c r="AG2433" s="9">
        <v>-10.9</v>
      </c>
      <c r="AH2433" s="10">
        <f t="shared" si="52"/>
        <v>-11</v>
      </c>
    </row>
    <row r="2434" spans="11:34" ht="14.5" x14ac:dyDescent="0.35">
      <c r="K2434" s="4"/>
      <c r="AC2434" s="7">
        <v>2022</v>
      </c>
      <c r="AD2434" s="7">
        <v>4</v>
      </c>
      <c r="AE2434" s="7">
        <v>12</v>
      </c>
      <c r="AF2434" s="8">
        <v>0.33333333333333331</v>
      </c>
      <c r="AG2434" s="9">
        <v>-10.7</v>
      </c>
      <c r="AH2434" s="10">
        <f t="shared" si="52"/>
        <v>-11</v>
      </c>
    </row>
    <row r="2435" spans="11:34" ht="14.5" x14ac:dyDescent="0.35">
      <c r="K2435" s="4"/>
      <c r="AC2435" s="7">
        <v>2022</v>
      </c>
      <c r="AD2435" s="7">
        <v>4</v>
      </c>
      <c r="AE2435" s="7">
        <v>12</v>
      </c>
      <c r="AF2435" s="8">
        <v>0.375</v>
      </c>
      <c r="AG2435" s="9">
        <v>-10.6</v>
      </c>
      <c r="AH2435" s="10">
        <f t="shared" si="52"/>
        <v>-11</v>
      </c>
    </row>
    <row r="2436" spans="11:34" ht="14.5" x14ac:dyDescent="0.35">
      <c r="K2436" s="4"/>
      <c r="AC2436" s="7">
        <v>2022</v>
      </c>
      <c r="AD2436" s="7">
        <v>4</v>
      </c>
      <c r="AE2436" s="7">
        <v>12</v>
      </c>
      <c r="AF2436" s="8">
        <v>0.41666666666666669</v>
      </c>
      <c r="AG2436" s="9">
        <v>-9.9</v>
      </c>
      <c r="AH2436" s="10">
        <f t="shared" si="52"/>
        <v>-10</v>
      </c>
    </row>
    <row r="2437" spans="11:34" ht="14.5" x14ac:dyDescent="0.35">
      <c r="K2437" s="4"/>
      <c r="AC2437" s="7">
        <v>2022</v>
      </c>
      <c r="AD2437" s="7">
        <v>4</v>
      </c>
      <c r="AE2437" s="7">
        <v>12</v>
      </c>
      <c r="AF2437" s="8">
        <v>0.45833333333333331</v>
      </c>
      <c r="AG2437" s="9">
        <v>-9.1999999999999993</v>
      </c>
      <c r="AH2437" s="10">
        <f t="shared" si="52"/>
        <v>-9</v>
      </c>
    </row>
    <row r="2438" spans="11:34" ht="14.5" x14ac:dyDescent="0.35">
      <c r="K2438" s="4"/>
      <c r="AC2438" s="7">
        <v>2022</v>
      </c>
      <c r="AD2438" s="7">
        <v>4</v>
      </c>
      <c r="AE2438" s="7">
        <v>12</v>
      </c>
      <c r="AF2438" s="8">
        <v>0.5</v>
      </c>
      <c r="AG2438" s="9">
        <v>-8.6999999999999993</v>
      </c>
      <c r="AH2438" s="10">
        <f t="shared" si="52"/>
        <v>-9</v>
      </c>
    </row>
    <row r="2439" spans="11:34" ht="14.5" x14ac:dyDescent="0.35">
      <c r="K2439" s="4"/>
      <c r="AC2439" s="7">
        <v>2022</v>
      </c>
      <c r="AD2439" s="7">
        <v>4</v>
      </c>
      <c r="AE2439" s="7">
        <v>12</v>
      </c>
      <c r="AF2439" s="8">
        <v>0.54166666666666663</v>
      </c>
      <c r="AG2439" s="9">
        <v>-8.3000000000000007</v>
      </c>
      <c r="AH2439" s="10">
        <f t="shared" si="52"/>
        <v>-8</v>
      </c>
    </row>
    <row r="2440" spans="11:34" ht="14.5" x14ac:dyDescent="0.35">
      <c r="K2440" s="4"/>
      <c r="AC2440" s="7">
        <v>2022</v>
      </c>
      <c r="AD2440" s="7">
        <v>4</v>
      </c>
      <c r="AE2440" s="7">
        <v>12</v>
      </c>
      <c r="AF2440" s="8">
        <v>0.58333333333333337</v>
      </c>
      <c r="AG2440" s="9">
        <v>-8.4</v>
      </c>
      <c r="AH2440" s="10">
        <f t="shared" si="52"/>
        <v>-8</v>
      </c>
    </row>
    <row r="2441" spans="11:34" ht="14.5" x14ac:dyDescent="0.35">
      <c r="K2441" s="4"/>
      <c r="AC2441" s="7">
        <v>2022</v>
      </c>
      <c r="AD2441" s="7">
        <v>4</v>
      </c>
      <c r="AE2441" s="7">
        <v>12</v>
      </c>
      <c r="AF2441" s="8">
        <v>0.625</v>
      </c>
      <c r="AG2441" s="9">
        <v>-7.8</v>
      </c>
      <c r="AH2441" s="10">
        <f t="shared" si="52"/>
        <v>-8</v>
      </c>
    </row>
    <row r="2442" spans="11:34" ht="14.5" x14ac:dyDescent="0.35">
      <c r="K2442" s="4"/>
      <c r="AC2442" s="7">
        <v>2022</v>
      </c>
      <c r="AD2442" s="7">
        <v>4</v>
      </c>
      <c r="AE2442" s="7">
        <v>12</v>
      </c>
      <c r="AF2442" s="8">
        <v>0.66666666666666663</v>
      </c>
      <c r="AG2442" s="9">
        <v>-8</v>
      </c>
      <c r="AH2442" s="10">
        <f t="shared" si="52"/>
        <v>-8</v>
      </c>
    </row>
    <row r="2443" spans="11:34" ht="14.5" x14ac:dyDescent="0.35">
      <c r="K2443" s="4"/>
      <c r="AC2443" s="7">
        <v>2022</v>
      </c>
      <c r="AD2443" s="7">
        <v>4</v>
      </c>
      <c r="AE2443" s="7">
        <v>12</v>
      </c>
      <c r="AF2443" s="8">
        <v>0.70833333333333337</v>
      </c>
      <c r="AG2443" s="9">
        <v>-8</v>
      </c>
      <c r="AH2443" s="10">
        <f t="shared" ref="AH2443:AH2506" si="53">ROUND(AG2443,0)</f>
        <v>-8</v>
      </c>
    </row>
    <row r="2444" spans="11:34" ht="14.5" x14ac:dyDescent="0.35">
      <c r="K2444" s="4"/>
      <c r="AC2444" s="7">
        <v>2022</v>
      </c>
      <c r="AD2444" s="7">
        <v>4</v>
      </c>
      <c r="AE2444" s="7">
        <v>12</v>
      </c>
      <c r="AF2444" s="8">
        <v>0.75</v>
      </c>
      <c r="AG2444" s="9">
        <v>-8.3000000000000007</v>
      </c>
      <c r="AH2444" s="10">
        <f t="shared" si="53"/>
        <v>-8</v>
      </c>
    </row>
    <row r="2445" spans="11:34" ht="14.5" x14ac:dyDescent="0.35">
      <c r="K2445" s="4"/>
      <c r="AC2445" s="7">
        <v>2022</v>
      </c>
      <c r="AD2445" s="7">
        <v>4</v>
      </c>
      <c r="AE2445" s="7">
        <v>12</v>
      </c>
      <c r="AF2445" s="8">
        <v>0.79166666666666663</v>
      </c>
      <c r="AG2445" s="9">
        <v>-9.1</v>
      </c>
      <c r="AH2445" s="10">
        <f t="shared" si="53"/>
        <v>-9</v>
      </c>
    </row>
    <row r="2446" spans="11:34" ht="14.5" x14ac:dyDescent="0.35">
      <c r="K2446" s="4"/>
      <c r="AC2446" s="7">
        <v>2022</v>
      </c>
      <c r="AD2446" s="7">
        <v>4</v>
      </c>
      <c r="AE2446" s="7">
        <v>12</v>
      </c>
      <c r="AF2446" s="8">
        <v>0.83333333333333337</v>
      </c>
      <c r="AG2446" s="9">
        <v>-9.8000000000000007</v>
      </c>
      <c r="AH2446" s="10">
        <f t="shared" si="53"/>
        <v>-10</v>
      </c>
    </row>
    <row r="2447" spans="11:34" ht="14.5" x14ac:dyDescent="0.35">
      <c r="K2447" s="4"/>
      <c r="AC2447" s="7">
        <v>2022</v>
      </c>
      <c r="AD2447" s="7">
        <v>4</v>
      </c>
      <c r="AE2447" s="7">
        <v>12</v>
      </c>
      <c r="AF2447" s="8">
        <v>0.875</v>
      </c>
      <c r="AG2447" s="9">
        <v>-10.6</v>
      </c>
      <c r="AH2447" s="10">
        <f t="shared" si="53"/>
        <v>-11</v>
      </c>
    </row>
    <row r="2448" spans="11:34" ht="14.5" x14ac:dyDescent="0.35">
      <c r="K2448" s="4"/>
      <c r="AC2448" s="7">
        <v>2022</v>
      </c>
      <c r="AD2448" s="7">
        <v>4</v>
      </c>
      <c r="AE2448" s="7">
        <v>12</v>
      </c>
      <c r="AF2448" s="8">
        <v>0.91666666666666663</v>
      </c>
      <c r="AG2448" s="9">
        <v>-10</v>
      </c>
      <c r="AH2448" s="10">
        <f t="shared" si="53"/>
        <v>-10</v>
      </c>
    </row>
    <row r="2449" spans="11:34" ht="14.5" x14ac:dyDescent="0.35">
      <c r="K2449" s="4"/>
      <c r="AC2449" s="7">
        <v>2022</v>
      </c>
      <c r="AD2449" s="7">
        <v>4</v>
      </c>
      <c r="AE2449" s="7">
        <v>12</v>
      </c>
      <c r="AF2449" s="8">
        <v>0.95833333333333337</v>
      </c>
      <c r="AG2449" s="9">
        <v>-10</v>
      </c>
      <c r="AH2449" s="10">
        <f t="shared" si="53"/>
        <v>-10</v>
      </c>
    </row>
    <row r="2450" spans="11:34" ht="14.5" x14ac:dyDescent="0.35">
      <c r="K2450" s="4"/>
      <c r="AC2450" s="7">
        <v>2022</v>
      </c>
      <c r="AD2450" s="7">
        <v>4</v>
      </c>
      <c r="AE2450" s="7">
        <v>13</v>
      </c>
      <c r="AF2450" s="8">
        <v>0</v>
      </c>
      <c r="AG2450" s="9">
        <v>-10.1</v>
      </c>
      <c r="AH2450" s="10">
        <f t="shared" si="53"/>
        <v>-10</v>
      </c>
    </row>
    <row r="2451" spans="11:34" ht="14.5" x14ac:dyDescent="0.35">
      <c r="K2451" s="4"/>
      <c r="AC2451" s="7">
        <v>2022</v>
      </c>
      <c r="AD2451" s="7">
        <v>4</v>
      </c>
      <c r="AE2451" s="7">
        <v>13</v>
      </c>
      <c r="AF2451" s="8">
        <v>4.1666666666666664E-2</v>
      </c>
      <c r="AG2451" s="9">
        <v>-10</v>
      </c>
      <c r="AH2451" s="10">
        <f t="shared" si="53"/>
        <v>-10</v>
      </c>
    </row>
    <row r="2452" spans="11:34" ht="14.5" x14ac:dyDescent="0.35">
      <c r="K2452" s="4"/>
      <c r="AC2452" s="7">
        <v>2022</v>
      </c>
      <c r="AD2452" s="7">
        <v>4</v>
      </c>
      <c r="AE2452" s="7">
        <v>13</v>
      </c>
      <c r="AF2452" s="8">
        <v>8.3333333333333329E-2</v>
      </c>
      <c r="AG2452" s="9">
        <v>-10.1</v>
      </c>
      <c r="AH2452" s="10">
        <f t="shared" si="53"/>
        <v>-10</v>
      </c>
    </row>
    <row r="2453" spans="11:34" ht="14.5" x14ac:dyDescent="0.35">
      <c r="K2453" s="4"/>
      <c r="AC2453" s="7">
        <v>2022</v>
      </c>
      <c r="AD2453" s="7">
        <v>4</v>
      </c>
      <c r="AE2453" s="7">
        <v>13</v>
      </c>
      <c r="AF2453" s="8">
        <v>0.125</v>
      </c>
      <c r="AG2453" s="9">
        <v>-10.1</v>
      </c>
      <c r="AH2453" s="10">
        <f t="shared" si="53"/>
        <v>-10</v>
      </c>
    </row>
    <row r="2454" spans="11:34" ht="14.5" x14ac:dyDescent="0.35">
      <c r="K2454" s="4"/>
      <c r="AC2454" s="7">
        <v>2022</v>
      </c>
      <c r="AD2454" s="7">
        <v>4</v>
      </c>
      <c r="AE2454" s="7">
        <v>13</v>
      </c>
      <c r="AF2454" s="8">
        <v>0.16666666666666666</v>
      </c>
      <c r="AG2454" s="9">
        <v>-10.199999999999999</v>
      </c>
      <c r="AH2454" s="10">
        <f t="shared" si="53"/>
        <v>-10</v>
      </c>
    </row>
    <row r="2455" spans="11:34" ht="14.5" x14ac:dyDescent="0.35">
      <c r="K2455" s="4"/>
      <c r="AC2455" s="7">
        <v>2022</v>
      </c>
      <c r="AD2455" s="7">
        <v>4</v>
      </c>
      <c r="AE2455" s="7">
        <v>13</v>
      </c>
      <c r="AF2455" s="8">
        <v>0.20833333333333334</v>
      </c>
      <c r="AG2455" s="9">
        <v>-10.1</v>
      </c>
      <c r="AH2455" s="10">
        <f t="shared" si="53"/>
        <v>-10</v>
      </c>
    </row>
    <row r="2456" spans="11:34" ht="14.5" x14ac:dyDescent="0.35">
      <c r="K2456" s="4"/>
      <c r="AC2456" s="7">
        <v>2022</v>
      </c>
      <c r="AD2456" s="7">
        <v>4</v>
      </c>
      <c r="AE2456" s="7">
        <v>13</v>
      </c>
      <c r="AF2456" s="8">
        <v>0.25</v>
      </c>
      <c r="AG2456" s="9">
        <v>-10.199999999999999</v>
      </c>
      <c r="AH2456" s="10">
        <f t="shared" si="53"/>
        <v>-10</v>
      </c>
    </row>
    <row r="2457" spans="11:34" ht="14.5" x14ac:dyDescent="0.35">
      <c r="K2457" s="4"/>
      <c r="AC2457" s="7">
        <v>2022</v>
      </c>
      <c r="AD2457" s="7">
        <v>4</v>
      </c>
      <c r="AE2457" s="7">
        <v>13</v>
      </c>
      <c r="AF2457" s="8">
        <v>0.29166666666666669</v>
      </c>
      <c r="AG2457" s="9">
        <v>-9.9</v>
      </c>
      <c r="AH2457" s="10">
        <f t="shared" si="53"/>
        <v>-10</v>
      </c>
    </row>
    <row r="2458" spans="11:34" ht="14.5" x14ac:dyDescent="0.35">
      <c r="K2458" s="4"/>
      <c r="AC2458" s="7">
        <v>2022</v>
      </c>
      <c r="AD2458" s="7">
        <v>4</v>
      </c>
      <c r="AE2458" s="7">
        <v>13</v>
      </c>
      <c r="AF2458" s="8">
        <v>0.33333333333333331</v>
      </c>
      <c r="AG2458" s="9">
        <v>-9.3000000000000007</v>
      </c>
      <c r="AH2458" s="10">
        <f t="shared" si="53"/>
        <v>-9</v>
      </c>
    </row>
    <row r="2459" spans="11:34" ht="14.5" x14ac:dyDescent="0.35">
      <c r="K2459" s="4"/>
      <c r="AC2459" s="7">
        <v>2022</v>
      </c>
      <c r="AD2459" s="7">
        <v>4</v>
      </c>
      <c r="AE2459" s="7">
        <v>13</v>
      </c>
      <c r="AF2459" s="8">
        <v>0.375</v>
      </c>
      <c r="AG2459" s="9">
        <v>-9.3000000000000007</v>
      </c>
      <c r="AH2459" s="10">
        <f t="shared" si="53"/>
        <v>-9</v>
      </c>
    </row>
    <row r="2460" spans="11:34" ht="14.5" x14ac:dyDescent="0.35">
      <c r="K2460" s="4"/>
      <c r="AC2460" s="7">
        <v>2022</v>
      </c>
      <c r="AD2460" s="7">
        <v>4</v>
      </c>
      <c r="AE2460" s="7">
        <v>13</v>
      </c>
      <c r="AF2460" s="8">
        <v>0.41666666666666669</v>
      </c>
      <c r="AG2460" s="9">
        <v>-8.9</v>
      </c>
      <c r="AH2460" s="10">
        <f t="shared" si="53"/>
        <v>-9</v>
      </c>
    </row>
    <row r="2461" spans="11:34" ht="14.5" x14ac:dyDescent="0.35">
      <c r="K2461" s="4"/>
      <c r="AC2461" s="7">
        <v>2022</v>
      </c>
      <c r="AD2461" s="7">
        <v>4</v>
      </c>
      <c r="AE2461" s="7">
        <v>13</v>
      </c>
      <c r="AF2461" s="8">
        <v>0.45833333333333331</v>
      </c>
      <c r="AG2461" s="9">
        <v>-7.8</v>
      </c>
      <c r="AH2461" s="10">
        <f t="shared" si="53"/>
        <v>-8</v>
      </c>
    </row>
    <row r="2462" spans="11:34" ht="14.5" x14ac:dyDescent="0.35">
      <c r="K2462" s="4"/>
      <c r="AC2462" s="7">
        <v>2022</v>
      </c>
      <c r="AD2462" s="7">
        <v>4</v>
      </c>
      <c r="AE2462" s="7">
        <v>13</v>
      </c>
      <c r="AF2462" s="8">
        <v>0.5</v>
      </c>
      <c r="AG2462" s="9">
        <v>-7</v>
      </c>
      <c r="AH2462" s="10">
        <f t="shared" si="53"/>
        <v>-7</v>
      </c>
    </row>
    <row r="2463" spans="11:34" ht="14.5" x14ac:dyDescent="0.35">
      <c r="K2463" s="4"/>
      <c r="AC2463" s="7">
        <v>2022</v>
      </c>
      <c r="AD2463" s="7">
        <v>4</v>
      </c>
      <c r="AE2463" s="7">
        <v>13</v>
      </c>
      <c r="AF2463" s="8">
        <v>0.54166666666666663</v>
      </c>
      <c r="AG2463" s="9">
        <v>-7.1</v>
      </c>
      <c r="AH2463" s="10">
        <f t="shared" si="53"/>
        <v>-7</v>
      </c>
    </row>
    <row r="2464" spans="11:34" ht="14.5" x14ac:dyDescent="0.35">
      <c r="K2464" s="4"/>
      <c r="AC2464" s="7">
        <v>2022</v>
      </c>
      <c r="AD2464" s="7">
        <v>4</v>
      </c>
      <c r="AE2464" s="7">
        <v>13</v>
      </c>
      <c r="AF2464" s="8">
        <v>0.58333333333333337</v>
      </c>
      <c r="AG2464" s="9">
        <v>-7</v>
      </c>
      <c r="AH2464" s="10">
        <f t="shared" si="53"/>
        <v>-7</v>
      </c>
    </row>
    <row r="2465" spans="11:34" ht="14.5" x14ac:dyDescent="0.35">
      <c r="K2465" s="4"/>
      <c r="AC2465" s="7">
        <v>2022</v>
      </c>
      <c r="AD2465" s="7">
        <v>4</v>
      </c>
      <c r="AE2465" s="7">
        <v>13</v>
      </c>
      <c r="AF2465" s="8">
        <v>0.625</v>
      </c>
      <c r="AG2465" s="9">
        <v>-6.5</v>
      </c>
      <c r="AH2465" s="10">
        <f t="shared" si="53"/>
        <v>-7</v>
      </c>
    </row>
    <row r="2466" spans="11:34" ht="14.5" x14ac:dyDescent="0.35">
      <c r="K2466" s="4"/>
      <c r="AC2466" s="7">
        <v>2022</v>
      </c>
      <c r="AD2466" s="7">
        <v>4</v>
      </c>
      <c r="AE2466" s="7">
        <v>13</v>
      </c>
      <c r="AF2466" s="8">
        <v>0.66666666666666663</v>
      </c>
      <c r="AG2466" s="9">
        <v>-6.6</v>
      </c>
      <c r="AH2466" s="10">
        <f t="shared" si="53"/>
        <v>-7</v>
      </c>
    </row>
    <row r="2467" spans="11:34" ht="14.5" x14ac:dyDescent="0.35">
      <c r="K2467" s="4"/>
      <c r="AC2467" s="7">
        <v>2022</v>
      </c>
      <c r="AD2467" s="7">
        <v>4</v>
      </c>
      <c r="AE2467" s="7">
        <v>13</v>
      </c>
      <c r="AF2467" s="8">
        <v>0.70833333333333337</v>
      </c>
      <c r="AG2467" s="9">
        <v>-6.5</v>
      </c>
      <c r="AH2467" s="10">
        <f t="shared" si="53"/>
        <v>-7</v>
      </c>
    </row>
    <row r="2468" spans="11:34" ht="14.5" x14ac:dyDescent="0.35">
      <c r="K2468" s="4"/>
      <c r="AC2468" s="7">
        <v>2022</v>
      </c>
      <c r="AD2468" s="7">
        <v>4</v>
      </c>
      <c r="AE2468" s="7">
        <v>13</v>
      </c>
      <c r="AF2468" s="8">
        <v>0.75</v>
      </c>
      <c r="AG2468" s="9">
        <v>-6.4</v>
      </c>
      <c r="AH2468" s="10">
        <f t="shared" si="53"/>
        <v>-6</v>
      </c>
    </row>
    <row r="2469" spans="11:34" ht="14.5" x14ac:dyDescent="0.35">
      <c r="K2469" s="4"/>
      <c r="AC2469" s="7">
        <v>2022</v>
      </c>
      <c r="AD2469" s="7">
        <v>4</v>
      </c>
      <c r="AE2469" s="7">
        <v>13</v>
      </c>
      <c r="AF2469" s="8">
        <v>0.79166666666666663</v>
      </c>
      <c r="AG2469" s="9">
        <v>-7.2</v>
      </c>
      <c r="AH2469" s="10">
        <f t="shared" si="53"/>
        <v>-7</v>
      </c>
    </row>
    <row r="2470" spans="11:34" ht="14.5" x14ac:dyDescent="0.35">
      <c r="K2470" s="4"/>
      <c r="AC2470" s="7">
        <v>2022</v>
      </c>
      <c r="AD2470" s="7">
        <v>4</v>
      </c>
      <c r="AE2470" s="7">
        <v>13</v>
      </c>
      <c r="AF2470" s="8">
        <v>0.83333333333333337</v>
      </c>
      <c r="AG2470" s="9">
        <v>-7.8</v>
      </c>
      <c r="AH2470" s="10">
        <f t="shared" si="53"/>
        <v>-8</v>
      </c>
    </row>
    <row r="2471" spans="11:34" ht="14.5" x14ac:dyDescent="0.35">
      <c r="K2471" s="4"/>
      <c r="AC2471" s="7">
        <v>2022</v>
      </c>
      <c r="AD2471" s="7">
        <v>4</v>
      </c>
      <c r="AE2471" s="7">
        <v>13</v>
      </c>
      <c r="AF2471" s="8">
        <v>0.875</v>
      </c>
      <c r="AG2471" s="9">
        <v>-7.9</v>
      </c>
      <c r="AH2471" s="10">
        <f t="shared" si="53"/>
        <v>-8</v>
      </c>
    </row>
    <row r="2472" spans="11:34" ht="14.5" x14ac:dyDescent="0.35">
      <c r="K2472" s="4"/>
      <c r="AC2472" s="7">
        <v>2022</v>
      </c>
      <c r="AD2472" s="7">
        <v>4</v>
      </c>
      <c r="AE2472" s="7">
        <v>13</v>
      </c>
      <c r="AF2472" s="8">
        <v>0.91666666666666663</v>
      </c>
      <c r="AG2472" s="9">
        <v>-8.1999999999999993</v>
      </c>
      <c r="AH2472" s="10">
        <f t="shared" si="53"/>
        <v>-8</v>
      </c>
    </row>
    <row r="2473" spans="11:34" ht="14.5" x14ac:dyDescent="0.35">
      <c r="K2473" s="4"/>
      <c r="AC2473" s="7">
        <v>2022</v>
      </c>
      <c r="AD2473" s="7">
        <v>4</v>
      </c>
      <c r="AE2473" s="7">
        <v>13</v>
      </c>
      <c r="AF2473" s="8">
        <v>0.95833333333333337</v>
      </c>
      <c r="AG2473" s="9">
        <v>-8.6</v>
      </c>
      <c r="AH2473" s="10">
        <f t="shared" si="53"/>
        <v>-9</v>
      </c>
    </row>
    <row r="2474" spans="11:34" ht="14.5" x14ac:dyDescent="0.35">
      <c r="K2474" s="4"/>
      <c r="AC2474" s="7">
        <v>2022</v>
      </c>
      <c r="AD2474" s="7">
        <v>4</v>
      </c>
      <c r="AE2474" s="7">
        <v>14</v>
      </c>
      <c r="AF2474" s="8">
        <v>0</v>
      </c>
      <c r="AG2474" s="9">
        <v>-8.9</v>
      </c>
      <c r="AH2474" s="10">
        <f t="shared" si="53"/>
        <v>-9</v>
      </c>
    </row>
    <row r="2475" spans="11:34" ht="14.5" x14ac:dyDescent="0.35">
      <c r="K2475" s="4"/>
      <c r="AC2475" s="7">
        <v>2022</v>
      </c>
      <c r="AD2475" s="7">
        <v>4</v>
      </c>
      <c r="AE2475" s="7">
        <v>14</v>
      </c>
      <c r="AF2475" s="8">
        <v>4.1666666666666664E-2</v>
      </c>
      <c r="AG2475" s="9">
        <v>-9</v>
      </c>
      <c r="AH2475" s="10">
        <f t="shared" si="53"/>
        <v>-9</v>
      </c>
    </row>
    <row r="2476" spans="11:34" ht="14.5" x14ac:dyDescent="0.35">
      <c r="K2476" s="4"/>
      <c r="AC2476" s="7">
        <v>2022</v>
      </c>
      <c r="AD2476" s="7">
        <v>4</v>
      </c>
      <c r="AE2476" s="7">
        <v>14</v>
      </c>
      <c r="AF2476" s="8">
        <v>8.3333333333333329E-2</v>
      </c>
      <c r="AG2476" s="9">
        <v>-9.6999999999999993</v>
      </c>
      <c r="AH2476" s="10">
        <f t="shared" si="53"/>
        <v>-10</v>
      </c>
    </row>
    <row r="2477" spans="11:34" ht="14.5" x14ac:dyDescent="0.35">
      <c r="K2477" s="4"/>
      <c r="AC2477" s="7">
        <v>2022</v>
      </c>
      <c r="AD2477" s="7">
        <v>4</v>
      </c>
      <c r="AE2477" s="7">
        <v>14</v>
      </c>
      <c r="AF2477" s="8">
        <v>0.125</v>
      </c>
      <c r="AG2477" s="9">
        <v>-10.1</v>
      </c>
      <c r="AH2477" s="10">
        <f t="shared" si="53"/>
        <v>-10</v>
      </c>
    </row>
    <row r="2478" spans="11:34" ht="14.5" x14ac:dyDescent="0.35">
      <c r="K2478" s="4"/>
      <c r="AC2478" s="7">
        <v>2022</v>
      </c>
      <c r="AD2478" s="7">
        <v>4</v>
      </c>
      <c r="AE2478" s="7">
        <v>14</v>
      </c>
      <c r="AF2478" s="8">
        <v>0.16666666666666666</v>
      </c>
      <c r="AG2478" s="9">
        <v>-10.199999999999999</v>
      </c>
      <c r="AH2478" s="10">
        <f t="shared" si="53"/>
        <v>-10</v>
      </c>
    </row>
    <row r="2479" spans="11:34" ht="14.5" x14ac:dyDescent="0.35">
      <c r="K2479" s="4"/>
      <c r="AC2479" s="7">
        <v>2022</v>
      </c>
      <c r="AD2479" s="7">
        <v>4</v>
      </c>
      <c r="AE2479" s="7">
        <v>14</v>
      </c>
      <c r="AF2479" s="8">
        <v>0.20833333333333334</v>
      </c>
      <c r="AG2479" s="9">
        <v>-10.199999999999999</v>
      </c>
      <c r="AH2479" s="10">
        <f t="shared" si="53"/>
        <v>-10</v>
      </c>
    </row>
    <row r="2480" spans="11:34" ht="14.5" x14ac:dyDescent="0.35">
      <c r="K2480" s="4"/>
      <c r="AC2480" s="7">
        <v>2022</v>
      </c>
      <c r="AD2480" s="7">
        <v>4</v>
      </c>
      <c r="AE2480" s="7">
        <v>14</v>
      </c>
      <c r="AF2480" s="8">
        <v>0.25</v>
      </c>
      <c r="AG2480" s="9">
        <v>-10</v>
      </c>
      <c r="AH2480" s="10">
        <f t="shared" si="53"/>
        <v>-10</v>
      </c>
    </row>
    <row r="2481" spans="11:34" ht="14.5" x14ac:dyDescent="0.35">
      <c r="K2481" s="4"/>
      <c r="AC2481" s="7">
        <v>2022</v>
      </c>
      <c r="AD2481" s="7">
        <v>4</v>
      </c>
      <c r="AE2481" s="7">
        <v>14</v>
      </c>
      <c r="AF2481" s="8">
        <v>0.29166666666666669</v>
      </c>
      <c r="AG2481" s="9">
        <v>-9.1999999999999993</v>
      </c>
      <c r="AH2481" s="10">
        <f t="shared" si="53"/>
        <v>-9</v>
      </c>
    </row>
    <row r="2482" spans="11:34" ht="14.5" x14ac:dyDescent="0.35">
      <c r="K2482" s="4"/>
      <c r="AC2482" s="7">
        <v>2022</v>
      </c>
      <c r="AD2482" s="7">
        <v>4</v>
      </c>
      <c r="AE2482" s="7">
        <v>14</v>
      </c>
      <c r="AF2482" s="8">
        <v>0.33333333333333331</v>
      </c>
      <c r="AG2482" s="9">
        <v>-8.9</v>
      </c>
      <c r="AH2482" s="10">
        <f t="shared" si="53"/>
        <v>-9</v>
      </c>
    </row>
    <row r="2483" spans="11:34" ht="14.5" x14ac:dyDescent="0.35">
      <c r="K2483" s="4"/>
      <c r="AC2483" s="7">
        <v>2022</v>
      </c>
      <c r="AD2483" s="7">
        <v>4</v>
      </c>
      <c r="AE2483" s="7">
        <v>14</v>
      </c>
      <c r="AF2483" s="8">
        <v>0.375</v>
      </c>
      <c r="AG2483" s="9">
        <v>-8.3000000000000007</v>
      </c>
      <c r="AH2483" s="10">
        <f t="shared" si="53"/>
        <v>-8</v>
      </c>
    </row>
    <row r="2484" spans="11:34" ht="14.5" x14ac:dyDescent="0.35">
      <c r="K2484" s="4"/>
      <c r="AC2484" s="7">
        <v>2022</v>
      </c>
      <c r="AD2484" s="7">
        <v>4</v>
      </c>
      <c r="AE2484" s="7">
        <v>14</v>
      </c>
      <c r="AF2484" s="8">
        <v>0.41666666666666669</v>
      </c>
      <c r="AG2484" s="9">
        <v>-7.2</v>
      </c>
      <c r="AH2484" s="10">
        <f t="shared" si="53"/>
        <v>-7</v>
      </c>
    </row>
    <row r="2485" spans="11:34" ht="14.5" x14ac:dyDescent="0.35">
      <c r="K2485" s="4"/>
      <c r="AC2485" s="7">
        <v>2022</v>
      </c>
      <c r="AD2485" s="7">
        <v>4</v>
      </c>
      <c r="AE2485" s="7">
        <v>14</v>
      </c>
      <c r="AF2485" s="8">
        <v>0.45833333333333331</v>
      </c>
      <c r="AG2485" s="9">
        <v>-7.4</v>
      </c>
      <c r="AH2485" s="10">
        <f t="shared" si="53"/>
        <v>-7</v>
      </c>
    </row>
    <row r="2486" spans="11:34" ht="14.5" x14ac:dyDescent="0.35">
      <c r="K2486" s="4"/>
      <c r="AC2486" s="7">
        <v>2022</v>
      </c>
      <c r="AD2486" s="7">
        <v>4</v>
      </c>
      <c r="AE2486" s="7">
        <v>14</v>
      </c>
      <c r="AF2486" s="8">
        <v>0.5</v>
      </c>
      <c r="AG2486" s="9">
        <v>-6.9</v>
      </c>
      <c r="AH2486" s="10">
        <f t="shared" si="53"/>
        <v>-7</v>
      </c>
    </row>
    <row r="2487" spans="11:34" ht="14.5" x14ac:dyDescent="0.35">
      <c r="K2487" s="4"/>
      <c r="AC2487" s="7">
        <v>2022</v>
      </c>
      <c r="AD2487" s="7">
        <v>4</v>
      </c>
      <c r="AE2487" s="7">
        <v>14</v>
      </c>
      <c r="AF2487" s="8">
        <v>0.54166666666666663</v>
      </c>
      <c r="AG2487" s="9">
        <v>-6.5</v>
      </c>
      <c r="AH2487" s="10">
        <f t="shared" si="53"/>
        <v>-7</v>
      </c>
    </row>
    <row r="2488" spans="11:34" ht="14.5" x14ac:dyDescent="0.35">
      <c r="K2488" s="4"/>
      <c r="AC2488" s="7">
        <v>2022</v>
      </c>
      <c r="AD2488" s="7">
        <v>4</v>
      </c>
      <c r="AE2488" s="7">
        <v>14</v>
      </c>
      <c r="AF2488" s="8">
        <v>0.58333333333333337</v>
      </c>
      <c r="AG2488" s="9">
        <v>-6.6</v>
      </c>
      <c r="AH2488" s="10">
        <f t="shared" si="53"/>
        <v>-7</v>
      </c>
    </row>
    <row r="2489" spans="11:34" ht="14.5" x14ac:dyDescent="0.35">
      <c r="K2489" s="4"/>
      <c r="AC2489" s="7">
        <v>2022</v>
      </c>
      <c r="AD2489" s="7">
        <v>4</v>
      </c>
      <c r="AE2489" s="7">
        <v>14</v>
      </c>
      <c r="AF2489" s="8">
        <v>0.625</v>
      </c>
      <c r="AG2489" s="9">
        <v>-5.7</v>
      </c>
      <c r="AH2489" s="10">
        <f t="shared" si="53"/>
        <v>-6</v>
      </c>
    </row>
    <row r="2490" spans="11:34" ht="14.5" x14ac:dyDescent="0.35">
      <c r="K2490" s="4"/>
      <c r="AC2490" s="7">
        <v>2022</v>
      </c>
      <c r="AD2490" s="7">
        <v>4</v>
      </c>
      <c r="AE2490" s="7">
        <v>14</v>
      </c>
      <c r="AF2490" s="8">
        <v>0.66666666666666663</v>
      </c>
      <c r="AG2490" s="9">
        <v>-6.1</v>
      </c>
      <c r="AH2490" s="10">
        <f t="shared" si="53"/>
        <v>-6</v>
      </c>
    </row>
    <row r="2491" spans="11:34" ht="14.5" x14ac:dyDescent="0.35">
      <c r="K2491" s="4"/>
      <c r="AC2491" s="7">
        <v>2022</v>
      </c>
      <c r="AD2491" s="7">
        <v>4</v>
      </c>
      <c r="AE2491" s="7">
        <v>14</v>
      </c>
      <c r="AF2491" s="8">
        <v>0.70833333333333337</v>
      </c>
      <c r="AG2491" s="9">
        <v>-5.9</v>
      </c>
      <c r="AH2491" s="10">
        <f t="shared" si="53"/>
        <v>-6</v>
      </c>
    </row>
    <row r="2492" spans="11:34" ht="14.5" x14ac:dyDescent="0.35">
      <c r="K2492" s="4"/>
      <c r="AC2492" s="7">
        <v>2022</v>
      </c>
      <c r="AD2492" s="7">
        <v>4</v>
      </c>
      <c r="AE2492" s="7">
        <v>14</v>
      </c>
      <c r="AF2492" s="8">
        <v>0.75</v>
      </c>
      <c r="AG2492" s="9">
        <v>-6.6</v>
      </c>
      <c r="AH2492" s="10">
        <f t="shared" si="53"/>
        <v>-7</v>
      </c>
    </row>
    <row r="2493" spans="11:34" ht="14.5" x14ac:dyDescent="0.35">
      <c r="K2493" s="4"/>
      <c r="AC2493" s="7">
        <v>2022</v>
      </c>
      <c r="AD2493" s="7">
        <v>4</v>
      </c>
      <c r="AE2493" s="7">
        <v>14</v>
      </c>
      <c r="AF2493" s="8">
        <v>0.79166666666666663</v>
      </c>
      <c r="AG2493" s="9">
        <v>-7</v>
      </c>
      <c r="AH2493" s="10">
        <f t="shared" si="53"/>
        <v>-7</v>
      </c>
    </row>
    <row r="2494" spans="11:34" ht="14.5" x14ac:dyDescent="0.35">
      <c r="K2494" s="4"/>
      <c r="AC2494" s="7">
        <v>2022</v>
      </c>
      <c r="AD2494" s="7">
        <v>4</v>
      </c>
      <c r="AE2494" s="7">
        <v>14</v>
      </c>
      <c r="AF2494" s="8">
        <v>0.83333333333333337</v>
      </c>
      <c r="AG2494" s="9">
        <v>-7.3</v>
      </c>
      <c r="AH2494" s="10">
        <f t="shared" si="53"/>
        <v>-7</v>
      </c>
    </row>
    <row r="2495" spans="11:34" ht="14.5" x14ac:dyDescent="0.35">
      <c r="K2495" s="4"/>
      <c r="AC2495" s="7">
        <v>2022</v>
      </c>
      <c r="AD2495" s="7">
        <v>4</v>
      </c>
      <c r="AE2495" s="7">
        <v>14</v>
      </c>
      <c r="AF2495" s="8">
        <v>0.875</v>
      </c>
      <c r="AG2495" s="9">
        <v>-7.7</v>
      </c>
      <c r="AH2495" s="10">
        <f t="shared" si="53"/>
        <v>-8</v>
      </c>
    </row>
    <row r="2496" spans="11:34" ht="14.5" x14ac:dyDescent="0.35">
      <c r="K2496" s="4"/>
      <c r="AC2496" s="7">
        <v>2022</v>
      </c>
      <c r="AD2496" s="7">
        <v>4</v>
      </c>
      <c r="AE2496" s="7">
        <v>14</v>
      </c>
      <c r="AF2496" s="8">
        <v>0.91666666666666663</v>
      </c>
      <c r="AG2496" s="9">
        <v>-7.9</v>
      </c>
      <c r="AH2496" s="10">
        <f t="shared" si="53"/>
        <v>-8</v>
      </c>
    </row>
    <row r="2497" spans="11:34" ht="14.5" x14ac:dyDescent="0.35">
      <c r="K2497" s="4"/>
      <c r="AC2497" s="7">
        <v>2022</v>
      </c>
      <c r="AD2497" s="7">
        <v>4</v>
      </c>
      <c r="AE2497" s="7">
        <v>14</v>
      </c>
      <c r="AF2497" s="8">
        <v>0.95833333333333337</v>
      </c>
      <c r="AG2497" s="9">
        <v>-7.9</v>
      </c>
      <c r="AH2497" s="10">
        <f t="shared" si="53"/>
        <v>-8</v>
      </c>
    </row>
    <row r="2498" spans="11:34" ht="14.5" x14ac:dyDescent="0.35">
      <c r="K2498" s="4"/>
      <c r="AC2498" s="7">
        <v>2022</v>
      </c>
      <c r="AD2498" s="7">
        <v>4</v>
      </c>
      <c r="AE2498" s="7">
        <v>15</v>
      </c>
      <c r="AF2498" s="8">
        <v>0</v>
      </c>
      <c r="AG2498" s="9">
        <v>-8.5</v>
      </c>
      <c r="AH2498" s="10">
        <f t="shared" si="53"/>
        <v>-9</v>
      </c>
    </row>
    <row r="2499" spans="11:34" ht="14.5" x14ac:dyDescent="0.35">
      <c r="K2499" s="4"/>
      <c r="AC2499" s="7">
        <v>2022</v>
      </c>
      <c r="AD2499" s="7">
        <v>4</v>
      </c>
      <c r="AE2499" s="7">
        <v>15</v>
      </c>
      <c r="AF2499" s="8">
        <v>4.1666666666666664E-2</v>
      </c>
      <c r="AG2499" s="9">
        <v>-9</v>
      </c>
      <c r="AH2499" s="10">
        <f t="shared" si="53"/>
        <v>-9</v>
      </c>
    </row>
    <row r="2500" spans="11:34" ht="14.5" x14ac:dyDescent="0.35">
      <c r="K2500" s="4"/>
      <c r="AC2500" s="7">
        <v>2022</v>
      </c>
      <c r="AD2500" s="7">
        <v>4</v>
      </c>
      <c r="AE2500" s="7">
        <v>15</v>
      </c>
      <c r="AF2500" s="8">
        <v>8.3333333333333329E-2</v>
      </c>
      <c r="AG2500" s="9">
        <v>-8.6</v>
      </c>
      <c r="AH2500" s="10">
        <f t="shared" si="53"/>
        <v>-9</v>
      </c>
    </row>
    <row r="2501" spans="11:34" ht="14.5" x14ac:dyDescent="0.35">
      <c r="K2501" s="4"/>
      <c r="AC2501" s="7">
        <v>2022</v>
      </c>
      <c r="AD2501" s="7">
        <v>4</v>
      </c>
      <c r="AE2501" s="7">
        <v>15</v>
      </c>
      <c r="AF2501" s="8">
        <v>0.125</v>
      </c>
      <c r="AG2501" s="9">
        <v>-8.6999999999999993</v>
      </c>
      <c r="AH2501" s="10">
        <f t="shared" si="53"/>
        <v>-9</v>
      </c>
    </row>
    <row r="2502" spans="11:34" ht="14.5" x14ac:dyDescent="0.35">
      <c r="K2502" s="4"/>
      <c r="AC2502" s="7">
        <v>2022</v>
      </c>
      <c r="AD2502" s="7">
        <v>4</v>
      </c>
      <c r="AE2502" s="7">
        <v>15</v>
      </c>
      <c r="AF2502" s="8">
        <v>0.16666666666666666</v>
      </c>
      <c r="AG2502" s="9">
        <v>-9.1</v>
      </c>
      <c r="AH2502" s="10">
        <f t="shared" si="53"/>
        <v>-9</v>
      </c>
    </row>
    <row r="2503" spans="11:34" ht="14.5" x14ac:dyDescent="0.35">
      <c r="K2503" s="4"/>
      <c r="AC2503" s="7">
        <v>2022</v>
      </c>
      <c r="AD2503" s="7">
        <v>4</v>
      </c>
      <c r="AE2503" s="7">
        <v>15</v>
      </c>
      <c r="AF2503" s="8">
        <v>0.20833333333333334</v>
      </c>
      <c r="AG2503" s="9">
        <v>-9.4</v>
      </c>
      <c r="AH2503" s="10">
        <f t="shared" si="53"/>
        <v>-9</v>
      </c>
    </row>
    <row r="2504" spans="11:34" ht="14.5" x14ac:dyDescent="0.35">
      <c r="K2504" s="4"/>
      <c r="AC2504" s="7">
        <v>2022</v>
      </c>
      <c r="AD2504" s="7">
        <v>4</v>
      </c>
      <c r="AE2504" s="7">
        <v>15</v>
      </c>
      <c r="AF2504" s="8">
        <v>0.25</v>
      </c>
      <c r="AG2504" s="9">
        <v>-9.6</v>
      </c>
      <c r="AH2504" s="10">
        <f t="shared" si="53"/>
        <v>-10</v>
      </c>
    </row>
    <row r="2505" spans="11:34" ht="14.5" x14ac:dyDescent="0.35">
      <c r="K2505" s="4"/>
      <c r="AC2505" s="7">
        <v>2022</v>
      </c>
      <c r="AD2505" s="7">
        <v>4</v>
      </c>
      <c r="AE2505" s="7">
        <v>15</v>
      </c>
      <c r="AF2505" s="8">
        <v>0.29166666666666669</v>
      </c>
      <c r="AG2505" s="9">
        <v>-9.1999999999999993</v>
      </c>
      <c r="AH2505" s="10">
        <f t="shared" si="53"/>
        <v>-9</v>
      </c>
    </row>
    <row r="2506" spans="11:34" ht="14.5" x14ac:dyDescent="0.35">
      <c r="K2506" s="4"/>
      <c r="AC2506" s="7">
        <v>2022</v>
      </c>
      <c r="AD2506" s="7">
        <v>4</v>
      </c>
      <c r="AE2506" s="7">
        <v>15</v>
      </c>
      <c r="AF2506" s="8">
        <v>0.33333333333333331</v>
      </c>
      <c r="AG2506" s="9">
        <v>-8.1999999999999993</v>
      </c>
      <c r="AH2506" s="10">
        <f t="shared" si="53"/>
        <v>-8</v>
      </c>
    </row>
    <row r="2507" spans="11:34" ht="14.5" x14ac:dyDescent="0.35">
      <c r="K2507" s="4"/>
      <c r="AC2507" s="7">
        <v>2022</v>
      </c>
      <c r="AD2507" s="7">
        <v>4</v>
      </c>
      <c r="AE2507" s="7">
        <v>15</v>
      </c>
      <c r="AF2507" s="8">
        <v>0.375</v>
      </c>
      <c r="AG2507" s="9">
        <v>-7.6</v>
      </c>
      <c r="AH2507" s="10">
        <f t="shared" ref="AH2507:AH2570" si="54">ROUND(AG2507,0)</f>
        <v>-8</v>
      </c>
    </row>
    <row r="2508" spans="11:34" ht="14.5" x14ac:dyDescent="0.35">
      <c r="K2508" s="4"/>
      <c r="AC2508" s="7">
        <v>2022</v>
      </c>
      <c r="AD2508" s="7">
        <v>4</v>
      </c>
      <c r="AE2508" s="7">
        <v>15</v>
      </c>
      <c r="AF2508" s="8">
        <v>0.41666666666666669</v>
      </c>
      <c r="AG2508" s="9">
        <v>-6.7</v>
      </c>
      <c r="AH2508" s="10">
        <f t="shared" si="54"/>
        <v>-7</v>
      </c>
    </row>
    <row r="2509" spans="11:34" ht="14.5" x14ac:dyDescent="0.35">
      <c r="K2509" s="4"/>
      <c r="AC2509" s="7">
        <v>2022</v>
      </c>
      <c r="AD2509" s="7">
        <v>4</v>
      </c>
      <c r="AE2509" s="7">
        <v>15</v>
      </c>
      <c r="AF2509" s="8">
        <v>0.45833333333333331</v>
      </c>
      <c r="AG2509" s="9">
        <v>-5.9</v>
      </c>
      <c r="AH2509" s="10">
        <f t="shared" si="54"/>
        <v>-6</v>
      </c>
    </row>
    <row r="2510" spans="11:34" ht="14.5" x14ac:dyDescent="0.35">
      <c r="K2510" s="4"/>
      <c r="AC2510" s="7">
        <v>2022</v>
      </c>
      <c r="AD2510" s="7">
        <v>4</v>
      </c>
      <c r="AE2510" s="7">
        <v>15</v>
      </c>
      <c r="AF2510" s="8">
        <v>0.5</v>
      </c>
      <c r="AG2510" s="9">
        <v>-5.4</v>
      </c>
      <c r="AH2510" s="10">
        <f t="shared" si="54"/>
        <v>-5</v>
      </c>
    </row>
    <row r="2511" spans="11:34" ht="14.5" x14ac:dyDescent="0.35">
      <c r="K2511" s="4"/>
      <c r="AC2511" s="7">
        <v>2022</v>
      </c>
      <c r="AD2511" s="7">
        <v>4</v>
      </c>
      <c r="AE2511" s="7">
        <v>15</v>
      </c>
      <c r="AF2511" s="8">
        <v>0.54166666666666663</v>
      </c>
      <c r="AG2511" s="9">
        <v>-5</v>
      </c>
      <c r="AH2511" s="10">
        <f t="shared" si="54"/>
        <v>-5</v>
      </c>
    </row>
    <row r="2512" spans="11:34" ht="14.5" x14ac:dyDescent="0.35">
      <c r="K2512" s="4"/>
      <c r="AC2512" s="7">
        <v>2022</v>
      </c>
      <c r="AD2512" s="7">
        <v>4</v>
      </c>
      <c r="AE2512" s="7">
        <v>15</v>
      </c>
      <c r="AF2512" s="8">
        <v>0.58333333333333337</v>
      </c>
      <c r="AG2512" s="9">
        <v>-4.2</v>
      </c>
      <c r="AH2512" s="10">
        <f t="shared" si="54"/>
        <v>-4</v>
      </c>
    </row>
    <row r="2513" spans="11:34" ht="14.5" x14ac:dyDescent="0.35">
      <c r="K2513" s="4"/>
      <c r="AC2513" s="7">
        <v>2022</v>
      </c>
      <c r="AD2513" s="7">
        <v>4</v>
      </c>
      <c r="AE2513" s="7">
        <v>15</v>
      </c>
      <c r="AF2513" s="8">
        <v>0.625</v>
      </c>
      <c r="AG2513" s="9">
        <v>-3.6</v>
      </c>
      <c r="AH2513" s="10">
        <f t="shared" si="54"/>
        <v>-4</v>
      </c>
    </row>
    <row r="2514" spans="11:34" ht="14.5" x14ac:dyDescent="0.35">
      <c r="K2514" s="4"/>
      <c r="AC2514" s="7">
        <v>2022</v>
      </c>
      <c r="AD2514" s="7">
        <v>4</v>
      </c>
      <c r="AE2514" s="7">
        <v>15</v>
      </c>
      <c r="AF2514" s="8">
        <v>0.66666666666666663</v>
      </c>
      <c r="AG2514" s="9">
        <v>-3.2</v>
      </c>
      <c r="AH2514" s="10">
        <f t="shared" si="54"/>
        <v>-3</v>
      </c>
    </row>
    <row r="2515" spans="11:34" ht="14.5" x14ac:dyDescent="0.35">
      <c r="K2515" s="4"/>
      <c r="AC2515" s="7">
        <v>2022</v>
      </c>
      <c r="AD2515" s="7">
        <v>4</v>
      </c>
      <c r="AE2515" s="7">
        <v>15</v>
      </c>
      <c r="AF2515" s="8">
        <v>0.70833333333333337</v>
      </c>
      <c r="AG2515" s="9">
        <v>-2.9</v>
      </c>
      <c r="AH2515" s="10">
        <f t="shared" si="54"/>
        <v>-3</v>
      </c>
    </row>
    <row r="2516" spans="11:34" ht="14.5" x14ac:dyDescent="0.35">
      <c r="K2516" s="4"/>
      <c r="AC2516" s="7">
        <v>2022</v>
      </c>
      <c r="AD2516" s="7">
        <v>4</v>
      </c>
      <c r="AE2516" s="7">
        <v>15</v>
      </c>
      <c r="AF2516" s="8">
        <v>0.75</v>
      </c>
      <c r="AG2516" s="9">
        <v>-3.4</v>
      </c>
      <c r="AH2516" s="10">
        <f t="shared" si="54"/>
        <v>-3</v>
      </c>
    </row>
    <row r="2517" spans="11:34" ht="14.5" x14ac:dyDescent="0.35">
      <c r="K2517" s="4"/>
      <c r="AC2517" s="7">
        <v>2022</v>
      </c>
      <c r="AD2517" s="7">
        <v>4</v>
      </c>
      <c r="AE2517" s="7">
        <v>15</v>
      </c>
      <c r="AF2517" s="8">
        <v>0.79166666666666663</v>
      </c>
      <c r="AG2517" s="9">
        <v>-4.2</v>
      </c>
      <c r="AH2517" s="10">
        <f t="shared" si="54"/>
        <v>-4</v>
      </c>
    </row>
    <row r="2518" spans="11:34" ht="14.5" x14ac:dyDescent="0.35">
      <c r="K2518" s="4"/>
      <c r="AC2518" s="7">
        <v>2022</v>
      </c>
      <c r="AD2518" s="7">
        <v>4</v>
      </c>
      <c r="AE2518" s="7">
        <v>15</v>
      </c>
      <c r="AF2518" s="8">
        <v>0.83333333333333337</v>
      </c>
      <c r="AG2518" s="9">
        <v>-4.7</v>
      </c>
      <c r="AH2518" s="10">
        <f t="shared" si="54"/>
        <v>-5</v>
      </c>
    </row>
    <row r="2519" spans="11:34" ht="14.5" x14ac:dyDescent="0.35">
      <c r="K2519" s="4"/>
      <c r="AC2519" s="7">
        <v>2022</v>
      </c>
      <c r="AD2519" s="7">
        <v>4</v>
      </c>
      <c r="AE2519" s="7">
        <v>15</v>
      </c>
      <c r="AF2519" s="8">
        <v>0.875</v>
      </c>
      <c r="AG2519" s="9">
        <v>-5.7</v>
      </c>
      <c r="AH2519" s="10">
        <f t="shared" si="54"/>
        <v>-6</v>
      </c>
    </row>
    <row r="2520" spans="11:34" ht="14.5" x14ac:dyDescent="0.35">
      <c r="K2520" s="4"/>
      <c r="AC2520" s="7">
        <v>2022</v>
      </c>
      <c r="AD2520" s="7">
        <v>4</v>
      </c>
      <c r="AE2520" s="7">
        <v>15</v>
      </c>
      <c r="AF2520" s="8">
        <v>0.91666666666666663</v>
      </c>
      <c r="AG2520" s="9">
        <v>-5.4</v>
      </c>
      <c r="AH2520" s="10">
        <f t="shared" si="54"/>
        <v>-5</v>
      </c>
    </row>
    <row r="2521" spans="11:34" ht="14.5" x14ac:dyDescent="0.35">
      <c r="K2521" s="4"/>
      <c r="AC2521" s="7">
        <v>2022</v>
      </c>
      <c r="AD2521" s="7">
        <v>4</v>
      </c>
      <c r="AE2521" s="7">
        <v>15</v>
      </c>
      <c r="AF2521" s="8">
        <v>0.95833333333333337</v>
      </c>
      <c r="AG2521" s="9">
        <v>-6.2</v>
      </c>
      <c r="AH2521" s="10">
        <f t="shared" si="54"/>
        <v>-6</v>
      </c>
    </row>
    <row r="2522" spans="11:34" ht="14.5" x14ac:dyDescent="0.35">
      <c r="K2522" s="4"/>
      <c r="AC2522" s="7">
        <v>2022</v>
      </c>
      <c r="AD2522" s="7">
        <v>4</v>
      </c>
      <c r="AE2522" s="7">
        <v>16</v>
      </c>
      <c r="AF2522" s="8">
        <v>0</v>
      </c>
      <c r="AG2522" s="9">
        <v>-6.3</v>
      </c>
      <c r="AH2522" s="10">
        <f t="shared" si="54"/>
        <v>-6</v>
      </c>
    </row>
    <row r="2523" spans="11:34" ht="14.5" x14ac:dyDescent="0.35">
      <c r="K2523" s="4"/>
      <c r="AC2523" s="7">
        <v>2022</v>
      </c>
      <c r="AD2523" s="7">
        <v>4</v>
      </c>
      <c r="AE2523" s="7">
        <v>16</v>
      </c>
      <c r="AF2523" s="8">
        <v>4.1666666666666664E-2</v>
      </c>
      <c r="AG2523" s="9">
        <v>-7.1</v>
      </c>
      <c r="AH2523" s="10">
        <f t="shared" si="54"/>
        <v>-7</v>
      </c>
    </row>
    <row r="2524" spans="11:34" ht="14.5" x14ac:dyDescent="0.35">
      <c r="K2524" s="4"/>
      <c r="AC2524" s="7">
        <v>2022</v>
      </c>
      <c r="AD2524" s="7">
        <v>4</v>
      </c>
      <c r="AE2524" s="7">
        <v>16</v>
      </c>
      <c r="AF2524" s="8">
        <v>8.3333333333333329E-2</v>
      </c>
      <c r="AG2524" s="9">
        <v>-8.9</v>
      </c>
      <c r="AH2524" s="10">
        <f t="shared" si="54"/>
        <v>-9</v>
      </c>
    </row>
    <row r="2525" spans="11:34" ht="14.5" x14ac:dyDescent="0.35">
      <c r="K2525" s="4"/>
      <c r="AC2525" s="7">
        <v>2022</v>
      </c>
      <c r="AD2525" s="7">
        <v>4</v>
      </c>
      <c r="AE2525" s="7">
        <v>16</v>
      </c>
      <c r="AF2525" s="8">
        <v>0.125</v>
      </c>
      <c r="AG2525" s="9">
        <v>-9.4</v>
      </c>
      <c r="AH2525" s="10">
        <f t="shared" si="54"/>
        <v>-9</v>
      </c>
    </row>
    <row r="2526" spans="11:34" ht="14.5" x14ac:dyDescent="0.35">
      <c r="K2526" s="4"/>
      <c r="AC2526" s="7">
        <v>2022</v>
      </c>
      <c r="AD2526" s="7">
        <v>4</v>
      </c>
      <c r="AE2526" s="7">
        <v>16</v>
      </c>
      <c r="AF2526" s="8">
        <v>0.16666666666666666</v>
      </c>
      <c r="AG2526" s="9">
        <v>-10.9</v>
      </c>
      <c r="AH2526" s="10">
        <f t="shared" si="54"/>
        <v>-11</v>
      </c>
    </row>
    <row r="2527" spans="11:34" ht="14.5" x14ac:dyDescent="0.35">
      <c r="K2527" s="4"/>
      <c r="AC2527" s="7">
        <v>2022</v>
      </c>
      <c r="AD2527" s="7">
        <v>4</v>
      </c>
      <c r="AE2527" s="7">
        <v>16</v>
      </c>
      <c r="AF2527" s="8">
        <v>0.20833333333333334</v>
      </c>
      <c r="AG2527" s="9">
        <v>-10.9</v>
      </c>
      <c r="AH2527" s="10">
        <f t="shared" si="54"/>
        <v>-11</v>
      </c>
    </row>
    <row r="2528" spans="11:34" ht="14.5" x14ac:dyDescent="0.35">
      <c r="K2528" s="4"/>
      <c r="AC2528" s="7">
        <v>2022</v>
      </c>
      <c r="AD2528" s="7">
        <v>4</v>
      </c>
      <c r="AE2528" s="7">
        <v>16</v>
      </c>
      <c r="AF2528" s="8">
        <v>0.25</v>
      </c>
      <c r="AG2528" s="9">
        <v>-11.5</v>
      </c>
      <c r="AH2528" s="10">
        <f t="shared" si="54"/>
        <v>-12</v>
      </c>
    </row>
    <row r="2529" spans="11:34" ht="14.5" x14ac:dyDescent="0.35">
      <c r="K2529" s="4"/>
      <c r="AC2529" s="7">
        <v>2022</v>
      </c>
      <c r="AD2529" s="7">
        <v>4</v>
      </c>
      <c r="AE2529" s="7">
        <v>16</v>
      </c>
      <c r="AF2529" s="8">
        <v>0.29166666666666669</v>
      </c>
      <c r="AG2529" s="9">
        <v>-8.5</v>
      </c>
      <c r="AH2529" s="10">
        <f t="shared" si="54"/>
        <v>-9</v>
      </c>
    </row>
    <row r="2530" spans="11:34" ht="14.5" x14ac:dyDescent="0.35">
      <c r="K2530" s="4"/>
      <c r="AC2530" s="7">
        <v>2022</v>
      </c>
      <c r="AD2530" s="7">
        <v>4</v>
      </c>
      <c r="AE2530" s="7">
        <v>16</v>
      </c>
      <c r="AF2530" s="8">
        <v>0.33333333333333331</v>
      </c>
      <c r="AG2530" s="9">
        <v>-6.3</v>
      </c>
      <c r="AH2530" s="10">
        <f t="shared" si="54"/>
        <v>-6</v>
      </c>
    </row>
    <row r="2531" spans="11:34" ht="14.5" x14ac:dyDescent="0.35">
      <c r="K2531" s="4"/>
      <c r="AC2531" s="7">
        <v>2022</v>
      </c>
      <c r="AD2531" s="7">
        <v>4</v>
      </c>
      <c r="AE2531" s="7">
        <v>16</v>
      </c>
      <c r="AF2531" s="8">
        <v>0.375</v>
      </c>
      <c r="AG2531" s="9">
        <v>-4.2</v>
      </c>
      <c r="AH2531" s="10">
        <f t="shared" si="54"/>
        <v>-4</v>
      </c>
    </row>
    <row r="2532" spans="11:34" ht="14.5" x14ac:dyDescent="0.35">
      <c r="K2532" s="4"/>
      <c r="AC2532" s="7">
        <v>2022</v>
      </c>
      <c r="AD2532" s="7">
        <v>4</v>
      </c>
      <c r="AE2532" s="7">
        <v>16</v>
      </c>
      <c r="AF2532" s="8">
        <v>0.41666666666666669</v>
      </c>
      <c r="AG2532" s="9">
        <v>-2.2000000000000002</v>
      </c>
      <c r="AH2532" s="10">
        <f t="shared" si="54"/>
        <v>-2</v>
      </c>
    </row>
    <row r="2533" spans="11:34" ht="14.5" x14ac:dyDescent="0.35">
      <c r="K2533" s="4"/>
      <c r="AC2533" s="7">
        <v>2022</v>
      </c>
      <c r="AD2533" s="7">
        <v>4</v>
      </c>
      <c r="AE2533" s="7">
        <v>16</v>
      </c>
      <c r="AF2533" s="8">
        <v>0.45833333333333331</v>
      </c>
      <c r="AG2533" s="9">
        <v>-0.5</v>
      </c>
      <c r="AH2533" s="10">
        <f t="shared" si="54"/>
        <v>-1</v>
      </c>
    </row>
    <row r="2534" spans="11:34" ht="14.5" x14ac:dyDescent="0.35">
      <c r="K2534" s="4"/>
      <c r="AC2534" s="7">
        <v>2022</v>
      </c>
      <c r="AD2534" s="7">
        <v>4</v>
      </c>
      <c r="AE2534" s="7">
        <v>16</v>
      </c>
      <c r="AF2534" s="8">
        <v>0.5</v>
      </c>
      <c r="AG2534" s="9">
        <v>1.3</v>
      </c>
      <c r="AH2534" s="10">
        <f t="shared" si="54"/>
        <v>1</v>
      </c>
    </row>
    <row r="2535" spans="11:34" ht="14.5" x14ac:dyDescent="0.35">
      <c r="K2535" s="4"/>
      <c r="AC2535" s="7">
        <v>2022</v>
      </c>
      <c r="AD2535" s="7">
        <v>4</v>
      </c>
      <c r="AE2535" s="7">
        <v>16</v>
      </c>
      <c r="AF2535" s="8">
        <v>0.54166666666666663</v>
      </c>
      <c r="AG2535" s="9">
        <v>1.5</v>
      </c>
      <c r="AH2535" s="10">
        <f t="shared" si="54"/>
        <v>2</v>
      </c>
    </row>
    <row r="2536" spans="11:34" ht="14.5" x14ac:dyDescent="0.35">
      <c r="K2536" s="4"/>
      <c r="AC2536" s="7">
        <v>2022</v>
      </c>
      <c r="AD2536" s="7">
        <v>4</v>
      </c>
      <c r="AE2536" s="7">
        <v>16</v>
      </c>
      <c r="AF2536" s="8">
        <v>0.58333333333333337</v>
      </c>
      <c r="AG2536" s="9">
        <v>1.7</v>
      </c>
      <c r="AH2536" s="10">
        <f t="shared" si="54"/>
        <v>2</v>
      </c>
    </row>
    <row r="2537" spans="11:34" ht="14.5" x14ac:dyDescent="0.35">
      <c r="K2537" s="4"/>
      <c r="AC2537" s="7">
        <v>2022</v>
      </c>
      <c r="AD2537" s="7">
        <v>4</v>
      </c>
      <c r="AE2537" s="7">
        <v>16</v>
      </c>
      <c r="AF2537" s="8">
        <v>0.625</v>
      </c>
      <c r="AG2537" s="9">
        <v>2</v>
      </c>
      <c r="AH2537" s="10">
        <f t="shared" si="54"/>
        <v>2</v>
      </c>
    </row>
    <row r="2538" spans="11:34" ht="14.5" x14ac:dyDescent="0.35">
      <c r="K2538" s="4"/>
      <c r="AC2538" s="7">
        <v>2022</v>
      </c>
      <c r="AD2538" s="7">
        <v>4</v>
      </c>
      <c r="AE2538" s="7">
        <v>16</v>
      </c>
      <c r="AF2538" s="8">
        <v>0.66666666666666663</v>
      </c>
      <c r="AG2538" s="9">
        <v>3</v>
      </c>
      <c r="AH2538" s="10">
        <f t="shared" si="54"/>
        <v>3</v>
      </c>
    </row>
    <row r="2539" spans="11:34" ht="14.5" x14ac:dyDescent="0.35">
      <c r="K2539" s="4"/>
      <c r="AC2539" s="7">
        <v>2022</v>
      </c>
      <c r="AD2539" s="7">
        <v>4</v>
      </c>
      <c r="AE2539" s="7">
        <v>16</v>
      </c>
      <c r="AF2539" s="8">
        <v>0.70833333333333337</v>
      </c>
      <c r="AG2539" s="9">
        <v>2</v>
      </c>
      <c r="AH2539" s="10">
        <f t="shared" si="54"/>
        <v>2</v>
      </c>
    </row>
    <row r="2540" spans="11:34" ht="14.5" x14ac:dyDescent="0.35">
      <c r="K2540" s="4"/>
      <c r="AC2540" s="7">
        <v>2022</v>
      </c>
      <c r="AD2540" s="7">
        <v>4</v>
      </c>
      <c r="AE2540" s="7">
        <v>16</v>
      </c>
      <c r="AF2540" s="8">
        <v>0.75</v>
      </c>
      <c r="AG2540" s="9">
        <v>1.5</v>
      </c>
      <c r="AH2540" s="10">
        <f t="shared" si="54"/>
        <v>2</v>
      </c>
    </row>
    <row r="2541" spans="11:34" ht="14.5" x14ac:dyDescent="0.35">
      <c r="K2541" s="4"/>
      <c r="AC2541" s="7">
        <v>2022</v>
      </c>
      <c r="AD2541" s="7">
        <v>4</v>
      </c>
      <c r="AE2541" s="7">
        <v>16</v>
      </c>
      <c r="AF2541" s="8">
        <v>0.79166666666666663</v>
      </c>
      <c r="AG2541" s="9">
        <v>1</v>
      </c>
      <c r="AH2541" s="10">
        <f t="shared" si="54"/>
        <v>1</v>
      </c>
    </row>
    <row r="2542" spans="11:34" ht="14.5" x14ac:dyDescent="0.35">
      <c r="K2542" s="4"/>
      <c r="AC2542" s="7">
        <v>2022</v>
      </c>
      <c r="AD2542" s="7">
        <v>4</v>
      </c>
      <c r="AE2542" s="7">
        <v>16</v>
      </c>
      <c r="AF2542" s="8">
        <v>0.83333333333333337</v>
      </c>
      <c r="AG2542" s="9">
        <v>0</v>
      </c>
      <c r="AH2542" s="10">
        <f t="shared" si="54"/>
        <v>0</v>
      </c>
    </row>
    <row r="2543" spans="11:34" ht="14.5" x14ac:dyDescent="0.35">
      <c r="K2543" s="4"/>
      <c r="AC2543" s="7">
        <v>2022</v>
      </c>
      <c r="AD2543" s="7">
        <v>4</v>
      </c>
      <c r="AE2543" s="7">
        <v>16</v>
      </c>
      <c r="AF2543" s="8">
        <v>0.875</v>
      </c>
      <c r="AG2543" s="9">
        <v>-1</v>
      </c>
      <c r="AH2543" s="10">
        <f t="shared" si="54"/>
        <v>-1</v>
      </c>
    </row>
    <row r="2544" spans="11:34" ht="14.5" x14ac:dyDescent="0.35">
      <c r="K2544" s="4"/>
      <c r="AC2544" s="7">
        <v>2022</v>
      </c>
      <c r="AD2544" s="7">
        <v>4</v>
      </c>
      <c r="AE2544" s="7">
        <v>16</v>
      </c>
      <c r="AF2544" s="8">
        <v>0.91666666666666663</v>
      </c>
      <c r="AG2544" s="9">
        <v>-2.6</v>
      </c>
      <c r="AH2544" s="10">
        <f t="shared" si="54"/>
        <v>-3</v>
      </c>
    </row>
    <row r="2545" spans="11:34" ht="14.5" x14ac:dyDescent="0.35">
      <c r="K2545" s="4"/>
      <c r="AC2545" s="7">
        <v>2022</v>
      </c>
      <c r="AD2545" s="7">
        <v>4</v>
      </c>
      <c r="AE2545" s="7">
        <v>16</v>
      </c>
      <c r="AF2545" s="8">
        <v>0.95833333333333337</v>
      </c>
      <c r="AG2545" s="9">
        <v>-3.6</v>
      </c>
      <c r="AH2545" s="10">
        <f t="shared" si="54"/>
        <v>-4</v>
      </c>
    </row>
    <row r="2546" spans="11:34" ht="14.5" x14ac:dyDescent="0.35">
      <c r="K2546" s="4"/>
      <c r="AC2546" s="7">
        <v>2022</v>
      </c>
      <c r="AD2546" s="7">
        <v>4</v>
      </c>
      <c r="AE2546" s="7">
        <v>17</v>
      </c>
      <c r="AF2546" s="8">
        <v>0</v>
      </c>
      <c r="AG2546" s="9">
        <v>-5.2</v>
      </c>
      <c r="AH2546" s="10">
        <f t="shared" si="54"/>
        <v>-5</v>
      </c>
    </row>
    <row r="2547" spans="11:34" ht="14.5" x14ac:dyDescent="0.35">
      <c r="K2547" s="4"/>
      <c r="AC2547" s="7">
        <v>2022</v>
      </c>
      <c r="AD2547" s="7">
        <v>4</v>
      </c>
      <c r="AE2547" s="7">
        <v>17</v>
      </c>
      <c r="AF2547" s="8">
        <v>4.1666666666666664E-2</v>
      </c>
      <c r="AG2547" s="9">
        <v>-5.2</v>
      </c>
      <c r="AH2547" s="10">
        <f t="shared" si="54"/>
        <v>-5</v>
      </c>
    </row>
    <row r="2548" spans="11:34" ht="14.5" x14ac:dyDescent="0.35">
      <c r="K2548" s="4"/>
      <c r="AC2548" s="7">
        <v>2022</v>
      </c>
      <c r="AD2548" s="7">
        <v>4</v>
      </c>
      <c r="AE2548" s="7">
        <v>17</v>
      </c>
      <c r="AF2548" s="8">
        <v>8.3333333333333329E-2</v>
      </c>
      <c r="AG2548" s="9">
        <v>-5.5</v>
      </c>
      <c r="AH2548" s="10">
        <f t="shared" si="54"/>
        <v>-6</v>
      </c>
    </row>
    <row r="2549" spans="11:34" ht="14.5" x14ac:dyDescent="0.35">
      <c r="K2549" s="4"/>
      <c r="AC2549" s="7">
        <v>2022</v>
      </c>
      <c r="AD2549" s="7">
        <v>4</v>
      </c>
      <c r="AE2549" s="7">
        <v>17</v>
      </c>
      <c r="AF2549" s="8">
        <v>0.125</v>
      </c>
      <c r="AG2549" s="9">
        <v>-5.5</v>
      </c>
      <c r="AH2549" s="10">
        <f t="shared" si="54"/>
        <v>-6</v>
      </c>
    </row>
    <row r="2550" spans="11:34" ht="14.5" x14ac:dyDescent="0.35">
      <c r="K2550" s="4"/>
      <c r="AC2550" s="7">
        <v>2022</v>
      </c>
      <c r="AD2550" s="7">
        <v>4</v>
      </c>
      <c r="AE2550" s="7">
        <v>17</v>
      </c>
      <c r="AF2550" s="8">
        <v>0.16666666666666666</v>
      </c>
      <c r="AG2550" s="9">
        <v>-7.6</v>
      </c>
      <c r="AH2550" s="10">
        <f t="shared" si="54"/>
        <v>-8</v>
      </c>
    </row>
    <row r="2551" spans="11:34" ht="14.5" x14ac:dyDescent="0.35">
      <c r="K2551" s="4"/>
      <c r="AC2551" s="7">
        <v>2022</v>
      </c>
      <c r="AD2551" s="7">
        <v>4</v>
      </c>
      <c r="AE2551" s="7">
        <v>17</v>
      </c>
      <c r="AF2551" s="8">
        <v>0.20833333333333334</v>
      </c>
      <c r="AG2551" s="9">
        <v>-7.3</v>
      </c>
      <c r="AH2551" s="10">
        <f t="shared" si="54"/>
        <v>-7</v>
      </c>
    </row>
    <row r="2552" spans="11:34" ht="14.5" x14ac:dyDescent="0.35">
      <c r="K2552" s="4"/>
      <c r="AC2552" s="7">
        <v>2022</v>
      </c>
      <c r="AD2552" s="7">
        <v>4</v>
      </c>
      <c r="AE2552" s="7">
        <v>17</v>
      </c>
      <c r="AF2552" s="8">
        <v>0.25</v>
      </c>
      <c r="AG2552" s="9">
        <v>-8.8000000000000007</v>
      </c>
      <c r="AH2552" s="10">
        <f t="shared" si="54"/>
        <v>-9</v>
      </c>
    </row>
    <row r="2553" spans="11:34" ht="14.5" x14ac:dyDescent="0.35">
      <c r="K2553" s="4"/>
      <c r="AC2553" s="7">
        <v>2022</v>
      </c>
      <c r="AD2553" s="7">
        <v>4</v>
      </c>
      <c r="AE2553" s="7">
        <v>17</v>
      </c>
      <c r="AF2553" s="8">
        <v>0.29166666666666669</v>
      </c>
      <c r="AG2553" s="9">
        <v>-5.6</v>
      </c>
      <c r="AH2553" s="10">
        <f t="shared" si="54"/>
        <v>-6</v>
      </c>
    </row>
    <row r="2554" spans="11:34" ht="14.5" x14ac:dyDescent="0.35">
      <c r="K2554" s="4"/>
      <c r="AC2554" s="7">
        <v>2022</v>
      </c>
      <c r="AD2554" s="7">
        <v>4</v>
      </c>
      <c r="AE2554" s="7">
        <v>17</v>
      </c>
      <c r="AF2554" s="8">
        <v>0.33333333333333331</v>
      </c>
      <c r="AG2554" s="9">
        <v>-2.2999999999999998</v>
      </c>
      <c r="AH2554" s="10">
        <f t="shared" si="54"/>
        <v>-2</v>
      </c>
    </row>
    <row r="2555" spans="11:34" ht="14.5" x14ac:dyDescent="0.35">
      <c r="K2555" s="4"/>
      <c r="AC2555" s="7">
        <v>2022</v>
      </c>
      <c r="AD2555" s="7">
        <v>4</v>
      </c>
      <c r="AE2555" s="7">
        <v>17</v>
      </c>
      <c r="AF2555" s="8">
        <v>0.375</v>
      </c>
      <c r="AG2555" s="9">
        <v>-1.1000000000000001</v>
      </c>
      <c r="AH2555" s="10">
        <f t="shared" si="54"/>
        <v>-1</v>
      </c>
    </row>
    <row r="2556" spans="11:34" ht="14.5" x14ac:dyDescent="0.35">
      <c r="K2556" s="4"/>
      <c r="AC2556" s="7">
        <v>2022</v>
      </c>
      <c r="AD2556" s="7">
        <v>4</v>
      </c>
      <c r="AE2556" s="7">
        <v>17</v>
      </c>
      <c r="AF2556" s="8">
        <v>0.41666666666666669</v>
      </c>
      <c r="AG2556" s="9">
        <v>0.3</v>
      </c>
      <c r="AH2556" s="10">
        <f t="shared" si="54"/>
        <v>0</v>
      </c>
    </row>
    <row r="2557" spans="11:34" ht="14.5" x14ac:dyDescent="0.35">
      <c r="K2557" s="4"/>
      <c r="AC2557" s="7">
        <v>2022</v>
      </c>
      <c r="AD2557" s="7">
        <v>4</v>
      </c>
      <c r="AE2557" s="7">
        <v>17</v>
      </c>
      <c r="AF2557" s="8">
        <v>0.45833333333333331</v>
      </c>
      <c r="AG2557" s="9">
        <v>2.2000000000000002</v>
      </c>
      <c r="AH2557" s="10">
        <f t="shared" si="54"/>
        <v>2</v>
      </c>
    </row>
    <row r="2558" spans="11:34" ht="14.5" x14ac:dyDescent="0.35">
      <c r="K2558" s="4"/>
      <c r="AC2558" s="7">
        <v>2022</v>
      </c>
      <c r="AD2558" s="7">
        <v>4</v>
      </c>
      <c r="AE2558" s="7">
        <v>17</v>
      </c>
      <c r="AF2558" s="8">
        <v>0.5</v>
      </c>
      <c r="AG2558" s="9">
        <v>3.1</v>
      </c>
      <c r="AH2558" s="10">
        <f t="shared" si="54"/>
        <v>3</v>
      </c>
    </row>
    <row r="2559" spans="11:34" ht="14.5" x14ac:dyDescent="0.35">
      <c r="K2559" s="4"/>
      <c r="AC2559" s="7">
        <v>2022</v>
      </c>
      <c r="AD2559" s="7">
        <v>4</v>
      </c>
      <c r="AE2559" s="7">
        <v>17</v>
      </c>
      <c r="AF2559" s="8">
        <v>0.54166666666666663</v>
      </c>
      <c r="AG2559" s="9">
        <v>3.8</v>
      </c>
      <c r="AH2559" s="10">
        <f t="shared" si="54"/>
        <v>4</v>
      </c>
    </row>
    <row r="2560" spans="11:34" ht="14.5" x14ac:dyDescent="0.35">
      <c r="K2560" s="4"/>
      <c r="AC2560" s="7">
        <v>2022</v>
      </c>
      <c r="AD2560" s="7">
        <v>4</v>
      </c>
      <c r="AE2560" s="7">
        <v>17</v>
      </c>
      <c r="AF2560" s="8">
        <v>0.58333333333333337</v>
      </c>
      <c r="AG2560" s="9">
        <v>4.8</v>
      </c>
      <c r="AH2560" s="10">
        <f t="shared" si="54"/>
        <v>5</v>
      </c>
    </row>
    <row r="2561" spans="11:34" ht="14.5" x14ac:dyDescent="0.35">
      <c r="K2561" s="4"/>
      <c r="AC2561" s="7">
        <v>2022</v>
      </c>
      <c r="AD2561" s="7">
        <v>4</v>
      </c>
      <c r="AE2561" s="7">
        <v>17</v>
      </c>
      <c r="AF2561" s="8">
        <v>0.625</v>
      </c>
      <c r="AG2561" s="9">
        <v>2.6</v>
      </c>
      <c r="AH2561" s="10">
        <f t="shared" si="54"/>
        <v>3</v>
      </c>
    </row>
    <row r="2562" spans="11:34" ht="14.5" x14ac:dyDescent="0.35">
      <c r="K2562" s="4"/>
      <c r="AC2562" s="7">
        <v>2022</v>
      </c>
      <c r="AD2562" s="7">
        <v>4</v>
      </c>
      <c r="AE2562" s="7">
        <v>17</v>
      </c>
      <c r="AF2562" s="8">
        <v>0.66666666666666663</v>
      </c>
      <c r="AG2562" s="9">
        <v>4.3</v>
      </c>
      <c r="AH2562" s="10">
        <f t="shared" si="54"/>
        <v>4</v>
      </c>
    </row>
    <row r="2563" spans="11:34" ht="14.5" x14ac:dyDescent="0.35">
      <c r="K2563" s="4"/>
      <c r="AC2563" s="7">
        <v>2022</v>
      </c>
      <c r="AD2563" s="7">
        <v>4</v>
      </c>
      <c r="AE2563" s="7">
        <v>17</v>
      </c>
      <c r="AF2563" s="8">
        <v>0.70833333333333337</v>
      </c>
      <c r="AG2563" s="9">
        <v>3.5</v>
      </c>
      <c r="AH2563" s="10">
        <f t="shared" si="54"/>
        <v>4</v>
      </c>
    </row>
    <row r="2564" spans="11:34" ht="14.5" x14ac:dyDescent="0.35">
      <c r="K2564" s="4"/>
      <c r="AC2564" s="7">
        <v>2022</v>
      </c>
      <c r="AD2564" s="7">
        <v>4</v>
      </c>
      <c r="AE2564" s="7">
        <v>17</v>
      </c>
      <c r="AF2564" s="8">
        <v>0.75</v>
      </c>
      <c r="AG2564" s="9">
        <v>3.1</v>
      </c>
      <c r="AH2564" s="10">
        <f t="shared" si="54"/>
        <v>3</v>
      </c>
    </row>
    <row r="2565" spans="11:34" ht="14.5" x14ac:dyDescent="0.35">
      <c r="K2565" s="4"/>
      <c r="AC2565" s="7">
        <v>2022</v>
      </c>
      <c r="AD2565" s="7">
        <v>4</v>
      </c>
      <c r="AE2565" s="7">
        <v>17</v>
      </c>
      <c r="AF2565" s="8">
        <v>0.79166666666666663</v>
      </c>
      <c r="AG2565" s="9">
        <v>1.8</v>
      </c>
      <c r="AH2565" s="10">
        <f t="shared" si="54"/>
        <v>2</v>
      </c>
    </row>
    <row r="2566" spans="11:34" ht="14.5" x14ac:dyDescent="0.35">
      <c r="K2566" s="4"/>
      <c r="AC2566" s="7">
        <v>2022</v>
      </c>
      <c r="AD2566" s="7">
        <v>4</v>
      </c>
      <c r="AE2566" s="7">
        <v>17</v>
      </c>
      <c r="AF2566" s="8">
        <v>0.83333333333333337</v>
      </c>
      <c r="AG2566" s="9">
        <v>-0.1</v>
      </c>
      <c r="AH2566" s="10">
        <f t="shared" si="54"/>
        <v>0</v>
      </c>
    </row>
    <row r="2567" spans="11:34" ht="14.5" x14ac:dyDescent="0.35">
      <c r="K2567" s="4"/>
      <c r="AC2567" s="7">
        <v>2022</v>
      </c>
      <c r="AD2567" s="7">
        <v>4</v>
      </c>
      <c r="AE2567" s="7">
        <v>17</v>
      </c>
      <c r="AF2567" s="8">
        <v>0.875</v>
      </c>
      <c r="AG2567" s="9">
        <v>-2.6</v>
      </c>
      <c r="AH2567" s="10">
        <f t="shared" si="54"/>
        <v>-3</v>
      </c>
    </row>
    <row r="2568" spans="11:34" ht="14.5" x14ac:dyDescent="0.35">
      <c r="K2568" s="4"/>
      <c r="AC2568" s="7">
        <v>2022</v>
      </c>
      <c r="AD2568" s="7">
        <v>4</v>
      </c>
      <c r="AE2568" s="7">
        <v>17</v>
      </c>
      <c r="AF2568" s="8">
        <v>0.91666666666666663</v>
      </c>
      <c r="AG2568" s="9">
        <v>-2.4</v>
      </c>
      <c r="AH2568" s="10">
        <f t="shared" si="54"/>
        <v>-2</v>
      </c>
    </row>
    <row r="2569" spans="11:34" ht="14.5" x14ac:dyDescent="0.35">
      <c r="K2569" s="4"/>
      <c r="AC2569" s="7">
        <v>2022</v>
      </c>
      <c r="AD2569" s="7">
        <v>4</v>
      </c>
      <c r="AE2569" s="7">
        <v>17</v>
      </c>
      <c r="AF2569" s="8">
        <v>0.95833333333333337</v>
      </c>
      <c r="AG2569" s="9">
        <v>-3.7</v>
      </c>
      <c r="AH2569" s="10">
        <f t="shared" si="54"/>
        <v>-4</v>
      </c>
    </row>
    <row r="2570" spans="11:34" ht="14.5" x14ac:dyDescent="0.35">
      <c r="K2570" s="4"/>
      <c r="AC2570" s="7">
        <v>2022</v>
      </c>
      <c r="AD2570" s="7">
        <v>4</v>
      </c>
      <c r="AE2570" s="7">
        <v>18</v>
      </c>
      <c r="AF2570" s="8">
        <v>0</v>
      </c>
      <c r="AG2570" s="9">
        <v>-3.6</v>
      </c>
      <c r="AH2570" s="10">
        <f t="shared" si="54"/>
        <v>-4</v>
      </c>
    </row>
    <row r="2571" spans="11:34" ht="14.5" x14ac:dyDescent="0.35">
      <c r="K2571" s="4"/>
      <c r="AC2571" s="7">
        <v>2022</v>
      </c>
      <c r="AD2571" s="7">
        <v>4</v>
      </c>
      <c r="AE2571" s="7">
        <v>18</v>
      </c>
      <c r="AF2571" s="8">
        <v>4.1666666666666664E-2</v>
      </c>
      <c r="AG2571" s="9">
        <v>-3.3</v>
      </c>
      <c r="AH2571" s="10">
        <f t="shared" ref="AH2571:AH2634" si="55">ROUND(AG2571,0)</f>
        <v>-3</v>
      </c>
    </row>
    <row r="2572" spans="11:34" ht="14.5" x14ac:dyDescent="0.35">
      <c r="K2572" s="4"/>
      <c r="AC2572" s="7">
        <v>2022</v>
      </c>
      <c r="AD2572" s="7">
        <v>4</v>
      </c>
      <c r="AE2572" s="7">
        <v>18</v>
      </c>
      <c r="AF2572" s="8">
        <v>8.3333333333333329E-2</v>
      </c>
      <c r="AG2572" s="9">
        <v>-4.8</v>
      </c>
      <c r="AH2572" s="10">
        <f t="shared" si="55"/>
        <v>-5</v>
      </c>
    </row>
    <row r="2573" spans="11:34" ht="14.5" x14ac:dyDescent="0.35">
      <c r="K2573" s="4"/>
      <c r="AC2573" s="7">
        <v>2022</v>
      </c>
      <c r="AD2573" s="7">
        <v>4</v>
      </c>
      <c r="AE2573" s="7">
        <v>18</v>
      </c>
      <c r="AF2573" s="8">
        <v>0.125</v>
      </c>
      <c r="AG2573" s="9">
        <v>-4.9000000000000004</v>
      </c>
      <c r="AH2573" s="10">
        <f t="shared" si="55"/>
        <v>-5</v>
      </c>
    </row>
    <row r="2574" spans="11:34" ht="14.5" x14ac:dyDescent="0.35">
      <c r="K2574" s="4"/>
      <c r="AC2574" s="7">
        <v>2022</v>
      </c>
      <c r="AD2574" s="7">
        <v>4</v>
      </c>
      <c r="AE2574" s="7">
        <v>18</v>
      </c>
      <c r="AF2574" s="8">
        <v>0.16666666666666666</v>
      </c>
      <c r="AG2574" s="9">
        <v>-5.6</v>
      </c>
      <c r="AH2574" s="10">
        <f t="shared" si="55"/>
        <v>-6</v>
      </c>
    </row>
    <row r="2575" spans="11:34" ht="14.5" x14ac:dyDescent="0.35">
      <c r="K2575" s="4"/>
      <c r="AC2575" s="7">
        <v>2022</v>
      </c>
      <c r="AD2575" s="7">
        <v>4</v>
      </c>
      <c r="AE2575" s="7">
        <v>18</v>
      </c>
      <c r="AF2575" s="8">
        <v>0.20833333333333334</v>
      </c>
      <c r="AG2575" s="9">
        <v>-7.1</v>
      </c>
      <c r="AH2575" s="10">
        <f t="shared" si="55"/>
        <v>-7</v>
      </c>
    </row>
    <row r="2576" spans="11:34" ht="14.5" x14ac:dyDescent="0.35">
      <c r="K2576" s="4"/>
      <c r="AC2576" s="7">
        <v>2022</v>
      </c>
      <c r="AD2576" s="7">
        <v>4</v>
      </c>
      <c r="AE2576" s="7">
        <v>18</v>
      </c>
      <c r="AF2576" s="8">
        <v>0.25</v>
      </c>
      <c r="AG2576" s="9">
        <v>-5.5</v>
      </c>
      <c r="AH2576" s="10">
        <f t="shared" si="55"/>
        <v>-6</v>
      </c>
    </row>
    <row r="2577" spans="11:34" ht="14.5" x14ac:dyDescent="0.35">
      <c r="K2577" s="4"/>
      <c r="AC2577" s="7">
        <v>2022</v>
      </c>
      <c r="AD2577" s="7">
        <v>4</v>
      </c>
      <c r="AE2577" s="7">
        <v>18</v>
      </c>
      <c r="AF2577" s="8">
        <v>0.29166666666666669</v>
      </c>
      <c r="AG2577" s="9">
        <v>-3.7</v>
      </c>
      <c r="AH2577" s="10">
        <f t="shared" si="55"/>
        <v>-4</v>
      </c>
    </row>
    <row r="2578" spans="11:34" ht="14.5" x14ac:dyDescent="0.35">
      <c r="K2578" s="4"/>
      <c r="AC2578" s="7">
        <v>2022</v>
      </c>
      <c r="AD2578" s="7">
        <v>4</v>
      </c>
      <c r="AE2578" s="7">
        <v>18</v>
      </c>
      <c r="AF2578" s="8">
        <v>0.33333333333333331</v>
      </c>
      <c r="AG2578" s="9">
        <v>-1</v>
      </c>
      <c r="AH2578" s="10">
        <f t="shared" si="55"/>
        <v>-1</v>
      </c>
    </row>
    <row r="2579" spans="11:34" ht="14.5" x14ac:dyDescent="0.35">
      <c r="K2579" s="4"/>
      <c r="AC2579" s="7">
        <v>2022</v>
      </c>
      <c r="AD2579" s="7">
        <v>4</v>
      </c>
      <c r="AE2579" s="7">
        <v>18</v>
      </c>
      <c r="AF2579" s="8">
        <v>0.375</v>
      </c>
      <c r="AG2579" s="9">
        <v>1.9</v>
      </c>
      <c r="AH2579" s="10">
        <f t="shared" si="55"/>
        <v>2</v>
      </c>
    </row>
    <row r="2580" spans="11:34" ht="14.5" x14ac:dyDescent="0.35">
      <c r="K2580" s="4"/>
      <c r="AC2580" s="7">
        <v>2022</v>
      </c>
      <c r="AD2580" s="7">
        <v>4</v>
      </c>
      <c r="AE2580" s="7">
        <v>18</v>
      </c>
      <c r="AF2580" s="8">
        <v>0.41666666666666669</v>
      </c>
      <c r="AG2580" s="9">
        <v>4.9000000000000004</v>
      </c>
      <c r="AH2580" s="10">
        <f t="shared" si="55"/>
        <v>5</v>
      </c>
    </row>
    <row r="2581" spans="11:34" ht="14.5" x14ac:dyDescent="0.35">
      <c r="K2581" s="4"/>
      <c r="AC2581" s="7">
        <v>2022</v>
      </c>
      <c r="AD2581" s="7">
        <v>4</v>
      </c>
      <c r="AE2581" s="7">
        <v>18</v>
      </c>
      <c r="AF2581" s="8">
        <v>0.45833333333333331</v>
      </c>
      <c r="AG2581" s="9">
        <v>6.4</v>
      </c>
      <c r="AH2581" s="10">
        <f t="shared" si="55"/>
        <v>6</v>
      </c>
    </row>
    <row r="2582" spans="11:34" ht="14.5" x14ac:dyDescent="0.35">
      <c r="K2582" s="4"/>
      <c r="AC2582" s="7">
        <v>2022</v>
      </c>
      <c r="AD2582" s="7">
        <v>4</v>
      </c>
      <c r="AE2582" s="7">
        <v>18</v>
      </c>
      <c r="AF2582" s="8">
        <v>0.5</v>
      </c>
      <c r="AG2582" s="9">
        <v>7.2</v>
      </c>
      <c r="AH2582" s="10">
        <f t="shared" si="55"/>
        <v>7</v>
      </c>
    </row>
    <row r="2583" spans="11:34" ht="14.5" x14ac:dyDescent="0.35">
      <c r="K2583" s="4"/>
      <c r="AC2583" s="7">
        <v>2022</v>
      </c>
      <c r="AD2583" s="7">
        <v>4</v>
      </c>
      <c r="AE2583" s="7">
        <v>18</v>
      </c>
      <c r="AF2583" s="8">
        <v>0.54166666666666663</v>
      </c>
      <c r="AG2583" s="9">
        <v>8</v>
      </c>
      <c r="AH2583" s="10">
        <f t="shared" si="55"/>
        <v>8</v>
      </c>
    </row>
    <row r="2584" spans="11:34" ht="14.5" x14ac:dyDescent="0.35">
      <c r="K2584" s="4"/>
      <c r="AC2584" s="7">
        <v>2022</v>
      </c>
      <c r="AD2584" s="7">
        <v>4</v>
      </c>
      <c r="AE2584" s="7">
        <v>18</v>
      </c>
      <c r="AF2584" s="8">
        <v>0.58333333333333337</v>
      </c>
      <c r="AG2584" s="9">
        <v>8.6999999999999993</v>
      </c>
      <c r="AH2584" s="10">
        <f t="shared" si="55"/>
        <v>9</v>
      </c>
    </row>
    <row r="2585" spans="11:34" ht="14.5" x14ac:dyDescent="0.35">
      <c r="K2585" s="4"/>
      <c r="AC2585" s="7">
        <v>2022</v>
      </c>
      <c r="AD2585" s="7">
        <v>4</v>
      </c>
      <c r="AE2585" s="7">
        <v>18</v>
      </c>
      <c r="AF2585" s="8">
        <v>0.625</v>
      </c>
      <c r="AG2585" s="9">
        <v>9.1999999999999993</v>
      </c>
      <c r="AH2585" s="10">
        <f t="shared" si="55"/>
        <v>9</v>
      </c>
    </row>
    <row r="2586" spans="11:34" ht="14.5" x14ac:dyDescent="0.35">
      <c r="K2586" s="4"/>
      <c r="AC2586" s="7">
        <v>2022</v>
      </c>
      <c r="AD2586" s="7">
        <v>4</v>
      </c>
      <c r="AE2586" s="7">
        <v>18</v>
      </c>
      <c r="AF2586" s="8">
        <v>0.66666666666666663</v>
      </c>
      <c r="AG2586" s="9">
        <v>8.6999999999999993</v>
      </c>
      <c r="AH2586" s="10">
        <f t="shared" si="55"/>
        <v>9</v>
      </c>
    </row>
    <row r="2587" spans="11:34" ht="14.5" x14ac:dyDescent="0.35">
      <c r="K2587" s="4"/>
      <c r="AC2587" s="7">
        <v>2022</v>
      </c>
      <c r="AD2587" s="7">
        <v>4</v>
      </c>
      <c r="AE2587" s="7">
        <v>18</v>
      </c>
      <c r="AF2587" s="8">
        <v>0.70833333333333337</v>
      </c>
      <c r="AG2587" s="9">
        <v>8.3000000000000007</v>
      </c>
      <c r="AH2587" s="10">
        <f t="shared" si="55"/>
        <v>8</v>
      </c>
    </row>
    <row r="2588" spans="11:34" ht="14.5" x14ac:dyDescent="0.35">
      <c r="K2588" s="4"/>
      <c r="AC2588" s="7">
        <v>2022</v>
      </c>
      <c r="AD2588" s="7">
        <v>4</v>
      </c>
      <c r="AE2588" s="7">
        <v>18</v>
      </c>
      <c r="AF2588" s="8">
        <v>0.75</v>
      </c>
      <c r="AG2588" s="9">
        <v>7.7</v>
      </c>
      <c r="AH2588" s="10">
        <f t="shared" si="55"/>
        <v>8</v>
      </c>
    </row>
    <row r="2589" spans="11:34" ht="14.5" x14ac:dyDescent="0.35">
      <c r="K2589" s="4"/>
      <c r="AC2589" s="7">
        <v>2022</v>
      </c>
      <c r="AD2589" s="7">
        <v>4</v>
      </c>
      <c r="AE2589" s="7">
        <v>18</v>
      </c>
      <c r="AF2589" s="8">
        <v>0.79166666666666663</v>
      </c>
      <c r="AG2589" s="9">
        <v>7.1</v>
      </c>
      <c r="AH2589" s="10">
        <f t="shared" si="55"/>
        <v>7</v>
      </c>
    </row>
    <row r="2590" spans="11:34" ht="14.5" x14ac:dyDescent="0.35">
      <c r="K2590" s="4"/>
      <c r="AC2590" s="7">
        <v>2022</v>
      </c>
      <c r="AD2590" s="7">
        <v>4</v>
      </c>
      <c r="AE2590" s="7">
        <v>18</v>
      </c>
      <c r="AF2590" s="8">
        <v>0.83333333333333337</v>
      </c>
      <c r="AG2590" s="9">
        <v>6.1</v>
      </c>
      <c r="AH2590" s="10">
        <f t="shared" si="55"/>
        <v>6</v>
      </c>
    </row>
    <row r="2591" spans="11:34" ht="14.5" x14ac:dyDescent="0.35">
      <c r="K2591" s="4"/>
      <c r="AC2591" s="7">
        <v>2022</v>
      </c>
      <c r="AD2591" s="7">
        <v>4</v>
      </c>
      <c r="AE2591" s="7">
        <v>18</v>
      </c>
      <c r="AF2591" s="8">
        <v>0.875</v>
      </c>
      <c r="AG2591" s="9">
        <v>5.6</v>
      </c>
      <c r="AH2591" s="10">
        <f t="shared" si="55"/>
        <v>6</v>
      </c>
    </row>
    <row r="2592" spans="11:34" ht="14.5" x14ac:dyDescent="0.35">
      <c r="K2592" s="4"/>
      <c r="AC2592" s="7">
        <v>2022</v>
      </c>
      <c r="AD2592" s="7">
        <v>4</v>
      </c>
      <c r="AE2592" s="7">
        <v>18</v>
      </c>
      <c r="AF2592" s="8">
        <v>0.91666666666666663</v>
      </c>
      <c r="AG2592" s="9">
        <v>4.7</v>
      </c>
      <c r="AH2592" s="10">
        <f t="shared" si="55"/>
        <v>5</v>
      </c>
    </row>
    <row r="2593" spans="11:34" ht="14.5" x14ac:dyDescent="0.35">
      <c r="K2593" s="4"/>
      <c r="AC2593" s="7">
        <v>2022</v>
      </c>
      <c r="AD2593" s="7">
        <v>4</v>
      </c>
      <c r="AE2593" s="7">
        <v>18</v>
      </c>
      <c r="AF2593" s="8">
        <v>0.95833333333333337</v>
      </c>
      <c r="AG2593" s="9">
        <v>3.5</v>
      </c>
      <c r="AH2593" s="10">
        <f t="shared" si="55"/>
        <v>4</v>
      </c>
    </row>
    <row r="2594" spans="11:34" ht="14.5" x14ac:dyDescent="0.35">
      <c r="K2594" s="4"/>
      <c r="AC2594" s="7">
        <v>2022</v>
      </c>
      <c r="AD2594" s="7">
        <v>4</v>
      </c>
      <c r="AE2594" s="7">
        <v>19</v>
      </c>
      <c r="AF2594" s="8">
        <v>0</v>
      </c>
      <c r="AG2594" s="9">
        <v>2</v>
      </c>
      <c r="AH2594" s="10">
        <f t="shared" si="55"/>
        <v>2</v>
      </c>
    </row>
    <row r="2595" spans="11:34" ht="14.5" x14ac:dyDescent="0.35">
      <c r="K2595" s="4"/>
      <c r="AC2595" s="7">
        <v>2022</v>
      </c>
      <c r="AD2595" s="7">
        <v>4</v>
      </c>
      <c r="AE2595" s="7">
        <v>19</v>
      </c>
      <c r="AF2595" s="8">
        <v>4.1666666666666664E-2</v>
      </c>
      <c r="AG2595" s="9">
        <v>1.2</v>
      </c>
      <c r="AH2595" s="10">
        <f t="shared" si="55"/>
        <v>1</v>
      </c>
    </row>
    <row r="2596" spans="11:34" ht="14.5" x14ac:dyDescent="0.35">
      <c r="K2596" s="4"/>
      <c r="AC2596" s="7">
        <v>2022</v>
      </c>
      <c r="AD2596" s="7">
        <v>4</v>
      </c>
      <c r="AE2596" s="7">
        <v>19</v>
      </c>
      <c r="AF2596" s="8">
        <v>8.3333333333333329E-2</v>
      </c>
      <c r="AG2596" s="9">
        <v>1.5</v>
      </c>
      <c r="AH2596" s="10">
        <f t="shared" si="55"/>
        <v>2</v>
      </c>
    </row>
    <row r="2597" spans="11:34" ht="14.5" x14ac:dyDescent="0.35">
      <c r="K2597" s="4"/>
      <c r="AC2597" s="7">
        <v>2022</v>
      </c>
      <c r="AD2597" s="7">
        <v>4</v>
      </c>
      <c r="AE2597" s="7">
        <v>19</v>
      </c>
      <c r="AF2597" s="8">
        <v>0.125</v>
      </c>
      <c r="AG2597" s="9">
        <v>0</v>
      </c>
      <c r="AH2597" s="10">
        <f t="shared" si="55"/>
        <v>0</v>
      </c>
    </row>
    <row r="2598" spans="11:34" ht="14.5" x14ac:dyDescent="0.35">
      <c r="K2598" s="4"/>
      <c r="AC2598" s="7">
        <v>2022</v>
      </c>
      <c r="AD2598" s="7">
        <v>4</v>
      </c>
      <c r="AE2598" s="7">
        <v>19</v>
      </c>
      <c r="AF2598" s="8">
        <v>0.16666666666666666</v>
      </c>
      <c r="AG2598" s="9">
        <v>-0.6</v>
      </c>
      <c r="AH2598" s="10">
        <f t="shared" si="55"/>
        <v>-1</v>
      </c>
    </row>
    <row r="2599" spans="11:34" ht="14.5" x14ac:dyDescent="0.35">
      <c r="K2599" s="4"/>
      <c r="AC2599" s="7">
        <v>2022</v>
      </c>
      <c r="AD2599" s="7">
        <v>4</v>
      </c>
      <c r="AE2599" s="7">
        <v>19</v>
      </c>
      <c r="AF2599" s="8">
        <v>0.20833333333333334</v>
      </c>
      <c r="AG2599" s="9">
        <v>0</v>
      </c>
      <c r="AH2599" s="10">
        <f t="shared" si="55"/>
        <v>0</v>
      </c>
    </row>
    <row r="2600" spans="11:34" ht="14.5" x14ac:dyDescent="0.35">
      <c r="K2600" s="4"/>
      <c r="AC2600" s="7">
        <v>2022</v>
      </c>
      <c r="AD2600" s="7">
        <v>4</v>
      </c>
      <c r="AE2600" s="7">
        <v>19</v>
      </c>
      <c r="AF2600" s="8">
        <v>0.25</v>
      </c>
      <c r="AG2600" s="9">
        <v>-0.3</v>
      </c>
      <c r="AH2600" s="10">
        <f t="shared" si="55"/>
        <v>0</v>
      </c>
    </row>
    <row r="2601" spans="11:34" ht="14.5" x14ac:dyDescent="0.35">
      <c r="K2601" s="4"/>
      <c r="AC2601" s="7">
        <v>2022</v>
      </c>
      <c r="AD2601" s="7">
        <v>4</v>
      </c>
      <c r="AE2601" s="7">
        <v>19</v>
      </c>
      <c r="AF2601" s="8">
        <v>0.29166666666666669</v>
      </c>
      <c r="AG2601" s="9">
        <v>0.3</v>
      </c>
      <c r="AH2601" s="10">
        <f t="shared" si="55"/>
        <v>0</v>
      </c>
    </row>
    <row r="2602" spans="11:34" ht="14.5" x14ac:dyDescent="0.35">
      <c r="K2602" s="4"/>
      <c r="AC2602" s="7">
        <v>2022</v>
      </c>
      <c r="AD2602" s="7">
        <v>4</v>
      </c>
      <c r="AE2602" s="7">
        <v>19</v>
      </c>
      <c r="AF2602" s="8">
        <v>0.33333333333333331</v>
      </c>
      <c r="AG2602" s="9">
        <v>0.6</v>
      </c>
      <c r="AH2602" s="10">
        <f t="shared" si="55"/>
        <v>1</v>
      </c>
    </row>
    <row r="2603" spans="11:34" ht="14.5" x14ac:dyDescent="0.35">
      <c r="K2603" s="4"/>
      <c r="AC2603" s="7">
        <v>2022</v>
      </c>
      <c r="AD2603" s="7">
        <v>4</v>
      </c>
      <c r="AE2603" s="7">
        <v>19</v>
      </c>
      <c r="AF2603" s="8">
        <v>0.375</v>
      </c>
      <c r="AG2603" s="9">
        <v>0</v>
      </c>
      <c r="AH2603" s="10">
        <f t="shared" si="55"/>
        <v>0</v>
      </c>
    </row>
    <row r="2604" spans="11:34" ht="14.5" x14ac:dyDescent="0.35">
      <c r="K2604" s="4"/>
      <c r="AC2604" s="7">
        <v>2022</v>
      </c>
      <c r="AD2604" s="7">
        <v>4</v>
      </c>
      <c r="AE2604" s="7">
        <v>19</v>
      </c>
      <c r="AF2604" s="8">
        <v>0.41666666666666669</v>
      </c>
      <c r="AG2604" s="9">
        <v>-0.6</v>
      </c>
      <c r="AH2604" s="10">
        <f t="shared" si="55"/>
        <v>-1</v>
      </c>
    </row>
    <row r="2605" spans="11:34" ht="14.5" x14ac:dyDescent="0.35">
      <c r="K2605" s="4"/>
      <c r="AC2605" s="7">
        <v>2022</v>
      </c>
      <c r="AD2605" s="7">
        <v>4</v>
      </c>
      <c r="AE2605" s="7">
        <v>19</v>
      </c>
      <c r="AF2605" s="8">
        <v>0.45833333333333331</v>
      </c>
      <c r="AG2605" s="9">
        <v>-0.3</v>
      </c>
      <c r="AH2605" s="10">
        <f t="shared" si="55"/>
        <v>0</v>
      </c>
    </row>
    <row r="2606" spans="11:34" ht="14.5" x14ac:dyDescent="0.35">
      <c r="K2606" s="4"/>
      <c r="AC2606" s="7">
        <v>2022</v>
      </c>
      <c r="AD2606" s="7">
        <v>4</v>
      </c>
      <c r="AE2606" s="7">
        <v>19</v>
      </c>
      <c r="AF2606" s="8">
        <v>0.5</v>
      </c>
      <c r="AG2606" s="9">
        <v>0.4</v>
      </c>
      <c r="AH2606" s="10">
        <f t="shared" si="55"/>
        <v>0</v>
      </c>
    </row>
    <row r="2607" spans="11:34" ht="14.5" x14ac:dyDescent="0.35">
      <c r="K2607" s="4"/>
      <c r="AC2607" s="7">
        <v>2022</v>
      </c>
      <c r="AD2607" s="7">
        <v>4</v>
      </c>
      <c r="AE2607" s="7">
        <v>19</v>
      </c>
      <c r="AF2607" s="8">
        <v>0.54166666666666663</v>
      </c>
      <c r="AG2607" s="9">
        <v>-0.8</v>
      </c>
      <c r="AH2607" s="10">
        <f t="shared" si="55"/>
        <v>-1</v>
      </c>
    </row>
    <row r="2608" spans="11:34" ht="14.5" x14ac:dyDescent="0.35">
      <c r="K2608" s="4"/>
      <c r="AC2608" s="7">
        <v>2022</v>
      </c>
      <c r="AD2608" s="7">
        <v>4</v>
      </c>
      <c r="AE2608" s="7">
        <v>19</v>
      </c>
      <c r="AF2608" s="8">
        <v>0.58333333333333337</v>
      </c>
      <c r="AG2608" s="9">
        <v>-0.9</v>
      </c>
      <c r="AH2608" s="10">
        <f t="shared" si="55"/>
        <v>-1</v>
      </c>
    </row>
    <row r="2609" spans="11:34" ht="14.5" x14ac:dyDescent="0.35">
      <c r="K2609" s="4"/>
      <c r="AC2609" s="7">
        <v>2022</v>
      </c>
      <c r="AD2609" s="7">
        <v>4</v>
      </c>
      <c r="AE2609" s="7">
        <v>19</v>
      </c>
      <c r="AF2609" s="8">
        <v>0.625</v>
      </c>
      <c r="AG2609" s="9">
        <v>-0.8</v>
      </c>
      <c r="AH2609" s="10">
        <f t="shared" si="55"/>
        <v>-1</v>
      </c>
    </row>
    <row r="2610" spans="11:34" ht="14.5" x14ac:dyDescent="0.35">
      <c r="K2610" s="4"/>
      <c r="AC2610" s="7">
        <v>2022</v>
      </c>
      <c r="AD2610" s="7">
        <v>4</v>
      </c>
      <c r="AE2610" s="7">
        <v>19</v>
      </c>
      <c r="AF2610" s="8">
        <v>0.66666666666666663</v>
      </c>
      <c r="AG2610" s="9">
        <v>-0.7</v>
      </c>
      <c r="AH2610" s="10">
        <f t="shared" si="55"/>
        <v>-1</v>
      </c>
    </row>
    <row r="2611" spans="11:34" ht="14.5" x14ac:dyDescent="0.35">
      <c r="K2611" s="4"/>
      <c r="AC2611" s="7">
        <v>2022</v>
      </c>
      <c r="AD2611" s="7">
        <v>4</v>
      </c>
      <c r="AE2611" s="7">
        <v>19</v>
      </c>
      <c r="AF2611" s="8">
        <v>0.70833333333333337</v>
      </c>
      <c r="AG2611" s="9">
        <v>-0.9</v>
      </c>
      <c r="AH2611" s="10">
        <f t="shared" si="55"/>
        <v>-1</v>
      </c>
    </row>
    <row r="2612" spans="11:34" ht="14.5" x14ac:dyDescent="0.35">
      <c r="K2612" s="4"/>
      <c r="AC2612" s="7">
        <v>2022</v>
      </c>
      <c r="AD2612" s="7">
        <v>4</v>
      </c>
      <c r="AE2612" s="7">
        <v>19</v>
      </c>
      <c r="AF2612" s="8">
        <v>0.75</v>
      </c>
      <c r="AG2612" s="9">
        <v>-0.6</v>
      </c>
      <c r="AH2612" s="10">
        <f t="shared" si="55"/>
        <v>-1</v>
      </c>
    </row>
    <row r="2613" spans="11:34" ht="14.5" x14ac:dyDescent="0.35">
      <c r="K2613" s="4"/>
      <c r="AC2613" s="7">
        <v>2022</v>
      </c>
      <c r="AD2613" s="7">
        <v>4</v>
      </c>
      <c r="AE2613" s="7">
        <v>19</v>
      </c>
      <c r="AF2613" s="8">
        <v>0.79166666666666663</v>
      </c>
      <c r="AG2613" s="9">
        <v>-1.6</v>
      </c>
      <c r="AH2613" s="10">
        <f t="shared" si="55"/>
        <v>-2</v>
      </c>
    </row>
    <row r="2614" spans="11:34" ht="14.5" x14ac:dyDescent="0.35">
      <c r="K2614" s="4"/>
      <c r="AC2614" s="7">
        <v>2022</v>
      </c>
      <c r="AD2614" s="7">
        <v>4</v>
      </c>
      <c r="AE2614" s="7">
        <v>19</v>
      </c>
      <c r="AF2614" s="8">
        <v>0.83333333333333337</v>
      </c>
      <c r="AG2614" s="9">
        <v>-2</v>
      </c>
      <c r="AH2614" s="10">
        <f t="shared" si="55"/>
        <v>-2</v>
      </c>
    </row>
    <row r="2615" spans="11:34" ht="14.5" x14ac:dyDescent="0.35">
      <c r="K2615" s="4"/>
      <c r="AC2615" s="7">
        <v>2022</v>
      </c>
      <c r="AD2615" s="7">
        <v>4</v>
      </c>
      <c r="AE2615" s="7">
        <v>19</v>
      </c>
      <c r="AF2615" s="8">
        <v>0.875</v>
      </c>
      <c r="AG2615" s="9">
        <v>-2</v>
      </c>
      <c r="AH2615" s="10">
        <f t="shared" si="55"/>
        <v>-2</v>
      </c>
    </row>
    <row r="2616" spans="11:34" ht="14.5" x14ac:dyDescent="0.35">
      <c r="K2616" s="4"/>
      <c r="AC2616" s="7">
        <v>2022</v>
      </c>
      <c r="AD2616" s="7">
        <v>4</v>
      </c>
      <c r="AE2616" s="7">
        <v>19</v>
      </c>
      <c r="AF2616" s="8">
        <v>0.91666666666666663</v>
      </c>
      <c r="AG2616" s="9">
        <v>-2.5</v>
      </c>
      <c r="AH2616" s="10">
        <f t="shared" si="55"/>
        <v>-3</v>
      </c>
    </row>
    <row r="2617" spans="11:34" ht="14.5" x14ac:dyDescent="0.35">
      <c r="K2617" s="4"/>
      <c r="AC2617" s="7">
        <v>2022</v>
      </c>
      <c r="AD2617" s="7">
        <v>4</v>
      </c>
      <c r="AE2617" s="7">
        <v>19</v>
      </c>
      <c r="AF2617" s="8">
        <v>0.95833333333333337</v>
      </c>
      <c r="AG2617" s="9">
        <v>-2.4</v>
      </c>
      <c r="AH2617" s="10">
        <f t="shared" si="55"/>
        <v>-2</v>
      </c>
    </row>
    <row r="2618" spans="11:34" ht="14.5" x14ac:dyDescent="0.35">
      <c r="K2618" s="4"/>
      <c r="AC2618" s="7">
        <v>2022</v>
      </c>
      <c r="AD2618" s="7">
        <v>4</v>
      </c>
      <c r="AE2618" s="7">
        <v>20</v>
      </c>
      <c r="AF2618" s="8">
        <v>0</v>
      </c>
      <c r="AG2618" s="9">
        <v>-2.6</v>
      </c>
      <c r="AH2618" s="10">
        <f t="shared" si="55"/>
        <v>-3</v>
      </c>
    </row>
    <row r="2619" spans="11:34" ht="14.5" x14ac:dyDescent="0.35">
      <c r="K2619" s="4"/>
      <c r="AC2619" s="7">
        <v>2022</v>
      </c>
      <c r="AD2619" s="7">
        <v>4</v>
      </c>
      <c r="AE2619" s="7">
        <v>20</v>
      </c>
      <c r="AF2619" s="8">
        <v>4.1666666666666664E-2</v>
      </c>
      <c r="AG2619" s="9">
        <v>-2.6</v>
      </c>
      <c r="AH2619" s="10">
        <f t="shared" si="55"/>
        <v>-3</v>
      </c>
    </row>
    <row r="2620" spans="11:34" ht="14.5" x14ac:dyDescent="0.35">
      <c r="K2620" s="4"/>
      <c r="AC2620" s="7">
        <v>2022</v>
      </c>
      <c r="AD2620" s="7">
        <v>4</v>
      </c>
      <c r="AE2620" s="7">
        <v>20</v>
      </c>
      <c r="AF2620" s="8">
        <v>8.3333333333333329E-2</v>
      </c>
      <c r="AG2620" s="9">
        <v>-2.5</v>
      </c>
      <c r="AH2620" s="10">
        <f t="shared" si="55"/>
        <v>-3</v>
      </c>
    </row>
    <row r="2621" spans="11:34" ht="14.5" x14ac:dyDescent="0.35">
      <c r="K2621" s="4"/>
      <c r="AC2621" s="7">
        <v>2022</v>
      </c>
      <c r="AD2621" s="7">
        <v>4</v>
      </c>
      <c r="AE2621" s="7">
        <v>20</v>
      </c>
      <c r="AF2621" s="8">
        <v>0.125</v>
      </c>
      <c r="AG2621" s="9">
        <v>-2.6</v>
      </c>
      <c r="AH2621" s="10">
        <f t="shared" si="55"/>
        <v>-3</v>
      </c>
    </row>
    <row r="2622" spans="11:34" ht="14.5" x14ac:dyDescent="0.35">
      <c r="K2622" s="4"/>
      <c r="AC2622" s="7">
        <v>2022</v>
      </c>
      <c r="AD2622" s="7">
        <v>4</v>
      </c>
      <c r="AE2622" s="7">
        <v>20</v>
      </c>
      <c r="AF2622" s="8">
        <v>0.16666666666666666</v>
      </c>
      <c r="AG2622" s="9">
        <v>-3.1</v>
      </c>
      <c r="AH2622" s="10">
        <f t="shared" si="55"/>
        <v>-3</v>
      </c>
    </row>
    <row r="2623" spans="11:34" ht="14.5" x14ac:dyDescent="0.35">
      <c r="K2623" s="4"/>
      <c r="AC2623" s="7">
        <v>2022</v>
      </c>
      <c r="AD2623" s="7">
        <v>4</v>
      </c>
      <c r="AE2623" s="7">
        <v>20</v>
      </c>
      <c r="AF2623" s="8">
        <v>0.20833333333333334</v>
      </c>
      <c r="AG2623" s="9">
        <v>-3.7</v>
      </c>
      <c r="AH2623" s="10">
        <f t="shared" si="55"/>
        <v>-4</v>
      </c>
    </row>
    <row r="2624" spans="11:34" ht="14.5" x14ac:dyDescent="0.35">
      <c r="K2624" s="4"/>
      <c r="AC2624" s="7">
        <v>2022</v>
      </c>
      <c r="AD2624" s="7">
        <v>4</v>
      </c>
      <c r="AE2624" s="7">
        <v>20</v>
      </c>
      <c r="AF2624" s="8">
        <v>0.25</v>
      </c>
      <c r="AG2624" s="9">
        <v>-4</v>
      </c>
      <c r="AH2624" s="10">
        <f t="shared" si="55"/>
        <v>-4</v>
      </c>
    </row>
    <row r="2625" spans="11:34" ht="14.5" x14ac:dyDescent="0.35">
      <c r="K2625" s="4"/>
      <c r="AC2625" s="7">
        <v>2022</v>
      </c>
      <c r="AD2625" s="7">
        <v>4</v>
      </c>
      <c r="AE2625" s="7">
        <v>20</v>
      </c>
      <c r="AF2625" s="8">
        <v>0.29166666666666669</v>
      </c>
      <c r="AG2625" s="9">
        <v>-3.7</v>
      </c>
      <c r="AH2625" s="10">
        <f t="shared" si="55"/>
        <v>-4</v>
      </c>
    </row>
    <row r="2626" spans="11:34" ht="14.5" x14ac:dyDescent="0.35">
      <c r="K2626" s="4"/>
      <c r="AC2626" s="7">
        <v>2022</v>
      </c>
      <c r="AD2626" s="7">
        <v>4</v>
      </c>
      <c r="AE2626" s="7">
        <v>20</v>
      </c>
      <c r="AF2626" s="8">
        <v>0.33333333333333331</v>
      </c>
      <c r="AG2626" s="9">
        <v>-3.4</v>
      </c>
      <c r="AH2626" s="10">
        <f t="shared" si="55"/>
        <v>-3</v>
      </c>
    </row>
    <row r="2627" spans="11:34" ht="14.5" x14ac:dyDescent="0.35">
      <c r="K2627" s="4"/>
      <c r="AC2627" s="7">
        <v>2022</v>
      </c>
      <c r="AD2627" s="7">
        <v>4</v>
      </c>
      <c r="AE2627" s="7">
        <v>20</v>
      </c>
      <c r="AF2627" s="8">
        <v>0.375</v>
      </c>
      <c r="AG2627" s="9">
        <v>-2.8</v>
      </c>
      <c r="AH2627" s="10">
        <f t="shared" si="55"/>
        <v>-3</v>
      </c>
    </row>
    <row r="2628" spans="11:34" ht="14.5" x14ac:dyDescent="0.35">
      <c r="K2628" s="4"/>
      <c r="AC2628" s="7">
        <v>2022</v>
      </c>
      <c r="AD2628" s="7">
        <v>4</v>
      </c>
      <c r="AE2628" s="7">
        <v>20</v>
      </c>
      <c r="AF2628" s="8">
        <v>0.41666666666666669</v>
      </c>
      <c r="AG2628" s="9">
        <v>-1.8</v>
      </c>
      <c r="AH2628" s="10">
        <f t="shared" si="55"/>
        <v>-2</v>
      </c>
    </row>
    <row r="2629" spans="11:34" ht="14.5" x14ac:dyDescent="0.35">
      <c r="K2629" s="4"/>
      <c r="AC2629" s="7">
        <v>2022</v>
      </c>
      <c r="AD2629" s="7">
        <v>4</v>
      </c>
      <c r="AE2629" s="7">
        <v>20</v>
      </c>
      <c r="AF2629" s="8">
        <v>0.45833333333333331</v>
      </c>
      <c r="AG2629" s="9">
        <v>-1.6</v>
      </c>
      <c r="AH2629" s="10">
        <f t="shared" si="55"/>
        <v>-2</v>
      </c>
    </row>
    <row r="2630" spans="11:34" ht="14.5" x14ac:dyDescent="0.35">
      <c r="K2630" s="4"/>
      <c r="AC2630" s="7">
        <v>2022</v>
      </c>
      <c r="AD2630" s="7">
        <v>4</v>
      </c>
      <c r="AE2630" s="7">
        <v>20</v>
      </c>
      <c r="AF2630" s="8">
        <v>0.5</v>
      </c>
      <c r="AG2630" s="9">
        <v>-1.2</v>
      </c>
      <c r="AH2630" s="10">
        <f t="shared" si="55"/>
        <v>-1</v>
      </c>
    </row>
    <row r="2631" spans="11:34" ht="14.5" x14ac:dyDescent="0.35">
      <c r="K2631" s="4"/>
      <c r="AC2631" s="7">
        <v>2022</v>
      </c>
      <c r="AD2631" s="7">
        <v>4</v>
      </c>
      <c r="AE2631" s="7">
        <v>20</v>
      </c>
      <c r="AF2631" s="8">
        <v>0.54166666666666663</v>
      </c>
      <c r="AG2631" s="9">
        <v>-0.7</v>
      </c>
      <c r="AH2631" s="10">
        <f t="shared" si="55"/>
        <v>-1</v>
      </c>
    </row>
    <row r="2632" spans="11:34" ht="14.5" x14ac:dyDescent="0.35">
      <c r="K2632" s="4"/>
      <c r="AC2632" s="7">
        <v>2022</v>
      </c>
      <c r="AD2632" s="7">
        <v>4</v>
      </c>
      <c r="AE2632" s="7">
        <v>20</v>
      </c>
      <c r="AF2632" s="8">
        <v>0.58333333333333337</v>
      </c>
      <c r="AG2632" s="9">
        <v>-0.2</v>
      </c>
      <c r="AH2632" s="10">
        <f t="shared" si="55"/>
        <v>0</v>
      </c>
    </row>
    <row r="2633" spans="11:34" ht="14.5" x14ac:dyDescent="0.35">
      <c r="K2633" s="4"/>
      <c r="AC2633" s="7">
        <v>2022</v>
      </c>
      <c r="AD2633" s="7">
        <v>4</v>
      </c>
      <c r="AE2633" s="7">
        <v>20</v>
      </c>
      <c r="AF2633" s="8">
        <v>0.625</v>
      </c>
      <c r="AG2633" s="9">
        <v>0.1</v>
      </c>
      <c r="AH2633" s="10">
        <f t="shared" si="55"/>
        <v>0</v>
      </c>
    </row>
    <row r="2634" spans="11:34" ht="14.5" x14ac:dyDescent="0.35">
      <c r="K2634" s="4"/>
      <c r="AC2634" s="7">
        <v>2022</v>
      </c>
      <c r="AD2634" s="7">
        <v>4</v>
      </c>
      <c r="AE2634" s="7">
        <v>20</v>
      </c>
      <c r="AF2634" s="8">
        <v>0.66666666666666663</v>
      </c>
      <c r="AG2634" s="9">
        <v>0.4</v>
      </c>
      <c r="AH2634" s="10">
        <f t="shared" si="55"/>
        <v>0</v>
      </c>
    </row>
    <row r="2635" spans="11:34" ht="14.5" x14ac:dyDescent="0.35">
      <c r="K2635" s="4"/>
      <c r="AC2635" s="7">
        <v>2022</v>
      </c>
      <c r="AD2635" s="7">
        <v>4</v>
      </c>
      <c r="AE2635" s="7">
        <v>20</v>
      </c>
      <c r="AF2635" s="8">
        <v>0.70833333333333337</v>
      </c>
      <c r="AG2635" s="9">
        <v>0.1</v>
      </c>
      <c r="AH2635" s="10">
        <f t="shared" ref="AH2635:AH2698" si="56">ROUND(AG2635,0)</f>
        <v>0</v>
      </c>
    </row>
    <row r="2636" spans="11:34" ht="14.5" x14ac:dyDescent="0.35">
      <c r="K2636" s="4"/>
      <c r="AC2636" s="7">
        <v>2022</v>
      </c>
      <c r="AD2636" s="7">
        <v>4</v>
      </c>
      <c r="AE2636" s="7">
        <v>20</v>
      </c>
      <c r="AF2636" s="8">
        <v>0.75</v>
      </c>
      <c r="AG2636" s="9">
        <v>0.1</v>
      </c>
      <c r="AH2636" s="10">
        <f t="shared" si="56"/>
        <v>0</v>
      </c>
    </row>
    <row r="2637" spans="11:34" ht="14.5" x14ac:dyDescent="0.35">
      <c r="K2637" s="4"/>
      <c r="AC2637" s="7">
        <v>2022</v>
      </c>
      <c r="AD2637" s="7">
        <v>4</v>
      </c>
      <c r="AE2637" s="7">
        <v>20</v>
      </c>
      <c r="AF2637" s="8">
        <v>0.79166666666666663</v>
      </c>
      <c r="AG2637" s="9">
        <v>-0.2</v>
      </c>
      <c r="AH2637" s="10">
        <f t="shared" si="56"/>
        <v>0</v>
      </c>
    </row>
    <row r="2638" spans="11:34" ht="14.5" x14ac:dyDescent="0.35">
      <c r="K2638" s="4"/>
      <c r="AC2638" s="7">
        <v>2022</v>
      </c>
      <c r="AD2638" s="7">
        <v>4</v>
      </c>
      <c r="AE2638" s="7">
        <v>20</v>
      </c>
      <c r="AF2638" s="8">
        <v>0.83333333333333337</v>
      </c>
      <c r="AG2638" s="9">
        <v>-1.5</v>
      </c>
      <c r="AH2638" s="10">
        <f t="shared" si="56"/>
        <v>-2</v>
      </c>
    </row>
    <row r="2639" spans="11:34" ht="14.5" x14ac:dyDescent="0.35">
      <c r="K2639" s="4"/>
      <c r="AC2639" s="7">
        <v>2022</v>
      </c>
      <c r="AD2639" s="7">
        <v>4</v>
      </c>
      <c r="AE2639" s="7">
        <v>20</v>
      </c>
      <c r="AF2639" s="8">
        <v>0.875</v>
      </c>
      <c r="AG2639" s="9">
        <v>-1.5</v>
      </c>
      <c r="AH2639" s="10">
        <f t="shared" si="56"/>
        <v>-2</v>
      </c>
    </row>
    <row r="2640" spans="11:34" ht="14.5" x14ac:dyDescent="0.35">
      <c r="K2640" s="4"/>
      <c r="AC2640" s="7">
        <v>2022</v>
      </c>
      <c r="AD2640" s="7">
        <v>4</v>
      </c>
      <c r="AE2640" s="7">
        <v>20</v>
      </c>
      <c r="AF2640" s="8">
        <v>0.91666666666666663</v>
      </c>
      <c r="AG2640" s="9">
        <v>-2.5</v>
      </c>
      <c r="AH2640" s="10">
        <f t="shared" si="56"/>
        <v>-3</v>
      </c>
    </row>
    <row r="2641" spans="11:34" ht="14.5" x14ac:dyDescent="0.35">
      <c r="K2641" s="4"/>
      <c r="AC2641" s="7">
        <v>2022</v>
      </c>
      <c r="AD2641" s="7">
        <v>4</v>
      </c>
      <c r="AE2641" s="7">
        <v>20</v>
      </c>
      <c r="AF2641" s="8">
        <v>0.95833333333333337</v>
      </c>
      <c r="AG2641" s="9">
        <v>-3</v>
      </c>
      <c r="AH2641" s="10">
        <f t="shared" si="56"/>
        <v>-3</v>
      </c>
    </row>
    <row r="2642" spans="11:34" ht="14.5" x14ac:dyDescent="0.35">
      <c r="K2642" s="4"/>
      <c r="AC2642" s="7">
        <v>2022</v>
      </c>
      <c r="AD2642" s="7">
        <v>4</v>
      </c>
      <c r="AE2642" s="7">
        <v>21</v>
      </c>
      <c r="AF2642" s="8">
        <v>0</v>
      </c>
      <c r="AG2642" s="9">
        <v>-2.7</v>
      </c>
      <c r="AH2642" s="10">
        <f t="shared" si="56"/>
        <v>-3</v>
      </c>
    </row>
    <row r="2643" spans="11:34" ht="14.5" x14ac:dyDescent="0.35">
      <c r="K2643" s="4"/>
      <c r="AC2643" s="7">
        <v>2022</v>
      </c>
      <c r="AD2643" s="7">
        <v>4</v>
      </c>
      <c r="AE2643" s="7">
        <v>21</v>
      </c>
      <c r="AF2643" s="8">
        <v>4.1666666666666664E-2</v>
      </c>
      <c r="AG2643" s="9">
        <v>-2.7</v>
      </c>
      <c r="AH2643" s="10">
        <f t="shared" si="56"/>
        <v>-3</v>
      </c>
    </row>
    <row r="2644" spans="11:34" ht="14.5" x14ac:dyDescent="0.35">
      <c r="K2644" s="4"/>
      <c r="AC2644" s="7">
        <v>2022</v>
      </c>
      <c r="AD2644" s="7">
        <v>4</v>
      </c>
      <c r="AE2644" s="7">
        <v>21</v>
      </c>
      <c r="AF2644" s="8">
        <v>8.3333333333333329E-2</v>
      </c>
      <c r="AG2644" s="9">
        <v>-1.7</v>
      </c>
      <c r="AH2644" s="10">
        <f t="shared" si="56"/>
        <v>-2</v>
      </c>
    </row>
    <row r="2645" spans="11:34" ht="14.5" x14ac:dyDescent="0.35">
      <c r="K2645" s="4"/>
      <c r="AC2645" s="7">
        <v>2022</v>
      </c>
      <c r="AD2645" s="7">
        <v>4</v>
      </c>
      <c r="AE2645" s="7">
        <v>21</v>
      </c>
      <c r="AF2645" s="8">
        <v>0.125</v>
      </c>
      <c r="AG2645" s="9">
        <v>-2.7</v>
      </c>
      <c r="AH2645" s="10">
        <f t="shared" si="56"/>
        <v>-3</v>
      </c>
    </row>
    <row r="2646" spans="11:34" ht="14.5" x14ac:dyDescent="0.35">
      <c r="K2646" s="4"/>
      <c r="AC2646" s="7">
        <v>2022</v>
      </c>
      <c r="AD2646" s="7">
        <v>4</v>
      </c>
      <c r="AE2646" s="7">
        <v>21</v>
      </c>
      <c r="AF2646" s="8">
        <v>0.16666666666666666</v>
      </c>
      <c r="AG2646" s="9">
        <v>-3.4</v>
      </c>
      <c r="AH2646" s="10">
        <f t="shared" si="56"/>
        <v>-3</v>
      </c>
    </row>
    <row r="2647" spans="11:34" ht="14.5" x14ac:dyDescent="0.35">
      <c r="K2647" s="4"/>
      <c r="AC2647" s="7">
        <v>2022</v>
      </c>
      <c r="AD2647" s="7">
        <v>4</v>
      </c>
      <c r="AE2647" s="7">
        <v>21</v>
      </c>
      <c r="AF2647" s="8">
        <v>0.20833333333333334</v>
      </c>
      <c r="AG2647" s="9">
        <v>-4.2</v>
      </c>
      <c r="AH2647" s="10">
        <f t="shared" si="56"/>
        <v>-4</v>
      </c>
    </row>
    <row r="2648" spans="11:34" ht="14.5" x14ac:dyDescent="0.35">
      <c r="K2648" s="4"/>
      <c r="AC2648" s="7">
        <v>2022</v>
      </c>
      <c r="AD2648" s="7">
        <v>4</v>
      </c>
      <c r="AE2648" s="7">
        <v>21</v>
      </c>
      <c r="AF2648" s="8">
        <v>0.25</v>
      </c>
      <c r="AG2648" s="9">
        <v>-4.8</v>
      </c>
      <c r="AH2648" s="10">
        <f t="shared" si="56"/>
        <v>-5</v>
      </c>
    </row>
    <row r="2649" spans="11:34" ht="14.5" x14ac:dyDescent="0.35">
      <c r="K2649" s="4"/>
      <c r="AC2649" s="7">
        <v>2022</v>
      </c>
      <c r="AD2649" s="7">
        <v>4</v>
      </c>
      <c r="AE2649" s="7">
        <v>21</v>
      </c>
      <c r="AF2649" s="8">
        <v>0.29166666666666669</v>
      </c>
      <c r="AG2649" s="9">
        <v>-3.8</v>
      </c>
      <c r="AH2649" s="10">
        <f t="shared" si="56"/>
        <v>-4</v>
      </c>
    </row>
    <row r="2650" spans="11:34" ht="14.5" x14ac:dyDescent="0.35">
      <c r="K2650" s="4"/>
      <c r="AC2650" s="7">
        <v>2022</v>
      </c>
      <c r="AD2650" s="7">
        <v>4</v>
      </c>
      <c r="AE2650" s="7">
        <v>21</v>
      </c>
      <c r="AF2650" s="8">
        <v>0.33333333333333331</v>
      </c>
      <c r="AG2650" s="9">
        <v>-2.2000000000000002</v>
      </c>
      <c r="AH2650" s="10">
        <f t="shared" si="56"/>
        <v>-2</v>
      </c>
    </row>
    <row r="2651" spans="11:34" ht="14.5" x14ac:dyDescent="0.35">
      <c r="K2651" s="4"/>
      <c r="AC2651" s="7">
        <v>2022</v>
      </c>
      <c r="AD2651" s="7">
        <v>4</v>
      </c>
      <c r="AE2651" s="7">
        <v>21</v>
      </c>
      <c r="AF2651" s="8">
        <v>0.375</v>
      </c>
      <c r="AG2651" s="9">
        <v>-0.6</v>
      </c>
      <c r="AH2651" s="10">
        <f t="shared" si="56"/>
        <v>-1</v>
      </c>
    </row>
    <row r="2652" spans="11:34" ht="14.5" x14ac:dyDescent="0.35">
      <c r="K2652" s="4"/>
      <c r="AC2652" s="7">
        <v>2022</v>
      </c>
      <c r="AD2652" s="7">
        <v>4</v>
      </c>
      <c r="AE2652" s="7">
        <v>21</v>
      </c>
      <c r="AF2652" s="8">
        <v>0.41666666666666669</v>
      </c>
      <c r="AG2652" s="9">
        <v>0.8</v>
      </c>
      <c r="AH2652" s="10">
        <f t="shared" si="56"/>
        <v>1</v>
      </c>
    </row>
    <row r="2653" spans="11:34" ht="14.5" x14ac:dyDescent="0.35">
      <c r="K2653" s="4"/>
      <c r="AC2653" s="7">
        <v>2022</v>
      </c>
      <c r="AD2653" s="7">
        <v>4</v>
      </c>
      <c r="AE2653" s="7">
        <v>21</v>
      </c>
      <c r="AF2653" s="8">
        <v>0.45833333333333331</v>
      </c>
      <c r="AG2653" s="9">
        <v>1.7</v>
      </c>
      <c r="AH2653" s="10">
        <f t="shared" si="56"/>
        <v>2</v>
      </c>
    </row>
    <row r="2654" spans="11:34" ht="14.5" x14ac:dyDescent="0.35">
      <c r="K2654" s="4"/>
      <c r="AC2654" s="7">
        <v>2022</v>
      </c>
      <c r="AD2654" s="7">
        <v>4</v>
      </c>
      <c r="AE2654" s="7">
        <v>21</v>
      </c>
      <c r="AF2654" s="8">
        <v>0.5</v>
      </c>
      <c r="AG2654" s="9">
        <v>3</v>
      </c>
      <c r="AH2654" s="10">
        <f t="shared" si="56"/>
        <v>3</v>
      </c>
    </row>
    <row r="2655" spans="11:34" ht="14.5" x14ac:dyDescent="0.35">
      <c r="K2655" s="4"/>
      <c r="AC2655" s="7">
        <v>2022</v>
      </c>
      <c r="AD2655" s="7">
        <v>4</v>
      </c>
      <c r="AE2655" s="7">
        <v>21</v>
      </c>
      <c r="AF2655" s="8">
        <v>0.54166666666666663</v>
      </c>
      <c r="AG2655" s="9">
        <v>2.5</v>
      </c>
      <c r="AH2655" s="10">
        <f t="shared" si="56"/>
        <v>3</v>
      </c>
    </row>
    <row r="2656" spans="11:34" ht="14.5" x14ac:dyDescent="0.35">
      <c r="K2656" s="4"/>
      <c r="AC2656" s="7">
        <v>2022</v>
      </c>
      <c r="AD2656" s="7">
        <v>4</v>
      </c>
      <c r="AE2656" s="7">
        <v>21</v>
      </c>
      <c r="AF2656" s="8">
        <v>0.58333333333333337</v>
      </c>
      <c r="AG2656" s="9">
        <v>3.5</v>
      </c>
      <c r="AH2656" s="10">
        <f t="shared" si="56"/>
        <v>4</v>
      </c>
    </row>
    <row r="2657" spans="11:34" ht="14.5" x14ac:dyDescent="0.35">
      <c r="K2657" s="4"/>
      <c r="AC2657" s="7">
        <v>2022</v>
      </c>
      <c r="AD2657" s="7">
        <v>4</v>
      </c>
      <c r="AE2657" s="7">
        <v>21</v>
      </c>
      <c r="AF2657" s="8">
        <v>0.625</v>
      </c>
      <c r="AG2657" s="9">
        <v>4.5</v>
      </c>
      <c r="AH2657" s="10">
        <f t="shared" si="56"/>
        <v>5</v>
      </c>
    </row>
    <row r="2658" spans="11:34" ht="14.5" x14ac:dyDescent="0.35">
      <c r="K2658" s="4"/>
      <c r="AC2658" s="7">
        <v>2022</v>
      </c>
      <c r="AD2658" s="7">
        <v>4</v>
      </c>
      <c r="AE2658" s="7">
        <v>21</v>
      </c>
      <c r="AF2658" s="8">
        <v>0.66666666666666663</v>
      </c>
      <c r="AG2658" s="9">
        <v>4.9000000000000004</v>
      </c>
      <c r="AH2658" s="10">
        <f t="shared" si="56"/>
        <v>5</v>
      </c>
    </row>
    <row r="2659" spans="11:34" ht="14.5" x14ac:dyDescent="0.35">
      <c r="K2659" s="4"/>
      <c r="AC2659" s="7">
        <v>2022</v>
      </c>
      <c r="AD2659" s="7">
        <v>4</v>
      </c>
      <c r="AE2659" s="7">
        <v>21</v>
      </c>
      <c r="AF2659" s="8">
        <v>0.70833333333333337</v>
      </c>
      <c r="AG2659" s="9">
        <v>4.9000000000000004</v>
      </c>
      <c r="AH2659" s="10">
        <f t="shared" si="56"/>
        <v>5</v>
      </c>
    </row>
    <row r="2660" spans="11:34" ht="14.5" x14ac:dyDescent="0.35">
      <c r="K2660" s="4"/>
      <c r="AC2660" s="7">
        <v>2022</v>
      </c>
      <c r="AD2660" s="7">
        <v>4</v>
      </c>
      <c r="AE2660" s="7">
        <v>21</v>
      </c>
      <c r="AF2660" s="8">
        <v>0.75</v>
      </c>
      <c r="AG2660" s="9">
        <v>4.3</v>
      </c>
      <c r="AH2660" s="10">
        <f t="shared" si="56"/>
        <v>4</v>
      </c>
    </row>
    <row r="2661" spans="11:34" ht="14.5" x14ac:dyDescent="0.35">
      <c r="K2661" s="4"/>
      <c r="AC2661" s="7">
        <v>2022</v>
      </c>
      <c r="AD2661" s="7">
        <v>4</v>
      </c>
      <c r="AE2661" s="7">
        <v>21</v>
      </c>
      <c r="AF2661" s="8">
        <v>0.79166666666666663</v>
      </c>
      <c r="AG2661" s="9">
        <v>3.7</v>
      </c>
      <c r="AH2661" s="10">
        <f t="shared" si="56"/>
        <v>4</v>
      </c>
    </row>
    <row r="2662" spans="11:34" ht="14.5" x14ac:dyDescent="0.35">
      <c r="K2662" s="4"/>
      <c r="AC2662" s="7">
        <v>2022</v>
      </c>
      <c r="AD2662" s="7">
        <v>4</v>
      </c>
      <c r="AE2662" s="7">
        <v>21</v>
      </c>
      <c r="AF2662" s="8">
        <v>0.83333333333333337</v>
      </c>
      <c r="AG2662" s="9">
        <v>3</v>
      </c>
      <c r="AH2662" s="10">
        <f t="shared" si="56"/>
        <v>3</v>
      </c>
    </row>
    <row r="2663" spans="11:34" ht="14.5" x14ac:dyDescent="0.35">
      <c r="K2663" s="4"/>
      <c r="AC2663" s="7">
        <v>2022</v>
      </c>
      <c r="AD2663" s="7">
        <v>4</v>
      </c>
      <c r="AE2663" s="7">
        <v>21</v>
      </c>
      <c r="AF2663" s="8">
        <v>0.875</v>
      </c>
      <c r="AG2663" s="9">
        <v>2.4</v>
      </c>
      <c r="AH2663" s="10">
        <f t="shared" si="56"/>
        <v>2</v>
      </c>
    </row>
    <row r="2664" spans="11:34" ht="14.5" x14ac:dyDescent="0.35">
      <c r="K2664" s="4"/>
      <c r="AC2664" s="7">
        <v>2022</v>
      </c>
      <c r="AD2664" s="7">
        <v>4</v>
      </c>
      <c r="AE2664" s="7">
        <v>21</v>
      </c>
      <c r="AF2664" s="8">
        <v>0.91666666666666663</v>
      </c>
      <c r="AG2664" s="9">
        <v>1.7</v>
      </c>
      <c r="AH2664" s="10">
        <f t="shared" si="56"/>
        <v>2</v>
      </c>
    </row>
    <row r="2665" spans="11:34" ht="14.5" x14ac:dyDescent="0.35">
      <c r="K2665" s="4"/>
      <c r="AC2665" s="7">
        <v>2022</v>
      </c>
      <c r="AD2665" s="7">
        <v>4</v>
      </c>
      <c r="AE2665" s="7">
        <v>21</v>
      </c>
      <c r="AF2665" s="8">
        <v>0.95833333333333337</v>
      </c>
      <c r="AG2665" s="9">
        <v>1.5</v>
      </c>
      <c r="AH2665" s="10">
        <f t="shared" si="56"/>
        <v>2</v>
      </c>
    </row>
    <row r="2666" spans="11:34" ht="14.5" x14ac:dyDescent="0.35">
      <c r="K2666" s="4"/>
      <c r="AC2666" s="7">
        <v>2022</v>
      </c>
      <c r="AD2666" s="7">
        <v>4</v>
      </c>
      <c r="AE2666" s="7">
        <v>22</v>
      </c>
      <c r="AF2666" s="8">
        <v>0</v>
      </c>
      <c r="AG2666" s="9">
        <v>1.3</v>
      </c>
      <c r="AH2666" s="10">
        <f t="shared" si="56"/>
        <v>1</v>
      </c>
    </row>
    <row r="2667" spans="11:34" ht="14.5" x14ac:dyDescent="0.35">
      <c r="K2667" s="4"/>
      <c r="AC2667" s="7">
        <v>2022</v>
      </c>
      <c r="AD2667" s="7">
        <v>4</v>
      </c>
      <c r="AE2667" s="7">
        <v>22</v>
      </c>
      <c r="AF2667" s="8">
        <v>4.1666666666666664E-2</v>
      </c>
      <c r="AG2667" s="9">
        <v>1</v>
      </c>
      <c r="AH2667" s="10">
        <f t="shared" si="56"/>
        <v>1</v>
      </c>
    </row>
    <row r="2668" spans="11:34" ht="14.5" x14ac:dyDescent="0.35">
      <c r="K2668" s="4"/>
      <c r="AC2668" s="7">
        <v>2022</v>
      </c>
      <c r="AD2668" s="7">
        <v>4</v>
      </c>
      <c r="AE2668" s="7">
        <v>22</v>
      </c>
      <c r="AF2668" s="8">
        <v>8.3333333333333329E-2</v>
      </c>
      <c r="AG2668" s="9">
        <v>0.6</v>
      </c>
      <c r="AH2668" s="10">
        <f t="shared" si="56"/>
        <v>1</v>
      </c>
    </row>
    <row r="2669" spans="11:34" ht="14.5" x14ac:dyDescent="0.35">
      <c r="K2669" s="4"/>
      <c r="AC2669" s="7">
        <v>2022</v>
      </c>
      <c r="AD2669" s="7">
        <v>4</v>
      </c>
      <c r="AE2669" s="7">
        <v>22</v>
      </c>
      <c r="AF2669" s="8">
        <v>0.125</v>
      </c>
      <c r="AG2669" s="9">
        <v>0.2</v>
      </c>
      <c r="AH2669" s="10">
        <f t="shared" si="56"/>
        <v>0</v>
      </c>
    </row>
    <row r="2670" spans="11:34" ht="14.5" x14ac:dyDescent="0.35">
      <c r="K2670" s="4"/>
      <c r="AC2670" s="7">
        <v>2022</v>
      </c>
      <c r="AD2670" s="7">
        <v>4</v>
      </c>
      <c r="AE2670" s="7">
        <v>22</v>
      </c>
      <c r="AF2670" s="8">
        <v>0.16666666666666666</v>
      </c>
      <c r="AG2670" s="9">
        <v>-0.1</v>
      </c>
      <c r="AH2670" s="10">
        <f t="shared" si="56"/>
        <v>0</v>
      </c>
    </row>
    <row r="2671" spans="11:34" ht="14.5" x14ac:dyDescent="0.35">
      <c r="K2671" s="4"/>
      <c r="AC2671" s="7">
        <v>2022</v>
      </c>
      <c r="AD2671" s="7">
        <v>4</v>
      </c>
      <c r="AE2671" s="7">
        <v>22</v>
      </c>
      <c r="AF2671" s="8">
        <v>0.20833333333333334</v>
      </c>
      <c r="AG2671" s="9">
        <v>-0.2</v>
      </c>
      <c r="AH2671" s="10">
        <f t="shared" si="56"/>
        <v>0</v>
      </c>
    </row>
    <row r="2672" spans="11:34" ht="14.5" x14ac:dyDescent="0.35">
      <c r="K2672" s="4"/>
      <c r="AC2672" s="7">
        <v>2022</v>
      </c>
      <c r="AD2672" s="7">
        <v>4</v>
      </c>
      <c r="AE2672" s="7">
        <v>22</v>
      </c>
      <c r="AF2672" s="8">
        <v>0.25</v>
      </c>
      <c r="AG2672" s="9">
        <v>-0.5</v>
      </c>
      <c r="AH2672" s="10">
        <f t="shared" si="56"/>
        <v>-1</v>
      </c>
    </row>
    <row r="2673" spans="11:34" ht="14.5" x14ac:dyDescent="0.35">
      <c r="K2673" s="4"/>
      <c r="AC2673" s="7">
        <v>2022</v>
      </c>
      <c r="AD2673" s="7">
        <v>4</v>
      </c>
      <c r="AE2673" s="7">
        <v>22</v>
      </c>
      <c r="AF2673" s="8">
        <v>0.29166666666666669</v>
      </c>
      <c r="AG2673" s="9">
        <v>-0.2</v>
      </c>
      <c r="AH2673" s="10">
        <f t="shared" si="56"/>
        <v>0</v>
      </c>
    </row>
    <row r="2674" spans="11:34" ht="14.5" x14ac:dyDescent="0.35">
      <c r="K2674" s="4"/>
      <c r="AC2674" s="7">
        <v>2022</v>
      </c>
      <c r="AD2674" s="7">
        <v>4</v>
      </c>
      <c r="AE2674" s="7">
        <v>22</v>
      </c>
      <c r="AF2674" s="8">
        <v>0.33333333333333331</v>
      </c>
      <c r="AG2674" s="9">
        <v>-0.3</v>
      </c>
      <c r="AH2674" s="10">
        <f t="shared" si="56"/>
        <v>0</v>
      </c>
    </row>
    <row r="2675" spans="11:34" ht="14.5" x14ac:dyDescent="0.35">
      <c r="K2675" s="4"/>
      <c r="AC2675" s="7">
        <v>2022</v>
      </c>
      <c r="AD2675" s="7">
        <v>4</v>
      </c>
      <c r="AE2675" s="7">
        <v>22</v>
      </c>
      <c r="AF2675" s="8">
        <v>0.375</v>
      </c>
      <c r="AG2675" s="9">
        <v>-0.2</v>
      </c>
      <c r="AH2675" s="10">
        <f t="shared" si="56"/>
        <v>0</v>
      </c>
    </row>
    <row r="2676" spans="11:34" ht="14.5" x14ac:dyDescent="0.35">
      <c r="K2676" s="4"/>
      <c r="AC2676" s="7">
        <v>2022</v>
      </c>
      <c r="AD2676" s="7">
        <v>4</v>
      </c>
      <c r="AE2676" s="7">
        <v>22</v>
      </c>
      <c r="AF2676" s="8">
        <v>0.41666666666666669</v>
      </c>
      <c r="AG2676" s="9">
        <v>0.6</v>
      </c>
      <c r="AH2676" s="10">
        <f t="shared" si="56"/>
        <v>1</v>
      </c>
    </row>
    <row r="2677" spans="11:34" ht="14.5" x14ac:dyDescent="0.35">
      <c r="K2677" s="4"/>
      <c r="AC2677" s="7">
        <v>2022</v>
      </c>
      <c r="AD2677" s="7">
        <v>4</v>
      </c>
      <c r="AE2677" s="7">
        <v>22</v>
      </c>
      <c r="AF2677" s="8">
        <v>0.45833333333333331</v>
      </c>
      <c r="AG2677" s="9">
        <v>0.7</v>
      </c>
      <c r="AH2677" s="10">
        <f t="shared" si="56"/>
        <v>1</v>
      </c>
    </row>
    <row r="2678" spans="11:34" ht="14.5" x14ac:dyDescent="0.35">
      <c r="K2678" s="4"/>
      <c r="AC2678" s="7">
        <v>2022</v>
      </c>
      <c r="AD2678" s="7">
        <v>4</v>
      </c>
      <c r="AE2678" s="7">
        <v>22</v>
      </c>
      <c r="AF2678" s="8">
        <v>0.5</v>
      </c>
      <c r="AG2678" s="9">
        <v>1.1000000000000001</v>
      </c>
      <c r="AH2678" s="10">
        <f t="shared" si="56"/>
        <v>1</v>
      </c>
    </row>
    <row r="2679" spans="11:34" ht="14.5" x14ac:dyDescent="0.35">
      <c r="K2679" s="4"/>
      <c r="AC2679" s="7">
        <v>2022</v>
      </c>
      <c r="AD2679" s="7">
        <v>4</v>
      </c>
      <c r="AE2679" s="7">
        <v>22</v>
      </c>
      <c r="AF2679" s="8">
        <v>0.54166666666666663</v>
      </c>
      <c r="AG2679" s="9">
        <v>0.7</v>
      </c>
      <c r="AH2679" s="10">
        <f t="shared" si="56"/>
        <v>1</v>
      </c>
    </row>
    <row r="2680" spans="11:34" ht="14.5" x14ac:dyDescent="0.35">
      <c r="K2680" s="4"/>
      <c r="AC2680" s="7">
        <v>2022</v>
      </c>
      <c r="AD2680" s="7">
        <v>4</v>
      </c>
      <c r="AE2680" s="7">
        <v>22</v>
      </c>
      <c r="AF2680" s="8">
        <v>0.58333333333333337</v>
      </c>
      <c r="AG2680" s="9">
        <v>0.9</v>
      </c>
      <c r="AH2680" s="10">
        <f t="shared" si="56"/>
        <v>1</v>
      </c>
    </row>
    <row r="2681" spans="11:34" ht="14.5" x14ac:dyDescent="0.35">
      <c r="K2681" s="4"/>
      <c r="AC2681" s="7">
        <v>2022</v>
      </c>
      <c r="AD2681" s="7">
        <v>4</v>
      </c>
      <c r="AE2681" s="7">
        <v>22</v>
      </c>
      <c r="AF2681" s="8">
        <v>0.625</v>
      </c>
      <c r="AG2681" s="9">
        <v>1.2</v>
      </c>
      <c r="AH2681" s="10">
        <f t="shared" si="56"/>
        <v>1</v>
      </c>
    </row>
    <row r="2682" spans="11:34" ht="14.5" x14ac:dyDescent="0.35">
      <c r="K2682" s="4"/>
      <c r="AC2682" s="7">
        <v>2022</v>
      </c>
      <c r="AD2682" s="7">
        <v>4</v>
      </c>
      <c r="AE2682" s="7">
        <v>22</v>
      </c>
      <c r="AF2682" s="8">
        <v>0.66666666666666663</v>
      </c>
      <c r="AG2682" s="9">
        <v>1.4</v>
      </c>
      <c r="AH2682" s="10">
        <f t="shared" si="56"/>
        <v>1</v>
      </c>
    </row>
    <row r="2683" spans="11:34" ht="14.5" x14ac:dyDescent="0.35">
      <c r="K2683" s="4"/>
      <c r="AC2683" s="7">
        <v>2022</v>
      </c>
      <c r="AD2683" s="7">
        <v>4</v>
      </c>
      <c r="AE2683" s="7">
        <v>22</v>
      </c>
      <c r="AF2683" s="8">
        <v>0.70833333333333337</v>
      </c>
      <c r="AG2683" s="9">
        <v>1.4</v>
      </c>
      <c r="AH2683" s="10">
        <f t="shared" si="56"/>
        <v>1</v>
      </c>
    </row>
    <row r="2684" spans="11:34" ht="14.5" x14ac:dyDescent="0.35">
      <c r="K2684" s="4"/>
      <c r="AC2684" s="7">
        <v>2022</v>
      </c>
      <c r="AD2684" s="7">
        <v>4</v>
      </c>
      <c r="AE2684" s="7">
        <v>22</v>
      </c>
      <c r="AF2684" s="8">
        <v>0.75</v>
      </c>
      <c r="AG2684" s="9">
        <v>1.4</v>
      </c>
      <c r="AH2684" s="10">
        <f t="shared" si="56"/>
        <v>1</v>
      </c>
    </row>
    <row r="2685" spans="11:34" ht="14.5" x14ac:dyDescent="0.35">
      <c r="K2685" s="4"/>
      <c r="AC2685" s="7">
        <v>2022</v>
      </c>
      <c r="AD2685" s="7">
        <v>4</v>
      </c>
      <c r="AE2685" s="7">
        <v>22</v>
      </c>
      <c r="AF2685" s="8">
        <v>0.79166666666666663</v>
      </c>
      <c r="AG2685" s="9">
        <v>1.4</v>
      </c>
      <c r="AH2685" s="10">
        <f t="shared" si="56"/>
        <v>1</v>
      </c>
    </row>
    <row r="2686" spans="11:34" ht="14.5" x14ac:dyDescent="0.35">
      <c r="K2686" s="4"/>
      <c r="AC2686" s="7">
        <v>2022</v>
      </c>
      <c r="AD2686" s="7">
        <v>4</v>
      </c>
      <c r="AE2686" s="7">
        <v>22</v>
      </c>
      <c r="AF2686" s="8">
        <v>0.83333333333333337</v>
      </c>
      <c r="AG2686" s="9">
        <v>1.1000000000000001</v>
      </c>
      <c r="AH2686" s="10">
        <f t="shared" si="56"/>
        <v>1</v>
      </c>
    </row>
    <row r="2687" spans="11:34" ht="14.5" x14ac:dyDescent="0.35">
      <c r="K2687" s="4"/>
      <c r="AC2687" s="7">
        <v>2022</v>
      </c>
      <c r="AD2687" s="7">
        <v>4</v>
      </c>
      <c r="AE2687" s="7">
        <v>22</v>
      </c>
      <c r="AF2687" s="8">
        <v>0.875</v>
      </c>
      <c r="AG2687" s="9">
        <v>1.2</v>
      </c>
      <c r="AH2687" s="10">
        <f t="shared" si="56"/>
        <v>1</v>
      </c>
    </row>
    <row r="2688" spans="11:34" ht="14.5" x14ac:dyDescent="0.35">
      <c r="K2688" s="4"/>
      <c r="AC2688" s="7">
        <v>2022</v>
      </c>
      <c r="AD2688" s="7">
        <v>4</v>
      </c>
      <c r="AE2688" s="7">
        <v>22</v>
      </c>
      <c r="AF2688" s="8">
        <v>0.91666666666666663</v>
      </c>
      <c r="AG2688" s="9">
        <v>1.2</v>
      </c>
      <c r="AH2688" s="10">
        <f t="shared" si="56"/>
        <v>1</v>
      </c>
    </row>
    <row r="2689" spans="11:34" ht="14.5" x14ac:dyDescent="0.35">
      <c r="K2689" s="4"/>
      <c r="AC2689" s="7">
        <v>2022</v>
      </c>
      <c r="AD2689" s="7">
        <v>4</v>
      </c>
      <c r="AE2689" s="7">
        <v>22</v>
      </c>
      <c r="AF2689" s="8">
        <v>0.95833333333333337</v>
      </c>
      <c r="AG2689" s="9">
        <v>1.1000000000000001</v>
      </c>
      <c r="AH2689" s="10">
        <f t="shared" si="56"/>
        <v>1</v>
      </c>
    </row>
    <row r="2690" spans="11:34" ht="14.5" x14ac:dyDescent="0.35">
      <c r="K2690" s="4"/>
      <c r="AC2690" s="7">
        <v>2022</v>
      </c>
      <c r="AD2690" s="7">
        <v>4</v>
      </c>
      <c r="AE2690" s="7">
        <v>23</v>
      </c>
      <c r="AF2690" s="8">
        <v>0</v>
      </c>
      <c r="AG2690" s="9">
        <v>0</v>
      </c>
      <c r="AH2690" s="10">
        <f t="shared" si="56"/>
        <v>0</v>
      </c>
    </row>
    <row r="2691" spans="11:34" ht="14.5" x14ac:dyDescent="0.35">
      <c r="K2691" s="4"/>
      <c r="AC2691" s="7">
        <v>2022</v>
      </c>
      <c r="AD2691" s="7">
        <v>4</v>
      </c>
      <c r="AE2691" s="7">
        <v>23</v>
      </c>
      <c r="AF2691" s="8">
        <v>4.1666666666666664E-2</v>
      </c>
      <c r="AG2691" s="9">
        <v>-0.8</v>
      </c>
      <c r="AH2691" s="10">
        <f t="shared" si="56"/>
        <v>-1</v>
      </c>
    </row>
    <row r="2692" spans="11:34" ht="14.5" x14ac:dyDescent="0.35">
      <c r="K2692" s="4"/>
      <c r="AC2692" s="7">
        <v>2022</v>
      </c>
      <c r="AD2692" s="7">
        <v>4</v>
      </c>
      <c r="AE2692" s="7">
        <v>23</v>
      </c>
      <c r="AF2692" s="8">
        <v>8.3333333333333329E-2</v>
      </c>
      <c r="AG2692" s="9">
        <v>-1.4</v>
      </c>
      <c r="AH2692" s="10">
        <f t="shared" si="56"/>
        <v>-1</v>
      </c>
    </row>
    <row r="2693" spans="11:34" ht="14.5" x14ac:dyDescent="0.35">
      <c r="K2693" s="4"/>
      <c r="AC2693" s="7">
        <v>2022</v>
      </c>
      <c r="AD2693" s="7">
        <v>4</v>
      </c>
      <c r="AE2693" s="7">
        <v>23</v>
      </c>
      <c r="AF2693" s="8">
        <v>0.125</v>
      </c>
      <c r="AG2693" s="9">
        <v>-2.2000000000000002</v>
      </c>
      <c r="AH2693" s="10">
        <f t="shared" si="56"/>
        <v>-2</v>
      </c>
    </row>
    <row r="2694" spans="11:34" ht="14.5" x14ac:dyDescent="0.35">
      <c r="K2694" s="4"/>
      <c r="AC2694" s="7">
        <v>2022</v>
      </c>
      <c r="AD2694" s="7">
        <v>4</v>
      </c>
      <c r="AE2694" s="7">
        <v>23</v>
      </c>
      <c r="AF2694" s="8">
        <v>0.16666666666666666</v>
      </c>
      <c r="AG2694" s="9">
        <v>-0.6</v>
      </c>
      <c r="AH2694" s="10">
        <f t="shared" si="56"/>
        <v>-1</v>
      </c>
    </row>
    <row r="2695" spans="11:34" ht="14.5" x14ac:dyDescent="0.35">
      <c r="K2695" s="4"/>
      <c r="AC2695" s="7">
        <v>2022</v>
      </c>
      <c r="AD2695" s="7">
        <v>4</v>
      </c>
      <c r="AE2695" s="7">
        <v>23</v>
      </c>
      <c r="AF2695" s="8">
        <v>0.20833333333333334</v>
      </c>
      <c r="AG2695" s="9">
        <v>-1.2</v>
      </c>
      <c r="AH2695" s="10">
        <f t="shared" si="56"/>
        <v>-1</v>
      </c>
    </row>
    <row r="2696" spans="11:34" ht="14.5" x14ac:dyDescent="0.35">
      <c r="K2696" s="4"/>
      <c r="AC2696" s="7">
        <v>2022</v>
      </c>
      <c r="AD2696" s="7">
        <v>4</v>
      </c>
      <c r="AE2696" s="7">
        <v>23</v>
      </c>
      <c r="AF2696" s="8">
        <v>0.25</v>
      </c>
      <c r="AG2696" s="9">
        <v>-2.2999999999999998</v>
      </c>
      <c r="AH2696" s="10">
        <f t="shared" si="56"/>
        <v>-2</v>
      </c>
    </row>
    <row r="2697" spans="11:34" ht="14.5" x14ac:dyDescent="0.35">
      <c r="K2697" s="4"/>
      <c r="AC2697" s="7">
        <v>2022</v>
      </c>
      <c r="AD2697" s="7">
        <v>4</v>
      </c>
      <c r="AE2697" s="7">
        <v>23</v>
      </c>
      <c r="AF2697" s="8">
        <v>0.29166666666666669</v>
      </c>
      <c r="AG2697" s="9">
        <v>-0.3</v>
      </c>
      <c r="AH2697" s="10">
        <f t="shared" si="56"/>
        <v>0</v>
      </c>
    </row>
    <row r="2698" spans="11:34" ht="14.5" x14ac:dyDescent="0.35">
      <c r="K2698" s="4"/>
      <c r="AC2698" s="7">
        <v>2022</v>
      </c>
      <c r="AD2698" s="7">
        <v>4</v>
      </c>
      <c r="AE2698" s="7">
        <v>23</v>
      </c>
      <c r="AF2698" s="8">
        <v>0.33333333333333331</v>
      </c>
      <c r="AG2698" s="9">
        <v>1</v>
      </c>
      <c r="AH2698" s="10">
        <f t="shared" si="56"/>
        <v>1</v>
      </c>
    </row>
    <row r="2699" spans="11:34" ht="14.5" x14ac:dyDescent="0.35">
      <c r="K2699" s="4"/>
      <c r="AC2699" s="7">
        <v>2022</v>
      </c>
      <c r="AD2699" s="7">
        <v>4</v>
      </c>
      <c r="AE2699" s="7">
        <v>23</v>
      </c>
      <c r="AF2699" s="8">
        <v>0.375</v>
      </c>
      <c r="AG2699" s="9">
        <v>3.4</v>
      </c>
      <c r="AH2699" s="10">
        <f t="shared" ref="AH2699:AH2762" si="57">ROUND(AG2699,0)</f>
        <v>3</v>
      </c>
    </row>
    <row r="2700" spans="11:34" ht="14.5" x14ac:dyDescent="0.35">
      <c r="K2700" s="4"/>
      <c r="AC2700" s="7">
        <v>2022</v>
      </c>
      <c r="AD2700" s="7">
        <v>4</v>
      </c>
      <c r="AE2700" s="7">
        <v>23</v>
      </c>
      <c r="AF2700" s="8">
        <v>0.41666666666666669</v>
      </c>
      <c r="AG2700" s="9">
        <v>4.5999999999999996</v>
      </c>
      <c r="AH2700" s="10">
        <f t="shared" si="57"/>
        <v>5</v>
      </c>
    </row>
    <row r="2701" spans="11:34" ht="14.5" x14ac:dyDescent="0.35">
      <c r="K2701" s="4"/>
      <c r="AC2701" s="7">
        <v>2022</v>
      </c>
      <c r="AD2701" s="7">
        <v>4</v>
      </c>
      <c r="AE2701" s="7">
        <v>23</v>
      </c>
      <c r="AF2701" s="8">
        <v>0.45833333333333331</v>
      </c>
      <c r="AG2701" s="9">
        <v>5.4</v>
      </c>
      <c r="AH2701" s="10">
        <f t="shared" si="57"/>
        <v>5</v>
      </c>
    </row>
    <row r="2702" spans="11:34" ht="14.5" x14ac:dyDescent="0.35">
      <c r="K2702" s="4"/>
      <c r="AC2702" s="7">
        <v>2022</v>
      </c>
      <c r="AD2702" s="7">
        <v>4</v>
      </c>
      <c r="AE2702" s="7">
        <v>23</v>
      </c>
      <c r="AF2702" s="8">
        <v>0.5</v>
      </c>
      <c r="AG2702" s="9">
        <v>6.4</v>
      </c>
      <c r="AH2702" s="10">
        <f t="shared" si="57"/>
        <v>6</v>
      </c>
    </row>
    <row r="2703" spans="11:34" ht="14.5" x14ac:dyDescent="0.35">
      <c r="K2703" s="4"/>
      <c r="AC2703" s="7">
        <v>2022</v>
      </c>
      <c r="AD2703" s="7">
        <v>4</v>
      </c>
      <c r="AE2703" s="7">
        <v>23</v>
      </c>
      <c r="AF2703" s="8">
        <v>0.54166666666666663</v>
      </c>
      <c r="AG2703" s="9">
        <v>7.1</v>
      </c>
      <c r="AH2703" s="10">
        <f t="shared" si="57"/>
        <v>7</v>
      </c>
    </row>
    <row r="2704" spans="11:34" ht="14.5" x14ac:dyDescent="0.35">
      <c r="K2704" s="4"/>
      <c r="AC2704" s="7">
        <v>2022</v>
      </c>
      <c r="AD2704" s="7">
        <v>4</v>
      </c>
      <c r="AE2704" s="7">
        <v>23</v>
      </c>
      <c r="AF2704" s="8">
        <v>0.58333333333333337</v>
      </c>
      <c r="AG2704" s="9">
        <v>7.9</v>
      </c>
      <c r="AH2704" s="10">
        <f t="shared" si="57"/>
        <v>8</v>
      </c>
    </row>
    <row r="2705" spans="11:34" ht="14.5" x14ac:dyDescent="0.35">
      <c r="K2705" s="4"/>
      <c r="AC2705" s="7">
        <v>2022</v>
      </c>
      <c r="AD2705" s="7">
        <v>4</v>
      </c>
      <c r="AE2705" s="7">
        <v>23</v>
      </c>
      <c r="AF2705" s="8">
        <v>0.625</v>
      </c>
      <c r="AG2705" s="9">
        <v>8.4</v>
      </c>
      <c r="AH2705" s="10">
        <f t="shared" si="57"/>
        <v>8</v>
      </c>
    </row>
    <row r="2706" spans="11:34" ht="14.5" x14ac:dyDescent="0.35">
      <c r="K2706" s="4"/>
      <c r="AC2706" s="7">
        <v>2022</v>
      </c>
      <c r="AD2706" s="7">
        <v>4</v>
      </c>
      <c r="AE2706" s="7">
        <v>23</v>
      </c>
      <c r="AF2706" s="8">
        <v>0.66666666666666663</v>
      </c>
      <c r="AG2706" s="9">
        <v>9.4</v>
      </c>
      <c r="AH2706" s="10">
        <f t="shared" si="57"/>
        <v>9</v>
      </c>
    </row>
    <row r="2707" spans="11:34" ht="14.5" x14ac:dyDescent="0.35">
      <c r="K2707" s="4"/>
      <c r="AC2707" s="7">
        <v>2022</v>
      </c>
      <c r="AD2707" s="7">
        <v>4</v>
      </c>
      <c r="AE2707" s="7">
        <v>23</v>
      </c>
      <c r="AF2707" s="8">
        <v>0.70833333333333337</v>
      </c>
      <c r="AG2707" s="9">
        <v>9.9</v>
      </c>
      <c r="AH2707" s="10">
        <f t="shared" si="57"/>
        <v>10</v>
      </c>
    </row>
    <row r="2708" spans="11:34" ht="14.5" x14ac:dyDescent="0.35">
      <c r="K2708" s="4"/>
      <c r="AC2708" s="7">
        <v>2022</v>
      </c>
      <c r="AD2708" s="7">
        <v>4</v>
      </c>
      <c r="AE2708" s="7">
        <v>23</v>
      </c>
      <c r="AF2708" s="8">
        <v>0.75</v>
      </c>
      <c r="AG2708" s="9">
        <v>9.6999999999999993</v>
      </c>
      <c r="AH2708" s="10">
        <f t="shared" si="57"/>
        <v>10</v>
      </c>
    </row>
    <row r="2709" spans="11:34" ht="14.5" x14ac:dyDescent="0.35">
      <c r="K2709" s="4"/>
      <c r="AC2709" s="7">
        <v>2022</v>
      </c>
      <c r="AD2709" s="7">
        <v>4</v>
      </c>
      <c r="AE2709" s="7">
        <v>23</v>
      </c>
      <c r="AF2709" s="8">
        <v>0.79166666666666663</v>
      </c>
      <c r="AG2709" s="9">
        <v>8</v>
      </c>
      <c r="AH2709" s="10">
        <f t="shared" si="57"/>
        <v>8</v>
      </c>
    </row>
    <row r="2710" spans="11:34" ht="14.5" x14ac:dyDescent="0.35">
      <c r="K2710" s="4"/>
      <c r="AC2710" s="7">
        <v>2022</v>
      </c>
      <c r="AD2710" s="7">
        <v>4</v>
      </c>
      <c r="AE2710" s="7">
        <v>23</v>
      </c>
      <c r="AF2710" s="8">
        <v>0.83333333333333337</v>
      </c>
      <c r="AG2710" s="9">
        <v>5.2</v>
      </c>
      <c r="AH2710" s="10">
        <f t="shared" si="57"/>
        <v>5</v>
      </c>
    </row>
    <row r="2711" spans="11:34" ht="14.5" x14ac:dyDescent="0.35">
      <c r="K2711" s="4"/>
      <c r="AC2711" s="7">
        <v>2022</v>
      </c>
      <c r="AD2711" s="7">
        <v>4</v>
      </c>
      <c r="AE2711" s="7">
        <v>23</v>
      </c>
      <c r="AF2711" s="8">
        <v>0.875</v>
      </c>
      <c r="AG2711" s="9">
        <v>5</v>
      </c>
      <c r="AH2711" s="10">
        <f t="shared" si="57"/>
        <v>5</v>
      </c>
    </row>
    <row r="2712" spans="11:34" ht="14.5" x14ac:dyDescent="0.35">
      <c r="K2712" s="4"/>
      <c r="AC2712" s="7">
        <v>2022</v>
      </c>
      <c r="AD2712" s="7">
        <v>4</v>
      </c>
      <c r="AE2712" s="7">
        <v>23</v>
      </c>
      <c r="AF2712" s="8">
        <v>0.91666666666666663</v>
      </c>
      <c r="AG2712" s="9">
        <v>4.4000000000000004</v>
      </c>
      <c r="AH2712" s="10">
        <f t="shared" si="57"/>
        <v>4</v>
      </c>
    </row>
    <row r="2713" spans="11:34" ht="14.5" x14ac:dyDescent="0.35">
      <c r="K2713" s="4"/>
      <c r="AC2713" s="7">
        <v>2022</v>
      </c>
      <c r="AD2713" s="7">
        <v>4</v>
      </c>
      <c r="AE2713" s="7">
        <v>23</v>
      </c>
      <c r="AF2713" s="8">
        <v>0.95833333333333337</v>
      </c>
      <c r="AG2713" s="9">
        <v>4.5</v>
      </c>
      <c r="AH2713" s="10">
        <f t="shared" si="57"/>
        <v>5</v>
      </c>
    </row>
    <row r="2714" spans="11:34" ht="14.5" x14ac:dyDescent="0.35">
      <c r="K2714" s="4"/>
      <c r="AC2714" s="7">
        <v>2022</v>
      </c>
      <c r="AD2714" s="7">
        <v>4</v>
      </c>
      <c r="AE2714" s="7">
        <v>24</v>
      </c>
      <c r="AF2714" s="8">
        <v>0</v>
      </c>
      <c r="AG2714" s="9">
        <v>4.8</v>
      </c>
      <c r="AH2714" s="10">
        <f t="shared" si="57"/>
        <v>5</v>
      </c>
    </row>
    <row r="2715" spans="11:34" ht="14.5" x14ac:dyDescent="0.35">
      <c r="K2715" s="4"/>
      <c r="AC2715" s="7">
        <v>2022</v>
      </c>
      <c r="AD2715" s="7">
        <v>4</v>
      </c>
      <c r="AE2715" s="7">
        <v>24</v>
      </c>
      <c r="AF2715" s="8">
        <v>4.1666666666666664E-2</v>
      </c>
      <c r="AG2715" s="9">
        <v>3.1</v>
      </c>
      <c r="AH2715" s="10">
        <f t="shared" si="57"/>
        <v>3</v>
      </c>
    </row>
    <row r="2716" spans="11:34" ht="14.5" x14ac:dyDescent="0.35">
      <c r="K2716" s="4"/>
      <c r="AC2716" s="7">
        <v>2022</v>
      </c>
      <c r="AD2716" s="7">
        <v>4</v>
      </c>
      <c r="AE2716" s="7">
        <v>24</v>
      </c>
      <c r="AF2716" s="8">
        <v>8.3333333333333329E-2</v>
      </c>
      <c r="AG2716" s="9">
        <v>1</v>
      </c>
      <c r="AH2716" s="10">
        <f t="shared" si="57"/>
        <v>1</v>
      </c>
    </row>
    <row r="2717" spans="11:34" ht="14.5" x14ac:dyDescent="0.35">
      <c r="K2717" s="4"/>
      <c r="AC2717" s="7">
        <v>2022</v>
      </c>
      <c r="AD2717" s="7">
        <v>4</v>
      </c>
      <c r="AE2717" s="7">
        <v>24</v>
      </c>
      <c r="AF2717" s="8">
        <v>0.125</v>
      </c>
      <c r="AG2717" s="9">
        <v>0.2</v>
      </c>
      <c r="AH2717" s="10">
        <f t="shared" si="57"/>
        <v>0</v>
      </c>
    </row>
    <row r="2718" spans="11:34" ht="14.5" x14ac:dyDescent="0.35">
      <c r="K2718" s="4"/>
      <c r="AC2718" s="7">
        <v>2022</v>
      </c>
      <c r="AD2718" s="7">
        <v>4</v>
      </c>
      <c r="AE2718" s="7">
        <v>24</v>
      </c>
      <c r="AF2718" s="8">
        <v>0.16666666666666666</v>
      </c>
      <c r="AG2718" s="9">
        <v>-1</v>
      </c>
      <c r="AH2718" s="10">
        <f t="shared" si="57"/>
        <v>-1</v>
      </c>
    </row>
    <row r="2719" spans="11:34" ht="14.5" x14ac:dyDescent="0.35">
      <c r="K2719" s="4"/>
      <c r="AC2719" s="7">
        <v>2022</v>
      </c>
      <c r="AD2719" s="7">
        <v>4</v>
      </c>
      <c r="AE2719" s="7">
        <v>24</v>
      </c>
      <c r="AF2719" s="8">
        <v>0.20833333333333334</v>
      </c>
      <c r="AG2719" s="9">
        <v>-2.8</v>
      </c>
      <c r="AH2719" s="10">
        <f t="shared" si="57"/>
        <v>-3</v>
      </c>
    </row>
    <row r="2720" spans="11:34" ht="14.5" x14ac:dyDescent="0.35">
      <c r="K2720" s="4"/>
      <c r="AC2720" s="7">
        <v>2022</v>
      </c>
      <c r="AD2720" s="7">
        <v>4</v>
      </c>
      <c r="AE2720" s="7">
        <v>24</v>
      </c>
      <c r="AF2720" s="8">
        <v>0.25</v>
      </c>
      <c r="AG2720" s="9">
        <v>-2</v>
      </c>
      <c r="AH2720" s="10">
        <f t="shared" si="57"/>
        <v>-2</v>
      </c>
    </row>
    <row r="2721" spans="11:34" ht="14.5" x14ac:dyDescent="0.35">
      <c r="K2721" s="4"/>
      <c r="AC2721" s="7">
        <v>2022</v>
      </c>
      <c r="AD2721" s="7">
        <v>4</v>
      </c>
      <c r="AE2721" s="7">
        <v>24</v>
      </c>
      <c r="AF2721" s="8">
        <v>0.29166666666666669</v>
      </c>
      <c r="AG2721" s="9">
        <v>0.6</v>
      </c>
      <c r="AH2721" s="10">
        <f t="shared" si="57"/>
        <v>1</v>
      </c>
    </row>
    <row r="2722" spans="11:34" ht="14.5" x14ac:dyDescent="0.35">
      <c r="K2722" s="4"/>
      <c r="AC2722" s="7">
        <v>2022</v>
      </c>
      <c r="AD2722" s="7">
        <v>4</v>
      </c>
      <c r="AE2722" s="7">
        <v>24</v>
      </c>
      <c r="AF2722" s="8">
        <v>0.33333333333333331</v>
      </c>
      <c r="AG2722" s="9">
        <v>3.6</v>
      </c>
      <c r="AH2722" s="10">
        <f t="shared" si="57"/>
        <v>4</v>
      </c>
    </row>
    <row r="2723" spans="11:34" ht="14.5" x14ac:dyDescent="0.35">
      <c r="K2723" s="4"/>
      <c r="AC2723" s="7">
        <v>2022</v>
      </c>
      <c r="AD2723" s="7">
        <v>4</v>
      </c>
      <c r="AE2723" s="7">
        <v>24</v>
      </c>
      <c r="AF2723" s="8">
        <v>0.375</v>
      </c>
      <c r="AG2723" s="9">
        <v>6.8</v>
      </c>
      <c r="AH2723" s="10">
        <f t="shared" si="57"/>
        <v>7</v>
      </c>
    </row>
    <row r="2724" spans="11:34" ht="14.5" x14ac:dyDescent="0.35">
      <c r="K2724" s="4"/>
      <c r="AC2724" s="7">
        <v>2022</v>
      </c>
      <c r="AD2724" s="7">
        <v>4</v>
      </c>
      <c r="AE2724" s="7">
        <v>24</v>
      </c>
      <c r="AF2724" s="8">
        <v>0.41666666666666669</v>
      </c>
      <c r="AG2724" s="9">
        <v>8.4</v>
      </c>
      <c r="AH2724" s="10">
        <f t="shared" si="57"/>
        <v>8</v>
      </c>
    </row>
    <row r="2725" spans="11:34" ht="14.5" x14ac:dyDescent="0.35">
      <c r="K2725" s="4"/>
      <c r="AC2725" s="7">
        <v>2022</v>
      </c>
      <c r="AD2725" s="7">
        <v>4</v>
      </c>
      <c r="AE2725" s="7">
        <v>24</v>
      </c>
      <c r="AF2725" s="8">
        <v>0.45833333333333331</v>
      </c>
      <c r="AG2725" s="9">
        <v>10.4</v>
      </c>
      <c r="AH2725" s="10">
        <f t="shared" si="57"/>
        <v>10</v>
      </c>
    </row>
    <row r="2726" spans="11:34" ht="14.5" x14ac:dyDescent="0.35">
      <c r="K2726" s="4"/>
      <c r="AC2726" s="7">
        <v>2022</v>
      </c>
      <c r="AD2726" s="7">
        <v>4</v>
      </c>
      <c r="AE2726" s="7">
        <v>24</v>
      </c>
      <c r="AF2726" s="8">
        <v>0.5</v>
      </c>
      <c r="AG2726" s="9">
        <v>11.2</v>
      </c>
      <c r="AH2726" s="10">
        <f t="shared" si="57"/>
        <v>11</v>
      </c>
    </row>
    <row r="2727" spans="11:34" ht="14.5" x14ac:dyDescent="0.35">
      <c r="K2727" s="4"/>
      <c r="AC2727" s="7">
        <v>2022</v>
      </c>
      <c r="AD2727" s="7">
        <v>4</v>
      </c>
      <c r="AE2727" s="7">
        <v>24</v>
      </c>
      <c r="AF2727" s="8">
        <v>0.54166666666666663</v>
      </c>
      <c r="AG2727" s="9">
        <v>11.6</v>
      </c>
      <c r="AH2727" s="10">
        <f t="shared" si="57"/>
        <v>12</v>
      </c>
    </row>
    <row r="2728" spans="11:34" ht="14.5" x14ac:dyDescent="0.35">
      <c r="K2728" s="4"/>
      <c r="AC2728" s="7">
        <v>2022</v>
      </c>
      <c r="AD2728" s="7">
        <v>4</v>
      </c>
      <c r="AE2728" s="7">
        <v>24</v>
      </c>
      <c r="AF2728" s="8">
        <v>0.58333333333333337</v>
      </c>
      <c r="AG2728" s="9">
        <v>13.2</v>
      </c>
      <c r="AH2728" s="10">
        <f t="shared" si="57"/>
        <v>13</v>
      </c>
    </row>
    <row r="2729" spans="11:34" ht="14.5" x14ac:dyDescent="0.35">
      <c r="K2729" s="4"/>
      <c r="AC2729" s="7">
        <v>2022</v>
      </c>
      <c r="AD2729" s="7">
        <v>4</v>
      </c>
      <c r="AE2729" s="7">
        <v>24</v>
      </c>
      <c r="AF2729" s="8">
        <v>0.625</v>
      </c>
      <c r="AG2729" s="9">
        <v>13.7</v>
      </c>
      <c r="AH2729" s="10">
        <f t="shared" si="57"/>
        <v>14</v>
      </c>
    </row>
    <row r="2730" spans="11:34" ht="14.5" x14ac:dyDescent="0.35">
      <c r="K2730" s="4"/>
      <c r="AC2730" s="7">
        <v>2022</v>
      </c>
      <c r="AD2730" s="7">
        <v>4</v>
      </c>
      <c r="AE2730" s="7">
        <v>24</v>
      </c>
      <c r="AF2730" s="8">
        <v>0.66666666666666663</v>
      </c>
      <c r="AG2730" s="9">
        <v>13.9</v>
      </c>
      <c r="AH2730" s="10">
        <f t="shared" si="57"/>
        <v>14</v>
      </c>
    </row>
    <row r="2731" spans="11:34" ht="14.5" x14ac:dyDescent="0.35">
      <c r="K2731" s="4"/>
      <c r="AC2731" s="7">
        <v>2022</v>
      </c>
      <c r="AD2731" s="7">
        <v>4</v>
      </c>
      <c r="AE2731" s="7">
        <v>24</v>
      </c>
      <c r="AF2731" s="8">
        <v>0.70833333333333337</v>
      </c>
      <c r="AG2731" s="9">
        <v>14</v>
      </c>
      <c r="AH2731" s="10">
        <f t="shared" si="57"/>
        <v>14</v>
      </c>
    </row>
    <row r="2732" spans="11:34" ht="14.5" x14ac:dyDescent="0.35">
      <c r="K2732" s="4"/>
      <c r="AC2732" s="7">
        <v>2022</v>
      </c>
      <c r="AD2732" s="7">
        <v>4</v>
      </c>
      <c r="AE2732" s="7">
        <v>24</v>
      </c>
      <c r="AF2732" s="8">
        <v>0.75</v>
      </c>
      <c r="AG2732" s="9">
        <v>13.4</v>
      </c>
      <c r="AH2732" s="10">
        <f t="shared" si="57"/>
        <v>13</v>
      </c>
    </row>
    <row r="2733" spans="11:34" ht="14.5" x14ac:dyDescent="0.35">
      <c r="K2733" s="4"/>
      <c r="AC2733" s="7">
        <v>2022</v>
      </c>
      <c r="AD2733" s="7">
        <v>4</v>
      </c>
      <c r="AE2733" s="7">
        <v>24</v>
      </c>
      <c r="AF2733" s="8">
        <v>0.79166666666666663</v>
      </c>
      <c r="AG2733" s="9">
        <v>11.8</v>
      </c>
      <c r="AH2733" s="10">
        <f t="shared" si="57"/>
        <v>12</v>
      </c>
    </row>
    <row r="2734" spans="11:34" ht="14.5" x14ac:dyDescent="0.35">
      <c r="K2734" s="4"/>
      <c r="AC2734" s="7">
        <v>2022</v>
      </c>
      <c r="AD2734" s="7">
        <v>4</v>
      </c>
      <c r="AE2734" s="7">
        <v>24</v>
      </c>
      <c r="AF2734" s="8">
        <v>0.83333333333333337</v>
      </c>
      <c r="AG2734" s="9">
        <v>8.6</v>
      </c>
      <c r="AH2734" s="10">
        <f t="shared" si="57"/>
        <v>9</v>
      </c>
    </row>
    <row r="2735" spans="11:34" ht="14.5" x14ac:dyDescent="0.35">
      <c r="K2735" s="4"/>
      <c r="AC2735" s="7">
        <v>2022</v>
      </c>
      <c r="AD2735" s="7">
        <v>4</v>
      </c>
      <c r="AE2735" s="7">
        <v>24</v>
      </c>
      <c r="AF2735" s="8">
        <v>0.875</v>
      </c>
      <c r="AG2735" s="9">
        <v>7.3</v>
      </c>
      <c r="AH2735" s="10">
        <f t="shared" si="57"/>
        <v>7</v>
      </c>
    </row>
    <row r="2736" spans="11:34" ht="14.5" x14ac:dyDescent="0.35">
      <c r="K2736" s="4"/>
      <c r="AC2736" s="7">
        <v>2022</v>
      </c>
      <c r="AD2736" s="7">
        <v>4</v>
      </c>
      <c r="AE2736" s="7">
        <v>24</v>
      </c>
      <c r="AF2736" s="8">
        <v>0.91666666666666663</v>
      </c>
      <c r="AG2736" s="9">
        <v>5.9</v>
      </c>
      <c r="AH2736" s="10">
        <f t="shared" si="57"/>
        <v>6</v>
      </c>
    </row>
    <row r="2737" spans="11:34" ht="14.5" x14ac:dyDescent="0.35">
      <c r="K2737" s="4"/>
      <c r="AC2737" s="7">
        <v>2022</v>
      </c>
      <c r="AD2737" s="7">
        <v>4</v>
      </c>
      <c r="AE2737" s="7">
        <v>24</v>
      </c>
      <c r="AF2737" s="8">
        <v>0.95833333333333337</v>
      </c>
      <c r="AG2737" s="9">
        <v>4.3</v>
      </c>
      <c r="AH2737" s="10">
        <f t="shared" si="57"/>
        <v>4</v>
      </c>
    </row>
    <row r="2738" spans="11:34" ht="14.5" x14ac:dyDescent="0.35">
      <c r="K2738" s="4"/>
      <c r="AC2738" s="7">
        <v>2022</v>
      </c>
      <c r="AD2738" s="7">
        <v>4</v>
      </c>
      <c r="AE2738" s="7">
        <v>25</v>
      </c>
      <c r="AF2738" s="8">
        <v>0</v>
      </c>
      <c r="AG2738" s="9">
        <v>3.5</v>
      </c>
      <c r="AH2738" s="10">
        <f t="shared" si="57"/>
        <v>4</v>
      </c>
    </row>
    <row r="2739" spans="11:34" ht="14.5" x14ac:dyDescent="0.35">
      <c r="K2739" s="4"/>
      <c r="AC2739" s="7">
        <v>2022</v>
      </c>
      <c r="AD2739" s="7">
        <v>4</v>
      </c>
      <c r="AE2739" s="7">
        <v>25</v>
      </c>
      <c r="AF2739" s="8">
        <v>4.1666666666666664E-2</v>
      </c>
      <c r="AG2739" s="9">
        <v>2.6</v>
      </c>
      <c r="AH2739" s="10">
        <f t="shared" si="57"/>
        <v>3</v>
      </c>
    </row>
    <row r="2740" spans="11:34" ht="14.5" x14ac:dyDescent="0.35">
      <c r="K2740" s="4"/>
      <c r="AC2740" s="7">
        <v>2022</v>
      </c>
      <c r="AD2740" s="7">
        <v>4</v>
      </c>
      <c r="AE2740" s="7">
        <v>25</v>
      </c>
      <c r="AF2740" s="8">
        <v>8.3333333333333329E-2</v>
      </c>
      <c r="AG2740" s="9">
        <v>1.6</v>
      </c>
      <c r="AH2740" s="10">
        <f t="shared" si="57"/>
        <v>2</v>
      </c>
    </row>
    <row r="2741" spans="11:34" ht="14.5" x14ac:dyDescent="0.35">
      <c r="K2741" s="4"/>
      <c r="AC2741" s="7">
        <v>2022</v>
      </c>
      <c r="AD2741" s="7">
        <v>4</v>
      </c>
      <c r="AE2741" s="7">
        <v>25</v>
      </c>
      <c r="AF2741" s="8">
        <v>0.125</v>
      </c>
      <c r="AG2741" s="9">
        <v>0.8</v>
      </c>
      <c r="AH2741" s="10">
        <f t="shared" si="57"/>
        <v>1</v>
      </c>
    </row>
    <row r="2742" spans="11:34" ht="14.5" x14ac:dyDescent="0.35">
      <c r="K2742" s="4"/>
      <c r="AC2742" s="7">
        <v>2022</v>
      </c>
      <c r="AD2742" s="7">
        <v>4</v>
      </c>
      <c r="AE2742" s="7">
        <v>25</v>
      </c>
      <c r="AF2742" s="8">
        <v>0.16666666666666666</v>
      </c>
      <c r="AG2742" s="9">
        <v>-0.6</v>
      </c>
      <c r="AH2742" s="10">
        <f t="shared" si="57"/>
        <v>-1</v>
      </c>
    </row>
    <row r="2743" spans="11:34" ht="14.5" x14ac:dyDescent="0.35">
      <c r="K2743" s="4"/>
      <c r="AC2743" s="7">
        <v>2022</v>
      </c>
      <c r="AD2743" s="7">
        <v>4</v>
      </c>
      <c r="AE2743" s="7">
        <v>25</v>
      </c>
      <c r="AF2743" s="8">
        <v>0.20833333333333334</v>
      </c>
      <c r="AG2743" s="9">
        <v>-0.7</v>
      </c>
      <c r="AH2743" s="10">
        <f t="shared" si="57"/>
        <v>-1</v>
      </c>
    </row>
    <row r="2744" spans="11:34" ht="14.5" x14ac:dyDescent="0.35">
      <c r="K2744" s="4"/>
      <c r="AC2744" s="7">
        <v>2022</v>
      </c>
      <c r="AD2744" s="7">
        <v>4</v>
      </c>
      <c r="AE2744" s="7">
        <v>25</v>
      </c>
      <c r="AF2744" s="8">
        <v>0.25</v>
      </c>
      <c r="AG2744" s="9">
        <v>-0.1</v>
      </c>
      <c r="AH2744" s="10">
        <f t="shared" si="57"/>
        <v>0</v>
      </c>
    </row>
    <row r="2745" spans="11:34" ht="14.5" x14ac:dyDescent="0.35">
      <c r="K2745" s="4"/>
      <c r="AC2745" s="7">
        <v>2022</v>
      </c>
      <c r="AD2745" s="7">
        <v>4</v>
      </c>
      <c r="AE2745" s="7">
        <v>25</v>
      </c>
      <c r="AF2745" s="8">
        <v>0.29166666666666669</v>
      </c>
      <c r="AG2745" s="9">
        <v>2.8</v>
      </c>
      <c r="AH2745" s="10">
        <f t="shared" si="57"/>
        <v>3</v>
      </c>
    </row>
    <row r="2746" spans="11:34" ht="14.5" x14ac:dyDescent="0.35">
      <c r="K2746" s="4"/>
      <c r="AC2746" s="7">
        <v>2022</v>
      </c>
      <c r="AD2746" s="7">
        <v>4</v>
      </c>
      <c r="AE2746" s="7">
        <v>25</v>
      </c>
      <c r="AF2746" s="8">
        <v>0.33333333333333331</v>
      </c>
      <c r="AG2746" s="9">
        <v>6</v>
      </c>
      <c r="AH2746" s="10">
        <f t="shared" si="57"/>
        <v>6</v>
      </c>
    </row>
    <row r="2747" spans="11:34" ht="14.5" x14ac:dyDescent="0.35">
      <c r="K2747" s="4"/>
      <c r="AC2747" s="7">
        <v>2022</v>
      </c>
      <c r="AD2747" s="7">
        <v>4</v>
      </c>
      <c r="AE2747" s="7">
        <v>25</v>
      </c>
      <c r="AF2747" s="8">
        <v>0.375</v>
      </c>
      <c r="AG2747" s="9">
        <v>9.3000000000000007</v>
      </c>
      <c r="AH2747" s="10">
        <f t="shared" si="57"/>
        <v>9</v>
      </c>
    </row>
    <row r="2748" spans="11:34" ht="14.5" x14ac:dyDescent="0.35">
      <c r="K2748" s="4"/>
      <c r="AC2748" s="7">
        <v>2022</v>
      </c>
      <c r="AD2748" s="7">
        <v>4</v>
      </c>
      <c r="AE2748" s="7">
        <v>25</v>
      </c>
      <c r="AF2748" s="8">
        <v>0.41666666666666669</v>
      </c>
      <c r="AG2748" s="9">
        <v>11.2</v>
      </c>
      <c r="AH2748" s="10">
        <f t="shared" si="57"/>
        <v>11</v>
      </c>
    </row>
    <row r="2749" spans="11:34" ht="14.5" x14ac:dyDescent="0.35">
      <c r="K2749" s="4"/>
      <c r="AC2749" s="7">
        <v>2022</v>
      </c>
      <c r="AD2749" s="7">
        <v>4</v>
      </c>
      <c r="AE2749" s="7">
        <v>25</v>
      </c>
      <c r="AF2749" s="8">
        <v>0.45833333333333331</v>
      </c>
      <c r="AG2749" s="9">
        <v>13</v>
      </c>
      <c r="AH2749" s="10">
        <f t="shared" si="57"/>
        <v>13</v>
      </c>
    </row>
    <row r="2750" spans="11:34" ht="14.5" x14ac:dyDescent="0.35">
      <c r="K2750" s="4"/>
      <c r="AC2750" s="7">
        <v>2022</v>
      </c>
      <c r="AD2750" s="7">
        <v>4</v>
      </c>
      <c r="AE2750" s="7">
        <v>25</v>
      </c>
      <c r="AF2750" s="8">
        <v>0.5</v>
      </c>
      <c r="AG2750" s="9">
        <v>14.1</v>
      </c>
      <c r="AH2750" s="10">
        <f t="shared" si="57"/>
        <v>14</v>
      </c>
    </row>
    <row r="2751" spans="11:34" ht="14.5" x14ac:dyDescent="0.35">
      <c r="K2751" s="4"/>
      <c r="AC2751" s="7">
        <v>2022</v>
      </c>
      <c r="AD2751" s="7">
        <v>4</v>
      </c>
      <c r="AE2751" s="7">
        <v>25</v>
      </c>
      <c r="AF2751" s="8">
        <v>0.54166666666666663</v>
      </c>
      <c r="AG2751" s="9">
        <v>14.8</v>
      </c>
      <c r="AH2751" s="10">
        <f t="shared" si="57"/>
        <v>15</v>
      </c>
    </row>
    <row r="2752" spans="11:34" ht="14.5" x14ac:dyDescent="0.35">
      <c r="K2752" s="4"/>
      <c r="AC2752" s="7">
        <v>2022</v>
      </c>
      <c r="AD2752" s="7">
        <v>4</v>
      </c>
      <c r="AE2752" s="7">
        <v>25</v>
      </c>
      <c r="AF2752" s="8">
        <v>0.58333333333333337</v>
      </c>
      <c r="AG2752" s="9">
        <v>15.5</v>
      </c>
      <c r="AH2752" s="10">
        <f t="shared" si="57"/>
        <v>16</v>
      </c>
    </row>
    <row r="2753" spans="11:34" ht="14.5" x14ac:dyDescent="0.35">
      <c r="K2753" s="4"/>
      <c r="AC2753" s="7">
        <v>2022</v>
      </c>
      <c r="AD2753" s="7">
        <v>4</v>
      </c>
      <c r="AE2753" s="7">
        <v>25</v>
      </c>
      <c r="AF2753" s="8">
        <v>0.625</v>
      </c>
      <c r="AG2753" s="9">
        <v>16.3</v>
      </c>
      <c r="AH2753" s="10">
        <f t="shared" si="57"/>
        <v>16</v>
      </c>
    </row>
    <row r="2754" spans="11:34" ht="14.5" x14ac:dyDescent="0.35">
      <c r="K2754" s="4"/>
      <c r="AC2754" s="7">
        <v>2022</v>
      </c>
      <c r="AD2754" s="7">
        <v>4</v>
      </c>
      <c r="AE2754" s="7">
        <v>25</v>
      </c>
      <c r="AF2754" s="8">
        <v>0.66666666666666663</v>
      </c>
      <c r="AG2754" s="9">
        <v>15.8</v>
      </c>
      <c r="AH2754" s="10">
        <f t="shared" si="57"/>
        <v>16</v>
      </c>
    </row>
    <row r="2755" spans="11:34" ht="14.5" x14ac:dyDescent="0.35">
      <c r="K2755" s="4"/>
      <c r="AC2755" s="7">
        <v>2022</v>
      </c>
      <c r="AD2755" s="7">
        <v>4</v>
      </c>
      <c r="AE2755" s="7">
        <v>25</v>
      </c>
      <c r="AF2755" s="8">
        <v>0.70833333333333337</v>
      </c>
      <c r="AG2755" s="9">
        <v>16.600000000000001</v>
      </c>
      <c r="AH2755" s="10">
        <f t="shared" si="57"/>
        <v>17</v>
      </c>
    </row>
    <row r="2756" spans="11:34" ht="14.5" x14ac:dyDescent="0.35">
      <c r="K2756" s="4"/>
      <c r="AC2756" s="7">
        <v>2022</v>
      </c>
      <c r="AD2756" s="7">
        <v>4</v>
      </c>
      <c r="AE2756" s="7">
        <v>25</v>
      </c>
      <c r="AF2756" s="8">
        <v>0.75</v>
      </c>
      <c r="AG2756" s="9">
        <v>15.8</v>
      </c>
      <c r="AH2756" s="10">
        <f t="shared" si="57"/>
        <v>16</v>
      </c>
    </row>
    <row r="2757" spans="11:34" ht="14.5" x14ac:dyDescent="0.35">
      <c r="K2757" s="4"/>
      <c r="AC2757" s="7">
        <v>2022</v>
      </c>
      <c r="AD2757" s="7">
        <v>4</v>
      </c>
      <c r="AE2757" s="7">
        <v>25</v>
      </c>
      <c r="AF2757" s="8">
        <v>0.79166666666666663</v>
      </c>
      <c r="AG2757" s="9">
        <v>14.3</v>
      </c>
      <c r="AH2757" s="10">
        <f t="shared" si="57"/>
        <v>14</v>
      </c>
    </row>
    <row r="2758" spans="11:34" ht="14.5" x14ac:dyDescent="0.35">
      <c r="K2758" s="4"/>
      <c r="AC2758" s="7">
        <v>2022</v>
      </c>
      <c r="AD2758" s="7">
        <v>4</v>
      </c>
      <c r="AE2758" s="7">
        <v>25</v>
      </c>
      <c r="AF2758" s="8">
        <v>0.83333333333333337</v>
      </c>
      <c r="AG2758" s="9">
        <v>11</v>
      </c>
      <c r="AH2758" s="10">
        <f t="shared" si="57"/>
        <v>11</v>
      </c>
    </row>
    <row r="2759" spans="11:34" ht="14.5" x14ac:dyDescent="0.35">
      <c r="K2759" s="4"/>
      <c r="AC2759" s="7">
        <v>2022</v>
      </c>
      <c r="AD2759" s="7">
        <v>4</v>
      </c>
      <c r="AE2759" s="7">
        <v>25</v>
      </c>
      <c r="AF2759" s="8">
        <v>0.875</v>
      </c>
      <c r="AG2759" s="9">
        <v>9.6</v>
      </c>
      <c r="AH2759" s="10">
        <f t="shared" si="57"/>
        <v>10</v>
      </c>
    </row>
    <row r="2760" spans="11:34" ht="14.5" x14ac:dyDescent="0.35">
      <c r="K2760" s="4"/>
      <c r="AC2760" s="7">
        <v>2022</v>
      </c>
      <c r="AD2760" s="7">
        <v>4</v>
      </c>
      <c r="AE2760" s="7">
        <v>25</v>
      </c>
      <c r="AF2760" s="8">
        <v>0.91666666666666663</v>
      </c>
      <c r="AG2760" s="9">
        <v>9.4</v>
      </c>
      <c r="AH2760" s="10">
        <f t="shared" si="57"/>
        <v>9</v>
      </c>
    </row>
    <row r="2761" spans="11:34" ht="14.5" x14ac:dyDescent="0.35">
      <c r="K2761" s="4"/>
      <c r="AC2761" s="7">
        <v>2022</v>
      </c>
      <c r="AD2761" s="7">
        <v>4</v>
      </c>
      <c r="AE2761" s="7">
        <v>25</v>
      </c>
      <c r="AF2761" s="8">
        <v>0.95833333333333337</v>
      </c>
      <c r="AG2761" s="9">
        <v>8.9</v>
      </c>
      <c r="AH2761" s="10">
        <f t="shared" si="57"/>
        <v>9</v>
      </c>
    </row>
    <row r="2762" spans="11:34" ht="14.5" x14ac:dyDescent="0.35">
      <c r="K2762" s="4"/>
      <c r="AC2762" s="7">
        <v>2022</v>
      </c>
      <c r="AD2762" s="7">
        <v>4</v>
      </c>
      <c r="AE2762" s="7">
        <v>26</v>
      </c>
      <c r="AF2762" s="8">
        <v>0</v>
      </c>
      <c r="AG2762" s="9">
        <v>9.5</v>
      </c>
      <c r="AH2762" s="10">
        <f t="shared" si="57"/>
        <v>10</v>
      </c>
    </row>
    <row r="2763" spans="11:34" ht="14.5" x14ac:dyDescent="0.35">
      <c r="K2763" s="4"/>
      <c r="AC2763" s="7">
        <v>2022</v>
      </c>
      <c r="AD2763" s="7">
        <v>4</v>
      </c>
      <c r="AE2763" s="7">
        <v>26</v>
      </c>
      <c r="AF2763" s="8">
        <v>4.1666666666666664E-2</v>
      </c>
      <c r="AG2763" s="9">
        <v>8.1999999999999993</v>
      </c>
      <c r="AH2763" s="10">
        <f t="shared" ref="AH2763:AH2826" si="58">ROUND(AG2763,0)</f>
        <v>8</v>
      </c>
    </row>
    <row r="2764" spans="11:34" ht="14.5" x14ac:dyDescent="0.35">
      <c r="K2764" s="4"/>
      <c r="AC2764" s="7">
        <v>2022</v>
      </c>
      <c r="AD2764" s="7">
        <v>4</v>
      </c>
      <c r="AE2764" s="7">
        <v>26</v>
      </c>
      <c r="AF2764" s="8">
        <v>8.3333333333333329E-2</v>
      </c>
      <c r="AG2764" s="9">
        <v>8.1999999999999993</v>
      </c>
      <c r="AH2764" s="10">
        <f t="shared" si="58"/>
        <v>8</v>
      </c>
    </row>
    <row r="2765" spans="11:34" ht="14.5" x14ac:dyDescent="0.35">
      <c r="K2765" s="4"/>
      <c r="AC2765" s="7">
        <v>2022</v>
      </c>
      <c r="AD2765" s="7">
        <v>4</v>
      </c>
      <c r="AE2765" s="7">
        <v>26</v>
      </c>
      <c r="AF2765" s="8">
        <v>0.125</v>
      </c>
      <c r="AG2765" s="9">
        <v>5.9</v>
      </c>
      <c r="AH2765" s="10">
        <f t="shared" si="58"/>
        <v>6</v>
      </c>
    </row>
    <row r="2766" spans="11:34" ht="14.5" x14ac:dyDescent="0.35">
      <c r="K2766" s="4"/>
      <c r="AC2766" s="7">
        <v>2022</v>
      </c>
      <c r="AD2766" s="7">
        <v>4</v>
      </c>
      <c r="AE2766" s="7">
        <v>26</v>
      </c>
      <c r="AF2766" s="8">
        <v>0.16666666666666666</v>
      </c>
      <c r="AG2766" s="9">
        <v>6.1</v>
      </c>
      <c r="AH2766" s="10">
        <f t="shared" si="58"/>
        <v>6</v>
      </c>
    </row>
    <row r="2767" spans="11:34" ht="14.5" x14ac:dyDescent="0.35">
      <c r="K2767" s="4"/>
      <c r="AC2767" s="7">
        <v>2022</v>
      </c>
      <c r="AD2767" s="7">
        <v>4</v>
      </c>
      <c r="AE2767" s="7">
        <v>26</v>
      </c>
      <c r="AF2767" s="8">
        <v>0.20833333333333334</v>
      </c>
      <c r="AG2767" s="9">
        <v>5.8</v>
      </c>
      <c r="AH2767" s="10">
        <f t="shared" si="58"/>
        <v>6</v>
      </c>
    </row>
    <row r="2768" spans="11:34" ht="14.5" x14ac:dyDescent="0.35">
      <c r="K2768" s="4"/>
      <c r="AC2768" s="7">
        <v>2022</v>
      </c>
      <c r="AD2768" s="7">
        <v>4</v>
      </c>
      <c r="AE2768" s="7">
        <v>26</v>
      </c>
      <c r="AF2768" s="8">
        <v>0.25</v>
      </c>
      <c r="AG2768" s="9">
        <v>5.7</v>
      </c>
      <c r="AH2768" s="10">
        <f t="shared" si="58"/>
        <v>6</v>
      </c>
    </row>
    <row r="2769" spans="11:34" ht="14.5" x14ac:dyDescent="0.35">
      <c r="K2769" s="4"/>
      <c r="AC2769" s="7">
        <v>2022</v>
      </c>
      <c r="AD2769" s="7">
        <v>4</v>
      </c>
      <c r="AE2769" s="7">
        <v>26</v>
      </c>
      <c r="AF2769" s="8">
        <v>0.29166666666666669</v>
      </c>
      <c r="AG2769" s="9">
        <v>7</v>
      </c>
      <c r="AH2769" s="10">
        <f t="shared" si="58"/>
        <v>7</v>
      </c>
    </row>
    <row r="2770" spans="11:34" ht="14.5" x14ac:dyDescent="0.35">
      <c r="K2770" s="4"/>
      <c r="AC2770" s="7">
        <v>2022</v>
      </c>
      <c r="AD2770" s="7">
        <v>4</v>
      </c>
      <c r="AE2770" s="7">
        <v>26</v>
      </c>
      <c r="AF2770" s="8">
        <v>0.33333333333333331</v>
      </c>
      <c r="AG2770" s="9">
        <v>7.9</v>
      </c>
      <c r="AH2770" s="10">
        <f t="shared" si="58"/>
        <v>8</v>
      </c>
    </row>
    <row r="2771" spans="11:34" ht="14.5" x14ac:dyDescent="0.35">
      <c r="K2771" s="4"/>
      <c r="AC2771" s="7">
        <v>2022</v>
      </c>
      <c r="AD2771" s="7">
        <v>4</v>
      </c>
      <c r="AE2771" s="7">
        <v>26</v>
      </c>
      <c r="AF2771" s="8">
        <v>0.375</v>
      </c>
      <c r="AG2771" s="9">
        <v>10.3</v>
      </c>
      <c r="AH2771" s="10">
        <f t="shared" si="58"/>
        <v>10</v>
      </c>
    </row>
    <row r="2772" spans="11:34" ht="14.5" x14ac:dyDescent="0.35">
      <c r="K2772" s="4"/>
      <c r="AC2772" s="7">
        <v>2022</v>
      </c>
      <c r="AD2772" s="7">
        <v>4</v>
      </c>
      <c r="AE2772" s="7">
        <v>26</v>
      </c>
      <c r="AF2772" s="8">
        <v>0.41666666666666669</v>
      </c>
      <c r="AG2772" s="9">
        <v>12.4</v>
      </c>
      <c r="AH2772" s="10">
        <f t="shared" si="58"/>
        <v>12</v>
      </c>
    </row>
    <row r="2773" spans="11:34" ht="14.5" x14ac:dyDescent="0.35">
      <c r="K2773" s="4"/>
      <c r="AC2773" s="7">
        <v>2022</v>
      </c>
      <c r="AD2773" s="7">
        <v>4</v>
      </c>
      <c r="AE2773" s="7">
        <v>26</v>
      </c>
      <c r="AF2773" s="8">
        <v>0.45833333333333331</v>
      </c>
      <c r="AG2773" s="9">
        <v>12.9</v>
      </c>
      <c r="AH2773" s="10">
        <f t="shared" si="58"/>
        <v>13</v>
      </c>
    </row>
    <row r="2774" spans="11:34" ht="14.5" x14ac:dyDescent="0.35">
      <c r="K2774" s="4"/>
      <c r="AC2774" s="7">
        <v>2022</v>
      </c>
      <c r="AD2774" s="7">
        <v>4</v>
      </c>
      <c r="AE2774" s="7">
        <v>26</v>
      </c>
      <c r="AF2774" s="8">
        <v>0.5</v>
      </c>
      <c r="AG2774" s="9">
        <v>13.5</v>
      </c>
      <c r="AH2774" s="10">
        <f t="shared" si="58"/>
        <v>14</v>
      </c>
    </row>
    <row r="2775" spans="11:34" ht="14.5" x14ac:dyDescent="0.35">
      <c r="K2775" s="4"/>
      <c r="AC2775" s="7">
        <v>2022</v>
      </c>
      <c r="AD2775" s="7">
        <v>4</v>
      </c>
      <c r="AE2775" s="7">
        <v>26</v>
      </c>
      <c r="AF2775" s="8">
        <v>0.54166666666666663</v>
      </c>
      <c r="AG2775" s="9">
        <v>13.2</v>
      </c>
      <c r="AH2775" s="10">
        <f t="shared" si="58"/>
        <v>13</v>
      </c>
    </row>
    <row r="2776" spans="11:34" ht="14.5" x14ac:dyDescent="0.35">
      <c r="K2776" s="4"/>
      <c r="AC2776" s="7">
        <v>2022</v>
      </c>
      <c r="AD2776" s="7">
        <v>4</v>
      </c>
      <c r="AE2776" s="7">
        <v>26</v>
      </c>
      <c r="AF2776" s="8">
        <v>0.58333333333333337</v>
      </c>
      <c r="AG2776" s="9">
        <v>13.7</v>
      </c>
      <c r="AH2776" s="10">
        <f t="shared" si="58"/>
        <v>14</v>
      </c>
    </row>
    <row r="2777" spans="11:34" ht="14.5" x14ac:dyDescent="0.35">
      <c r="K2777" s="4"/>
      <c r="AC2777" s="7">
        <v>2022</v>
      </c>
      <c r="AD2777" s="7">
        <v>4</v>
      </c>
      <c r="AE2777" s="7">
        <v>26</v>
      </c>
      <c r="AF2777" s="8">
        <v>0.625</v>
      </c>
      <c r="AG2777" s="9">
        <v>12.9</v>
      </c>
      <c r="AH2777" s="10">
        <f t="shared" si="58"/>
        <v>13</v>
      </c>
    </row>
    <row r="2778" spans="11:34" ht="14.5" x14ac:dyDescent="0.35">
      <c r="K2778" s="4"/>
      <c r="AC2778" s="7">
        <v>2022</v>
      </c>
      <c r="AD2778" s="7">
        <v>4</v>
      </c>
      <c r="AE2778" s="7">
        <v>26</v>
      </c>
      <c r="AF2778" s="8">
        <v>0.66666666666666663</v>
      </c>
      <c r="AG2778" s="9">
        <v>12.8</v>
      </c>
      <c r="AH2778" s="10">
        <f t="shared" si="58"/>
        <v>13</v>
      </c>
    </row>
    <row r="2779" spans="11:34" ht="14.5" x14ac:dyDescent="0.35">
      <c r="K2779" s="4"/>
      <c r="AC2779" s="7">
        <v>2022</v>
      </c>
      <c r="AD2779" s="7">
        <v>4</v>
      </c>
      <c r="AE2779" s="7">
        <v>26</v>
      </c>
      <c r="AF2779" s="8">
        <v>0.70833333333333337</v>
      </c>
      <c r="AG2779" s="9">
        <v>11.1</v>
      </c>
      <c r="AH2779" s="10">
        <f t="shared" si="58"/>
        <v>11</v>
      </c>
    </row>
    <row r="2780" spans="11:34" ht="14.5" x14ac:dyDescent="0.35">
      <c r="K2780" s="4"/>
      <c r="AC2780" s="7">
        <v>2022</v>
      </c>
      <c r="AD2780" s="7">
        <v>4</v>
      </c>
      <c r="AE2780" s="7">
        <v>26</v>
      </c>
      <c r="AF2780" s="8">
        <v>0.75</v>
      </c>
      <c r="AG2780" s="9">
        <v>10.9</v>
      </c>
      <c r="AH2780" s="10">
        <f t="shared" si="58"/>
        <v>11</v>
      </c>
    </row>
    <row r="2781" spans="11:34" ht="14.5" x14ac:dyDescent="0.35">
      <c r="K2781" s="4"/>
      <c r="AC2781" s="7">
        <v>2022</v>
      </c>
      <c r="AD2781" s="7">
        <v>4</v>
      </c>
      <c r="AE2781" s="7">
        <v>26</v>
      </c>
      <c r="AF2781" s="8">
        <v>0.79166666666666663</v>
      </c>
      <c r="AG2781" s="9">
        <v>8</v>
      </c>
      <c r="AH2781" s="10">
        <f t="shared" si="58"/>
        <v>8</v>
      </c>
    </row>
    <row r="2782" spans="11:34" ht="14.5" x14ac:dyDescent="0.35">
      <c r="K2782" s="4"/>
      <c r="AC2782" s="7">
        <v>2022</v>
      </c>
      <c r="AD2782" s="7">
        <v>4</v>
      </c>
      <c r="AE2782" s="7">
        <v>26</v>
      </c>
      <c r="AF2782" s="8">
        <v>0.83333333333333337</v>
      </c>
      <c r="AG2782" s="9">
        <v>6.7</v>
      </c>
      <c r="AH2782" s="10">
        <f t="shared" si="58"/>
        <v>7</v>
      </c>
    </row>
    <row r="2783" spans="11:34" ht="14.5" x14ac:dyDescent="0.35">
      <c r="K2783" s="4"/>
      <c r="AC2783" s="7">
        <v>2022</v>
      </c>
      <c r="AD2783" s="7">
        <v>4</v>
      </c>
      <c r="AE2783" s="7">
        <v>26</v>
      </c>
      <c r="AF2783" s="8">
        <v>0.875</v>
      </c>
      <c r="AG2783" s="9">
        <v>6.4</v>
      </c>
      <c r="AH2783" s="10">
        <f t="shared" si="58"/>
        <v>6</v>
      </c>
    </row>
    <row r="2784" spans="11:34" ht="14.5" x14ac:dyDescent="0.35">
      <c r="K2784" s="4"/>
      <c r="AC2784" s="7">
        <v>2022</v>
      </c>
      <c r="AD2784" s="7">
        <v>4</v>
      </c>
      <c r="AE2784" s="7">
        <v>26</v>
      </c>
      <c r="AF2784" s="8">
        <v>0.91666666666666663</v>
      </c>
      <c r="AG2784" s="9">
        <v>5</v>
      </c>
      <c r="AH2784" s="10">
        <f t="shared" si="58"/>
        <v>5</v>
      </c>
    </row>
    <row r="2785" spans="11:34" ht="14.5" x14ac:dyDescent="0.35">
      <c r="K2785" s="4"/>
      <c r="AC2785" s="7">
        <v>2022</v>
      </c>
      <c r="AD2785" s="7">
        <v>4</v>
      </c>
      <c r="AE2785" s="7">
        <v>26</v>
      </c>
      <c r="AF2785" s="8">
        <v>0.95833333333333337</v>
      </c>
      <c r="AG2785" s="9">
        <v>3.6</v>
      </c>
      <c r="AH2785" s="10">
        <f t="shared" si="58"/>
        <v>4</v>
      </c>
    </row>
    <row r="2786" spans="11:34" ht="14.5" x14ac:dyDescent="0.35">
      <c r="K2786" s="4"/>
      <c r="AC2786" s="7">
        <v>2022</v>
      </c>
      <c r="AD2786" s="7">
        <v>4</v>
      </c>
      <c r="AE2786" s="7">
        <v>27</v>
      </c>
      <c r="AF2786" s="8">
        <v>0</v>
      </c>
      <c r="AG2786" s="9">
        <v>3.7</v>
      </c>
      <c r="AH2786" s="10">
        <f t="shared" si="58"/>
        <v>4</v>
      </c>
    </row>
    <row r="2787" spans="11:34" ht="14.5" x14ac:dyDescent="0.35">
      <c r="K2787" s="4"/>
      <c r="AC2787" s="7">
        <v>2022</v>
      </c>
      <c r="AD2787" s="7">
        <v>4</v>
      </c>
      <c r="AE2787" s="7">
        <v>27</v>
      </c>
      <c r="AF2787" s="8">
        <v>4.1666666666666664E-2</v>
      </c>
      <c r="AG2787" s="9">
        <v>4.3</v>
      </c>
      <c r="AH2787" s="10">
        <f t="shared" si="58"/>
        <v>4</v>
      </c>
    </row>
    <row r="2788" spans="11:34" ht="14.5" x14ac:dyDescent="0.35">
      <c r="K2788" s="4"/>
      <c r="AC2788" s="7">
        <v>2022</v>
      </c>
      <c r="AD2788" s="7">
        <v>4</v>
      </c>
      <c r="AE2788" s="7">
        <v>27</v>
      </c>
      <c r="AF2788" s="8">
        <v>8.3333333333333329E-2</v>
      </c>
      <c r="AG2788" s="9">
        <v>4.2</v>
      </c>
      <c r="AH2788" s="10">
        <f t="shared" si="58"/>
        <v>4</v>
      </c>
    </row>
    <row r="2789" spans="11:34" ht="14.5" x14ac:dyDescent="0.35">
      <c r="K2789" s="4"/>
      <c r="AC2789" s="7">
        <v>2022</v>
      </c>
      <c r="AD2789" s="7">
        <v>4</v>
      </c>
      <c r="AE2789" s="7">
        <v>27</v>
      </c>
      <c r="AF2789" s="8">
        <v>0.125</v>
      </c>
      <c r="AG2789" s="9">
        <v>3</v>
      </c>
      <c r="AH2789" s="10">
        <f t="shared" si="58"/>
        <v>3</v>
      </c>
    </row>
    <row r="2790" spans="11:34" ht="14.5" x14ac:dyDescent="0.35">
      <c r="K2790" s="4"/>
      <c r="AC2790" s="7">
        <v>2022</v>
      </c>
      <c r="AD2790" s="7">
        <v>4</v>
      </c>
      <c r="AE2790" s="7">
        <v>27</v>
      </c>
      <c r="AF2790" s="8">
        <v>0.16666666666666666</v>
      </c>
      <c r="AG2790" s="9">
        <v>1.2</v>
      </c>
      <c r="AH2790" s="10">
        <f t="shared" si="58"/>
        <v>1</v>
      </c>
    </row>
    <row r="2791" spans="11:34" ht="14.5" x14ac:dyDescent="0.35">
      <c r="K2791" s="4"/>
      <c r="AC2791" s="7">
        <v>2022</v>
      </c>
      <c r="AD2791" s="7">
        <v>4</v>
      </c>
      <c r="AE2791" s="7">
        <v>27</v>
      </c>
      <c r="AF2791" s="8">
        <v>0.20833333333333334</v>
      </c>
      <c r="AG2791" s="9">
        <v>0.9</v>
      </c>
      <c r="AH2791" s="10">
        <f t="shared" si="58"/>
        <v>1</v>
      </c>
    </row>
    <row r="2792" spans="11:34" ht="14.5" x14ac:dyDescent="0.35">
      <c r="K2792" s="4"/>
      <c r="AC2792" s="7">
        <v>2022</v>
      </c>
      <c r="AD2792" s="7">
        <v>4</v>
      </c>
      <c r="AE2792" s="7">
        <v>27</v>
      </c>
      <c r="AF2792" s="8">
        <v>0.25</v>
      </c>
      <c r="AG2792" s="9">
        <v>2.9</v>
      </c>
      <c r="AH2792" s="10">
        <f t="shared" si="58"/>
        <v>3</v>
      </c>
    </row>
    <row r="2793" spans="11:34" ht="14.5" x14ac:dyDescent="0.35">
      <c r="K2793" s="4"/>
      <c r="AC2793" s="7">
        <v>2022</v>
      </c>
      <c r="AD2793" s="7">
        <v>4</v>
      </c>
      <c r="AE2793" s="7">
        <v>27</v>
      </c>
      <c r="AF2793" s="8">
        <v>0.29166666666666669</v>
      </c>
      <c r="AG2793" s="9">
        <v>4.9000000000000004</v>
      </c>
      <c r="AH2793" s="10">
        <f t="shared" si="58"/>
        <v>5</v>
      </c>
    </row>
    <row r="2794" spans="11:34" ht="14.5" x14ac:dyDescent="0.35">
      <c r="K2794" s="4"/>
      <c r="AC2794" s="7">
        <v>2022</v>
      </c>
      <c r="AD2794" s="7">
        <v>4</v>
      </c>
      <c r="AE2794" s="7">
        <v>27</v>
      </c>
      <c r="AF2794" s="8">
        <v>0.33333333333333331</v>
      </c>
      <c r="AG2794" s="9">
        <v>7.1</v>
      </c>
      <c r="AH2794" s="10">
        <f t="shared" si="58"/>
        <v>7</v>
      </c>
    </row>
    <row r="2795" spans="11:34" ht="14.5" x14ac:dyDescent="0.35">
      <c r="K2795" s="4"/>
      <c r="AC2795" s="7">
        <v>2022</v>
      </c>
      <c r="AD2795" s="7">
        <v>4</v>
      </c>
      <c r="AE2795" s="7">
        <v>27</v>
      </c>
      <c r="AF2795" s="8">
        <v>0.375</v>
      </c>
      <c r="AG2795" s="9">
        <v>8.5</v>
      </c>
      <c r="AH2795" s="10">
        <f t="shared" si="58"/>
        <v>9</v>
      </c>
    </row>
    <row r="2796" spans="11:34" ht="14.5" x14ac:dyDescent="0.35">
      <c r="K2796" s="4"/>
      <c r="AC2796" s="7">
        <v>2022</v>
      </c>
      <c r="AD2796" s="7">
        <v>4</v>
      </c>
      <c r="AE2796" s="7">
        <v>27</v>
      </c>
      <c r="AF2796" s="8">
        <v>0.41666666666666669</v>
      </c>
      <c r="AG2796" s="9">
        <v>9.8000000000000007</v>
      </c>
      <c r="AH2796" s="10">
        <f t="shared" si="58"/>
        <v>10</v>
      </c>
    </row>
    <row r="2797" spans="11:34" ht="14.5" x14ac:dyDescent="0.35">
      <c r="K2797" s="4"/>
      <c r="AC2797" s="7">
        <v>2022</v>
      </c>
      <c r="AD2797" s="7">
        <v>4</v>
      </c>
      <c r="AE2797" s="7">
        <v>27</v>
      </c>
      <c r="AF2797" s="8">
        <v>0.45833333333333331</v>
      </c>
      <c r="AG2797" s="9">
        <v>10.4</v>
      </c>
      <c r="AH2797" s="10">
        <f t="shared" si="58"/>
        <v>10</v>
      </c>
    </row>
    <row r="2798" spans="11:34" ht="14.5" x14ac:dyDescent="0.35">
      <c r="K2798" s="4"/>
      <c r="AC2798" s="7">
        <v>2022</v>
      </c>
      <c r="AD2798" s="7">
        <v>4</v>
      </c>
      <c r="AE2798" s="7">
        <v>27</v>
      </c>
      <c r="AF2798" s="8">
        <v>0.5</v>
      </c>
      <c r="AG2798" s="9">
        <v>10.4</v>
      </c>
      <c r="AH2798" s="10">
        <f t="shared" si="58"/>
        <v>10</v>
      </c>
    </row>
    <row r="2799" spans="11:34" ht="14.5" x14ac:dyDescent="0.35">
      <c r="K2799" s="4"/>
      <c r="AC2799" s="7">
        <v>2022</v>
      </c>
      <c r="AD2799" s="7">
        <v>4</v>
      </c>
      <c r="AE2799" s="7">
        <v>27</v>
      </c>
      <c r="AF2799" s="8">
        <v>0.54166666666666663</v>
      </c>
      <c r="AG2799" s="9">
        <v>10.7</v>
      </c>
      <c r="AH2799" s="10">
        <f t="shared" si="58"/>
        <v>11</v>
      </c>
    </row>
    <row r="2800" spans="11:34" ht="14.5" x14ac:dyDescent="0.35">
      <c r="K2800" s="4"/>
      <c r="AC2800" s="7">
        <v>2022</v>
      </c>
      <c r="AD2800" s="7">
        <v>4</v>
      </c>
      <c r="AE2800" s="7">
        <v>27</v>
      </c>
      <c r="AF2800" s="8">
        <v>0.58333333333333337</v>
      </c>
      <c r="AG2800" s="9">
        <v>10.8</v>
      </c>
      <c r="AH2800" s="10">
        <f t="shared" si="58"/>
        <v>11</v>
      </c>
    </row>
    <row r="2801" spans="11:34" ht="14.5" x14ac:dyDescent="0.35">
      <c r="K2801" s="4"/>
      <c r="AC2801" s="7">
        <v>2022</v>
      </c>
      <c r="AD2801" s="7">
        <v>4</v>
      </c>
      <c r="AE2801" s="7">
        <v>27</v>
      </c>
      <c r="AF2801" s="8">
        <v>0.625</v>
      </c>
      <c r="AG2801" s="9">
        <v>11.4</v>
      </c>
      <c r="AH2801" s="10">
        <f t="shared" si="58"/>
        <v>11</v>
      </c>
    </row>
    <row r="2802" spans="11:34" ht="14.5" x14ac:dyDescent="0.35">
      <c r="K2802" s="4"/>
      <c r="AC2802" s="7">
        <v>2022</v>
      </c>
      <c r="AD2802" s="7">
        <v>4</v>
      </c>
      <c r="AE2802" s="7">
        <v>27</v>
      </c>
      <c r="AF2802" s="8">
        <v>0.66666666666666663</v>
      </c>
      <c r="AG2802" s="9">
        <v>11</v>
      </c>
      <c r="AH2802" s="10">
        <f t="shared" si="58"/>
        <v>11</v>
      </c>
    </row>
    <row r="2803" spans="11:34" ht="14.5" x14ac:dyDescent="0.35">
      <c r="K2803" s="4"/>
      <c r="AC2803" s="7">
        <v>2022</v>
      </c>
      <c r="AD2803" s="7">
        <v>4</v>
      </c>
      <c r="AE2803" s="7">
        <v>27</v>
      </c>
      <c r="AF2803" s="8">
        <v>0.70833333333333337</v>
      </c>
      <c r="AG2803" s="9">
        <v>11.1</v>
      </c>
      <c r="AH2803" s="10">
        <f t="shared" si="58"/>
        <v>11</v>
      </c>
    </row>
    <row r="2804" spans="11:34" ht="14.5" x14ac:dyDescent="0.35">
      <c r="K2804" s="4"/>
      <c r="AC2804" s="7">
        <v>2022</v>
      </c>
      <c r="AD2804" s="7">
        <v>4</v>
      </c>
      <c r="AE2804" s="7">
        <v>27</v>
      </c>
      <c r="AF2804" s="8">
        <v>0.75</v>
      </c>
      <c r="AG2804" s="9">
        <v>10.3</v>
      </c>
      <c r="AH2804" s="10">
        <f t="shared" si="58"/>
        <v>10</v>
      </c>
    </row>
    <row r="2805" spans="11:34" ht="14.5" x14ac:dyDescent="0.35">
      <c r="K2805" s="4"/>
      <c r="AC2805" s="7">
        <v>2022</v>
      </c>
      <c r="AD2805" s="7">
        <v>4</v>
      </c>
      <c r="AE2805" s="7">
        <v>27</v>
      </c>
      <c r="AF2805" s="8">
        <v>0.79166666666666663</v>
      </c>
      <c r="AG2805" s="9">
        <v>8.9</v>
      </c>
      <c r="AH2805" s="10">
        <f t="shared" si="58"/>
        <v>9</v>
      </c>
    </row>
    <row r="2806" spans="11:34" ht="14.5" x14ac:dyDescent="0.35">
      <c r="K2806" s="4"/>
      <c r="AC2806" s="7">
        <v>2022</v>
      </c>
      <c r="AD2806" s="7">
        <v>4</v>
      </c>
      <c r="AE2806" s="7">
        <v>27</v>
      </c>
      <c r="AF2806" s="8">
        <v>0.83333333333333337</v>
      </c>
      <c r="AG2806" s="9">
        <v>7.5</v>
      </c>
      <c r="AH2806" s="10">
        <f t="shared" si="58"/>
        <v>8</v>
      </c>
    </row>
    <row r="2807" spans="11:34" ht="14.5" x14ac:dyDescent="0.35">
      <c r="K2807" s="4"/>
      <c r="AC2807" s="7">
        <v>2022</v>
      </c>
      <c r="AD2807" s="7">
        <v>4</v>
      </c>
      <c r="AE2807" s="7">
        <v>27</v>
      </c>
      <c r="AF2807" s="8">
        <v>0.875</v>
      </c>
      <c r="AG2807" s="9">
        <v>6.3</v>
      </c>
      <c r="AH2807" s="10">
        <f t="shared" si="58"/>
        <v>6</v>
      </c>
    </row>
    <row r="2808" spans="11:34" ht="14.5" x14ac:dyDescent="0.35">
      <c r="K2808" s="4"/>
      <c r="AC2808" s="7">
        <v>2022</v>
      </c>
      <c r="AD2808" s="7">
        <v>4</v>
      </c>
      <c r="AE2808" s="7">
        <v>27</v>
      </c>
      <c r="AF2808" s="8">
        <v>0.91666666666666663</v>
      </c>
      <c r="AG2808" s="9">
        <v>4.0999999999999996</v>
      </c>
      <c r="AH2808" s="10">
        <f t="shared" si="58"/>
        <v>4</v>
      </c>
    </row>
    <row r="2809" spans="11:34" ht="14.5" x14ac:dyDescent="0.35">
      <c r="K2809" s="4"/>
      <c r="AC2809" s="7">
        <v>2022</v>
      </c>
      <c r="AD2809" s="7">
        <v>4</v>
      </c>
      <c r="AE2809" s="7">
        <v>27</v>
      </c>
      <c r="AF2809" s="8">
        <v>0.95833333333333337</v>
      </c>
      <c r="AG2809" s="9">
        <v>3.8</v>
      </c>
      <c r="AH2809" s="10">
        <f t="shared" si="58"/>
        <v>4</v>
      </c>
    </row>
    <row r="2810" spans="11:34" ht="14.5" x14ac:dyDescent="0.35">
      <c r="K2810" s="4"/>
      <c r="AC2810" s="7">
        <v>2022</v>
      </c>
      <c r="AD2810" s="7">
        <v>4</v>
      </c>
      <c r="AE2810" s="7">
        <v>28</v>
      </c>
      <c r="AF2810" s="8">
        <v>0</v>
      </c>
      <c r="AG2810" s="9">
        <v>0.7</v>
      </c>
      <c r="AH2810" s="10">
        <f t="shared" si="58"/>
        <v>1</v>
      </c>
    </row>
    <row r="2811" spans="11:34" ht="14.5" x14ac:dyDescent="0.35">
      <c r="K2811" s="4"/>
      <c r="AC2811" s="7">
        <v>2022</v>
      </c>
      <c r="AD2811" s="7">
        <v>4</v>
      </c>
      <c r="AE2811" s="7">
        <v>28</v>
      </c>
      <c r="AF2811" s="8">
        <v>4.1666666666666664E-2</v>
      </c>
      <c r="AG2811" s="9">
        <v>-0.7</v>
      </c>
      <c r="AH2811" s="10">
        <f t="shared" si="58"/>
        <v>-1</v>
      </c>
    </row>
    <row r="2812" spans="11:34" ht="14.5" x14ac:dyDescent="0.35">
      <c r="K2812" s="4"/>
      <c r="AC2812" s="7">
        <v>2022</v>
      </c>
      <c r="AD2812" s="7">
        <v>4</v>
      </c>
      <c r="AE2812" s="7">
        <v>28</v>
      </c>
      <c r="AF2812" s="8">
        <v>8.3333333333333329E-2</v>
      </c>
      <c r="AG2812" s="9">
        <v>-1.8</v>
      </c>
      <c r="AH2812" s="10">
        <f t="shared" si="58"/>
        <v>-2</v>
      </c>
    </row>
    <row r="2813" spans="11:34" ht="14.5" x14ac:dyDescent="0.35">
      <c r="K2813" s="4"/>
      <c r="AC2813" s="7">
        <v>2022</v>
      </c>
      <c r="AD2813" s="7">
        <v>4</v>
      </c>
      <c r="AE2813" s="7">
        <v>28</v>
      </c>
      <c r="AF2813" s="8">
        <v>0.125</v>
      </c>
      <c r="AG2813" s="9">
        <v>-2.6</v>
      </c>
      <c r="AH2813" s="10">
        <f t="shared" si="58"/>
        <v>-3</v>
      </c>
    </row>
    <row r="2814" spans="11:34" ht="14.5" x14ac:dyDescent="0.35">
      <c r="K2814" s="4"/>
      <c r="AC2814" s="7">
        <v>2022</v>
      </c>
      <c r="AD2814" s="7">
        <v>4</v>
      </c>
      <c r="AE2814" s="7">
        <v>28</v>
      </c>
      <c r="AF2814" s="8">
        <v>0.16666666666666666</v>
      </c>
      <c r="AG2814" s="9">
        <v>-2.4</v>
      </c>
      <c r="AH2814" s="10">
        <f t="shared" si="58"/>
        <v>-2</v>
      </c>
    </row>
    <row r="2815" spans="11:34" ht="14.5" x14ac:dyDescent="0.35">
      <c r="K2815" s="4"/>
      <c r="AC2815" s="7">
        <v>2022</v>
      </c>
      <c r="AD2815" s="7">
        <v>4</v>
      </c>
      <c r="AE2815" s="7">
        <v>28</v>
      </c>
      <c r="AF2815" s="8">
        <v>0.20833333333333334</v>
      </c>
      <c r="AG2815" s="9">
        <v>-2.7</v>
      </c>
      <c r="AH2815" s="10">
        <f t="shared" si="58"/>
        <v>-3</v>
      </c>
    </row>
    <row r="2816" spans="11:34" ht="14.5" x14ac:dyDescent="0.35">
      <c r="K2816" s="4"/>
      <c r="AC2816" s="7">
        <v>2022</v>
      </c>
      <c r="AD2816" s="7">
        <v>4</v>
      </c>
      <c r="AE2816" s="7">
        <v>28</v>
      </c>
      <c r="AF2816" s="8">
        <v>0.25</v>
      </c>
      <c r="AG2816" s="9">
        <v>-1.7</v>
      </c>
      <c r="AH2816" s="10">
        <f t="shared" si="58"/>
        <v>-2</v>
      </c>
    </row>
    <row r="2817" spans="11:34" ht="14.5" x14ac:dyDescent="0.35">
      <c r="K2817" s="4"/>
      <c r="AC2817" s="7">
        <v>2022</v>
      </c>
      <c r="AD2817" s="7">
        <v>4</v>
      </c>
      <c r="AE2817" s="7">
        <v>28</v>
      </c>
      <c r="AF2817" s="8">
        <v>0.29166666666666669</v>
      </c>
      <c r="AG2817" s="9">
        <v>1.9</v>
      </c>
      <c r="AH2817" s="10">
        <f t="shared" si="58"/>
        <v>2</v>
      </c>
    </row>
    <row r="2818" spans="11:34" ht="14.5" x14ac:dyDescent="0.35">
      <c r="K2818" s="4"/>
      <c r="AC2818" s="7">
        <v>2022</v>
      </c>
      <c r="AD2818" s="7">
        <v>4</v>
      </c>
      <c r="AE2818" s="7">
        <v>28</v>
      </c>
      <c r="AF2818" s="8">
        <v>0.33333333333333331</v>
      </c>
      <c r="AG2818" s="9">
        <v>4.5</v>
      </c>
      <c r="AH2818" s="10">
        <f t="shared" si="58"/>
        <v>5</v>
      </c>
    </row>
    <row r="2819" spans="11:34" ht="14.5" x14ac:dyDescent="0.35">
      <c r="K2819" s="4"/>
      <c r="AC2819" s="7">
        <v>2022</v>
      </c>
      <c r="AD2819" s="7">
        <v>4</v>
      </c>
      <c r="AE2819" s="7">
        <v>28</v>
      </c>
      <c r="AF2819" s="8">
        <v>0.375</v>
      </c>
      <c r="AG2819" s="9">
        <v>5.9</v>
      </c>
      <c r="AH2819" s="10">
        <f t="shared" si="58"/>
        <v>6</v>
      </c>
    </row>
    <row r="2820" spans="11:34" ht="14.5" x14ac:dyDescent="0.35">
      <c r="K2820" s="4"/>
      <c r="AC2820" s="7">
        <v>2022</v>
      </c>
      <c r="AD2820" s="7">
        <v>4</v>
      </c>
      <c r="AE2820" s="7">
        <v>28</v>
      </c>
      <c r="AF2820" s="8">
        <v>0.41666666666666669</v>
      </c>
      <c r="AG2820" s="9">
        <v>6.1</v>
      </c>
      <c r="AH2820" s="10">
        <f t="shared" si="58"/>
        <v>6</v>
      </c>
    </row>
    <row r="2821" spans="11:34" ht="14.5" x14ac:dyDescent="0.35">
      <c r="K2821" s="4"/>
      <c r="AC2821" s="7">
        <v>2022</v>
      </c>
      <c r="AD2821" s="7">
        <v>4</v>
      </c>
      <c r="AE2821" s="7">
        <v>28</v>
      </c>
      <c r="AF2821" s="8">
        <v>0.45833333333333331</v>
      </c>
      <c r="AG2821" s="9">
        <v>7.8</v>
      </c>
      <c r="AH2821" s="10">
        <f t="shared" si="58"/>
        <v>8</v>
      </c>
    </row>
    <row r="2822" spans="11:34" ht="14.5" x14ac:dyDescent="0.35">
      <c r="K2822" s="4"/>
      <c r="AC2822" s="7">
        <v>2022</v>
      </c>
      <c r="AD2822" s="7">
        <v>4</v>
      </c>
      <c r="AE2822" s="7">
        <v>28</v>
      </c>
      <c r="AF2822" s="8">
        <v>0.5</v>
      </c>
      <c r="AG2822" s="9">
        <v>8.4</v>
      </c>
      <c r="AH2822" s="10">
        <f t="shared" si="58"/>
        <v>8</v>
      </c>
    </row>
    <row r="2823" spans="11:34" ht="14.5" x14ac:dyDescent="0.35">
      <c r="K2823" s="4"/>
      <c r="AC2823" s="7">
        <v>2022</v>
      </c>
      <c r="AD2823" s="7">
        <v>4</v>
      </c>
      <c r="AE2823" s="7">
        <v>28</v>
      </c>
      <c r="AF2823" s="8">
        <v>0.54166666666666663</v>
      </c>
      <c r="AG2823" s="9">
        <v>9.1999999999999993</v>
      </c>
      <c r="AH2823" s="10">
        <f t="shared" si="58"/>
        <v>9</v>
      </c>
    </row>
    <row r="2824" spans="11:34" ht="14.5" x14ac:dyDescent="0.35">
      <c r="K2824" s="4"/>
      <c r="AC2824" s="7">
        <v>2022</v>
      </c>
      <c r="AD2824" s="7">
        <v>4</v>
      </c>
      <c r="AE2824" s="7">
        <v>28</v>
      </c>
      <c r="AF2824" s="8">
        <v>0.58333333333333337</v>
      </c>
      <c r="AG2824" s="9">
        <v>9.9</v>
      </c>
      <c r="AH2824" s="10">
        <f t="shared" si="58"/>
        <v>10</v>
      </c>
    </row>
    <row r="2825" spans="11:34" ht="14.5" x14ac:dyDescent="0.35">
      <c r="K2825" s="4"/>
      <c r="AC2825" s="7">
        <v>2022</v>
      </c>
      <c r="AD2825" s="7">
        <v>4</v>
      </c>
      <c r="AE2825" s="7">
        <v>28</v>
      </c>
      <c r="AF2825" s="8">
        <v>0.625</v>
      </c>
      <c r="AG2825" s="9">
        <v>11</v>
      </c>
      <c r="AH2825" s="10">
        <f t="shared" si="58"/>
        <v>11</v>
      </c>
    </row>
    <row r="2826" spans="11:34" ht="14.5" x14ac:dyDescent="0.35">
      <c r="K2826" s="4"/>
      <c r="AC2826" s="7">
        <v>2022</v>
      </c>
      <c r="AD2826" s="7">
        <v>4</v>
      </c>
      <c r="AE2826" s="7">
        <v>28</v>
      </c>
      <c r="AF2826" s="8">
        <v>0.66666666666666663</v>
      </c>
      <c r="AG2826" s="9">
        <v>10.3</v>
      </c>
      <c r="AH2826" s="10">
        <f t="shared" si="58"/>
        <v>10</v>
      </c>
    </row>
    <row r="2827" spans="11:34" ht="14.5" x14ac:dyDescent="0.35">
      <c r="K2827" s="4"/>
      <c r="AC2827" s="7">
        <v>2022</v>
      </c>
      <c r="AD2827" s="7">
        <v>4</v>
      </c>
      <c r="AE2827" s="7">
        <v>28</v>
      </c>
      <c r="AF2827" s="8">
        <v>0.70833333333333337</v>
      </c>
      <c r="AG2827" s="9">
        <v>10.1</v>
      </c>
      <c r="AH2827" s="10">
        <f t="shared" ref="AH2827:AH2890" si="59">ROUND(AG2827,0)</f>
        <v>10</v>
      </c>
    </row>
    <row r="2828" spans="11:34" ht="14.5" x14ac:dyDescent="0.35">
      <c r="K2828" s="4"/>
      <c r="AC2828" s="7">
        <v>2022</v>
      </c>
      <c r="AD2828" s="7">
        <v>4</v>
      </c>
      <c r="AE2828" s="7">
        <v>28</v>
      </c>
      <c r="AF2828" s="8">
        <v>0.75</v>
      </c>
      <c r="AG2828" s="9">
        <v>9.6</v>
      </c>
      <c r="AH2828" s="10">
        <f t="shared" si="59"/>
        <v>10</v>
      </c>
    </row>
    <row r="2829" spans="11:34" ht="14.5" x14ac:dyDescent="0.35">
      <c r="K2829" s="4"/>
      <c r="AC2829" s="7">
        <v>2022</v>
      </c>
      <c r="AD2829" s="7">
        <v>4</v>
      </c>
      <c r="AE2829" s="7">
        <v>28</v>
      </c>
      <c r="AF2829" s="8">
        <v>0.79166666666666663</v>
      </c>
      <c r="AG2829" s="9">
        <v>9.4</v>
      </c>
      <c r="AH2829" s="10">
        <f t="shared" si="59"/>
        <v>9</v>
      </c>
    </row>
    <row r="2830" spans="11:34" ht="14.5" x14ac:dyDescent="0.35">
      <c r="K2830" s="4"/>
      <c r="AC2830" s="7">
        <v>2022</v>
      </c>
      <c r="AD2830" s="7">
        <v>4</v>
      </c>
      <c r="AE2830" s="7">
        <v>28</v>
      </c>
      <c r="AF2830" s="8">
        <v>0.83333333333333337</v>
      </c>
      <c r="AG2830" s="9">
        <v>8.1999999999999993</v>
      </c>
      <c r="AH2830" s="10">
        <f t="shared" si="59"/>
        <v>8</v>
      </c>
    </row>
    <row r="2831" spans="11:34" ht="14.5" x14ac:dyDescent="0.35">
      <c r="K2831" s="4"/>
      <c r="AC2831" s="7">
        <v>2022</v>
      </c>
      <c r="AD2831" s="7">
        <v>4</v>
      </c>
      <c r="AE2831" s="7">
        <v>28</v>
      </c>
      <c r="AF2831" s="8">
        <v>0.875</v>
      </c>
      <c r="AG2831" s="9">
        <v>7.6</v>
      </c>
      <c r="AH2831" s="10">
        <f t="shared" si="59"/>
        <v>8</v>
      </c>
    </row>
    <row r="2832" spans="11:34" ht="14.5" x14ac:dyDescent="0.35">
      <c r="K2832" s="4"/>
      <c r="AC2832" s="7">
        <v>2022</v>
      </c>
      <c r="AD2832" s="7">
        <v>4</v>
      </c>
      <c r="AE2832" s="7">
        <v>28</v>
      </c>
      <c r="AF2832" s="8">
        <v>0.91666666666666663</v>
      </c>
      <c r="AG2832" s="9">
        <v>6.8</v>
      </c>
      <c r="AH2832" s="10">
        <f t="shared" si="59"/>
        <v>7</v>
      </c>
    </row>
    <row r="2833" spans="11:34" ht="14.5" x14ac:dyDescent="0.35">
      <c r="K2833" s="4"/>
      <c r="AC2833" s="7">
        <v>2022</v>
      </c>
      <c r="AD2833" s="7">
        <v>4</v>
      </c>
      <c r="AE2833" s="7">
        <v>28</v>
      </c>
      <c r="AF2833" s="8">
        <v>0.95833333333333337</v>
      </c>
      <c r="AG2833" s="9">
        <v>6.1</v>
      </c>
      <c r="AH2833" s="10">
        <f t="shared" si="59"/>
        <v>6</v>
      </c>
    </row>
    <row r="2834" spans="11:34" ht="14.5" x14ac:dyDescent="0.35">
      <c r="K2834" s="4"/>
      <c r="AC2834" s="7">
        <v>2022</v>
      </c>
      <c r="AD2834" s="7">
        <v>4</v>
      </c>
      <c r="AE2834" s="7">
        <v>29</v>
      </c>
      <c r="AF2834" s="8">
        <v>0</v>
      </c>
      <c r="AG2834" s="9">
        <v>5</v>
      </c>
      <c r="AH2834" s="10">
        <f t="shared" si="59"/>
        <v>5</v>
      </c>
    </row>
    <row r="2835" spans="11:34" ht="14.5" x14ac:dyDescent="0.35">
      <c r="K2835" s="4"/>
      <c r="AC2835" s="7">
        <v>2022</v>
      </c>
      <c r="AD2835" s="7">
        <v>4</v>
      </c>
      <c r="AE2835" s="7">
        <v>29</v>
      </c>
      <c r="AF2835" s="8">
        <v>4.1666666666666664E-2</v>
      </c>
      <c r="AG2835" s="9">
        <v>3.6</v>
      </c>
      <c r="AH2835" s="10">
        <f t="shared" si="59"/>
        <v>4</v>
      </c>
    </row>
    <row r="2836" spans="11:34" ht="14.5" x14ac:dyDescent="0.35">
      <c r="K2836" s="4"/>
      <c r="AC2836" s="7">
        <v>2022</v>
      </c>
      <c r="AD2836" s="7">
        <v>4</v>
      </c>
      <c r="AE2836" s="7">
        <v>29</v>
      </c>
      <c r="AF2836" s="8">
        <v>8.3333333333333329E-2</v>
      </c>
      <c r="AG2836" s="9">
        <v>1.5</v>
      </c>
      <c r="AH2836" s="10">
        <f t="shared" si="59"/>
        <v>2</v>
      </c>
    </row>
    <row r="2837" spans="11:34" ht="14.5" x14ac:dyDescent="0.35">
      <c r="K2837" s="4"/>
      <c r="AC2837" s="7">
        <v>2022</v>
      </c>
      <c r="AD2837" s="7">
        <v>4</v>
      </c>
      <c r="AE2837" s="7">
        <v>29</v>
      </c>
      <c r="AF2837" s="8">
        <v>0.125</v>
      </c>
      <c r="AG2837" s="9">
        <v>2.1</v>
      </c>
      <c r="AH2837" s="10">
        <f t="shared" si="59"/>
        <v>2</v>
      </c>
    </row>
    <row r="2838" spans="11:34" ht="14.5" x14ac:dyDescent="0.35">
      <c r="K2838" s="4"/>
      <c r="AC2838" s="7">
        <v>2022</v>
      </c>
      <c r="AD2838" s="7">
        <v>4</v>
      </c>
      <c r="AE2838" s="7">
        <v>29</v>
      </c>
      <c r="AF2838" s="8">
        <v>0.16666666666666666</v>
      </c>
      <c r="AG2838" s="9">
        <v>1</v>
      </c>
      <c r="AH2838" s="10">
        <f t="shared" si="59"/>
        <v>1</v>
      </c>
    </row>
    <row r="2839" spans="11:34" ht="14.5" x14ac:dyDescent="0.35">
      <c r="K2839" s="4"/>
      <c r="AC2839" s="7">
        <v>2022</v>
      </c>
      <c r="AD2839" s="7">
        <v>4</v>
      </c>
      <c r="AE2839" s="7">
        <v>29</v>
      </c>
      <c r="AF2839" s="8">
        <v>0.20833333333333334</v>
      </c>
      <c r="AG2839" s="9">
        <v>0.6</v>
      </c>
      <c r="AH2839" s="10">
        <f t="shared" si="59"/>
        <v>1</v>
      </c>
    </row>
    <row r="2840" spans="11:34" ht="14.5" x14ac:dyDescent="0.35">
      <c r="K2840" s="4"/>
      <c r="AC2840" s="7">
        <v>2022</v>
      </c>
      <c r="AD2840" s="7">
        <v>4</v>
      </c>
      <c r="AE2840" s="7">
        <v>29</v>
      </c>
      <c r="AF2840" s="8">
        <v>0.25</v>
      </c>
      <c r="AG2840" s="9">
        <v>0</v>
      </c>
      <c r="AH2840" s="10">
        <f t="shared" si="59"/>
        <v>0</v>
      </c>
    </row>
    <row r="2841" spans="11:34" ht="14.5" x14ac:dyDescent="0.35">
      <c r="K2841" s="4"/>
      <c r="AC2841" s="7">
        <v>2022</v>
      </c>
      <c r="AD2841" s="7">
        <v>4</v>
      </c>
      <c r="AE2841" s="7">
        <v>29</v>
      </c>
      <c r="AF2841" s="8">
        <v>0.29166666666666669</v>
      </c>
      <c r="AG2841" s="9">
        <v>2.1</v>
      </c>
      <c r="AH2841" s="10">
        <f t="shared" si="59"/>
        <v>2</v>
      </c>
    </row>
    <row r="2842" spans="11:34" ht="14.5" x14ac:dyDescent="0.35">
      <c r="K2842" s="4"/>
      <c r="AC2842" s="7">
        <v>2022</v>
      </c>
      <c r="AD2842" s="7">
        <v>4</v>
      </c>
      <c r="AE2842" s="7">
        <v>29</v>
      </c>
      <c r="AF2842" s="8">
        <v>0.33333333333333331</v>
      </c>
      <c r="AG2842" s="9">
        <v>3.6</v>
      </c>
      <c r="AH2842" s="10">
        <f t="shared" si="59"/>
        <v>4</v>
      </c>
    </row>
    <row r="2843" spans="11:34" ht="14.5" x14ac:dyDescent="0.35">
      <c r="K2843" s="4"/>
      <c r="AC2843" s="7">
        <v>2022</v>
      </c>
      <c r="AD2843" s="7">
        <v>4</v>
      </c>
      <c r="AE2843" s="7">
        <v>29</v>
      </c>
      <c r="AF2843" s="8">
        <v>0.375</v>
      </c>
      <c r="AG2843" s="9">
        <v>4.8</v>
      </c>
      <c r="AH2843" s="10">
        <f t="shared" si="59"/>
        <v>5</v>
      </c>
    </row>
    <row r="2844" spans="11:34" ht="14.5" x14ac:dyDescent="0.35">
      <c r="K2844" s="4"/>
      <c r="AC2844" s="7">
        <v>2022</v>
      </c>
      <c r="AD2844" s="7">
        <v>4</v>
      </c>
      <c r="AE2844" s="7">
        <v>29</v>
      </c>
      <c r="AF2844" s="8">
        <v>0.41666666666666669</v>
      </c>
      <c r="AG2844" s="9">
        <v>6.7</v>
      </c>
      <c r="AH2844" s="10">
        <f t="shared" si="59"/>
        <v>7</v>
      </c>
    </row>
    <row r="2845" spans="11:34" ht="14.5" x14ac:dyDescent="0.35">
      <c r="K2845" s="4"/>
      <c r="AC2845" s="7">
        <v>2022</v>
      </c>
      <c r="AD2845" s="7">
        <v>4</v>
      </c>
      <c r="AE2845" s="7">
        <v>29</v>
      </c>
      <c r="AF2845" s="8">
        <v>0.45833333333333331</v>
      </c>
      <c r="AG2845" s="9">
        <v>7.9</v>
      </c>
      <c r="AH2845" s="10">
        <f t="shared" si="59"/>
        <v>8</v>
      </c>
    </row>
    <row r="2846" spans="11:34" ht="14.5" x14ac:dyDescent="0.35">
      <c r="K2846" s="4"/>
      <c r="AC2846" s="7">
        <v>2022</v>
      </c>
      <c r="AD2846" s="7">
        <v>4</v>
      </c>
      <c r="AE2846" s="7">
        <v>29</v>
      </c>
      <c r="AF2846" s="8">
        <v>0.5</v>
      </c>
      <c r="AG2846" s="9">
        <v>9.6999999999999993</v>
      </c>
      <c r="AH2846" s="10">
        <f t="shared" si="59"/>
        <v>10</v>
      </c>
    </row>
    <row r="2847" spans="11:34" ht="14.5" x14ac:dyDescent="0.35">
      <c r="K2847" s="4"/>
      <c r="AC2847" s="7">
        <v>2022</v>
      </c>
      <c r="AD2847" s="7">
        <v>4</v>
      </c>
      <c r="AE2847" s="7">
        <v>29</v>
      </c>
      <c r="AF2847" s="8">
        <v>0.54166666666666663</v>
      </c>
      <c r="AG2847" s="9">
        <v>9.5</v>
      </c>
      <c r="AH2847" s="10">
        <f t="shared" si="59"/>
        <v>10</v>
      </c>
    </row>
    <row r="2848" spans="11:34" ht="14.5" x14ac:dyDescent="0.35">
      <c r="K2848" s="4"/>
      <c r="AC2848" s="7">
        <v>2022</v>
      </c>
      <c r="AD2848" s="7">
        <v>4</v>
      </c>
      <c r="AE2848" s="7">
        <v>29</v>
      </c>
      <c r="AF2848" s="8">
        <v>0.58333333333333337</v>
      </c>
      <c r="AG2848" s="9">
        <v>11.1</v>
      </c>
      <c r="AH2848" s="10">
        <f t="shared" si="59"/>
        <v>11</v>
      </c>
    </row>
    <row r="2849" spans="11:34" ht="14.5" x14ac:dyDescent="0.35">
      <c r="K2849" s="4"/>
      <c r="AC2849" s="7">
        <v>2022</v>
      </c>
      <c r="AD2849" s="7">
        <v>4</v>
      </c>
      <c r="AE2849" s="7">
        <v>29</v>
      </c>
      <c r="AF2849" s="8">
        <v>0.625</v>
      </c>
      <c r="AG2849" s="9">
        <v>11.3</v>
      </c>
      <c r="AH2849" s="10">
        <f t="shared" si="59"/>
        <v>11</v>
      </c>
    </row>
    <row r="2850" spans="11:34" ht="14.5" x14ac:dyDescent="0.35">
      <c r="K2850" s="4"/>
      <c r="AC2850" s="7">
        <v>2022</v>
      </c>
      <c r="AD2850" s="7">
        <v>4</v>
      </c>
      <c r="AE2850" s="7">
        <v>29</v>
      </c>
      <c r="AF2850" s="8">
        <v>0.66666666666666663</v>
      </c>
      <c r="AG2850" s="9">
        <v>11.3</v>
      </c>
      <c r="AH2850" s="10">
        <f t="shared" si="59"/>
        <v>11</v>
      </c>
    </row>
    <row r="2851" spans="11:34" ht="14.5" x14ac:dyDescent="0.35">
      <c r="K2851" s="4"/>
      <c r="AC2851" s="7">
        <v>2022</v>
      </c>
      <c r="AD2851" s="7">
        <v>4</v>
      </c>
      <c r="AE2851" s="7">
        <v>29</v>
      </c>
      <c r="AF2851" s="8">
        <v>0.70833333333333337</v>
      </c>
      <c r="AG2851" s="9">
        <v>11.2</v>
      </c>
      <c r="AH2851" s="10">
        <f t="shared" si="59"/>
        <v>11</v>
      </c>
    </row>
    <row r="2852" spans="11:34" ht="14.5" x14ac:dyDescent="0.35">
      <c r="K2852" s="4"/>
      <c r="AC2852" s="7">
        <v>2022</v>
      </c>
      <c r="AD2852" s="7">
        <v>4</v>
      </c>
      <c r="AE2852" s="7">
        <v>29</v>
      </c>
      <c r="AF2852" s="8">
        <v>0.75</v>
      </c>
      <c r="AG2852" s="9">
        <v>11.1</v>
      </c>
      <c r="AH2852" s="10">
        <f t="shared" si="59"/>
        <v>11</v>
      </c>
    </row>
    <row r="2853" spans="11:34" ht="14.5" x14ac:dyDescent="0.35">
      <c r="K2853" s="4"/>
      <c r="AC2853" s="7">
        <v>2022</v>
      </c>
      <c r="AD2853" s="7">
        <v>4</v>
      </c>
      <c r="AE2853" s="7">
        <v>29</v>
      </c>
      <c r="AF2853" s="8">
        <v>0.79166666666666663</v>
      </c>
      <c r="AG2853" s="9">
        <v>8.1</v>
      </c>
      <c r="AH2853" s="10">
        <f t="shared" si="59"/>
        <v>8</v>
      </c>
    </row>
    <row r="2854" spans="11:34" ht="14.5" x14ac:dyDescent="0.35">
      <c r="K2854" s="4"/>
      <c r="AC2854" s="7">
        <v>2022</v>
      </c>
      <c r="AD2854" s="7">
        <v>4</v>
      </c>
      <c r="AE2854" s="7">
        <v>29</v>
      </c>
      <c r="AF2854" s="8">
        <v>0.83333333333333337</v>
      </c>
      <c r="AG2854" s="9">
        <v>5.6</v>
      </c>
      <c r="AH2854" s="10">
        <f t="shared" si="59"/>
        <v>6</v>
      </c>
    </row>
    <row r="2855" spans="11:34" ht="14.5" x14ac:dyDescent="0.35">
      <c r="K2855" s="4"/>
      <c r="AC2855" s="7">
        <v>2022</v>
      </c>
      <c r="AD2855" s="7">
        <v>4</v>
      </c>
      <c r="AE2855" s="7">
        <v>29</v>
      </c>
      <c r="AF2855" s="8">
        <v>0.875</v>
      </c>
      <c r="AG2855" s="9">
        <v>4.4000000000000004</v>
      </c>
      <c r="AH2855" s="10">
        <f t="shared" si="59"/>
        <v>4</v>
      </c>
    </row>
    <row r="2856" spans="11:34" ht="14.5" x14ac:dyDescent="0.35">
      <c r="K2856" s="4"/>
      <c r="AC2856" s="7">
        <v>2022</v>
      </c>
      <c r="AD2856" s="7">
        <v>4</v>
      </c>
      <c r="AE2856" s="7">
        <v>29</v>
      </c>
      <c r="AF2856" s="8">
        <v>0.91666666666666663</v>
      </c>
      <c r="AG2856" s="9">
        <v>3.4</v>
      </c>
      <c r="AH2856" s="10">
        <f t="shared" si="59"/>
        <v>3</v>
      </c>
    </row>
    <row r="2857" spans="11:34" ht="14.5" x14ac:dyDescent="0.35">
      <c r="K2857" s="4"/>
      <c r="AC2857" s="7">
        <v>2022</v>
      </c>
      <c r="AD2857" s="7">
        <v>4</v>
      </c>
      <c r="AE2857" s="7">
        <v>29</v>
      </c>
      <c r="AF2857" s="8">
        <v>0.95833333333333337</v>
      </c>
      <c r="AG2857" s="9">
        <v>3.9</v>
      </c>
      <c r="AH2857" s="10">
        <f t="shared" si="59"/>
        <v>4</v>
      </c>
    </row>
    <row r="2858" spans="11:34" ht="14.5" x14ac:dyDescent="0.35">
      <c r="K2858" s="4"/>
      <c r="AC2858" s="7">
        <v>2022</v>
      </c>
      <c r="AD2858" s="7">
        <v>4</v>
      </c>
      <c r="AE2858" s="7">
        <v>30</v>
      </c>
      <c r="AF2858" s="8">
        <v>0</v>
      </c>
      <c r="AG2858" s="9">
        <v>4.4000000000000004</v>
      </c>
      <c r="AH2858" s="10">
        <f t="shared" si="59"/>
        <v>4</v>
      </c>
    </row>
    <row r="2859" spans="11:34" ht="14.5" x14ac:dyDescent="0.35">
      <c r="K2859" s="4"/>
      <c r="AC2859" s="7">
        <v>2022</v>
      </c>
      <c r="AD2859" s="7">
        <v>4</v>
      </c>
      <c r="AE2859" s="7">
        <v>30</v>
      </c>
      <c r="AF2859" s="8">
        <v>4.1666666666666664E-2</v>
      </c>
      <c r="AG2859" s="9">
        <v>3.6</v>
      </c>
      <c r="AH2859" s="10">
        <f t="shared" si="59"/>
        <v>4</v>
      </c>
    </row>
    <row r="2860" spans="11:34" ht="14.5" x14ac:dyDescent="0.35">
      <c r="K2860" s="4"/>
      <c r="AC2860" s="7">
        <v>2022</v>
      </c>
      <c r="AD2860" s="7">
        <v>4</v>
      </c>
      <c r="AE2860" s="7">
        <v>30</v>
      </c>
      <c r="AF2860" s="8">
        <v>8.3333333333333329E-2</v>
      </c>
      <c r="AG2860" s="9">
        <v>1</v>
      </c>
      <c r="AH2860" s="10">
        <f t="shared" si="59"/>
        <v>1</v>
      </c>
    </row>
    <row r="2861" spans="11:34" ht="14.5" x14ac:dyDescent="0.35">
      <c r="K2861" s="4"/>
      <c r="AC2861" s="7">
        <v>2022</v>
      </c>
      <c r="AD2861" s="7">
        <v>4</v>
      </c>
      <c r="AE2861" s="7">
        <v>30</v>
      </c>
      <c r="AF2861" s="8">
        <v>0.125</v>
      </c>
      <c r="AG2861" s="9">
        <v>0.7</v>
      </c>
      <c r="AH2861" s="10">
        <f t="shared" si="59"/>
        <v>1</v>
      </c>
    </row>
    <row r="2862" spans="11:34" ht="14.5" x14ac:dyDescent="0.35">
      <c r="K2862" s="4"/>
      <c r="AC2862" s="7">
        <v>2022</v>
      </c>
      <c r="AD2862" s="7">
        <v>4</v>
      </c>
      <c r="AE2862" s="7">
        <v>30</v>
      </c>
      <c r="AF2862" s="8">
        <v>0.16666666666666666</v>
      </c>
      <c r="AG2862" s="9">
        <v>0.6</v>
      </c>
      <c r="AH2862" s="10">
        <f t="shared" si="59"/>
        <v>1</v>
      </c>
    </row>
    <row r="2863" spans="11:34" ht="14.5" x14ac:dyDescent="0.35">
      <c r="K2863" s="4"/>
      <c r="AC2863" s="7">
        <v>2022</v>
      </c>
      <c r="AD2863" s="7">
        <v>4</v>
      </c>
      <c r="AE2863" s="7">
        <v>30</v>
      </c>
      <c r="AF2863" s="8">
        <v>0.20833333333333334</v>
      </c>
      <c r="AG2863" s="9">
        <v>-1.3</v>
      </c>
      <c r="AH2863" s="10">
        <f t="shared" si="59"/>
        <v>-1</v>
      </c>
    </row>
    <row r="2864" spans="11:34" ht="14.5" x14ac:dyDescent="0.35">
      <c r="K2864" s="4"/>
      <c r="AC2864" s="7">
        <v>2022</v>
      </c>
      <c r="AD2864" s="7">
        <v>4</v>
      </c>
      <c r="AE2864" s="7">
        <v>30</v>
      </c>
      <c r="AF2864" s="8">
        <v>0.25</v>
      </c>
      <c r="AG2864" s="9">
        <v>-0.7</v>
      </c>
      <c r="AH2864" s="10">
        <f t="shared" si="59"/>
        <v>-1</v>
      </c>
    </row>
    <row r="2865" spans="11:34" ht="14.5" x14ac:dyDescent="0.35">
      <c r="K2865" s="4"/>
      <c r="AC2865" s="7">
        <v>2022</v>
      </c>
      <c r="AD2865" s="7">
        <v>4</v>
      </c>
      <c r="AE2865" s="7">
        <v>30</v>
      </c>
      <c r="AF2865" s="8">
        <v>0.29166666666666669</v>
      </c>
      <c r="AG2865" s="9">
        <v>1.3</v>
      </c>
      <c r="AH2865" s="10">
        <f t="shared" si="59"/>
        <v>1</v>
      </c>
    </row>
    <row r="2866" spans="11:34" ht="14.5" x14ac:dyDescent="0.35">
      <c r="K2866" s="4"/>
      <c r="AC2866" s="7">
        <v>2022</v>
      </c>
      <c r="AD2866" s="7">
        <v>4</v>
      </c>
      <c r="AE2866" s="7">
        <v>30</v>
      </c>
      <c r="AF2866" s="8">
        <v>0.33333333333333331</v>
      </c>
      <c r="AG2866" s="9">
        <v>3.6</v>
      </c>
      <c r="AH2866" s="10">
        <f t="shared" si="59"/>
        <v>4</v>
      </c>
    </row>
    <row r="2867" spans="11:34" ht="14.5" x14ac:dyDescent="0.35">
      <c r="K2867" s="4"/>
      <c r="AC2867" s="7">
        <v>2022</v>
      </c>
      <c r="AD2867" s="7">
        <v>4</v>
      </c>
      <c r="AE2867" s="7">
        <v>30</v>
      </c>
      <c r="AF2867" s="8">
        <v>0.375</v>
      </c>
      <c r="AG2867" s="9">
        <v>5.0999999999999996</v>
      </c>
      <c r="AH2867" s="10">
        <f t="shared" si="59"/>
        <v>5</v>
      </c>
    </row>
    <row r="2868" spans="11:34" ht="14.5" x14ac:dyDescent="0.35">
      <c r="K2868" s="4"/>
      <c r="AC2868" s="7">
        <v>2022</v>
      </c>
      <c r="AD2868" s="7">
        <v>4</v>
      </c>
      <c r="AE2868" s="7">
        <v>30</v>
      </c>
      <c r="AF2868" s="8">
        <v>0.41666666666666669</v>
      </c>
      <c r="AG2868" s="9">
        <v>7.7</v>
      </c>
      <c r="AH2868" s="10">
        <f t="shared" si="59"/>
        <v>8</v>
      </c>
    </row>
    <row r="2869" spans="11:34" ht="14.5" x14ac:dyDescent="0.35">
      <c r="K2869" s="4"/>
      <c r="AC2869" s="7">
        <v>2022</v>
      </c>
      <c r="AD2869" s="7">
        <v>4</v>
      </c>
      <c r="AE2869" s="7">
        <v>30</v>
      </c>
      <c r="AF2869" s="8">
        <v>0.45833333333333331</v>
      </c>
      <c r="AG2869" s="9">
        <v>9.6</v>
      </c>
      <c r="AH2869" s="10">
        <f t="shared" si="59"/>
        <v>10</v>
      </c>
    </row>
    <row r="2870" spans="11:34" ht="14.5" x14ac:dyDescent="0.35">
      <c r="K2870" s="4"/>
      <c r="AC2870" s="7">
        <v>2022</v>
      </c>
      <c r="AD2870" s="7">
        <v>4</v>
      </c>
      <c r="AE2870" s="7">
        <v>30</v>
      </c>
      <c r="AF2870" s="8">
        <v>0.5</v>
      </c>
      <c r="AG2870" s="9">
        <v>10.9</v>
      </c>
      <c r="AH2870" s="10">
        <f t="shared" si="59"/>
        <v>11</v>
      </c>
    </row>
    <row r="2871" spans="11:34" ht="14.5" x14ac:dyDescent="0.35">
      <c r="K2871" s="4"/>
      <c r="AC2871" s="7">
        <v>2022</v>
      </c>
      <c r="AD2871" s="7">
        <v>4</v>
      </c>
      <c r="AE2871" s="7">
        <v>30</v>
      </c>
      <c r="AF2871" s="8">
        <v>0.54166666666666663</v>
      </c>
      <c r="AG2871" s="9">
        <v>12.8</v>
      </c>
      <c r="AH2871" s="10">
        <f t="shared" si="59"/>
        <v>13</v>
      </c>
    </row>
    <row r="2872" spans="11:34" ht="14.5" x14ac:dyDescent="0.35">
      <c r="K2872" s="4"/>
      <c r="AC2872" s="7">
        <v>2022</v>
      </c>
      <c r="AD2872" s="7">
        <v>4</v>
      </c>
      <c r="AE2872" s="7">
        <v>30</v>
      </c>
      <c r="AF2872" s="8">
        <v>0.58333333333333337</v>
      </c>
      <c r="AG2872" s="9">
        <v>13</v>
      </c>
      <c r="AH2872" s="10">
        <f t="shared" si="59"/>
        <v>13</v>
      </c>
    </row>
    <row r="2873" spans="11:34" ht="14.5" x14ac:dyDescent="0.35">
      <c r="K2873" s="4"/>
      <c r="AC2873" s="7">
        <v>2022</v>
      </c>
      <c r="AD2873" s="7">
        <v>4</v>
      </c>
      <c r="AE2873" s="7">
        <v>30</v>
      </c>
      <c r="AF2873" s="8">
        <v>0.625</v>
      </c>
      <c r="AG2873" s="9">
        <v>12.6</v>
      </c>
      <c r="AH2873" s="10">
        <f t="shared" si="59"/>
        <v>13</v>
      </c>
    </row>
    <row r="2874" spans="11:34" ht="14.5" x14ac:dyDescent="0.35">
      <c r="K2874" s="4"/>
      <c r="AC2874" s="7">
        <v>2022</v>
      </c>
      <c r="AD2874" s="7">
        <v>4</v>
      </c>
      <c r="AE2874" s="7">
        <v>30</v>
      </c>
      <c r="AF2874" s="8">
        <v>0.66666666666666663</v>
      </c>
      <c r="AG2874" s="9">
        <v>12.1</v>
      </c>
      <c r="AH2874" s="10">
        <f t="shared" si="59"/>
        <v>12</v>
      </c>
    </row>
    <row r="2875" spans="11:34" ht="14.5" x14ac:dyDescent="0.35">
      <c r="K2875" s="4"/>
      <c r="AC2875" s="7">
        <v>2022</v>
      </c>
      <c r="AD2875" s="7">
        <v>4</v>
      </c>
      <c r="AE2875" s="7">
        <v>30</v>
      </c>
      <c r="AF2875" s="8">
        <v>0.70833333333333337</v>
      </c>
      <c r="AG2875" s="9">
        <v>12.3</v>
      </c>
      <c r="AH2875" s="10">
        <f t="shared" si="59"/>
        <v>12</v>
      </c>
    </row>
    <row r="2876" spans="11:34" ht="14.5" x14ac:dyDescent="0.35">
      <c r="K2876" s="4"/>
      <c r="AC2876" s="7">
        <v>2022</v>
      </c>
      <c r="AD2876" s="7">
        <v>4</v>
      </c>
      <c r="AE2876" s="7">
        <v>30</v>
      </c>
      <c r="AF2876" s="8">
        <v>0.75</v>
      </c>
      <c r="AG2876" s="9">
        <v>11.5</v>
      </c>
      <c r="AH2876" s="10">
        <f t="shared" si="59"/>
        <v>12</v>
      </c>
    </row>
    <row r="2877" spans="11:34" ht="14.5" x14ac:dyDescent="0.35">
      <c r="K2877" s="4"/>
      <c r="AC2877" s="7">
        <v>2022</v>
      </c>
      <c r="AD2877" s="7">
        <v>4</v>
      </c>
      <c r="AE2877" s="7">
        <v>30</v>
      </c>
      <c r="AF2877" s="8">
        <v>0.79166666666666663</v>
      </c>
      <c r="AG2877" s="9">
        <v>11.1</v>
      </c>
      <c r="AH2877" s="10">
        <f t="shared" si="59"/>
        <v>11</v>
      </c>
    </row>
    <row r="2878" spans="11:34" ht="14.5" x14ac:dyDescent="0.35">
      <c r="K2878" s="4"/>
      <c r="AC2878" s="7">
        <v>2022</v>
      </c>
      <c r="AD2878" s="7">
        <v>4</v>
      </c>
      <c r="AE2878" s="7">
        <v>30</v>
      </c>
      <c r="AF2878" s="8">
        <v>0.83333333333333337</v>
      </c>
      <c r="AG2878" s="9">
        <v>10.8</v>
      </c>
      <c r="AH2878" s="10">
        <f t="shared" si="59"/>
        <v>11</v>
      </c>
    </row>
    <row r="2879" spans="11:34" ht="14.5" x14ac:dyDescent="0.35">
      <c r="K2879" s="4"/>
      <c r="AC2879" s="7">
        <v>2022</v>
      </c>
      <c r="AD2879" s="7">
        <v>4</v>
      </c>
      <c r="AE2879" s="7">
        <v>30</v>
      </c>
      <c r="AF2879" s="8">
        <v>0.875</v>
      </c>
      <c r="AG2879" s="9">
        <v>9.6999999999999993</v>
      </c>
      <c r="AH2879" s="10">
        <f t="shared" si="59"/>
        <v>10</v>
      </c>
    </row>
    <row r="2880" spans="11:34" ht="14.5" x14ac:dyDescent="0.35">
      <c r="K2880" s="4"/>
      <c r="AC2880" s="7">
        <v>2022</v>
      </c>
      <c r="AD2880" s="7">
        <v>4</v>
      </c>
      <c r="AE2880" s="7">
        <v>30</v>
      </c>
      <c r="AF2880" s="8">
        <v>0.91666666666666663</v>
      </c>
      <c r="AG2880" s="9">
        <v>10.1</v>
      </c>
      <c r="AH2880" s="10">
        <f t="shared" si="59"/>
        <v>10</v>
      </c>
    </row>
    <row r="2881" spans="11:34" ht="14.5" x14ac:dyDescent="0.35">
      <c r="K2881" s="4"/>
      <c r="AC2881" s="7">
        <v>2022</v>
      </c>
      <c r="AD2881" s="7">
        <v>4</v>
      </c>
      <c r="AE2881" s="7">
        <v>30</v>
      </c>
      <c r="AF2881" s="8">
        <v>0.95833333333333337</v>
      </c>
      <c r="AG2881" s="9">
        <v>9.5</v>
      </c>
      <c r="AH2881" s="10">
        <f t="shared" si="59"/>
        <v>10</v>
      </c>
    </row>
    <row r="2882" spans="11:34" ht="14.5" x14ac:dyDescent="0.35">
      <c r="K2882" s="4"/>
      <c r="AC2882" s="7">
        <v>2022</v>
      </c>
      <c r="AD2882" s="7">
        <v>5</v>
      </c>
      <c r="AE2882" s="7">
        <v>1</v>
      </c>
      <c r="AF2882" s="8">
        <v>0</v>
      </c>
      <c r="AG2882" s="9">
        <v>8.9</v>
      </c>
      <c r="AH2882" s="10">
        <f t="shared" si="59"/>
        <v>9</v>
      </c>
    </row>
    <row r="2883" spans="11:34" ht="14.5" x14ac:dyDescent="0.35">
      <c r="K2883" s="4"/>
      <c r="AC2883" s="7">
        <v>2022</v>
      </c>
      <c r="AD2883" s="7">
        <v>5</v>
      </c>
      <c r="AE2883" s="7">
        <v>1</v>
      </c>
      <c r="AF2883" s="8">
        <v>4.1666666666666664E-2</v>
      </c>
      <c r="AG2883" s="9">
        <v>7.5</v>
      </c>
      <c r="AH2883" s="10">
        <f t="shared" si="59"/>
        <v>8</v>
      </c>
    </row>
    <row r="2884" spans="11:34" ht="14.5" x14ac:dyDescent="0.35">
      <c r="K2884" s="4"/>
      <c r="AC2884" s="7">
        <v>2022</v>
      </c>
      <c r="AD2884" s="7">
        <v>5</v>
      </c>
      <c r="AE2884" s="7">
        <v>1</v>
      </c>
      <c r="AF2884" s="8">
        <v>8.3333333333333329E-2</v>
      </c>
      <c r="AG2884" s="9">
        <v>6.4</v>
      </c>
      <c r="AH2884" s="10">
        <f t="shared" si="59"/>
        <v>6</v>
      </c>
    </row>
    <row r="2885" spans="11:34" ht="14.5" x14ac:dyDescent="0.35">
      <c r="K2885" s="4"/>
      <c r="AC2885" s="7">
        <v>2022</v>
      </c>
      <c r="AD2885" s="7">
        <v>5</v>
      </c>
      <c r="AE2885" s="7">
        <v>1</v>
      </c>
      <c r="AF2885" s="8">
        <v>0.125</v>
      </c>
      <c r="AG2885" s="9">
        <v>5.5</v>
      </c>
      <c r="AH2885" s="10">
        <f t="shared" si="59"/>
        <v>6</v>
      </c>
    </row>
    <row r="2886" spans="11:34" ht="14.5" x14ac:dyDescent="0.35">
      <c r="K2886" s="4"/>
      <c r="AC2886" s="7">
        <v>2022</v>
      </c>
      <c r="AD2886" s="7">
        <v>5</v>
      </c>
      <c r="AE2886" s="7">
        <v>1</v>
      </c>
      <c r="AF2886" s="8">
        <v>0.16666666666666666</v>
      </c>
      <c r="AG2886" s="9">
        <v>3.7</v>
      </c>
      <c r="AH2886" s="10">
        <f t="shared" si="59"/>
        <v>4</v>
      </c>
    </row>
    <row r="2887" spans="11:34" ht="14.5" x14ac:dyDescent="0.35">
      <c r="K2887" s="4"/>
      <c r="AC2887" s="7">
        <v>2022</v>
      </c>
      <c r="AD2887" s="7">
        <v>5</v>
      </c>
      <c r="AE2887" s="7">
        <v>1</v>
      </c>
      <c r="AF2887" s="8">
        <v>0.20833333333333334</v>
      </c>
      <c r="AG2887" s="9">
        <v>3.6</v>
      </c>
      <c r="AH2887" s="10">
        <f t="shared" si="59"/>
        <v>4</v>
      </c>
    </row>
    <row r="2888" spans="11:34" ht="14.5" x14ac:dyDescent="0.35">
      <c r="K2888" s="4"/>
      <c r="AC2888" s="7">
        <v>2022</v>
      </c>
      <c r="AD2888" s="7">
        <v>5</v>
      </c>
      <c r="AE2888" s="7">
        <v>1</v>
      </c>
      <c r="AF2888" s="8">
        <v>0.25</v>
      </c>
      <c r="AG2888" s="9">
        <v>4.3</v>
      </c>
      <c r="AH2888" s="10">
        <f t="shared" si="59"/>
        <v>4</v>
      </c>
    </row>
    <row r="2889" spans="11:34" ht="14.5" x14ac:dyDescent="0.35">
      <c r="K2889" s="4"/>
      <c r="AC2889" s="7">
        <v>2022</v>
      </c>
      <c r="AD2889" s="7">
        <v>5</v>
      </c>
      <c r="AE2889" s="7">
        <v>1</v>
      </c>
      <c r="AF2889" s="8">
        <v>0.29166666666666669</v>
      </c>
      <c r="AG2889" s="9">
        <v>5.2</v>
      </c>
      <c r="AH2889" s="10">
        <f t="shared" si="59"/>
        <v>5</v>
      </c>
    </row>
    <row r="2890" spans="11:34" ht="14.5" x14ac:dyDescent="0.35">
      <c r="K2890" s="4"/>
      <c r="AC2890" s="7">
        <v>2022</v>
      </c>
      <c r="AD2890" s="7">
        <v>5</v>
      </c>
      <c r="AE2890" s="7">
        <v>1</v>
      </c>
      <c r="AF2890" s="8">
        <v>0.33333333333333331</v>
      </c>
      <c r="AG2890" s="9">
        <v>7.7</v>
      </c>
      <c r="AH2890" s="10">
        <f t="shared" si="59"/>
        <v>8</v>
      </c>
    </row>
    <row r="2891" spans="11:34" ht="14.5" x14ac:dyDescent="0.35">
      <c r="K2891" s="4"/>
      <c r="AC2891" s="7">
        <v>2022</v>
      </c>
      <c r="AD2891" s="7">
        <v>5</v>
      </c>
      <c r="AE2891" s="7">
        <v>1</v>
      </c>
      <c r="AF2891" s="8">
        <v>0.375</v>
      </c>
      <c r="AG2891" s="9">
        <v>9.3000000000000007</v>
      </c>
      <c r="AH2891" s="10">
        <f t="shared" ref="AH2891:AH2954" si="60">ROUND(AG2891,0)</f>
        <v>9</v>
      </c>
    </row>
    <row r="2892" spans="11:34" ht="14.5" x14ac:dyDescent="0.35">
      <c r="K2892" s="4"/>
      <c r="AC2892" s="7">
        <v>2022</v>
      </c>
      <c r="AD2892" s="7">
        <v>5</v>
      </c>
      <c r="AE2892" s="7">
        <v>1</v>
      </c>
      <c r="AF2892" s="8">
        <v>0.41666666666666669</v>
      </c>
      <c r="AG2892" s="9">
        <v>10.6</v>
      </c>
      <c r="AH2892" s="10">
        <f t="shared" si="60"/>
        <v>11</v>
      </c>
    </row>
    <row r="2893" spans="11:34" ht="14.5" x14ac:dyDescent="0.35">
      <c r="K2893" s="4"/>
      <c r="AC2893" s="7">
        <v>2022</v>
      </c>
      <c r="AD2893" s="7">
        <v>5</v>
      </c>
      <c r="AE2893" s="7">
        <v>1</v>
      </c>
      <c r="AF2893" s="8">
        <v>0.45833333333333331</v>
      </c>
      <c r="AG2893" s="9">
        <v>12.1</v>
      </c>
      <c r="AH2893" s="10">
        <f t="shared" si="60"/>
        <v>12</v>
      </c>
    </row>
    <row r="2894" spans="11:34" ht="14.5" x14ac:dyDescent="0.35">
      <c r="K2894" s="4"/>
      <c r="AC2894" s="7">
        <v>2022</v>
      </c>
      <c r="AD2894" s="7">
        <v>5</v>
      </c>
      <c r="AE2894" s="7">
        <v>1</v>
      </c>
      <c r="AF2894" s="8">
        <v>0.5</v>
      </c>
      <c r="AG2894" s="9">
        <v>12.8</v>
      </c>
      <c r="AH2894" s="10">
        <f t="shared" si="60"/>
        <v>13</v>
      </c>
    </row>
    <row r="2895" spans="11:34" ht="14.5" x14ac:dyDescent="0.35">
      <c r="K2895" s="4"/>
      <c r="AC2895" s="7">
        <v>2022</v>
      </c>
      <c r="AD2895" s="7">
        <v>5</v>
      </c>
      <c r="AE2895" s="7">
        <v>1</v>
      </c>
      <c r="AF2895" s="8">
        <v>0.54166666666666663</v>
      </c>
      <c r="AG2895" s="9">
        <v>13.8</v>
      </c>
      <c r="AH2895" s="10">
        <f t="shared" si="60"/>
        <v>14</v>
      </c>
    </row>
    <row r="2896" spans="11:34" ht="14.5" x14ac:dyDescent="0.35">
      <c r="K2896" s="4"/>
      <c r="AC2896" s="7">
        <v>2022</v>
      </c>
      <c r="AD2896" s="7">
        <v>5</v>
      </c>
      <c r="AE2896" s="7">
        <v>1</v>
      </c>
      <c r="AF2896" s="8">
        <v>0.58333333333333337</v>
      </c>
      <c r="AG2896" s="9">
        <v>12.3</v>
      </c>
      <c r="AH2896" s="10">
        <f t="shared" si="60"/>
        <v>12</v>
      </c>
    </row>
    <row r="2897" spans="11:34" ht="14.5" x14ac:dyDescent="0.35">
      <c r="K2897" s="4"/>
      <c r="AC2897" s="7">
        <v>2022</v>
      </c>
      <c r="AD2897" s="7">
        <v>5</v>
      </c>
      <c r="AE2897" s="7">
        <v>1</v>
      </c>
      <c r="AF2897" s="8">
        <v>0.625</v>
      </c>
      <c r="AG2897" s="9">
        <v>14.5</v>
      </c>
      <c r="AH2897" s="10">
        <f t="shared" si="60"/>
        <v>15</v>
      </c>
    </row>
    <row r="2898" spans="11:34" ht="14.5" x14ac:dyDescent="0.35">
      <c r="K2898" s="4"/>
      <c r="AC2898" s="7">
        <v>2022</v>
      </c>
      <c r="AD2898" s="7">
        <v>5</v>
      </c>
      <c r="AE2898" s="7">
        <v>1</v>
      </c>
      <c r="AF2898" s="8">
        <v>0.66666666666666663</v>
      </c>
      <c r="AG2898" s="9">
        <v>13.5</v>
      </c>
      <c r="AH2898" s="10">
        <f t="shared" si="60"/>
        <v>14</v>
      </c>
    </row>
    <row r="2899" spans="11:34" ht="14.5" x14ac:dyDescent="0.35">
      <c r="K2899" s="4"/>
      <c r="AC2899" s="7">
        <v>2022</v>
      </c>
      <c r="AD2899" s="7">
        <v>5</v>
      </c>
      <c r="AE2899" s="7">
        <v>1</v>
      </c>
      <c r="AF2899" s="8">
        <v>0.70833333333333337</v>
      </c>
      <c r="AG2899" s="9">
        <v>13</v>
      </c>
      <c r="AH2899" s="10">
        <f t="shared" si="60"/>
        <v>13</v>
      </c>
    </row>
    <row r="2900" spans="11:34" ht="14.5" x14ac:dyDescent="0.35">
      <c r="K2900" s="4"/>
      <c r="AC2900" s="7">
        <v>2022</v>
      </c>
      <c r="AD2900" s="7">
        <v>5</v>
      </c>
      <c r="AE2900" s="7">
        <v>1</v>
      </c>
      <c r="AF2900" s="8">
        <v>0.75</v>
      </c>
      <c r="AG2900" s="9">
        <v>12.4</v>
      </c>
      <c r="AH2900" s="10">
        <f t="shared" si="60"/>
        <v>12</v>
      </c>
    </row>
    <row r="2901" spans="11:34" ht="14.5" x14ac:dyDescent="0.35">
      <c r="K2901" s="4"/>
      <c r="AC2901" s="7">
        <v>2022</v>
      </c>
      <c r="AD2901" s="7">
        <v>5</v>
      </c>
      <c r="AE2901" s="7">
        <v>1</v>
      </c>
      <c r="AF2901" s="8">
        <v>0.79166666666666663</v>
      </c>
      <c r="AG2901" s="9">
        <v>11.8</v>
      </c>
      <c r="AH2901" s="10">
        <f t="shared" si="60"/>
        <v>12</v>
      </c>
    </row>
    <row r="2902" spans="11:34" ht="14.5" x14ac:dyDescent="0.35">
      <c r="K2902" s="4"/>
      <c r="AC2902" s="7">
        <v>2022</v>
      </c>
      <c r="AD2902" s="7">
        <v>5</v>
      </c>
      <c r="AE2902" s="7">
        <v>1</v>
      </c>
      <c r="AF2902" s="8">
        <v>0.83333333333333337</v>
      </c>
      <c r="AG2902" s="9">
        <v>10.9</v>
      </c>
      <c r="AH2902" s="10">
        <f t="shared" si="60"/>
        <v>11</v>
      </c>
    </row>
    <row r="2903" spans="11:34" ht="14.5" x14ac:dyDescent="0.35">
      <c r="K2903" s="4"/>
      <c r="AC2903" s="7">
        <v>2022</v>
      </c>
      <c r="AD2903" s="7">
        <v>5</v>
      </c>
      <c r="AE2903" s="7">
        <v>1</v>
      </c>
      <c r="AF2903" s="8">
        <v>0.875</v>
      </c>
      <c r="AG2903" s="9">
        <v>9.6999999999999993</v>
      </c>
      <c r="AH2903" s="10">
        <f t="shared" si="60"/>
        <v>10</v>
      </c>
    </row>
    <row r="2904" spans="11:34" ht="14.5" x14ac:dyDescent="0.35">
      <c r="K2904" s="4"/>
      <c r="AC2904" s="7">
        <v>2022</v>
      </c>
      <c r="AD2904" s="7">
        <v>5</v>
      </c>
      <c r="AE2904" s="7">
        <v>1</v>
      </c>
      <c r="AF2904" s="8">
        <v>0.91666666666666663</v>
      </c>
      <c r="AG2904" s="9">
        <v>9.6999999999999993</v>
      </c>
      <c r="AH2904" s="10">
        <f t="shared" si="60"/>
        <v>10</v>
      </c>
    </row>
    <row r="2905" spans="11:34" ht="14.5" x14ac:dyDescent="0.35">
      <c r="K2905" s="4"/>
      <c r="AC2905" s="7">
        <v>2022</v>
      </c>
      <c r="AD2905" s="7">
        <v>5</v>
      </c>
      <c r="AE2905" s="7">
        <v>1</v>
      </c>
      <c r="AF2905" s="8">
        <v>0.95833333333333337</v>
      </c>
      <c r="AG2905" s="9">
        <v>8.4</v>
      </c>
      <c r="AH2905" s="10">
        <f t="shared" si="60"/>
        <v>8</v>
      </c>
    </row>
    <row r="2906" spans="11:34" ht="14.5" x14ac:dyDescent="0.35">
      <c r="K2906" s="4"/>
      <c r="AC2906" s="7">
        <v>2022</v>
      </c>
      <c r="AD2906" s="7">
        <v>5</v>
      </c>
      <c r="AE2906" s="7">
        <v>2</v>
      </c>
      <c r="AF2906" s="8">
        <v>0</v>
      </c>
      <c r="AG2906" s="9">
        <v>5.9</v>
      </c>
      <c r="AH2906" s="10">
        <f t="shared" si="60"/>
        <v>6</v>
      </c>
    </row>
    <row r="2907" spans="11:34" ht="14.5" x14ac:dyDescent="0.35">
      <c r="K2907" s="4"/>
      <c r="AC2907" s="7">
        <v>2022</v>
      </c>
      <c r="AD2907" s="7">
        <v>5</v>
      </c>
      <c r="AE2907" s="7">
        <v>2</v>
      </c>
      <c r="AF2907" s="8">
        <v>4.1666666666666664E-2</v>
      </c>
      <c r="AG2907" s="9">
        <v>4.3</v>
      </c>
      <c r="AH2907" s="10">
        <f t="shared" si="60"/>
        <v>4</v>
      </c>
    </row>
    <row r="2908" spans="11:34" ht="14.5" x14ac:dyDescent="0.35">
      <c r="K2908" s="4"/>
      <c r="AC2908" s="7">
        <v>2022</v>
      </c>
      <c r="AD2908" s="7">
        <v>5</v>
      </c>
      <c r="AE2908" s="7">
        <v>2</v>
      </c>
      <c r="AF2908" s="8">
        <v>8.3333333333333329E-2</v>
      </c>
      <c r="AG2908" s="9">
        <v>2.1</v>
      </c>
      <c r="AH2908" s="10">
        <f t="shared" si="60"/>
        <v>2</v>
      </c>
    </row>
    <row r="2909" spans="11:34" ht="14.5" x14ac:dyDescent="0.35">
      <c r="K2909" s="4"/>
      <c r="AC2909" s="7">
        <v>2022</v>
      </c>
      <c r="AD2909" s="7">
        <v>5</v>
      </c>
      <c r="AE2909" s="7">
        <v>2</v>
      </c>
      <c r="AF2909" s="8">
        <v>0.125</v>
      </c>
      <c r="AG2909" s="9">
        <v>2.1</v>
      </c>
      <c r="AH2909" s="10">
        <f t="shared" si="60"/>
        <v>2</v>
      </c>
    </row>
    <row r="2910" spans="11:34" ht="14.5" x14ac:dyDescent="0.35">
      <c r="K2910" s="4"/>
      <c r="AC2910" s="7">
        <v>2022</v>
      </c>
      <c r="AD2910" s="7">
        <v>5</v>
      </c>
      <c r="AE2910" s="7">
        <v>2</v>
      </c>
      <c r="AF2910" s="8">
        <v>0.16666666666666666</v>
      </c>
      <c r="AG2910" s="9">
        <v>0.5</v>
      </c>
      <c r="AH2910" s="10">
        <f t="shared" si="60"/>
        <v>1</v>
      </c>
    </row>
    <row r="2911" spans="11:34" ht="14.5" x14ac:dyDescent="0.35">
      <c r="K2911" s="4"/>
      <c r="AC2911" s="7">
        <v>2022</v>
      </c>
      <c r="AD2911" s="7">
        <v>5</v>
      </c>
      <c r="AE2911" s="7">
        <v>2</v>
      </c>
      <c r="AF2911" s="8">
        <v>0.20833333333333334</v>
      </c>
      <c r="AG2911" s="9">
        <v>0.5</v>
      </c>
      <c r="AH2911" s="10">
        <f t="shared" si="60"/>
        <v>1</v>
      </c>
    </row>
    <row r="2912" spans="11:34" ht="14.5" x14ac:dyDescent="0.35">
      <c r="K2912" s="4"/>
      <c r="AC2912" s="7">
        <v>2022</v>
      </c>
      <c r="AD2912" s="7">
        <v>5</v>
      </c>
      <c r="AE2912" s="7">
        <v>2</v>
      </c>
      <c r="AF2912" s="8">
        <v>0.25</v>
      </c>
      <c r="AG2912" s="9">
        <v>3.4</v>
      </c>
      <c r="AH2912" s="10">
        <f t="shared" si="60"/>
        <v>3</v>
      </c>
    </row>
    <row r="2913" spans="11:34" ht="14.5" x14ac:dyDescent="0.35">
      <c r="K2913" s="4"/>
      <c r="AC2913" s="7">
        <v>2022</v>
      </c>
      <c r="AD2913" s="7">
        <v>5</v>
      </c>
      <c r="AE2913" s="7">
        <v>2</v>
      </c>
      <c r="AF2913" s="8">
        <v>0.29166666666666669</v>
      </c>
      <c r="AG2913" s="9">
        <v>5.0999999999999996</v>
      </c>
      <c r="AH2913" s="10">
        <f t="shared" si="60"/>
        <v>5</v>
      </c>
    </row>
    <row r="2914" spans="11:34" ht="14.5" x14ac:dyDescent="0.35">
      <c r="K2914" s="4"/>
      <c r="AC2914" s="7">
        <v>2022</v>
      </c>
      <c r="AD2914" s="7">
        <v>5</v>
      </c>
      <c r="AE2914" s="7">
        <v>2</v>
      </c>
      <c r="AF2914" s="8">
        <v>0.33333333333333331</v>
      </c>
      <c r="AG2914" s="9">
        <v>8.3000000000000007</v>
      </c>
      <c r="AH2914" s="10">
        <f t="shared" si="60"/>
        <v>8</v>
      </c>
    </row>
    <row r="2915" spans="11:34" ht="14.5" x14ac:dyDescent="0.35">
      <c r="K2915" s="4"/>
      <c r="AC2915" s="7">
        <v>2022</v>
      </c>
      <c r="AD2915" s="7">
        <v>5</v>
      </c>
      <c r="AE2915" s="7">
        <v>2</v>
      </c>
      <c r="AF2915" s="8">
        <v>0.375</v>
      </c>
      <c r="AG2915" s="9">
        <v>10</v>
      </c>
      <c r="AH2915" s="10">
        <f t="shared" si="60"/>
        <v>10</v>
      </c>
    </row>
    <row r="2916" spans="11:34" ht="14.5" x14ac:dyDescent="0.35">
      <c r="K2916" s="4"/>
      <c r="AC2916" s="7">
        <v>2022</v>
      </c>
      <c r="AD2916" s="7">
        <v>5</v>
      </c>
      <c r="AE2916" s="7">
        <v>2</v>
      </c>
      <c r="AF2916" s="8">
        <v>0.41666666666666669</v>
      </c>
      <c r="AG2916" s="9">
        <v>11.5</v>
      </c>
      <c r="AH2916" s="10">
        <f t="shared" si="60"/>
        <v>12</v>
      </c>
    </row>
    <row r="2917" spans="11:34" ht="14.5" x14ac:dyDescent="0.35">
      <c r="K2917" s="4"/>
      <c r="AC2917" s="7">
        <v>2022</v>
      </c>
      <c r="AD2917" s="7">
        <v>5</v>
      </c>
      <c r="AE2917" s="7">
        <v>2</v>
      </c>
      <c r="AF2917" s="8">
        <v>0.45833333333333331</v>
      </c>
      <c r="AG2917" s="9">
        <v>12.9</v>
      </c>
      <c r="AH2917" s="10">
        <f t="shared" si="60"/>
        <v>13</v>
      </c>
    </row>
    <row r="2918" spans="11:34" ht="14.5" x14ac:dyDescent="0.35">
      <c r="K2918" s="4"/>
      <c r="AC2918" s="7">
        <v>2022</v>
      </c>
      <c r="AD2918" s="7">
        <v>5</v>
      </c>
      <c r="AE2918" s="7">
        <v>2</v>
      </c>
      <c r="AF2918" s="8">
        <v>0.5</v>
      </c>
      <c r="AG2918" s="9">
        <v>14</v>
      </c>
      <c r="AH2918" s="10">
        <f t="shared" si="60"/>
        <v>14</v>
      </c>
    </row>
    <row r="2919" spans="11:34" ht="14.5" x14ac:dyDescent="0.35">
      <c r="K2919" s="4"/>
      <c r="AC2919" s="7">
        <v>2022</v>
      </c>
      <c r="AD2919" s="7">
        <v>5</v>
      </c>
      <c r="AE2919" s="7">
        <v>2</v>
      </c>
      <c r="AF2919" s="8">
        <v>0.54166666666666663</v>
      </c>
      <c r="AG2919" s="9">
        <v>13.7</v>
      </c>
      <c r="AH2919" s="10">
        <f t="shared" si="60"/>
        <v>14</v>
      </c>
    </row>
    <row r="2920" spans="11:34" ht="14.5" x14ac:dyDescent="0.35">
      <c r="K2920" s="4"/>
      <c r="AC2920" s="7">
        <v>2022</v>
      </c>
      <c r="AD2920" s="7">
        <v>5</v>
      </c>
      <c r="AE2920" s="7">
        <v>2</v>
      </c>
      <c r="AF2920" s="8">
        <v>0.58333333333333337</v>
      </c>
      <c r="AG2920" s="9">
        <v>14</v>
      </c>
      <c r="AH2920" s="10">
        <f t="shared" si="60"/>
        <v>14</v>
      </c>
    </row>
    <row r="2921" spans="11:34" ht="14.5" x14ac:dyDescent="0.35">
      <c r="K2921" s="4"/>
      <c r="AC2921" s="7">
        <v>2022</v>
      </c>
      <c r="AD2921" s="7">
        <v>5</v>
      </c>
      <c r="AE2921" s="7">
        <v>2</v>
      </c>
      <c r="AF2921" s="8">
        <v>0.625</v>
      </c>
      <c r="AG2921" s="9">
        <v>15.1</v>
      </c>
      <c r="AH2921" s="10">
        <f t="shared" si="60"/>
        <v>15</v>
      </c>
    </row>
    <row r="2922" spans="11:34" ht="14.5" x14ac:dyDescent="0.35">
      <c r="K2922" s="4"/>
      <c r="AC2922" s="7">
        <v>2022</v>
      </c>
      <c r="AD2922" s="7">
        <v>5</v>
      </c>
      <c r="AE2922" s="7">
        <v>2</v>
      </c>
      <c r="AF2922" s="8">
        <v>0.66666666666666663</v>
      </c>
      <c r="AG2922" s="9">
        <v>15.6</v>
      </c>
      <c r="AH2922" s="10">
        <f t="shared" si="60"/>
        <v>16</v>
      </c>
    </row>
    <row r="2923" spans="11:34" ht="14.5" x14ac:dyDescent="0.35">
      <c r="K2923" s="4"/>
      <c r="AC2923" s="7">
        <v>2022</v>
      </c>
      <c r="AD2923" s="7">
        <v>5</v>
      </c>
      <c r="AE2923" s="7">
        <v>2</v>
      </c>
      <c r="AF2923" s="8">
        <v>0.70833333333333337</v>
      </c>
      <c r="AG2923" s="9">
        <v>15</v>
      </c>
      <c r="AH2923" s="10">
        <f t="shared" si="60"/>
        <v>15</v>
      </c>
    </row>
    <row r="2924" spans="11:34" ht="14.5" x14ac:dyDescent="0.35">
      <c r="K2924" s="4"/>
      <c r="AC2924" s="7">
        <v>2022</v>
      </c>
      <c r="AD2924" s="7">
        <v>5</v>
      </c>
      <c r="AE2924" s="7">
        <v>2</v>
      </c>
      <c r="AF2924" s="8">
        <v>0.75</v>
      </c>
      <c r="AG2924" s="9">
        <v>14.6</v>
      </c>
      <c r="AH2924" s="10">
        <f t="shared" si="60"/>
        <v>15</v>
      </c>
    </row>
    <row r="2925" spans="11:34" ht="14.5" x14ac:dyDescent="0.35">
      <c r="K2925" s="4"/>
      <c r="AC2925" s="7">
        <v>2022</v>
      </c>
      <c r="AD2925" s="7">
        <v>5</v>
      </c>
      <c r="AE2925" s="7">
        <v>2</v>
      </c>
      <c r="AF2925" s="8">
        <v>0.79166666666666663</v>
      </c>
      <c r="AG2925" s="9">
        <v>14.1</v>
      </c>
      <c r="AH2925" s="10">
        <f t="shared" si="60"/>
        <v>14</v>
      </c>
    </row>
    <row r="2926" spans="11:34" ht="14.5" x14ac:dyDescent="0.35">
      <c r="K2926" s="4"/>
      <c r="AC2926" s="7">
        <v>2022</v>
      </c>
      <c r="AD2926" s="7">
        <v>5</v>
      </c>
      <c r="AE2926" s="7">
        <v>2</v>
      </c>
      <c r="AF2926" s="8">
        <v>0.83333333333333337</v>
      </c>
      <c r="AG2926" s="9">
        <v>11.9</v>
      </c>
      <c r="AH2926" s="10">
        <f t="shared" si="60"/>
        <v>12</v>
      </c>
    </row>
    <row r="2927" spans="11:34" ht="14.5" x14ac:dyDescent="0.35">
      <c r="K2927" s="4"/>
      <c r="AC2927" s="7">
        <v>2022</v>
      </c>
      <c r="AD2927" s="7">
        <v>5</v>
      </c>
      <c r="AE2927" s="7">
        <v>2</v>
      </c>
      <c r="AF2927" s="8">
        <v>0.875</v>
      </c>
      <c r="AG2927" s="9">
        <v>10.7</v>
      </c>
      <c r="AH2927" s="10">
        <f t="shared" si="60"/>
        <v>11</v>
      </c>
    </row>
    <row r="2928" spans="11:34" ht="14.5" x14ac:dyDescent="0.35">
      <c r="K2928" s="4"/>
      <c r="AC2928" s="7">
        <v>2022</v>
      </c>
      <c r="AD2928" s="7">
        <v>5</v>
      </c>
      <c r="AE2928" s="7">
        <v>2</v>
      </c>
      <c r="AF2928" s="8">
        <v>0.91666666666666663</v>
      </c>
      <c r="AG2928" s="9">
        <v>8.8000000000000007</v>
      </c>
      <c r="AH2928" s="10">
        <f t="shared" si="60"/>
        <v>9</v>
      </c>
    </row>
    <row r="2929" spans="11:34" ht="14.5" x14ac:dyDescent="0.35">
      <c r="K2929" s="4"/>
      <c r="AC2929" s="7">
        <v>2022</v>
      </c>
      <c r="AD2929" s="7">
        <v>5</v>
      </c>
      <c r="AE2929" s="7">
        <v>2</v>
      </c>
      <c r="AF2929" s="8">
        <v>0.95833333333333337</v>
      </c>
      <c r="AG2929" s="9">
        <v>7.5</v>
      </c>
      <c r="AH2929" s="10">
        <f t="shared" si="60"/>
        <v>8</v>
      </c>
    </row>
    <row r="2930" spans="11:34" ht="14.5" x14ac:dyDescent="0.35">
      <c r="K2930" s="4"/>
      <c r="AC2930" s="7">
        <v>2022</v>
      </c>
      <c r="AD2930" s="7">
        <v>5</v>
      </c>
      <c r="AE2930" s="7">
        <v>3</v>
      </c>
      <c r="AF2930" s="8">
        <v>0</v>
      </c>
      <c r="AG2930" s="9">
        <v>6.4</v>
      </c>
      <c r="AH2930" s="10">
        <f t="shared" si="60"/>
        <v>6</v>
      </c>
    </row>
    <row r="2931" spans="11:34" ht="14.5" x14ac:dyDescent="0.35">
      <c r="K2931" s="4"/>
      <c r="AC2931" s="7">
        <v>2022</v>
      </c>
      <c r="AD2931" s="7">
        <v>5</v>
      </c>
      <c r="AE2931" s="7">
        <v>3</v>
      </c>
      <c r="AF2931" s="8">
        <v>4.1666666666666664E-2</v>
      </c>
      <c r="AG2931" s="9">
        <v>4.8</v>
      </c>
      <c r="AH2931" s="10">
        <f t="shared" si="60"/>
        <v>5</v>
      </c>
    </row>
    <row r="2932" spans="11:34" ht="14.5" x14ac:dyDescent="0.35">
      <c r="K2932" s="4"/>
      <c r="AC2932" s="7">
        <v>2022</v>
      </c>
      <c r="AD2932" s="7">
        <v>5</v>
      </c>
      <c r="AE2932" s="7">
        <v>3</v>
      </c>
      <c r="AF2932" s="8">
        <v>8.3333333333333329E-2</v>
      </c>
      <c r="AG2932" s="9">
        <v>3.3</v>
      </c>
      <c r="AH2932" s="10">
        <f t="shared" si="60"/>
        <v>3</v>
      </c>
    </row>
    <row r="2933" spans="11:34" ht="14.5" x14ac:dyDescent="0.35">
      <c r="K2933" s="4"/>
      <c r="AC2933" s="7">
        <v>2022</v>
      </c>
      <c r="AD2933" s="7">
        <v>5</v>
      </c>
      <c r="AE2933" s="7">
        <v>3</v>
      </c>
      <c r="AF2933" s="8">
        <v>0.125</v>
      </c>
      <c r="AG2933" s="9">
        <v>3.2</v>
      </c>
      <c r="AH2933" s="10">
        <f t="shared" si="60"/>
        <v>3</v>
      </c>
    </row>
    <row r="2934" spans="11:34" ht="14.5" x14ac:dyDescent="0.35">
      <c r="K2934" s="4"/>
      <c r="AC2934" s="7">
        <v>2022</v>
      </c>
      <c r="AD2934" s="7">
        <v>5</v>
      </c>
      <c r="AE2934" s="7">
        <v>3</v>
      </c>
      <c r="AF2934" s="8">
        <v>0.16666666666666666</v>
      </c>
      <c r="AG2934" s="9">
        <v>3</v>
      </c>
      <c r="AH2934" s="10">
        <f t="shared" si="60"/>
        <v>3</v>
      </c>
    </row>
    <row r="2935" spans="11:34" ht="14.5" x14ac:dyDescent="0.35">
      <c r="K2935" s="4"/>
      <c r="AC2935" s="7">
        <v>2022</v>
      </c>
      <c r="AD2935" s="7">
        <v>5</v>
      </c>
      <c r="AE2935" s="7">
        <v>3</v>
      </c>
      <c r="AF2935" s="8">
        <v>0.20833333333333334</v>
      </c>
      <c r="AG2935" s="9">
        <v>2.7</v>
      </c>
      <c r="AH2935" s="10">
        <f t="shared" si="60"/>
        <v>3</v>
      </c>
    </row>
    <row r="2936" spans="11:34" ht="14.5" x14ac:dyDescent="0.35">
      <c r="K2936" s="4"/>
      <c r="AC2936" s="7">
        <v>2022</v>
      </c>
      <c r="AD2936" s="7">
        <v>5</v>
      </c>
      <c r="AE2936" s="7">
        <v>3</v>
      </c>
      <c r="AF2936" s="8">
        <v>0.25</v>
      </c>
      <c r="AG2936" s="9">
        <v>3.6</v>
      </c>
      <c r="AH2936" s="10">
        <f t="shared" si="60"/>
        <v>4</v>
      </c>
    </row>
    <row r="2937" spans="11:34" ht="14.5" x14ac:dyDescent="0.35">
      <c r="K2937" s="4"/>
      <c r="AC2937" s="7">
        <v>2022</v>
      </c>
      <c r="AD2937" s="7">
        <v>5</v>
      </c>
      <c r="AE2937" s="7">
        <v>3</v>
      </c>
      <c r="AF2937" s="8">
        <v>0.29166666666666669</v>
      </c>
      <c r="AG2937" s="9">
        <v>6.4</v>
      </c>
      <c r="AH2937" s="10">
        <f t="shared" si="60"/>
        <v>6</v>
      </c>
    </row>
    <row r="2938" spans="11:34" ht="14.5" x14ac:dyDescent="0.35">
      <c r="K2938" s="4"/>
      <c r="AC2938" s="7">
        <v>2022</v>
      </c>
      <c r="AD2938" s="7">
        <v>5</v>
      </c>
      <c r="AE2938" s="7">
        <v>3</v>
      </c>
      <c r="AF2938" s="8">
        <v>0.33333333333333331</v>
      </c>
      <c r="AG2938" s="9">
        <v>7.9</v>
      </c>
      <c r="AH2938" s="10">
        <f t="shared" si="60"/>
        <v>8</v>
      </c>
    </row>
    <row r="2939" spans="11:34" ht="14.5" x14ac:dyDescent="0.35">
      <c r="K2939" s="4"/>
      <c r="AC2939" s="7">
        <v>2022</v>
      </c>
      <c r="AD2939" s="7">
        <v>5</v>
      </c>
      <c r="AE2939" s="7">
        <v>3</v>
      </c>
      <c r="AF2939" s="8">
        <v>0.375</v>
      </c>
      <c r="AG2939" s="9">
        <v>10.3</v>
      </c>
      <c r="AH2939" s="10">
        <f t="shared" si="60"/>
        <v>10</v>
      </c>
    </row>
    <row r="2940" spans="11:34" ht="14.5" x14ac:dyDescent="0.35">
      <c r="K2940" s="4"/>
      <c r="AC2940" s="7">
        <v>2022</v>
      </c>
      <c r="AD2940" s="7">
        <v>5</v>
      </c>
      <c r="AE2940" s="7">
        <v>3</v>
      </c>
      <c r="AF2940" s="8">
        <v>0.41666666666666669</v>
      </c>
      <c r="AG2940" s="9">
        <v>12.6</v>
      </c>
      <c r="AH2940" s="10">
        <f t="shared" si="60"/>
        <v>13</v>
      </c>
    </row>
    <row r="2941" spans="11:34" ht="14.5" x14ac:dyDescent="0.35">
      <c r="K2941" s="4"/>
      <c r="AC2941" s="7">
        <v>2022</v>
      </c>
      <c r="AD2941" s="7">
        <v>5</v>
      </c>
      <c r="AE2941" s="7">
        <v>3</v>
      </c>
      <c r="AF2941" s="8">
        <v>0.45833333333333331</v>
      </c>
      <c r="AG2941" s="9">
        <v>14</v>
      </c>
      <c r="AH2941" s="10">
        <f t="shared" si="60"/>
        <v>14</v>
      </c>
    </row>
    <row r="2942" spans="11:34" ht="14.5" x14ac:dyDescent="0.35">
      <c r="K2942" s="4"/>
      <c r="AC2942" s="7">
        <v>2022</v>
      </c>
      <c r="AD2942" s="7">
        <v>5</v>
      </c>
      <c r="AE2942" s="7">
        <v>3</v>
      </c>
      <c r="AF2942" s="8">
        <v>0.5</v>
      </c>
      <c r="AG2942" s="9">
        <v>15.8</v>
      </c>
      <c r="AH2942" s="10">
        <f t="shared" si="60"/>
        <v>16</v>
      </c>
    </row>
    <row r="2943" spans="11:34" ht="14.5" x14ac:dyDescent="0.35">
      <c r="K2943" s="4"/>
      <c r="AC2943" s="7">
        <v>2022</v>
      </c>
      <c r="AD2943" s="7">
        <v>5</v>
      </c>
      <c r="AE2943" s="7">
        <v>3</v>
      </c>
      <c r="AF2943" s="8">
        <v>0.54166666666666663</v>
      </c>
      <c r="AG2943" s="9">
        <v>16.5</v>
      </c>
      <c r="AH2943" s="10">
        <f t="shared" si="60"/>
        <v>17</v>
      </c>
    </row>
    <row r="2944" spans="11:34" ht="14.5" x14ac:dyDescent="0.35">
      <c r="K2944" s="4"/>
      <c r="AC2944" s="7">
        <v>2022</v>
      </c>
      <c r="AD2944" s="7">
        <v>5</v>
      </c>
      <c r="AE2944" s="7">
        <v>3</v>
      </c>
      <c r="AF2944" s="8">
        <v>0.58333333333333337</v>
      </c>
      <c r="AG2944" s="9">
        <v>16.899999999999999</v>
      </c>
      <c r="AH2944" s="10">
        <f t="shared" si="60"/>
        <v>17</v>
      </c>
    </row>
    <row r="2945" spans="11:34" ht="14.5" x14ac:dyDescent="0.35">
      <c r="K2945" s="4"/>
      <c r="AC2945" s="7">
        <v>2022</v>
      </c>
      <c r="AD2945" s="7">
        <v>5</v>
      </c>
      <c r="AE2945" s="7">
        <v>3</v>
      </c>
      <c r="AF2945" s="8">
        <v>0.625</v>
      </c>
      <c r="AG2945" s="9">
        <v>16.8</v>
      </c>
      <c r="AH2945" s="10">
        <f t="shared" si="60"/>
        <v>17</v>
      </c>
    </row>
    <row r="2946" spans="11:34" ht="14.5" x14ac:dyDescent="0.35">
      <c r="K2946" s="4"/>
      <c r="AC2946" s="7">
        <v>2022</v>
      </c>
      <c r="AD2946" s="7">
        <v>5</v>
      </c>
      <c r="AE2946" s="7">
        <v>3</v>
      </c>
      <c r="AF2946" s="8">
        <v>0.66666666666666663</v>
      </c>
      <c r="AG2946" s="9">
        <v>18.399999999999999</v>
      </c>
      <c r="AH2946" s="10">
        <f t="shared" si="60"/>
        <v>18</v>
      </c>
    </row>
    <row r="2947" spans="11:34" ht="14.5" x14ac:dyDescent="0.35">
      <c r="K2947" s="4"/>
      <c r="AC2947" s="7">
        <v>2022</v>
      </c>
      <c r="AD2947" s="7">
        <v>5</v>
      </c>
      <c r="AE2947" s="7">
        <v>3</v>
      </c>
      <c r="AF2947" s="8">
        <v>0.70833333333333337</v>
      </c>
      <c r="AG2947" s="9">
        <v>17.600000000000001</v>
      </c>
      <c r="AH2947" s="10">
        <f t="shared" si="60"/>
        <v>18</v>
      </c>
    </row>
    <row r="2948" spans="11:34" ht="14.5" x14ac:dyDescent="0.35">
      <c r="K2948" s="4"/>
      <c r="AC2948" s="7">
        <v>2022</v>
      </c>
      <c r="AD2948" s="7">
        <v>5</v>
      </c>
      <c r="AE2948" s="7">
        <v>3</v>
      </c>
      <c r="AF2948" s="8">
        <v>0.75</v>
      </c>
      <c r="AG2948" s="9">
        <v>17.7</v>
      </c>
      <c r="AH2948" s="10">
        <f t="shared" si="60"/>
        <v>18</v>
      </c>
    </row>
    <row r="2949" spans="11:34" ht="14.5" x14ac:dyDescent="0.35">
      <c r="K2949" s="4"/>
      <c r="AC2949" s="7">
        <v>2022</v>
      </c>
      <c r="AD2949" s="7">
        <v>5</v>
      </c>
      <c r="AE2949" s="7">
        <v>3</v>
      </c>
      <c r="AF2949" s="8">
        <v>0.79166666666666663</v>
      </c>
      <c r="AG2949" s="9">
        <v>16.600000000000001</v>
      </c>
      <c r="AH2949" s="10">
        <f t="shared" si="60"/>
        <v>17</v>
      </c>
    </row>
    <row r="2950" spans="11:34" ht="14.5" x14ac:dyDescent="0.35">
      <c r="K2950" s="4"/>
      <c r="AC2950" s="7">
        <v>2022</v>
      </c>
      <c r="AD2950" s="7">
        <v>5</v>
      </c>
      <c r="AE2950" s="7">
        <v>3</v>
      </c>
      <c r="AF2950" s="8">
        <v>0.83333333333333337</v>
      </c>
      <c r="AG2950" s="9">
        <v>14.3</v>
      </c>
      <c r="AH2950" s="10">
        <f t="shared" si="60"/>
        <v>14</v>
      </c>
    </row>
    <row r="2951" spans="11:34" ht="14.5" x14ac:dyDescent="0.35">
      <c r="K2951" s="4"/>
      <c r="AC2951" s="7">
        <v>2022</v>
      </c>
      <c r="AD2951" s="7">
        <v>5</v>
      </c>
      <c r="AE2951" s="7">
        <v>3</v>
      </c>
      <c r="AF2951" s="8">
        <v>0.875</v>
      </c>
      <c r="AG2951" s="9">
        <v>13.7</v>
      </c>
      <c r="AH2951" s="10">
        <f t="shared" si="60"/>
        <v>14</v>
      </c>
    </row>
    <row r="2952" spans="11:34" ht="14.5" x14ac:dyDescent="0.35">
      <c r="K2952" s="4"/>
      <c r="AC2952" s="7">
        <v>2022</v>
      </c>
      <c r="AD2952" s="7">
        <v>5</v>
      </c>
      <c r="AE2952" s="7">
        <v>3</v>
      </c>
      <c r="AF2952" s="8">
        <v>0.91666666666666663</v>
      </c>
      <c r="AG2952" s="9">
        <v>13.7</v>
      </c>
      <c r="AH2952" s="10">
        <f t="shared" si="60"/>
        <v>14</v>
      </c>
    </row>
    <row r="2953" spans="11:34" ht="14.5" x14ac:dyDescent="0.35">
      <c r="K2953" s="4"/>
      <c r="AC2953" s="7">
        <v>2022</v>
      </c>
      <c r="AD2953" s="7">
        <v>5</v>
      </c>
      <c r="AE2953" s="7">
        <v>3</v>
      </c>
      <c r="AF2953" s="8">
        <v>0.95833333333333337</v>
      </c>
      <c r="AG2953" s="9">
        <v>10.3</v>
      </c>
      <c r="AH2953" s="10">
        <f t="shared" si="60"/>
        <v>10</v>
      </c>
    </row>
    <row r="2954" spans="11:34" ht="14.5" x14ac:dyDescent="0.35">
      <c r="K2954" s="4"/>
      <c r="AC2954" s="7">
        <v>2022</v>
      </c>
      <c r="AD2954" s="7">
        <v>5</v>
      </c>
      <c r="AE2954" s="7">
        <v>4</v>
      </c>
      <c r="AF2954" s="8">
        <v>0</v>
      </c>
      <c r="AG2954" s="9">
        <v>10.6</v>
      </c>
      <c r="AH2954" s="10">
        <f t="shared" si="60"/>
        <v>11</v>
      </c>
    </row>
    <row r="2955" spans="11:34" ht="14.5" x14ac:dyDescent="0.35">
      <c r="K2955" s="4"/>
      <c r="AC2955" s="7">
        <v>2022</v>
      </c>
      <c r="AD2955" s="7">
        <v>5</v>
      </c>
      <c r="AE2955" s="7">
        <v>4</v>
      </c>
      <c r="AF2955" s="8">
        <v>4.1666666666666664E-2</v>
      </c>
      <c r="AG2955" s="9">
        <v>12.9</v>
      </c>
      <c r="AH2955" s="10">
        <f t="shared" ref="AH2955:AH3018" si="61">ROUND(AG2955,0)</f>
        <v>13</v>
      </c>
    </row>
    <row r="2956" spans="11:34" ht="14.5" x14ac:dyDescent="0.35">
      <c r="K2956" s="4"/>
      <c r="AC2956" s="7">
        <v>2022</v>
      </c>
      <c r="AD2956" s="7">
        <v>5</v>
      </c>
      <c r="AE2956" s="7">
        <v>4</v>
      </c>
      <c r="AF2956" s="8">
        <v>8.3333333333333329E-2</v>
      </c>
      <c r="AG2956" s="9">
        <v>11.1</v>
      </c>
      <c r="AH2956" s="10">
        <f t="shared" si="61"/>
        <v>11</v>
      </c>
    </row>
    <row r="2957" spans="11:34" ht="14.5" x14ac:dyDescent="0.35">
      <c r="K2957" s="4"/>
      <c r="AC2957" s="7">
        <v>2022</v>
      </c>
      <c r="AD2957" s="7">
        <v>5</v>
      </c>
      <c r="AE2957" s="7">
        <v>4</v>
      </c>
      <c r="AF2957" s="8">
        <v>0.125</v>
      </c>
      <c r="AG2957" s="9">
        <v>10.3</v>
      </c>
      <c r="AH2957" s="10">
        <f t="shared" si="61"/>
        <v>10</v>
      </c>
    </row>
    <row r="2958" spans="11:34" ht="14.5" x14ac:dyDescent="0.35">
      <c r="K2958" s="4"/>
      <c r="AC2958" s="7">
        <v>2022</v>
      </c>
      <c r="AD2958" s="7">
        <v>5</v>
      </c>
      <c r="AE2958" s="7">
        <v>4</v>
      </c>
      <c r="AF2958" s="8">
        <v>0.16666666666666666</v>
      </c>
      <c r="AG2958" s="9">
        <v>8.1999999999999993</v>
      </c>
      <c r="AH2958" s="10">
        <f t="shared" si="61"/>
        <v>8</v>
      </c>
    </row>
    <row r="2959" spans="11:34" ht="14.5" x14ac:dyDescent="0.35">
      <c r="K2959" s="4"/>
      <c r="AC2959" s="7">
        <v>2022</v>
      </c>
      <c r="AD2959" s="7">
        <v>5</v>
      </c>
      <c r="AE2959" s="7">
        <v>4</v>
      </c>
      <c r="AF2959" s="8">
        <v>0.20833333333333334</v>
      </c>
      <c r="AG2959" s="9">
        <v>8.8000000000000007</v>
      </c>
      <c r="AH2959" s="10">
        <f t="shared" si="61"/>
        <v>9</v>
      </c>
    </row>
    <row r="2960" spans="11:34" ht="14.5" x14ac:dyDescent="0.35">
      <c r="K2960" s="4"/>
      <c r="AC2960" s="7">
        <v>2022</v>
      </c>
      <c r="AD2960" s="7">
        <v>5</v>
      </c>
      <c r="AE2960" s="7">
        <v>4</v>
      </c>
      <c r="AF2960" s="8">
        <v>0.25</v>
      </c>
      <c r="AG2960" s="9">
        <v>9.1</v>
      </c>
      <c r="AH2960" s="10">
        <f t="shared" si="61"/>
        <v>9</v>
      </c>
    </row>
    <row r="2961" spans="11:34" ht="14.5" x14ac:dyDescent="0.35">
      <c r="K2961" s="4"/>
      <c r="AC2961" s="7">
        <v>2022</v>
      </c>
      <c r="AD2961" s="7">
        <v>5</v>
      </c>
      <c r="AE2961" s="7">
        <v>4</v>
      </c>
      <c r="AF2961" s="8">
        <v>0.29166666666666669</v>
      </c>
      <c r="AG2961" s="9">
        <v>10</v>
      </c>
      <c r="AH2961" s="10">
        <f t="shared" si="61"/>
        <v>10</v>
      </c>
    </row>
    <row r="2962" spans="11:34" ht="14.5" x14ac:dyDescent="0.35">
      <c r="K2962" s="4"/>
      <c r="AC2962" s="7">
        <v>2022</v>
      </c>
      <c r="AD2962" s="7">
        <v>5</v>
      </c>
      <c r="AE2962" s="7">
        <v>4</v>
      </c>
      <c r="AF2962" s="8">
        <v>0.33333333333333331</v>
      </c>
      <c r="AG2962" s="9">
        <v>11</v>
      </c>
      <c r="AH2962" s="10">
        <f t="shared" si="61"/>
        <v>11</v>
      </c>
    </row>
    <row r="2963" spans="11:34" ht="14.5" x14ac:dyDescent="0.35">
      <c r="K2963" s="4"/>
      <c r="AC2963" s="7">
        <v>2022</v>
      </c>
      <c r="AD2963" s="7">
        <v>5</v>
      </c>
      <c r="AE2963" s="7">
        <v>4</v>
      </c>
      <c r="AF2963" s="8">
        <v>0.375</v>
      </c>
      <c r="AG2963" s="9">
        <v>11.6</v>
      </c>
      <c r="AH2963" s="10">
        <f t="shared" si="61"/>
        <v>12</v>
      </c>
    </row>
    <row r="2964" spans="11:34" ht="14.5" x14ac:dyDescent="0.35">
      <c r="K2964" s="4"/>
      <c r="AC2964" s="7">
        <v>2022</v>
      </c>
      <c r="AD2964" s="7">
        <v>5</v>
      </c>
      <c r="AE2964" s="7">
        <v>4</v>
      </c>
      <c r="AF2964" s="8">
        <v>0.41666666666666669</v>
      </c>
      <c r="AG2964" s="9">
        <v>12.4</v>
      </c>
      <c r="AH2964" s="10">
        <f t="shared" si="61"/>
        <v>12</v>
      </c>
    </row>
    <row r="2965" spans="11:34" ht="14.5" x14ac:dyDescent="0.35">
      <c r="K2965" s="4"/>
      <c r="AC2965" s="7">
        <v>2022</v>
      </c>
      <c r="AD2965" s="7">
        <v>5</v>
      </c>
      <c r="AE2965" s="7">
        <v>4</v>
      </c>
      <c r="AF2965" s="8">
        <v>0.45833333333333331</v>
      </c>
      <c r="AG2965" s="9">
        <v>14</v>
      </c>
      <c r="AH2965" s="10">
        <f t="shared" si="61"/>
        <v>14</v>
      </c>
    </row>
    <row r="2966" spans="11:34" ht="14.5" x14ac:dyDescent="0.35">
      <c r="K2966" s="4"/>
      <c r="AC2966" s="7">
        <v>2022</v>
      </c>
      <c r="AD2966" s="7">
        <v>5</v>
      </c>
      <c r="AE2966" s="7">
        <v>4</v>
      </c>
      <c r="AF2966" s="8">
        <v>0.5</v>
      </c>
      <c r="AG2966" s="9">
        <v>14.9</v>
      </c>
      <c r="AH2966" s="10">
        <f t="shared" si="61"/>
        <v>15</v>
      </c>
    </row>
    <row r="2967" spans="11:34" ht="14.5" x14ac:dyDescent="0.35">
      <c r="K2967" s="4"/>
      <c r="AC2967" s="7">
        <v>2022</v>
      </c>
      <c r="AD2967" s="7">
        <v>5</v>
      </c>
      <c r="AE2967" s="7">
        <v>4</v>
      </c>
      <c r="AF2967" s="8">
        <v>0.54166666666666663</v>
      </c>
      <c r="AG2967" s="9">
        <v>15.3</v>
      </c>
      <c r="AH2967" s="10">
        <f t="shared" si="61"/>
        <v>15</v>
      </c>
    </row>
    <row r="2968" spans="11:34" ht="14.5" x14ac:dyDescent="0.35">
      <c r="K2968" s="4"/>
      <c r="AC2968" s="7">
        <v>2022</v>
      </c>
      <c r="AD2968" s="7">
        <v>5</v>
      </c>
      <c r="AE2968" s="7">
        <v>4</v>
      </c>
      <c r="AF2968" s="8">
        <v>0.58333333333333337</v>
      </c>
      <c r="AG2968" s="9">
        <v>16.3</v>
      </c>
      <c r="AH2968" s="10">
        <f t="shared" si="61"/>
        <v>16</v>
      </c>
    </row>
    <row r="2969" spans="11:34" ht="14.5" x14ac:dyDescent="0.35">
      <c r="K2969" s="4"/>
      <c r="AC2969" s="7">
        <v>2022</v>
      </c>
      <c r="AD2969" s="7">
        <v>5</v>
      </c>
      <c r="AE2969" s="7">
        <v>4</v>
      </c>
      <c r="AF2969" s="8">
        <v>0.625</v>
      </c>
      <c r="AG2969" s="9">
        <v>19.5</v>
      </c>
      <c r="AH2969" s="10">
        <f t="shared" si="61"/>
        <v>20</v>
      </c>
    </row>
    <row r="2970" spans="11:34" ht="14.5" x14ac:dyDescent="0.35">
      <c r="K2970" s="4"/>
      <c r="AC2970" s="7">
        <v>2022</v>
      </c>
      <c r="AD2970" s="7">
        <v>5</v>
      </c>
      <c r="AE2970" s="7">
        <v>4</v>
      </c>
      <c r="AF2970" s="8">
        <v>0.66666666666666663</v>
      </c>
      <c r="AG2970" s="9">
        <v>18.899999999999999</v>
      </c>
      <c r="AH2970" s="10">
        <f t="shared" si="61"/>
        <v>19</v>
      </c>
    </row>
    <row r="2971" spans="11:34" ht="14.5" x14ac:dyDescent="0.35">
      <c r="K2971" s="4"/>
      <c r="AC2971" s="7">
        <v>2022</v>
      </c>
      <c r="AD2971" s="7">
        <v>5</v>
      </c>
      <c r="AE2971" s="7">
        <v>4</v>
      </c>
      <c r="AF2971" s="8">
        <v>0.70833333333333337</v>
      </c>
      <c r="AG2971" s="9">
        <v>19</v>
      </c>
      <c r="AH2971" s="10">
        <f t="shared" si="61"/>
        <v>19</v>
      </c>
    </row>
    <row r="2972" spans="11:34" ht="14.5" x14ac:dyDescent="0.35">
      <c r="K2972" s="4"/>
      <c r="AC2972" s="7">
        <v>2022</v>
      </c>
      <c r="AD2972" s="7">
        <v>5</v>
      </c>
      <c r="AE2972" s="7">
        <v>4</v>
      </c>
      <c r="AF2972" s="8">
        <v>0.75</v>
      </c>
      <c r="AG2972" s="9">
        <v>17.600000000000001</v>
      </c>
      <c r="AH2972" s="10">
        <f t="shared" si="61"/>
        <v>18</v>
      </c>
    </row>
    <row r="2973" spans="11:34" ht="14.5" x14ac:dyDescent="0.35">
      <c r="K2973" s="4"/>
      <c r="AC2973" s="7">
        <v>2022</v>
      </c>
      <c r="AD2973" s="7">
        <v>5</v>
      </c>
      <c r="AE2973" s="7">
        <v>4</v>
      </c>
      <c r="AF2973" s="8">
        <v>0.79166666666666663</v>
      </c>
      <c r="AG2973" s="9">
        <v>16.3</v>
      </c>
      <c r="AH2973" s="10">
        <f t="shared" si="61"/>
        <v>16</v>
      </c>
    </row>
    <row r="2974" spans="11:34" ht="14.5" x14ac:dyDescent="0.35">
      <c r="K2974" s="4"/>
      <c r="AC2974" s="7">
        <v>2022</v>
      </c>
      <c r="AD2974" s="7">
        <v>5</v>
      </c>
      <c r="AE2974" s="7">
        <v>4</v>
      </c>
      <c r="AF2974" s="8">
        <v>0.83333333333333337</v>
      </c>
      <c r="AG2974" s="9">
        <v>14.4</v>
      </c>
      <c r="AH2974" s="10">
        <f t="shared" si="61"/>
        <v>14</v>
      </c>
    </row>
    <row r="2975" spans="11:34" ht="14.5" x14ac:dyDescent="0.35">
      <c r="K2975" s="4"/>
      <c r="AC2975" s="7">
        <v>2022</v>
      </c>
      <c r="AD2975" s="7">
        <v>5</v>
      </c>
      <c r="AE2975" s="7">
        <v>4</v>
      </c>
      <c r="AF2975" s="8">
        <v>0.875</v>
      </c>
      <c r="AG2975" s="9">
        <v>12.7</v>
      </c>
      <c r="AH2975" s="10">
        <f t="shared" si="61"/>
        <v>13</v>
      </c>
    </row>
    <row r="2976" spans="11:34" ht="14.5" x14ac:dyDescent="0.35">
      <c r="K2976" s="4"/>
      <c r="AC2976" s="7">
        <v>2022</v>
      </c>
      <c r="AD2976" s="7">
        <v>5</v>
      </c>
      <c r="AE2976" s="7">
        <v>4</v>
      </c>
      <c r="AF2976" s="8">
        <v>0.91666666666666663</v>
      </c>
      <c r="AG2976" s="9">
        <v>11.6</v>
      </c>
      <c r="AH2976" s="10">
        <f t="shared" si="61"/>
        <v>12</v>
      </c>
    </row>
    <row r="2977" spans="11:34" ht="14.5" x14ac:dyDescent="0.35">
      <c r="K2977" s="4"/>
      <c r="AC2977" s="7">
        <v>2022</v>
      </c>
      <c r="AD2977" s="7">
        <v>5</v>
      </c>
      <c r="AE2977" s="7">
        <v>4</v>
      </c>
      <c r="AF2977" s="8">
        <v>0.95833333333333337</v>
      </c>
      <c r="AG2977" s="9">
        <v>11.2</v>
      </c>
      <c r="AH2977" s="10">
        <f t="shared" si="61"/>
        <v>11</v>
      </c>
    </row>
    <row r="2978" spans="11:34" ht="14.5" x14ac:dyDescent="0.35">
      <c r="K2978" s="4"/>
      <c r="AC2978" s="7">
        <v>2022</v>
      </c>
      <c r="AD2978" s="7">
        <v>5</v>
      </c>
      <c r="AE2978" s="7">
        <v>5</v>
      </c>
      <c r="AF2978" s="8">
        <v>0</v>
      </c>
      <c r="AG2978" s="9">
        <v>8.5</v>
      </c>
      <c r="AH2978" s="10">
        <f t="shared" si="61"/>
        <v>9</v>
      </c>
    </row>
    <row r="2979" spans="11:34" ht="14.5" x14ac:dyDescent="0.35">
      <c r="K2979" s="4"/>
      <c r="AC2979" s="7">
        <v>2022</v>
      </c>
      <c r="AD2979" s="7">
        <v>5</v>
      </c>
      <c r="AE2979" s="7">
        <v>5</v>
      </c>
      <c r="AF2979" s="8">
        <v>4.1666666666666664E-2</v>
      </c>
      <c r="AG2979" s="9">
        <v>8.1</v>
      </c>
      <c r="AH2979" s="10">
        <f t="shared" si="61"/>
        <v>8</v>
      </c>
    </row>
    <row r="2980" spans="11:34" ht="14.5" x14ac:dyDescent="0.35">
      <c r="K2980" s="4"/>
      <c r="AC2980" s="7">
        <v>2022</v>
      </c>
      <c r="AD2980" s="7">
        <v>5</v>
      </c>
      <c r="AE2980" s="7">
        <v>5</v>
      </c>
      <c r="AF2980" s="8">
        <v>8.3333333333333329E-2</v>
      </c>
      <c r="AG2980" s="9">
        <v>11.6</v>
      </c>
      <c r="AH2980" s="10">
        <f t="shared" si="61"/>
        <v>12</v>
      </c>
    </row>
    <row r="2981" spans="11:34" ht="14.5" x14ac:dyDescent="0.35">
      <c r="K2981" s="4"/>
      <c r="AC2981" s="7">
        <v>2022</v>
      </c>
      <c r="AD2981" s="7">
        <v>5</v>
      </c>
      <c r="AE2981" s="7">
        <v>5</v>
      </c>
      <c r="AF2981" s="8">
        <v>0.125</v>
      </c>
      <c r="AG2981" s="9">
        <v>11.3</v>
      </c>
      <c r="AH2981" s="10">
        <f t="shared" si="61"/>
        <v>11</v>
      </c>
    </row>
    <row r="2982" spans="11:34" ht="14.5" x14ac:dyDescent="0.35">
      <c r="K2982" s="4"/>
      <c r="AC2982" s="7">
        <v>2022</v>
      </c>
      <c r="AD2982" s="7">
        <v>5</v>
      </c>
      <c r="AE2982" s="7">
        <v>5</v>
      </c>
      <c r="AF2982" s="8">
        <v>0.16666666666666666</v>
      </c>
      <c r="AG2982" s="9">
        <v>9.6</v>
      </c>
      <c r="AH2982" s="10">
        <f t="shared" si="61"/>
        <v>10</v>
      </c>
    </row>
    <row r="2983" spans="11:34" ht="14.5" x14ac:dyDescent="0.35">
      <c r="K2983" s="4"/>
      <c r="AC2983" s="7">
        <v>2022</v>
      </c>
      <c r="AD2983" s="7">
        <v>5</v>
      </c>
      <c r="AE2983" s="7">
        <v>5</v>
      </c>
      <c r="AF2983" s="8">
        <v>0.20833333333333334</v>
      </c>
      <c r="AG2983" s="9">
        <v>9.1999999999999993</v>
      </c>
      <c r="AH2983" s="10">
        <f t="shared" si="61"/>
        <v>9</v>
      </c>
    </row>
    <row r="2984" spans="11:34" ht="14.5" x14ac:dyDescent="0.35">
      <c r="K2984" s="4"/>
      <c r="AC2984" s="7">
        <v>2022</v>
      </c>
      <c r="AD2984" s="7">
        <v>5</v>
      </c>
      <c r="AE2984" s="7">
        <v>5</v>
      </c>
      <c r="AF2984" s="8">
        <v>0.25</v>
      </c>
      <c r="AG2984" s="9">
        <v>9</v>
      </c>
      <c r="AH2984" s="10">
        <f t="shared" si="61"/>
        <v>9</v>
      </c>
    </row>
    <row r="2985" spans="11:34" ht="14.5" x14ac:dyDescent="0.35">
      <c r="K2985" s="4"/>
      <c r="AC2985" s="7">
        <v>2022</v>
      </c>
      <c r="AD2985" s="7">
        <v>5</v>
      </c>
      <c r="AE2985" s="7">
        <v>5</v>
      </c>
      <c r="AF2985" s="8">
        <v>0.29166666666666669</v>
      </c>
      <c r="AG2985" s="9">
        <v>10.199999999999999</v>
      </c>
      <c r="AH2985" s="10">
        <f t="shared" si="61"/>
        <v>10</v>
      </c>
    </row>
    <row r="2986" spans="11:34" ht="14.5" x14ac:dyDescent="0.35">
      <c r="K2986" s="4"/>
      <c r="AC2986" s="7">
        <v>2022</v>
      </c>
      <c r="AD2986" s="7">
        <v>5</v>
      </c>
      <c r="AE2986" s="7">
        <v>5</v>
      </c>
      <c r="AF2986" s="8">
        <v>0.33333333333333331</v>
      </c>
      <c r="AG2986" s="9">
        <v>9.8000000000000007</v>
      </c>
      <c r="AH2986" s="10">
        <f t="shared" si="61"/>
        <v>10</v>
      </c>
    </row>
    <row r="2987" spans="11:34" ht="14.5" x14ac:dyDescent="0.35">
      <c r="K2987" s="4"/>
      <c r="AC2987" s="7">
        <v>2022</v>
      </c>
      <c r="AD2987" s="7">
        <v>5</v>
      </c>
      <c r="AE2987" s="7">
        <v>5</v>
      </c>
      <c r="AF2987" s="8">
        <v>0.375</v>
      </c>
      <c r="AG2987" s="9">
        <v>11.4</v>
      </c>
      <c r="AH2987" s="10">
        <f t="shared" si="61"/>
        <v>11</v>
      </c>
    </row>
    <row r="2988" spans="11:34" ht="14.5" x14ac:dyDescent="0.35">
      <c r="K2988" s="4"/>
      <c r="AC2988" s="7">
        <v>2022</v>
      </c>
      <c r="AD2988" s="7">
        <v>5</v>
      </c>
      <c r="AE2988" s="7">
        <v>5</v>
      </c>
      <c r="AF2988" s="8">
        <v>0.41666666666666669</v>
      </c>
      <c r="AG2988" s="9">
        <v>13.4</v>
      </c>
      <c r="AH2988" s="10">
        <f t="shared" si="61"/>
        <v>13</v>
      </c>
    </row>
    <row r="2989" spans="11:34" ht="14.5" x14ac:dyDescent="0.35">
      <c r="K2989" s="4"/>
      <c r="AC2989" s="7">
        <v>2022</v>
      </c>
      <c r="AD2989" s="7">
        <v>5</v>
      </c>
      <c r="AE2989" s="7">
        <v>5</v>
      </c>
      <c r="AF2989" s="8">
        <v>0.45833333333333331</v>
      </c>
      <c r="AG2989" s="9">
        <v>15.4</v>
      </c>
      <c r="AH2989" s="10">
        <f t="shared" si="61"/>
        <v>15</v>
      </c>
    </row>
    <row r="2990" spans="11:34" ht="14.5" x14ac:dyDescent="0.35">
      <c r="K2990" s="4"/>
      <c r="AC2990" s="7">
        <v>2022</v>
      </c>
      <c r="AD2990" s="7">
        <v>5</v>
      </c>
      <c r="AE2990" s="7">
        <v>5</v>
      </c>
      <c r="AF2990" s="8">
        <v>0.5</v>
      </c>
      <c r="AG2990" s="9">
        <v>17.100000000000001</v>
      </c>
      <c r="AH2990" s="10">
        <f t="shared" si="61"/>
        <v>17</v>
      </c>
    </row>
    <row r="2991" spans="11:34" ht="14.5" x14ac:dyDescent="0.35">
      <c r="K2991" s="4"/>
      <c r="AC2991" s="7">
        <v>2022</v>
      </c>
      <c r="AD2991" s="7">
        <v>5</v>
      </c>
      <c r="AE2991" s="7">
        <v>5</v>
      </c>
      <c r="AF2991" s="8">
        <v>0.54166666666666663</v>
      </c>
      <c r="AG2991" s="9">
        <v>19</v>
      </c>
      <c r="AH2991" s="10">
        <f t="shared" si="61"/>
        <v>19</v>
      </c>
    </row>
    <row r="2992" spans="11:34" ht="14.5" x14ac:dyDescent="0.35">
      <c r="K2992" s="4"/>
      <c r="AC2992" s="7">
        <v>2022</v>
      </c>
      <c r="AD2992" s="7">
        <v>5</v>
      </c>
      <c r="AE2992" s="7">
        <v>5</v>
      </c>
      <c r="AF2992" s="8">
        <v>0.58333333333333337</v>
      </c>
      <c r="AG2992" s="9">
        <v>19.5</v>
      </c>
      <c r="AH2992" s="10">
        <f t="shared" si="61"/>
        <v>20</v>
      </c>
    </row>
    <row r="2993" spans="11:34" ht="14.5" x14ac:dyDescent="0.35">
      <c r="K2993" s="4"/>
      <c r="AC2993" s="7">
        <v>2022</v>
      </c>
      <c r="AD2993" s="7">
        <v>5</v>
      </c>
      <c r="AE2993" s="7">
        <v>5</v>
      </c>
      <c r="AF2993" s="8">
        <v>0.625</v>
      </c>
      <c r="AG2993" s="9">
        <v>19.2</v>
      </c>
      <c r="AH2993" s="10">
        <f t="shared" si="61"/>
        <v>19</v>
      </c>
    </row>
    <row r="2994" spans="11:34" ht="14.5" x14ac:dyDescent="0.35">
      <c r="K2994" s="4"/>
      <c r="AC2994" s="7">
        <v>2022</v>
      </c>
      <c r="AD2994" s="7">
        <v>5</v>
      </c>
      <c r="AE2994" s="7">
        <v>5</v>
      </c>
      <c r="AF2994" s="8">
        <v>0.66666666666666663</v>
      </c>
      <c r="AG2994" s="9">
        <v>18.2</v>
      </c>
      <c r="AH2994" s="10">
        <f t="shared" si="61"/>
        <v>18</v>
      </c>
    </row>
    <row r="2995" spans="11:34" ht="14.5" x14ac:dyDescent="0.35">
      <c r="K2995" s="4"/>
      <c r="AC2995" s="7">
        <v>2022</v>
      </c>
      <c r="AD2995" s="7">
        <v>5</v>
      </c>
      <c r="AE2995" s="7">
        <v>5</v>
      </c>
      <c r="AF2995" s="8">
        <v>0.70833333333333337</v>
      </c>
      <c r="AG2995" s="9">
        <v>17.7</v>
      </c>
      <c r="AH2995" s="10">
        <f t="shared" si="61"/>
        <v>18</v>
      </c>
    </row>
    <row r="2996" spans="11:34" ht="14.5" x14ac:dyDescent="0.35">
      <c r="K2996" s="4"/>
      <c r="AC2996" s="7">
        <v>2022</v>
      </c>
      <c r="AD2996" s="7">
        <v>5</v>
      </c>
      <c r="AE2996" s="7">
        <v>5</v>
      </c>
      <c r="AF2996" s="8">
        <v>0.75</v>
      </c>
      <c r="AG2996" s="9">
        <v>17.2</v>
      </c>
      <c r="AH2996" s="10">
        <f t="shared" si="61"/>
        <v>17</v>
      </c>
    </row>
    <row r="2997" spans="11:34" ht="14.5" x14ac:dyDescent="0.35">
      <c r="K2997" s="4"/>
      <c r="AC2997" s="7">
        <v>2022</v>
      </c>
      <c r="AD2997" s="7">
        <v>5</v>
      </c>
      <c r="AE2997" s="7">
        <v>5</v>
      </c>
      <c r="AF2997" s="8">
        <v>0.79166666666666663</v>
      </c>
      <c r="AG2997" s="9">
        <v>15.3</v>
      </c>
      <c r="AH2997" s="10">
        <f t="shared" si="61"/>
        <v>15</v>
      </c>
    </row>
    <row r="2998" spans="11:34" ht="14.5" x14ac:dyDescent="0.35">
      <c r="K2998" s="4"/>
      <c r="AC2998" s="7">
        <v>2022</v>
      </c>
      <c r="AD2998" s="7">
        <v>5</v>
      </c>
      <c r="AE2998" s="7">
        <v>5</v>
      </c>
      <c r="AF2998" s="8">
        <v>0.83333333333333337</v>
      </c>
      <c r="AG2998" s="9">
        <v>13.2</v>
      </c>
      <c r="AH2998" s="10">
        <f t="shared" si="61"/>
        <v>13</v>
      </c>
    </row>
    <row r="2999" spans="11:34" ht="14.5" x14ac:dyDescent="0.35">
      <c r="K2999" s="4"/>
      <c r="AC2999" s="7">
        <v>2022</v>
      </c>
      <c r="AD2999" s="7">
        <v>5</v>
      </c>
      <c r="AE2999" s="7">
        <v>5</v>
      </c>
      <c r="AF2999" s="8">
        <v>0.875</v>
      </c>
      <c r="AG2999" s="9">
        <v>11.3</v>
      </c>
      <c r="AH2999" s="10">
        <f t="shared" si="61"/>
        <v>11</v>
      </c>
    </row>
    <row r="3000" spans="11:34" ht="14.5" x14ac:dyDescent="0.35">
      <c r="K3000" s="4"/>
      <c r="AC3000" s="7">
        <v>2022</v>
      </c>
      <c r="AD3000" s="7">
        <v>5</v>
      </c>
      <c r="AE3000" s="7">
        <v>5</v>
      </c>
      <c r="AF3000" s="8">
        <v>0.91666666666666663</v>
      </c>
      <c r="AG3000" s="9">
        <v>11.8</v>
      </c>
      <c r="AH3000" s="10">
        <f t="shared" si="61"/>
        <v>12</v>
      </c>
    </row>
    <row r="3001" spans="11:34" ht="14.5" x14ac:dyDescent="0.35">
      <c r="K3001" s="4"/>
      <c r="AC3001" s="7">
        <v>2022</v>
      </c>
      <c r="AD3001" s="7">
        <v>5</v>
      </c>
      <c r="AE3001" s="7">
        <v>5</v>
      </c>
      <c r="AF3001" s="8">
        <v>0.95833333333333337</v>
      </c>
      <c r="AG3001" s="9">
        <v>10.7</v>
      </c>
      <c r="AH3001" s="10">
        <f t="shared" si="61"/>
        <v>11</v>
      </c>
    </row>
    <row r="3002" spans="11:34" ht="14.5" x14ac:dyDescent="0.35">
      <c r="K3002" s="4"/>
      <c r="AC3002" s="7">
        <v>2022</v>
      </c>
      <c r="AD3002" s="7">
        <v>5</v>
      </c>
      <c r="AE3002" s="7">
        <v>6</v>
      </c>
      <c r="AF3002" s="8">
        <v>0</v>
      </c>
      <c r="AG3002" s="9">
        <v>10.3</v>
      </c>
      <c r="AH3002" s="10">
        <f t="shared" si="61"/>
        <v>10</v>
      </c>
    </row>
    <row r="3003" spans="11:34" ht="14.5" x14ac:dyDescent="0.35">
      <c r="K3003" s="4"/>
      <c r="AC3003" s="7">
        <v>2022</v>
      </c>
      <c r="AD3003" s="7">
        <v>5</v>
      </c>
      <c r="AE3003" s="7">
        <v>6</v>
      </c>
      <c r="AF3003" s="8">
        <v>4.1666666666666664E-2</v>
      </c>
      <c r="AG3003" s="9">
        <v>9.6</v>
      </c>
      <c r="AH3003" s="10">
        <f t="shared" si="61"/>
        <v>10</v>
      </c>
    </row>
    <row r="3004" spans="11:34" ht="14.5" x14ac:dyDescent="0.35">
      <c r="K3004" s="4"/>
      <c r="AC3004" s="7">
        <v>2022</v>
      </c>
      <c r="AD3004" s="7">
        <v>5</v>
      </c>
      <c r="AE3004" s="7">
        <v>6</v>
      </c>
      <c r="AF3004" s="8">
        <v>8.3333333333333329E-2</v>
      </c>
      <c r="AG3004" s="9">
        <v>8.1999999999999993</v>
      </c>
      <c r="AH3004" s="10">
        <f t="shared" si="61"/>
        <v>8</v>
      </c>
    </row>
    <row r="3005" spans="11:34" ht="14.5" x14ac:dyDescent="0.35">
      <c r="K3005" s="4"/>
      <c r="AC3005" s="7">
        <v>2022</v>
      </c>
      <c r="AD3005" s="7">
        <v>5</v>
      </c>
      <c r="AE3005" s="7">
        <v>6</v>
      </c>
      <c r="AF3005" s="8">
        <v>0.125</v>
      </c>
      <c r="AG3005" s="9">
        <v>7</v>
      </c>
      <c r="AH3005" s="10">
        <f t="shared" si="61"/>
        <v>7</v>
      </c>
    </row>
    <row r="3006" spans="11:34" ht="14.5" x14ac:dyDescent="0.35">
      <c r="K3006" s="4"/>
      <c r="AC3006" s="7">
        <v>2022</v>
      </c>
      <c r="AD3006" s="7">
        <v>5</v>
      </c>
      <c r="AE3006" s="7">
        <v>6</v>
      </c>
      <c r="AF3006" s="8">
        <v>0.16666666666666666</v>
      </c>
      <c r="AG3006" s="9">
        <v>8.1999999999999993</v>
      </c>
      <c r="AH3006" s="10">
        <f t="shared" si="61"/>
        <v>8</v>
      </c>
    </row>
    <row r="3007" spans="11:34" ht="14.5" x14ac:dyDescent="0.35">
      <c r="K3007" s="4"/>
      <c r="AC3007" s="7">
        <v>2022</v>
      </c>
      <c r="AD3007" s="7">
        <v>5</v>
      </c>
      <c r="AE3007" s="7">
        <v>6</v>
      </c>
      <c r="AF3007" s="8">
        <v>0.20833333333333334</v>
      </c>
      <c r="AG3007" s="9">
        <v>10.3</v>
      </c>
      <c r="AH3007" s="10">
        <f t="shared" si="61"/>
        <v>10</v>
      </c>
    </row>
    <row r="3008" spans="11:34" ht="14.5" x14ac:dyDescent="0.35">
      <c r="K3008" s="4"/>
      <c r="AC3008" s="7">
        <v>2022</v>
      </c>
      <c r="AD3008" s="7">
        <v>5</v>
      </c>
      <c r="AE3008" s="7">
        <v>6</v>
      </c>
      <c r="AF3008" s="8">
        <v>0.25</v>
      </c>
      <c r="AG3008" s="9">
        <v>10.4</v>
      </c>
      <c r="AH3008" s="10">
        <f t="shared" si="61"/>
        <v>10</v>
      </c>
    </row>
    <row r="3009" spans="11:34" ht="14.5" x14ac:dyDescent="0.35">
      <c r="K3009" s="4"/>
      <c r="AC3009" s="7">
        <v>2022</v>
      </c>
      <c r="AD3009" s="7">
        <v>5</v>
      </c>
      <c r="AE3009" s="7">
        <v>6</v>
      </c>
      <c r="AF3009" s="8">
        <v>0.29166666666666669</v>
      </c>
      <c r="AG3009" s="9">
        <v>10.8</v>
      </c>
      <c r="AH3009" s="10">
        <f t="shared" si="61"/>
        <v>11</v>
      </c>
    </row>
    <row r="3010" spans="11:34" ht="14.5" x14ac:dyDescent="0.35">
      <c r="K3010" s="4"/>
      <c r="AC3010" s="7">
        <v>2022</v>
      </c>
      <c r="AD3010" s="7">
        <v>5</v>
      </c>
      <c r="AE3010" s="7">
        <v>6</v>
      </c>
      <c r="AF3010" s="8">
        <v>0.33333333333333331</v>
      </c>
      <c r="AG3010" s="9">
        <v>12.2</v>
      </c>
      <c r="AH3010" s="10">
        <f t="shared" si="61"/>
        <v>12</v>
      </c>
    </row>
    <row r="3011" spans="11:34" ht="14.5" x14ac:dyDescent="0.35">
      <c r="K3011" s="4"/>
      <c r="AC3011" s="7">
        <v>2022</v>
      </c>
      <c r="AD3011" s="7">
        <v>5</v>
      </c>
      <c r="AE3011" s="7">
        <v>6</v>
      </c>
      <c r="AF3011" s="8">
        <v>0.375</v>
      </c>
      <c r="AG3011" s="9">
        <v>13.1</v>
      </c>
      <c r="AH3011" s="10">
        <f t="shared" si="61"/>
        <v>13</v>
      </c>
    </row>
    <row r="3012" spans="11:34" ht="14.5" x14ac:dyDescent="0.35">
      <c r="K3012" s="4"/>
      <c r="AC3012" s="7">
        <v>2022</v>
      </c>
      <c r="AD3012" s="7">
        <v>5</v>
      </c>
      <c r="AE3012" s="7">
        <v>6</v>
      </c>
      <c r="AF3012" s="8">
        <v>0.41666666666666669</v>
      </c>
      <c r="AG3012" s="9">
        <v>13.9</v>
      </c>
      <c r="AH3012" s="10">
        <f t="shared" si="61"/>
        <v>14</v>
      </c>
    </row>
    <row r="3013" spans="11:34" ht="14.5" x14ac:dyDescent="0.35">
      <c r="K3013" s="4"/>
      <c r="AC3013" s="7">
        <v>2022</v>
      </c>
      <c r="AD3013" s="7">
        <v>5</v>
      </c>
      <c r="AE3013" s="7">
        <v>6</v>
      </c>
      <c r="AF3013" s="8">
        <v>0.45833333333333331</v>
      </c>
      <c r="AG3013" s="9">
        <v>15</v>
      </c>
      <c r="AH3013" s="10">
        <f t="shared" si="61"/>
        <v>15</v>
      </c>
    </row>
    <row r="3014" spans="11:34" ht="14.5" x14ac:dyDescent="0.35">
      <c r="K3014" s="4"/>
      <c r="AC3014" s="7">
        <v>2022</v>
      </c>
      <c r="AD3014" s="7">
        <v>5</v>
      </c>
      <c r="AE3014" s="7">
        <v>6</v>
      </c>
      <c r="AF3014" s="8">
        <v>0.5</v>
      </c>
      <c r="AG3014" s="9">
        <v>15.3</v>
      </c>
      <c r="AH3014" s="10">
        <f t="shared" si="61"/>
        <v>15</v>
      </c>
    </row>
    <row r="3015" spans="11:34" ht="14.5" x14ac:dyDescent="0.35">
      <c r="K3015" s="4"/>
      <c r="AC3015" s="7">
        <v>2022</v>
      </c>
      <c r="AD3015" s="7">
        <v>5</v>
      </c>
      <c r="AE3015" s="7">
        <v>6</v>
      </c>
      <c r="AF3015" s="8">
        <v>0.54166666666666663</v>
      </c>
      <c r="AG3015" s="9">
        <v>15.5</v>
      </c>
      <c r="AH3015" s="10">
        <f t="shared" si="61"/>
        <v>16</v>
      </c>
    </row>
    <row r="3016" spans="11:34" ht="14.5" x14ac:dyDescent="0.35">
      <c r="K3016" s="4"/>
      <c r="AC3016" s="7">
        <v>2022</v>
      </c>
      <c r="AD3016" s="7">
        <v>5</v>
      </c>
      <c r="AE3016" s="7">
        <v>6</v>
      </c>
      <c r="AF3016" s="8">
        <v>0.58333333333333337</v>
      </c>
      <c r="AG3016" s="9">
        <v>15.6</v>
      </c>
      <c r="AH3016" s="10">
        <f t="shared" si="61"/>
        <v>16</v>
      </c>
    </row>
    <row r="3017" spans="11:34" ht="14.5" x14ac:dyDescent="0.35">
      <c r="K3017" s="4"/>
      <c r="AC3017" s="7">
        <v>2022</v>
      </c>
      <c r="AD3017" s="7">
        <v>5</v>
      </c>
      <c r="AE3017" s="7">
        <v>6</v>
      </c>
      <c r="AF3017" s="8">
        <v>0.625</v>
      </c>
      <c r="AG3017" s="9">
        <v>16.399999999999999</v>
      </c>
      <c r="AH3017" s="10">
        <f t="shared" si="61"/>
        <v>16</v>
      </c>
    </row>
    <row r="3018" spans="11:34" ht="14.5" x14ac:dyDescent="0.35">
      <c r="K3018" s="4"/>
      <c r="AC3018" s="7">
        <v>2022</v>
      </c>
      <c r="AD3018" s="7">
        <v>5</v>
      </c>
      <c r="AE3018" s="7">
        <v>6</v>
      </c>
      <c r="AF3018" s="8">
        <v>0.66666666666666663</v>
      </c>
      <c r="AG3018" s="9">
        <v>16.2</v>
      </c>
      <c r="AH3018" s="10">
        <f t="shared" si="61"/>
        <v>16</v>
      </c>
    </row>
    <row r="3019" spans="11:34" ht="14.5" x14ac:dyDescent="0.35">
      <c r="K3019" s="4"/>
      <c r="AC3019" s="7">
        <v>2022</v>
      </c>
      <c r="AD3019" s="7">
        <v>5</v>
      </c>
      <c r="AE3019" s="7">
        <v>6</v>
      </c>
      <c r="AF3019" s="8">
        <v>0.70833333333333337</v>
      </c>
      <c r="AG3019" s="9">
        <v>15.8</v>
      </c>
      <c r="AH3019" s="10">
        <f t="shared" ref="AH3019:AH3082" si="62">ROUND(AG3019,0)</f>
        <v>16</v>
      </c>
    </row>
    <row r="3020" spans="11:34" ht="14.5" x14ac:dyDescent="0.35">
      <c r="K3020" s="4"/>
      <c r="AC3020" s="7">
        <v>2022</v>
      </c>
      <c r="AD3020" s="7">
        <v>5</v>
      </c>
      <c r="AE3020" s="7">
        <v>6</v>
      </c>
      <c r="AF3020" s="8">
        <v>0.75</v>
      </c>
      <c r="AG3020" s="9">
        <v>14.8</v>
      </c>
      <c r="AH3020" s="10">
        <f t="shared" si="62"/>
        <v>15</v>
      </c>
    </row>
    <row r="3021" spans="11:34" ht="14.5" x14ac:dyDescent="0.35">
      <c r="K3021" s="4"/>
      <c r="AC3021" s="7">
        <v>2022</v>
      </c>
      <c r="AD3021" s="7">
        <v>5</v>
      </c>
      <c r="AE3021" s="7">
        <v>6</v>
      </c>
      <c r="AF3021" s="8">
        <v>0.79166666666666663</v>
      </c>
      <c r="AG3021" s="9">
        <v>13.4</v>
      </c>
      <c r="AH3021" s="10">
        <f t="shared" si="62"/>
        <v>13</v>
      </c>
    </row>
    <row r="3022" spans="11:34" ht="14.5" x14ac:dyDescent="0.35">
      <c r="K3022" s="4"/>
      <c r="AC3022" s="7">
        <v>2022</v>
      </c>
      <c r="AD3022" s="7">
        <v>5</v>
      </c>
      <c r="AE3022" s="7">
        <v>6</v>
      </c>
      <c r="AF3022" s="8">
        <v>0.83333333333333337</v>
      </c>
      <c r="AG3022" s="9">
        <v>11.8</v>
      </c>
      <c r="AH3022" s="10">
        <f t="shared" si="62"/>
        <v>12</v>
      </c>
    </row>
    <row r="3023" spans="11:34" ht="14.5" x14ac:dyDescent="0.35">
      <c r="K3023" s="4"/>
      <c r="AC3023" s="7">
        <v>2022</v>
      </c>
      <c r="AD3023" s="7">
        <v>5</v>
      </c>
      <c r="AE3023" s="7">
        <v>6</v>
      </c>
      <c r="AF3023" s="8">
        <v>0.875</v>
      </c>
      <c r="AG3023" s="9">
        <v>10.9</v>
      </c>
      <c r="AH3023" s="10">
        <f t="shared" si="62"/>
        <v>11</v>
      </c>
    </row>
    <row r="3024" spans="11:34" ht="14.5" x14ac:dyDescent="0.35">
      <c r="K3024" s="4"/>
      <c r="AC3024" s="7">
        <v>2022</v>
      </c>
      <c r="AD3024" s="7">
        <v>5</v>
      </c>
      <c r="AE3024" s="7">
        <v>6</v>
      </c>
      <c r="AF3024" s="8">
        <v>0.91666666666666663</v>
      </c>
      <c r="AG3024" s="9">
        <v>9.3000000000000007</v>
      </c>
      <c r="AH3024" s="10">
        <f t="shared" si="62"/>
        <v>9</v>
      </c>
    </row>
    <row r="3025" spans="11:34" ht="14.5" x14ac:dyDescent="0.35">
      <c r="K3025" s="4"/>
      <c r="AC3025" s="7">
        <v>2022</v>
      </c>
      <c r="AD3025" s="7">
        <v>5</v>
      </c>
      <c r="AE3025" s="7">
        <v>6</v>
      </c>
      <c r="AF3025" s="8">
        <v>0.95833333333333337</v>
      </c>
      <c r="AG3025" s="9">
        <v>9.3000000000000007</v>
      </c>
      <c r="AH3025" s="10">
        <f t="shared" si="62"/>
        <v>9</v>
      </c>
    </row>
    <row r="3026" spans="11:34" ht="14.5" x14ac:dyDescent="0.35">
      <c r="K3026" s="4"/>
      <c r="AC3026" s="7">
        <v>2022</v>
      </c>
      <c r="AD3026" s="7">
        <v>5</v>
      </c>
      <c r="AE3026" s="7">
        <v>7</v>
      </c>
      <c r="AF3026" s="8">
        <v>0</v>
      </c>
      <c r="AG3026" s="9">
        <v>6.4</v>
      </c>
      <c r="AH3026" s="10">
        <f t="shared" si="62"/>
        <v>6</v>
      </c>
    </row>
    <row r="3027" spans="11:34" ht="14.5" x14ac:dyDescent="0.35">
      <c r="K3027" s="4"/>
      <c r="AC3027" s="7">
        <v>2022</v>
      </c>
      <c r="AD3027" s="7">
        <v>5</v>
      </c>
      <c r="AE3027" s="7">
        <v>7</v>
      </c>
      <c r="AF3027" s="8">
        <v>4.1666666666666664E-2</v>
      </c>
      <c r="AG3027" s="9">
        <v>4.3</v>
      </c>
      <c r="AH3027" s="10">
        <f t="shared" si="62"/>
        <v>4</v>
      </c>
    </row>
    <row r="3028" spans="11:34" ht="14.5" x14ac:dyDescent="0.35">
      <c r="K3028" s="4"/>
      <c r="AC3028" s="7">
        <v>2022</v>
      </c>
      <c r="AD3028" s="7">
        <v>5</v>
      </c>
      <c r="AE3028" s="7">
        <v>7</v>
      </c>
      <c r="AF3028" s="8">
        <v>8.3333333333333329E-2</v>
      </c>
      <c r="AG3028" s="9">
        <v>4.7</v>
      </c>
      <c r="AH3028" s="10">
        <f t="shared" si="62"/>
        <v>5</v>
      </c>
    </row>
    <row r="3029" spans="11:34" ht="14.5" x14ac:dyDescent="0.35">
      <c r="K3029" s="4"/>
      <c r="AC3029" s="7">
        <v>2022</v>
      </c>
      <c r="AD3029" s="7">
        <v>5</v>
      </c>
      <c r="AE3029" s="7">
        <v>7</v>
      </c>
      <c r="AF3029" s="8">
        <v>0.125</v>
      </c>
      <c r="AG3029" s="9">
        <v>5.3</v>
      </c>
      <c r="AH3029" s="10">
        <f t="shared" si="62"/>
        <v>5</v>
      </c>
    </row>
    <row r="3030" spans="11:34" ht="14.5" x14ac:dyDescent="0.35">
      <c r="K3030" s="4"/>
      <c r="AC3030" s="7">
        <v>2022</v>
      </c>
      <c r="AD3030" s="7">
        <v>5</v>
      </c>
      <c r="AE3030" s="7">
        <v>7</v>
      </c>
      <c r="AF3030" s="8">
        <v>0.16666666666666666</v>
      </c>
      <c r="AG3030" s="9">
        <v>4.8</v>
      </c>
      <c r="AH3030" s="10">
        <f t="shared" si="62"/>
        <v>5</v>
      </c>
    </row>
    <row r="3031" spans="11:34" ht="14.5" x14ac:dyDescent="0.35">
      <c r="K3031" s="4"/>
      <c r="AC3031" s="7">
        <v>2022</v>
      </c>
      <c r="AD3031" s="7">
        <v>5</v>
      </c>
      <c r="AE3031" s="7">
        <v>7</v>
      </c>
      <c r="AF3031" s="8">
        <v>0.20833333333333334</v>
      </c>
      <c r="AG3031" s="9">
        <v>5.7</v>
      </c>
      <c r="AH3031" s="10">
        <f t="shared" si="62"/>
        <v>6</v>
      </c>
    </row>
    <row r="3032" spans="11:34" ht="14.5" x14ac:dyDescent="0.35">
      <c r="K3032" s="4"/>
      <c r="AC3032" s="7">
        <v>2022</v>
      </c>
      <c r="AD3032" s="7">
        <v>5</v>
      </c>
      <c r="AE3032" s="7">
        <v>7</v>
      </c>
      <c r="AF3032" s="8">
        <v>0.25</v>
      </c>
      <c r="AG3032" s="9">
        <v>6.6</v>
      </c>
      <c r="AH3032" s="10">
        <f t="shared" si="62"/>
        <v>7</v>
      </c>
    </row>
    <row r="3033" spans="11:34" ht="14.5" x14ac:dyDescent="0.35">
      <c r="K3033" s="4"/>
      <c r="AC3033" s="7">
        <v>2022</v>
      </c>
      <c r="AD3033" s="7">
        <v>5</v>
      </c>
      <c r="AE3033" s="7">
        <v>7</v>
      </c>
      <c r="AF3033" s="8">
        <v>0.29166666666666669</v>
      </c>
      <c r="AG3033" s="9">
        <v>6.1</v>
      </c>
      <c r="AH3033" s="10">
        <f t="shared" si="62"/>
        <v>6</v>
      </c>
    </row>
    <row r="3034" spans="11:34" ht="14.5" x14ac:dyDescent="0.35">
      <c r="K3034" s="4"/>
      <c r="AC3034" s="7">
        <v>2022</v>
      </c>
      <c r="AD3034" s="7">
        <v>5</v>
      </c>
      <c r="AE3034" s="7">
        <v>7</v>
      </c>
      <c r="AF3034" s="8">
        <v>0.33333333333333331</v>
      </c>
      <c r="AG3034" s="9">
        <v>7.1</v>
      </c>
      <c r="AH3034" s="10">
        <f t="shared" si="62"/>
        <v>7</v>
      </c>
    </row>
    <row r="3035" spans="11:34" ht="14.5" x14ac:dyDescent="0.35">
      <c r="K3035" s="4"/>
      <c r="AC3035" s="7">
        <v>2022</v>
      </c>
      <c r="AD3035" s="7">
        <v>5</v>
      </c>
      <c r="AE3035" s="7">
        <v>7</v>
      </c>
      <c r="AF3035" s="8">
        <v>0.375</v>
      </c>
      <c r="AG3035" s="9">
        <v>8.5</v>
      </c>
      <c r="AH3035" s="10">
        <f t="shared" si="62"/>
        <v>9</v>
      </c>
    </row>
    <row r="3036" spans="11:34" ht="14.5" x14ac:dyDescent="0.35">
      <c r="K3036" s="4"/>
      <c r="AC3036" s="7">
        <v>2022</v>
      </c>
      <c r="AD3036" s="7">
        <v>5</v>
      </c>
      <c r="AE3036" s="7">
        <v>7</v>
      </c>
      <c r="AF3036" s="8">
        <v>0.41666666666666669</v>
      </c>
      <c r="AG3036" s="9">
        <v>10.6</v>
      </c>
      <c r="AH3036" s="10">
        <f t="shared" si="62"/>
        <v>11</v>
      </c>
    </row>
    <row r="3037" spans="11:34" ht="14.5" x14ac:dyDescent="0.35">
      <c r="K3037" s="4"/>
      <c r="AC3037" s="7">
        <v>2022</v>
      </c>
      <c r="AD3037" s="7">
        <v>5</v>
      </c>
      <c r="AE3037" s="7">
        <v>7</v>
      </c>
      <c r="AF3037" s="8">
        <v>0.45833333333333331</v>
      </c>
      <c r="AG3037" s="9">
        <v>12.4</v>
      </c>
      <c r="AH3037" s="10">
        <f t="shared" si="62"/>
        <v>12</v>
      </c>
    </row>
    <row r="3038" spans="11:34" ht="14.5" x14ac:dyDescent="0.35">
      <c r="K3038" s="4"/>
      <c r="AC3038" s="7">
        <v>2022</v>
      </c>
      <c r="AD3038" s="7">
        <v>5</v>
      </c>
      <c r="AE3038" s="7">
        <v>7</v>
      </c>
      <c r="AF3038" s="8">
        <v>0.5</v>
      </c>
      <c r="AG3038" s="9">
        <v>12.1</v>
      </c>
      <c r="AH3038" s="10">
        <f t="shared" si="62"/>
        <v>12</v>
      </c>
    </row>
    <row r="3039" spans="11:34" ht="14.5" x14ac:dyDescent="0.35">
      <c r="K3039" s="4"/>
      <c r="AC3039" s="7">
        <v>2022</v>
      </c>
      <c r="AD3039" s="7">
        <v>5</v>
      </c>
      <c r="AE3039" s="7">
        <v>7</v>
      </c>
      <c r="AF3039" s="8">
        <v>0.54166666666666663</v>
      </c>
      <c r="AG3039" s="9">
        <v>13.7</v>
      </c>
      <c r="AH3039" s="10">
        <f t="shared" si="62"/>
        <v>14</v>
      </c>
    </row>
    <row r="3040" spans="11:34" ht="14.5" x14ac:dyDescent="0.35">
      <c r="K3040" s="4"/>
      <c r="AC3040" s="7">
        <v>2022</v>
      </c>
      <c r="AD3040" s="7">
        <v>5</v>
      </c>
      <c r="AE3040" s="7">
        <v>7</v>
      </c>
      <c r="AF3040" s="8">
        <v>0.58333333333333337</v>
      </c>
      <c r="AG3040" s="9">
        <v>14</v>
      </c>
      <c r="AH3040" s="10">
        <f t="shared" si="62"/>
        <v>14</v>
      </c>
    </row>
    <row r="3041" spans="11:34" ht="14.5" x14ac:dyDescent="0.35">
      <c r="K3041" s="4"/>
      <c r="AC3041" s="7">
        <v>2022</v>
      </c>
      <c r="AD3041" s="7">
        <v>5</v>
      </c>
      <c r="AE3041" s="7">
        <v>7</v>
      </c>
      <c r="AF3041" s="8">
        <v>0.625</v>
      </c>
      <c r="AG3041" s="9">
        <v>13.3</v>
      </c>
      <c r="AH3041" s="10">
        <f t="shared" si="62"/>
        <v>13</v>
      </c>
    </row>
    <row r="3042" spans="11:34" ht="14.5" x14ac:dyDescent="0.35">
      <c r="K3042" s="4"/>
      <c r="AC3042" s="7">
        <v>2022</v>
      </c>
      <c r="AD3042" s="7">
        <v>5</v>
      </c>
      <c r="AE3042" s="7">
        <v>7</v>
      </c>
      <c r="AF3042" s="8">
        <v>0.66666666666666663</v>
      </c>
      <c r="AG3042" s="9">
        <v>11.2</v>
      </c>
      <c r="AH3042" s="10">
        <f t="shared" si="62"/>
        <v>11</v>
      </c>
    </row>
    <row r="3043" spans="11:34" ht="14.5" x14ac:dyDescent="0.35">
      <c r="K3043" s="4"/>
      <c r="AC3043" s="7">
        <v>2022</v>
      </c>
      <c r="AD3043" s="7">
        <v>5</v>
      </c>
      <c r="AE3043" s="7">
        <v>7</v>
      </c>
      <c r="AF3043" s="8">
        <v>0.70833333333333337</v>
      </c>
      <c r="AG3043" s="9">
        <v>10.1</v>
      </c>
      <c r="AH3043" s="10">
        <f t="shared" si="62"/>
        <v>10</v>
      </c>
    </row>
    <row r="3044" spans="11:34" ht="14.5" x14ac:dyDescent="0.35">
      <c r="K3044" s="4"/>
      <c r="AC3044" s="7">
        <v>2022</v>
      </c>
      <c r="AD3044" s="7">
        <v>5</v>
      </c>
      <c r="AE3044" s="7">
        <v>7</v>
      </c>
      <c r="AF3044" s="8">
        <v>0.75</v>
      </c>
      <c r="AG3044" s="9">
        <v>9.5</v>
      </c>
      <c r="AH3044" s="10">
        <f t="shared" si="62"/>
        <v>10</v>
      </c>
    </row>
    <row r="3045" spans="11:34" ht="14.5" x14ac:dyDescent="0.35">
      <c r="K3045" s="4"/>
      <c r="AC3045" s="7">
        <v>2022</v>
      </c>
      <c r="AD3045" s="7">
        <v>5</v>
      </c>
      <c r="AE3045" s="7">
        <v>7</v>
      </c>
      <c r="AF3045" s="8">
        <v>0.79166666666666663</v>
      </c>
      <c r="AG3045" s="9">
        <v>7.6</v>
      </c>
      <c r="AH3045" s="10">
        <f t="shared" si="62"/>
        <v>8</v>
      </c>
    </row>
    <row r="3046" spans="11:34" ht="14.5" x14ac:dyDescent="0.35">
      <c r="K3046" s="4"/>
      <c r="AC3046" s="7">
        <v>2022</v>
      </c>
      <c r="AD3046" s="7">
        <v>5</v>
      </c>
      <c r="AE3046" s="7">
        <v>7</v>
      </c>
      <c r="AF3046" s="8">
        <v>0.83333333333333337</v>
      </c>
      <c r="AG3046" s="9">
        <v>6.5</v>
      </c>
      <c r="AH3046" s="10">
        <f t="shared" si="62"/>
        <v>7</v>
      </c>
    </row>
    <row r="3047" spans="11:34" ht="14.5" x14ac:dyDescent="0.35">
      <c r="K3047" s="4"/>
      <c r="AC3047" s="7">
        <v>2022</v>
      </c>
      <c r="AD3047" s="7">
        <v>5</v>
      </c>
      <c r="AE3047" s="7">
        <v>7</v>
      </c>
      <c r="AF3047" s="8">
        <v>0.875</v>
      </c>
      <c r="AG3047" s="9">
        <v>7.1</v>
      </c>
      <c r="AH3047" s="10">
        <f t="shared" si="62"/>
        <v>7</v>
      </c>
    </row>
    <row r="3048" spans="11:34" ht="14.5" x14ac:dyDescent="0.35">
      <c r="K3048" s="4"/>
      <c r="AC3048" s="7">
        <v>2022</v>
      </c>
      <c r="AD3048" s="7">
        <v>5</v>
      </c>
      <c r="AE3048" s="7">
        <v>7</v>
      </c>
      <c r="AF3048" s="8">
        <v>0.91666666666666663</v>
      </c>
      <c r="AG3048" s="9">
        <v>4.5999999999999996</v>
      </c>
      <c r="AH3048" s="10">
        <f t="shared" si="62"/>
        <v>5</v>
      </c>
    </row>
    <row r="3049" spans="11:34" ht="14.5" x14ac:dyDescent="0.35">
      <c r="K3049" s="4"/>
      <c r="AC3049" s="7">
        <v>2022</v>
      </c>
      <c r="AD3049" s="7">
        <v>5</v>
      </c>
      <c r="AE3049" s="7">
        <v>7</v>
      </c>
      <c r="AF3049" s="8">
        <v>0.95833333333333337</v>
      </c>
      <c r="AG3049" s="9">
        <v>4.8</v>
      </c>
      <c r="AH3049" s="10">
        <f t="shared" si="62"/>
        <v>5</v>
      </c>
    </row>
    <row r="3050" spans="11:34" ht="14.5" x14ac:dyDescent="0.35">
      <c r="K3050" s="4"/>
      <c r="AC3050" s="7">
        <v>2022</v>
      </c>
      <c r="AD3050" s="7">
        <v>5</v>
      </c>
      <c r="AE3050" s="7">
        <v>8</v>
      </c>
      <c r="AF3050" s="8">
        <v>0</v>
      </c>
      <c r="AG3050" s="9">
        <v>4.5</v>
      </c>
      <c r="AH3050" s="10">
        <f t="shared" si="62"/>
        <v>5</v>
      </c>
    </row>
    <row r="3051" spans="11:34" ht="14.5" x14ac:dyDescent="0.35">
      <c r="K3051" s="4"/>
      <c r="AC3051" s="7">
        <v>2022</v>
      </c>
      <c r="AD3051" s="7">
        <v>5</v>
      </c>
      <c r="AE3051" s="7">
        <v>8</v>
      </c>
      <c r="AF3051" s="8">
        <v>4.1666666666666664E-2</v>
      </c>
      <c r="AG3051" s="9">
        <v>2.5</v>
      </c>
      <c r="AH3051" s="10">
        <f t="shared" si="62"/>
        <v>3</v>
      </c>
    </row>
    <row r="3052" spans="11:34" ht="14.5" x14ac:dyDescent="0.35">
      <c r="K3052" s="4"/>
      <c r="AC3052" s="7">
        <v>2022</v>
      </c>
      <c r="AD3052" s="7">
        <v>5</v>
      </c>
      <c r="AE3052" s="7">
        <v>8</v>
      </c>
      <c r="AF3052" s="8">
        <v>8.3333333333333329E-2</v>
      </c>
      <c r="AG3052" s="9">
        <v>2</v>
      </c>
      <c r="AH3052" s="10">
        <f t="shared" si="62"/>
        <v>2</v>
      </c>
    </row>
    <row r="3053" spans="11:34" ht="14.5" x14ac:dyDescent="0.35">
      <c r="K3053" s="4"/>
      <c r="AC3053" s="7">
        <v>2022</v>
      </c>
      <c r="AD3053" s="7">
        <v>5</v>
      </c>
      <c r="AE3053" s="7">
        <v>8</v>
      </c>
      <c r="AF3053" s="8">
        <v>0.125</v>
      </c>
      <c r="AG3053" s="9">
        <v>1.4</v>
      </c>
      <c r="AH3053" s="10">
        <f t="shared" si="62"/>
        <v>1</v>
      </c>
    </row>
    <row r="3054" spans="11:34" ht="14.5" x14ac:dyDescent="0.35">
      <c r="K3054" s="4"/>
      <c r="AC3054" s="7">
        <v>2022</v>
      </c>
      <c r="AD3054" s="7">
        <v>5</v>
      </c>
      <c r="AE3054" s="7">
        <v>8</v>
      </c>
      <c r="AF3054" s="8">
        <v>0.16666666666666666</v>
      </c>
      <c r="AG3054" s="9">
        <v>0.3</v>
      </c>
      <c r="AH3054" s="10">
        <f t="shared" si="62"/>
        <v>0</v>
      </c>
    </row>
    <row r="3055" spans="11:34" ht="14.5" x14ac:dyDescent="0.35">
      <c r="K3055" s="4"/>
      <c r="AC3055" s="7">
        <v>2022</v>
      </c>
      <c r="AD3055" s="7">
        <v>5</v>
      </c>
      <c r="AE3055" s="7">
        <v>8</v>
      </c>
      <c r="AF3055" s="8">
        <v>0.20833333333333334</v>
      </c>
      <c r="AG3055" s="9">
        <v>0.3</v>
      </c>
      <c r="AH3055" s="10">
        <f t="shared" si="62"/>
        <v>0</v>
      </c>
    </row>
    <row r="3056" spans="11:34" ht="14.5" x14ac:dyDescent="0.35">
      <c r="K3056" s="4"/>
      <c r="AC3056" s="7">
        <v>2022</v>
      </c>
      <c r="AD3056" s="7">
        <v>5</v>
      </c>
      <c r="AE3056" s="7">
        <v>8</v>
      </c>
      <c r="AF3056" s="8">
        <v>0.25</v>
      </c>
      <c r="AG3056" s="9">
        <v>1.4</v>
      </c>
      <c r="AH3056" s="10">
        <f t="shared" si="62"/>
        <v>1</v>
      </c>
    </row>
    <row r="3057" spans="11:34" ht="14.5" x14ac:dyDescent="0.35">
      <c r="K3057" s="4"/>
      <c r="AC3057" s="7">
        <v>2022</v>
      </c>
      <c r="AD3057" s="7">
        <v>5</v>
      </c>
      <c r="AE3057" s="7">
        <v>8</v>
      </c>
      <c r="AF3057" s="8">
        <v>0.29166666666666669</v>
      </c>
      <c r="AG3057" s="9">
        <v>3.7</v>
      </c>
      <c r="AH3057" s="10">
        <f t="shared" si="62"/>
        <v>4</v>
      </c>
    </row>
    <row r="3058" spans="11:34" ht="14.5" x14ac:dyDescent="0.35">
      <c r="K3058" s="4"/>
      <c r="AC3058" s="7">
        <v>2022</v>
      </c>
      <c r="AD3058" s="7">
        <v>5</v>
      </c>
      <c r="AE3058" s="7">
        <v>8</v>
      </c>
      <c r="AF3058" s="8">
        <v>0.33333333333333331</v>
      </c>
      <c r="AG3058" s="9">
        <v>4.5</v>
      </c>
      <c r="AH3058" s="10">
        <f t="shared" si="62"/>
        <v>5</v>
      </c>
    </row>
    <row r="3059" spans="11:34" ht="14.5" x14ac:dyDescent="0.35">
      <c r="K3059" s="4"/>
      <c r="AC3059" s="7">
        <v>2022</v>
      </c>
      <c r="AD3059" s="7">
        <v>5</v>
      </c>
      <c r="AE3059" s="7">
        <v>8</v>
      </c>
      <c r="AF3059" s="8">
        <v>0.375</v>
      </c>
      <c r="AG3059" s="9">
        <v>5</v>
      </c>
      <c r="AH3059" s="10">
        <f t="shared" si="62"/>
        <v>5</v>
      </c>
    </row>
    <row r="3060" spans="11:34" ht="14.5" x14ac:dyDescent="0.35">
      <c r="K3060" s="4"/>
      <c r="AC3060" s="7">
        <v>2022</v>
      </c>
      <c r="AD3060" s="7">
        <v>5</v>
      </c>
      <c r="AE3060" s="7">
        <v>8</v>
      </c>
      <c r="AF3060" s="8">
        <v>0.41666666666666669</v>
      </c>
      <c r="AG3060" s="9">
        <v>7</v>
      </c>
      <c r="AH3060" s="10">
        <f t="shared" si="62"/>
        <v>7</v>
      </c>
    </row>
    <row r="3061" spans="11:34" ht="14.5" x14ac:dyDescent="0.35">
      <c r="K3061" s="4"/>
      <c r="AC3061" s="7">
        <v>2022</v>
      </c>
      <c r="AD3061" s="7">
        <v>5</v>
      </c>
      <c r="AE3061" s="7">
        <v>8</v>
      </c>
      <c r="AF3061" s="8">
        <v>0.45833333333333331</v>
      </c>
      <c r="AG3061" s="9">
        <v>8.5</v>
      </c>
      <c r="AH3061" s="10">
        <f t="shared" si="62"/>
        <v>9</v>
      </c>
    </row>
    <row r="3062" spans="11:34" ht="14.5" x14ac:dyDescent="0.35">
      <c r="K3062" s="4"/>
      <c r="AC3062" s="7">
        <v>2022</v>
      </c>
      <c r="AD3062" s="7">
        <v>5</v>
      </c>
      <c r="AE3062" s="7">
        <v>8</v>
      </c>
      <c r="AF3062" s="8">
        <v>0.5</v>
      </c>
      <c r="AG3062" s="9">
        <v>8.4</v>
      </c>
      <c r="AH3062" s="10">
        <f t="shared" si="62"/>
        <v>8</v>
      </c>
    </row>
    <row r="3063" spans="11:34" ht="14.5" x14ac:dyDescent="0.35">
      <c r="K3063" s="4"/>
      <c r="AC3063" s="7">
        <v>2022</v>
      </c>
      <c r="AD3063" s="7">
        <v>5</v>
      </c>
      <c r="AE3063" s="7">
        <v>8</v>
      </c>
      <c r="AF3063" s="8">
        <v>0.54166666666666663</v>
      </c>
      <c r="AG3063" s="9">
        <v>8.9</v>
      </c>
      <c r="AH3063" s="10">
        <f t="shared" si="62"/>
        <v>9</v>
      </c>
    </row>
    <row r="3064" spans="11:34" ht="14.5" x14ac:dyDescent="0.35">
      <c r="K3064" s="4"/>
      <c r="AC3064" s="7">
        <v>2022</v>
      </c>
      <c r="AD3064" s="7">
        <v>5</v>
      </c>
      <c r="AE3064" s="7">
        <v>8</v>
      </c>
      <c r="AF3064" s="8">
        <v>0.58333333333333337</v>
      </c>
      <c r="AG3064" s="9">
        <v>7</v>
      </c>
      <c r="AH3064" s="10">
        <f t="shared" si="62"/>
        <v>7</v>
      </c>
    </row>
    <row r="3065" spans="11:34" ht="14.5" x14ac:dyDescent="0.35">
      <c r="K3065" s="4"/>
      <c r="AC3065" s="7">
        <v>2022</v>
      </c>
      <c r="AD3065" s="7">
        <v>5</v>
      </c>
      <c r="AE3065" s="7">
        <v>8</v>
      </c>
      <c r="AF3065" s="8">
        <v>0.625</v>
      </c>
      <c r="AG3065" s="9">
        <v>7.5</v>
      </c>
      <c r="AH3065" s="10">
        <f t="shared" si="62"/>
        <v>8</v>
      </c>
    </row>
    <row r="3066" spans="11:34" ht="14.5" x14ac:dyDescent="0.35">
      <c r="K3066" s="4"/>
      <c r="AC3066" s="7">
        <v>2022</v>
      </c>
      <c r="AD3066" s="7">
        <v>5</v>
      </c>
      <c r="AE3066" s="7">
        <v>8</v>
      </c>
      <c r="AF3066" s="8">
        <v>0.66666666666666663</v>
      </c>
      <c r="AG3066" s="9">
        <v>6.9</v>
      </c>
      <c r="AH3066" s="10">
        <f t="shared" si="62"/>
        <v>7</v>
      </c>
    </row>
    <row r="3067" spans="11:34" ht="14.5" x14ac:dyDescent="0.35">
      <c r="K3067" s="4"/>
      <c r="AC3067" s="7">
        <v>2022</v>
      </c>
      <c r="AD3067" s="7">
        <v>5</v>
      </c>
      <c r="AE3067" s="7">
        <v>8</v>
      </c>
      <c r="AF3067" s="8">
        <v>0.70833333333333337</v>
      </c>
      <c r="AG3067" s="9">
        <v>9</v>
      </c>
      <c r="AH3067" s="10">
        <f t="shared" si="62"/>
        <v>9</v>
      </c>
    </row>
    <row r="3068" spans="11:34" ht="14.5" x14ac:dyDescent="0.35">
      <c r="K3068" s="4"/>
      <c r="AC3068" s="7">
        <v>2022</v>
      </c>
      <c r="AD3068" s="7">
        <v>5</v>
      </c>
      <c r="AE3068" s="7">
        <v>8</v>
      </c>
      <c r="AF3068" s="8">
        <v>0.75</v>
      </c>
      <c r="AG3068" s="9">
        <v>8.1</v>
      </c>
      <c r="AH3068" s="10">
        <f t="shared" si="62"/>
        <v>8</v>
      </c>
    </row>
    <row r="3069" spans="11:34" ht="14.5" x14ac:dyDescent="0.35">
      <c r="K3069" s="4"/>
      <c r="AC3069" s="7">
        <v>2022</v>
      </c>
      <c r="AD3069" s="7">
        <v>5</v>
      </c>
      <c r="AE3069" s="7">
        <v>8</v>
      </c>
      <c r="AF3069" s="8">
        <v>0.79166666666666663</v>
      </c>
      <c r="AG3069" s="9">
        <v>6.9</v>
      </c>
      <c r="AH3069" s="10">
        <f t="shared" si="62"/>
        <v>7</v>
      </c>
    </row>
    <row r="3070" spans="11:34" ht="14.5" x14ac:dyDescent="0.35">
      <c r="K3070" s="4"/>
      <c r="AC3070" s="7">
        <v>2022</v>
      </c>
      <c r="AD3070" s="7">
        <v>5</v>
      </c>
      <c r="AE3070" s="7">
        <v>8</v>
      </c>
      <c r="AF3070" s="8">
        <v>0.83333333333333337</v>
      </c>
      <c r="AG3070" s="9">
        <v>5.4</v>
      </c>
      <c r="AH3070" s="10">
        <f t="shared" si="62"/>
        <v>5</v>
      </c>
    </row>
    <row r="3071" spans="11:34" ht="14.5" x14ac:dyDescent="0.35">
      <c r="K3071" s="4"/>
      <c r="AC3071" s="7">
        <v>2022</v>
      </c>
      <c r="AD3071" s="7">
        <v>5</v>
      </c>
      <c r="AE3071" s="7">
        <v>8</v>
      </c>
      <c r="AF3071" s="8">
        <v>0.875</v>
      </c>
      <c r="AG3071" s="9">
        <v>2.5</v>
      </c>
      <c r="AH3071" s="10">
        <f t="shared" si="62"/>
        <v>3</v>
      </c>
    </row>
    <row r="3072" spans="11:34" ht="14.5" x14ac:dyDescent="0.35">
      <c r="K3072" s="4"/>
      <c r="AC3072" s="7">
        <v>2022</v>
      </c>
      <c r="AD3072" s="7">
        <v>5</v>
      </c>
      <c r="AE3072" s="7">
        <v>8</v>
      </c>
      <c r="AF3072" s="8">
        <v>0.91666666666666663</v>
      </c>
      <c r="AG3072" s="9">
        <v>0.6</v>
      </c>
      <c r="AH3072" s="10">
        <f t="shared" si="62"/>
        <v>1</v>
      </c>
    </row>
    <row r="3073" spans="11:34" ht="14.5" x14ac:dyDescent="0.35">
      <c r="K3073" s="4"/>
      <c r="AC3073" s="7">
        <v>2022</v>
      </c>
      <c r="AD3073" s="7">
        <v>5</v>
      </c>
      <c r="AE3073" s="7">
        <v>8</v>
      </c>
      <c r="AF3073" s="8">
        <v>0.95833333333333337</v>
      </c>
      <c r="AG3073" s="9">
        <v>0.8</v>
      </c>
      <c r="AH3073" s="10">
        <f t="shared" si="62"/>
        <v>1</v>
      </c>
    </row>
    <row r="3074" spans="11:34" ht="14.5" x14ac:dyDescent="0.35">
      <c r="K3074" s="4"/>
      <c r="AC3074" s="7">
        <v>2022</v>
      </c>
      <c r="AD3074" s="7">
        <v>5</v>
      </c>
      <c r="AE3074" s="7">
        <v>9</v>
      </c>
      <c r="AF3074" s="8">
        <v>0</v>
      </c>
      <c r="AG3074" s="9">
        <v>1.1000000000000001</v>
      </c>
      <c r="AH3074" s="10">
        <f t="shared" si="62"/>
        <v>1</v>
      </c>
    </row>
    <row r="3075" spans="11:34" ht="14.5" x14ac:dyDescent="0.35">
      <c r="K3075" s="4"/>
      <c r="AC3075" s="7">
        <v>2022</v>
      </c>
      <c r="AD3075" s="7">
        <v>5</v>
      </c>
      <c r="AE3075" s="7">
        <v>9</v>
      </c>
      <c r="AF3075" s="8">
        <v>4.1666666666666664E-2</v>
      </c>
      <c r="AG3075" s="9">
        <v>1.4</v>
      </c>
      <c r="AH3075" s="10">
        <f t="shared" si="62"/>
        <v>1</v>
      </c>
    </row>
    <row r="3076" spans="11:34" ht="14.5" x14ac:dyDescent="0.35">
      <c r="K3076" s="4"/>
      <c r="AC3076" s="7">
        <v>2022</v>
      </c>
      <c r="AD3076" s="7">
        <v>5</v>
      </c>
      <c r="AE3076" s="7">
        <v>9</v>
      </c>
      <c r="AF3076" s="8">
        <v>8.3333333333333329E-2</v>
      </c>
      <c r="AG3076" s="9">
        <v>1.4</v>
      </c>
      <c r="AH3076" s="10">
        <f t="shared" si="62"/>
        <v>1</v>
      </c>
    </row>
    <row r="3077" spans="11:34" ht="14.5" x14ac:dyDescent="0.35">
      <c r="K3077" s="4"/>
      <c r="AC3077" s="7">
        <v>2022</v>
      </c>
      <c r="AD3077" s="7">
        <v>5</v>
      </c>
      <c r="AE3077" s="7">
        <v>9</v>
      </c>
      <c r="AF3077" s="8">
        <v>0.125</v>
      </c>
      <c r="AG3077" s="9">
        <v>1.1000000000000001</v>
      </c>
      <c r="AH3077" s="10">
        <f t="shared" si="62"/>
        <v>1</v>
      </c>
    </row>
    <row r="3078" spans="11:34" ht="14.5" x14ac:dyDescent="0.35">
      <c r="K3078" s="4"/>
      <c r="AC3078" s="7">
        <v>2022</v>
      </c>
      <c r="AD3078" s="7">
        <v>5</v>
      </c>
      <c r="AE3078" s="7">
        <v>9</v>
      </c>
      <c r="AF3078" s="8">
        <v>0.16666666666666666</v>
      </c>
      <c r="AG3078" s="9">
        <v>1</v>
      </c>
      <c r="AH3078" s="10">
        <f t="shared" si="62"/>
        <v>1</v>
      </c>
    </row>
    <row r="3079" spans="11:34" ht="14.5" x14ac:dyDescent="0.35">
      <c r="K3079" s="4"/>
      <c r="AC3079" s="7">
        <v>2022</v>
      </c>
      <c r="AD3079" s="7">
        <v>5</v>
      </c>
      <c r="AE3079" s="7">
        <v>9</v>
      </c>
      <c r="AF3079" s="8">
        <v>0.20833333333333334</v>
      </c>
      <c r="AG3079" s="9">
        <v>0.9</v>
      </c>
      <c r="AH3079" s="10">
        <f t="shared" si="62"/>
        <v>1</v>
      </c>
    </row>
    <row r="3080" spans="11:34" ht="14.5" x14ac:dyDescent="0.35">
      <c r="K3080" s="4"/>
      <c r="AC3080" s="7">
        <v>2022</v>
      </c>
      <c r="AD3080" s="7">
        <v>5</v>
      </c>
      <c r="AE3080" s="7">
        <v>9</v>
      </c>
      <c r="AF3080" s="8">
        <v>0.25</v>
      </c>
      <c r="AG3080" s="9">
        <v>0.9</v>
      </c>
      <c r="AH3080" s="10">
        <f t="shared" si="62"/>
        <v>1</v>
      </c>
    </row>
    <row r="3081" spans="11:34" ht="14.5" x14ac:dyDescent="0.35">
      <c r="K3081" s="4"/>
      <c r="AC3081" s="7">
        <v>2022</v>
      </c>
      <c r="AD3081" s="7">
        <v>5</v>
      </c>
      <c r="AE3081" s="7">
        <v>9</v>
      </c>
      <c r="AF3081" s="8">
        <v>0.29166666666666669</v>
      </c>
      <c r="AG3081" s="9">
        <v>1</v>
      </c>
      <c r="AH3081" s="10">
        <f t="shared" si="62"/>
        <v>1</v>
      </c>
    </row>
    <row r="3082" spans="11:34" ht="14.5" x14ac:dyDescent="0.35">
      <c r="K3082" s="4"/>
      <c r="AC3082" s="7">
        <v>2022</v>
      </c>
      <c r="AD3082" s="7">
        <v>5</v>
      </c>
      <c r="AE3082" s="7">
        <v>9</v>
      </c>
      <c r="AF3082" s="8">
        <v>0.33333333333333331</v>
      </c>
      <c r="AG3082" s="9">
        <v>1.6</v>
      </c>
      <c r="AH3082" s="10">
        <f t="shared" si="62"/>
        <v>2</v>
      </c>
    </row>
    <row r="3083" spans="11:34" ht="14.5" x14ac:dyDescent="0.35">
      <c r="K3083" s="4"/>
      <c r="AC3083" s="7">
        <v>2022</v>
      </c>
      <c r="AD3083" s="7">
        <v>5</v>
      </c>
      <c r="AE3083" s="7">
        <v>9</v>
      </c>
      <c r="AF3083" s="8">
        <v>0.375</v>
      </c>
      <c r="AG3083" s="9">
        <v>1.1000000000000001</v>
      </c>
      <c r="AH3083" s="10">
        <f t="shared" ref="AH3083:AH3146" si="63">ROUND(AG3083,0)</f>
        <v>1</v>
      </c>
    </row>
    <row r="3084" spans="11:34" ht="14.5" x14ac:dyDescent="0.35">
      <c r="K3084" s="4"/>
      <c r="AC3084" s="7">
        <v>2022</v>
      </c>
      <c r="AD3084" s="7">
        <v>5</v>
      </c>
      <c r="AE3084" s="7">
        <v>9</v>
      </c>
      <c r="AF3084" s="8">
        <v>0.41666666666666669</v>
      </c>
      <c r="AG3084" s="9">
        <v>2.6</v>
      </c>
      <c r="AH3084" s="10">
        <f t="shared" si="63"/>
        <v>3</v>
      </c>
    </row>
    <row r="3085" spans="11:34" ht="14.5" x14ac:dyDescent="0.35">
      <c r="K3085" s="4"/>
      <c r="AC3085" s="7">
        <v>2022</v>
      </c>
      <c r="AD3085" s="7">
        <v>5</v>
      </c>
      <c r="AE3085" s="7">
        <v>9</v>
      </c>
      <c r="AF3085" s="8">
        <v>0.45833333333333331</v>
      </c>
      <c r="AG3085" s="9">
        <v>3.6</v>
      </c>
      <c r="AH3085" s="10">
        <f t="shared" si="63"/>
        <v>4</v>
      </c>
    </row>
    <row r="3086" spans="11:34" ht="14.5" x14ac:dyDescent="0.35">
      <c r="K3086" s="4"/>
      <c r="AC3086" s="7">
        <v>2022</v>
      </c>
      <c r="AD3086" s="7">
        <v>5</v>
      </c>
      <c r="AE3086" s="7">
        <v>9</v>
      </c>
      <c r="AF3086" s="8">
        <v>0.5</v>
      </c>
      <c r="AG3086" s="9">
        <v>5.3</v>
      </c>
      <c r="AH3086" s="10">
        <f t="shared" si="63"/>
        <v>5</v>
      </c>
    </row>
    <row r="3087" spans="11:34" ht="14.5" x14ac:dyDescent="0.35">
      <c r="K3087" s="4"/>
      <c r="AC3087" s="7">
        <v>2022</v>
      </c>
      <c r="AD3087" s="7">
        <v>5</v>
      </c>
      <c r="AE3087" s="7">
        <v>9</v>
      </c>
      <c r="AF3087" s="8">
        <v>0.54166666666666663</v>
      </c>
      <c r="AG3087" s="9">
        <v>5.2</v>
      </c>
      <c r="AH3087" s="10">
        <f t="shared" si="63"/>
        <v>5</v>
      </c>
    </row>
    <row r="3088" spans="11:34" ht="14.5" x14ac:dyDescent="0.35">
      <c r="K3088" s="4"/>
      <c r="AC3088" s="7">
        <v>2022</v>
      </c>
      <c r="AD3088" s="7">
        <v>5</v>
      </c>
      <c r="AE3088" s="7">
        <v>9</v>
      </c>
      <c r="AF3088" s="8">
        <v>0.58333333333333337</v>
      </c>
      <c r="AG3088" s="9">
        <v>6.8</v>
      </c>
      <c r="AH3088" s="10">
        <f t="shared" si="63"/>
        <v>7</v>
      </c>
    </row>
    <row r="3089" spans="11:34" ht="14.5" x14ac:dyDescent="0.35">
      <c r="K3089" s="4"/>
      <c r="AC3089" s="7">
        <v>2022</v>
      </c>
      <c r="AD3089" s="7">
        <v>5</v>
      </c>
      <c r="AE3089" s="7">
        <v>9</v>
      </c>
      <c r="AF3089" s="8">
        <v>0.625</v>
      </c>
      <c r="AG3089" s="9">
        <v>6.9</v>
      </c>
      <c r="AH3089" s="10">
        <f t="shared" si="63"/>
        <v>7</v>
      </c>
    </row>
    <row r="3090" spans="11:34" ht="14.5" x14ac:dyDescent="0.35">
      <c r="K3090" s="4"/>
      <c r="AC3090" s="7">
        <v>2022</v>
      </c>
      <c r="AD3090" s="7">
        <v>5</v>
      </c>
      <c r="AE3090" s="7">
        <v>9</v>
      </c>
      <c r="AF3090" s="8">
        <v>0.66666666666666663</v>
      </c>
      <c r="AG3090" s="9">
        <v>7.5</v>
      </c>
      <c r="AH3090" s="10">
        <f t="shared" si="63"/>
        <v>8</v>
      </c>
    </row>
    <row r="3091" spans="11:34" ht="14.5" x14ac:dyDescent="0.35">
      <c r="K3091" s="4"/>
      <c r="AC3091" s="7">
        <v>2022</v>
      </c>
      <c r="AD3091" s="7">
        <v>5</v>
      </c>
      <c r="AE3091" s="7">
        <v>9</v>
      </c>
      <c r="AF3091" s="8">
        <v>0.70833333333333337</v>
      </c>
      <c r="AG3091" s="9">
        <v>8</v>
      </c>
      <c r="AH3091" s="10">
        <f t="shared" si="63"/>
        <v>8</v>
      </c>
    </row>
    <row r="3092" spans="11:34" ht="14.5" x14ac:dyDescent="0.35">
      <c r="K3092" s="4"/>
      <c r="AC3092" s="7">
        <v>2022</v>
      </c>
      <c r="AD3092" s="7">
        <v>5</v>
      </c>
      <c r="AE3092" s="7">
        <v>9</v>
      </c>
      <c r="AF3092" s="8">
        <v>0.75</v>
      </c>
      <c r="AG3092" s="9">
        <v>7.6</v>
      </c>
      <c r="AH3092" s="10">
        <f t="shared" si="63"/>
        <v>8</v>
      </c>
    </row>
    <row r="3093" spans="11:34" ht="14.5" x14ac:dyDescent="0.35">
      <c r="K3093" s="4"/>
      <c r="AC3093" s="7">
        <v>2022</v>
      </c>
      <c r="AD3093" s="7">
        <v>5</v>
      </c>
      <c r="AE3093" s="7">
        <v>9</v>
      </c>
      <c r="AF3093" s="8">
        <v>0.79166666666666663</v>
      </c>
      <c r="AG3093" s="9">
        <v>6.7</v>
      </c>
      <c r="AH3093" s="10">
        <f t="shared" si="63"/>
        <v>7</v>
      </c>
    </row>
    <row r="3094" spans="11:34" ht="14.5" x14ac:dyDescent="0.35">
      <c r="K3094" s="4"/>
      <c r="AC3094" s="7">
        <v>2022</v>
      </c>
      <c r="AD3094" s="7">
        <v>5</v>
      </c>
      <c r="AE3094" s="7">
        <v>9</v>
      </c>
      <c r="AF3094" s="8">
        <v>0.83333333333333337</v>
      </c>
      <c r="AG3094" s="9">
        <v>5.0999999999999996</v>
      </c>
      <c r="AH3094" s="10">
        <f t="shared" si="63"/>
        <v>5</v>
      </c>
    </row>
    <row r="3095" spans="11:34" ht="14.5" x14ac:dyDescent="0.35">
      <c r="K3095" s="4"/>
      <c r="AC3095" s="7">
        <v>2022</v>
      </c>
      <c r="AD3095" s="7">
        <v>5</v>
      </c>
      <c r="AE3095" s="7">
        <v>9</v>
      </c>
      <c r="AF3095" s="8">
        <v>0.875</v>
      </c>
      <c r="AG3095" s="9">
        <v>4.5999999999999996</v>
      </c>
      <c r="AH3095" s="10">
        <f t="shared" si="63"/>
        <v>5</v>
      </c>
    </row>
    <row r="3096" spans="11:34" ht="14.5" x14ac:dyDescent="0.35">
      <c r="K3096" s="4"/>
      <c r="AC3096" s="7">
        <v>2022</v>
      </c>
      <c r="AD3096" s="7">
        <v>5</v>
      </c>
      <c r="AE3096" s="7">
        <v>9</v>
      </c>
      <c r="AF3096" s="8">
        <v>0.91666666666666663</v>
      </c>
      <c r="AG3096" s="9">
        <v>3.9</v>
      </c>
      <c r="AH3096" s="10">
        <f t="shared" si="63"/>
        <v>4</v>
      </c>
    </row>
    <row r="3097" spans="11:34" ht="14.5" x14ac:dyDescent="0.35">
      <c r="K3097" s="4"/>
      <c r="AC3097" s="7">
        <v>2022</v>
      </c>
      <c r="AD3097" s="7">
        <v>5</v>
      </c>
      <c r="AE3097" s="7">
        <v>9</v>
      </c>
      <c r="AF3097" s="8">
        <v>0.95833333333333337</v>
      </c>
      <c r="AG3097" s="9">
        <v>3.3</v>
      </c>
      <c r="AH3097" s="10">
        <f t="shared" si="63"/>
        <v>3</v>
      </c>
    </row>
    <row r="3098" spans="11:34" ht="14.5" x14ac:dyDescent="0.35">
      <c r="K3098" s="4"/>
      <c r="AC3098" s="7">
        <v>2022</v>
      </c>
      <c r="AD3098" s="7">
        <v>5</v>
      </c>
      <c r="AE3098" s="7">
        <v>10</v>
      </c>
      <c r="AF3098" s="8">
        <v>0</v>
      </c>
      <c r="AG3098" s="9">
        <v>1.8</v>
      </c>
      <c r="AH3098" s="10">
        <f t="shared" si="63"/>
        <v>2</v>
      </c>
    </row>
    <row r="3099" spans="11:34" ht="14.5" x14ac:dyDescent="0.35">
      <c r="K3099" s="4"/>
      <c r="AC3099" s="7">
        <v>2022</v>
      </c>
      <c r="AD3099" s="7">
        <v>5</v>
      </c>
      <c r="AE3099" s="7">
        <v>10</v>
      </c>
      <c r="AF3099" s="8">
        <v>4.1666666666666664E-2</v>
      </c>
      <c r="AG3099" s="9">
        <v>1.2</v>
      </c>
      <c r="AH3099" s="10">
        <f t="shared" si="63"/>
        <v>1</v>
      </c>
    </row>
    <row r="3100" spans="11:34" ht="14.5" x14ac:dyDescent="0.35">
      <c r="K3100" s="4"/>
      <c r="AC3100" s="7">
        <v>2022</v>
      </c>
      <c r="AD3100" s="7">
        <v>5</v>
      </c>
      <c r="AE3100" s="7">
        <v>10</v>
      </c>
      <c r="AF3100" s="8">
        <v>8.3333333333333329E-2</v>
      </c>
      <c r="AG3100" s="9">
        <v>1.2</v>
      </c>
      <c r="AH3100" s="10">
        <f t="shared" si="63"/>
        <v>1</v>
      </c>
    </row>
    <row r="3101" spans="11:34" ht="14.5" x14ac:dyDescent="0.35">
      <c r="K3101" s="4"/>
      <c r="AC3101" s="7">
        <v>2022</v>
      </c>
      <c r="AD3101" s="7">
        <v>5</v>
      </c>
      <c r="AE3101" s="7">
        <v>10</v>
      </c>
      <c r="AF3101" s="8">
        <v>0.125</v>
      </c>
      <c r="AG3101" s="9">
        <v>0.9</v>
      </c>
      <c r="AH3101" s="10">
        <f t="shared" si="63"/>
        <v>1</v>
      </c>
    </row>
    <row r="3102" spans="11:34" ht="14.5" x14ac:dyDescent="0.35">
      <c r="K3102" s="4"/>
      <c r="AC3102" s="7">
        <v>2022</v>
      </c>
      <c r="AD3102" s="7">
        <v>5</v>
      </c>
      <c r="AE3102" s="7">
        <v>10</v>
      </c>
      <c r="AF3102" s="8">
        <v>0.16666666666666666</v>
      </c>
      <c r="AG3102" s="9">
        <v>0.8</v>
      </c>
      <c r="AH3102" s="10">
        <f t="shared" si="63"/>
        <v>1</v>
      </c>
    </row>
    <row r="3103" spans="11:34" ht="14.5" x14ac:dyDescent="0.35">
      <c r="K3103" s="4"/>
      <c r="AC3103" s="7">
        <v>2022</v>
      </c>
      <c r="AD3103" s="7">
        <v>5</v>
      </c>
      <c r="AE3103" s="7">
        <v>10</v>
      </c>
      <c r="AF3103" s="8">
        <v>0.20833333333333334</v>
      </c>
      <c r="AG3103" s="9">
        <v>-0.1</v>
      </c>
      <c r="AH3103" s="10">
        <f t="shared" si="63"/>
        <v>0</v>
      </c>
    </row>
    <row r="3104" spans="11:34" ht="14.5" x14ac:dyDescent="0.35">
      <c r="K3104" s="4"/>
      <c r="AC3104" s="7">
        <v>2022</v>
      </c>
      <c r="AD3104" s="7">
        <v>5</v>
      </c>
      <c r="AE3104" s="7">
        <v>10</v>
      </c>
      <c r="AF3104" s="8">
        <v>0.25</v>
      </c>
      <c r="AG3104" s="9">
        <v>0.1</v>
      </c>
      <c r="AH3104" s="10">
        <f t="shared" si="63"/>
        <v>0</v>
      </c>
    </row>
    <row r="3105" spans="11:34" ht="14.5" x14ac:dyDescent="0.35">
      <c r="K3105" s="4"/>
      <c r="AC3105" s="7">
        <v>2022</v>
      </c>
      <c r="AD3105" s="7">
        <v>5</v>
      </c>
      <c r="AE3105" s="7">
        <v>10</v>
      </c>
      <c r="AF3105" s="8">
        <v>0.29166666666666669</v>
      </c>
      <c r="AG3105" s="9">
        <v>0.5</v>
      </c>
      <c r="AH3105" s="10">
        <f t="shared" si="63"/>
        <v>1</v>
      </c>
    </row>
    <row r="3106" spans="11:34" ht="14.5" x14ac:dyDescent="0.35">
      <c r="K3106" s="4"/>
      <c r="AC3106" s="7">
        <v>2022</v>
      </c>
      <c r="AD3106" s="7">
        <v>5</v>
      </c>
      <c r="AE3106" s="7">
        <v>10</v>
      </c>
      <c r="AF3106" s="8">
        <v>0.33333333333333331</v>
      </c>
      <c r="AG3106" s="9">
        <v>0.9</v>
      </c>
      <c r="AH3106" s="10">
        <f t="shared" si="63"/>
        <v>1</v>
      </c>
    </row>
    <row r="3107" spans="11:34" ht="14.5" x14ac:dyDescent="0.35">
      <c r="K3107" s="4"/>
      <c r="AC3107" s="7">
        <v>2022</v>
      </c>
      <c r="AD3107" s="7">
        <v>5</v>
      </c>
      <c r="AE3107" s="7">
        <v>10</v>
      </c>
      <c r="AF3107" s="8">
        <v>0.375</v>
      </c>
      <c r="AG3107" s="9">
        <v>1.7</v>
      </c>
      <c r="AH3107" s="10">
        <f t="shared" si="63"/>
        <v>2</v>
      </c>
    </row>
    <row r="3108" spans="11:34" ht="14.5" x14ac:dyDescent="0.35">
      <c r="K3108" s="4"/>
      <c r="AC3108" s="7">
        <v>2022</v>
      </c>
      <c r="AD3108" s="7">
        <v>5</v>
      </c>
      <c r="AE3108" s="7">
        <v>10</v>
      </c>
      <c r="AF3108" s="8">
        <v>0.41666666666666669</v>
      </c>
      <c r="AG3108" s="9">
        <v>3</v>
      </c>
      <c r="AH3108" s="10">
        <f t="shared" si="63"/>
        <v>3</v>
      </c>
    </row>
    <row r="3109" spans="11:34" ht="14.5" x14ac:dyDescent="0.35">
      <c r="K3109" s="4"/>
      <c r="AC3109" s="7">
        <v>2022</v>
      </c>
      <c r="AD3109" s="7">
        <v>5</v>
      </c>
      <c r="AE3109" s="7">
        <v>10</v>
      </c>
      <c r="AF3109" s="8">
        <v>0.45833333333333331</v>
      </c>
      <c r="AG3109" s="9">
        <v>5.4</v>
      </c>
      <c r="AH3109" s="10">
        <f t="shared" si="63"/>
        <v>5</v>
      </c>
    </row>
    <row r="3110" spans="11:34" ht="14.5" x14ac:dyDescent="0.35">
      <c r="K3110" s="4"/>
      <c r="AC3110" s="7">
        <v>2022</v>
      </c>
      <c r="AD3110" s="7">
        <v>5</v>
      </c>
      <c r="AE3110" s="7">
        <v>10</v>
      </c>
      <c r="AF3110" s="8">
        <v>0.5</v>
      </c>
      <c r="AG3110" s="9">
        <v>7.8</v>
      </c>
      <c r="AH3110" s="10">
        <f t="shared" si="63"/>
        <v>8</v>
      </c>
    </row>
    <row r="3111" spans="11:34" ht="14.5" x14ac:dyDescent="0.35">
      <c r="K3111" s="4"/>
      <c r="AC3111" s="7">
        <v>2022</v>
      </c>
      <c r="AD3111" s="7">
        <v>5</v>
      </c>
      <c r="AE3111" s="7">
        <v>10</v>
      </c>
      <c r="AF3111" s="8">
        <v>0.54166666666666663</v>
      </c>
      <c r="AG3111" s="9">
        <v>9.1999999999999993</v>
      </c>
      <c r="AH3111" s="10">
        <f t="shared" si="63"/>
        <v>9</v>
      </c>
    </row>
    <row r="3112" spans="11:34" ht="14.5" x14ac:dyDescent="0.35">
      <c r="K3112" s="4"/>
      <c r="AC3112" s="7">
        <v>2022</v>
      </c>
      <c r="AD3112" s="7">
        <v>5</v>
      </c>
      <c r="AE3112" s="7">
        <v>10</v>
      </c>
      <c r="AF3112" s="8">
        <v>0.58333333333333337</v>
      </c>
      <c r="AG3112" s="9">
        <v>5.3</v>
      </c>
      <c r="AH3112" s="10">
        <f t="shared" si="63"/>
        <v>5</v>
      </c>
    </row>
    <row r="3113" spans="11:34" ht="14.5" x14ac:dyDescent="0.35">
      <c r="K3113" s="4"/>
      <c r="AC3113" s="7">
        <v>2022</v>
      </c>
      <c r="AD3113" s="7">
        <v>5</v>
      </c>
      <c r="AE3113" s="7">
        <v>10</v>
      </c>
      <c r="AF3113" s="8">
        <v>0.625</v>
      </c>
      <c r="AG3113" s="9">
        <v>6.2</v>
      </c>
      <c r="AH3113" s="10">
        <f t="shared" si="63"/>
        <v>6</v>
      </c>
    </row>
    <row r="3114" spans="11:34" ht="14.5" x14ac:dyDescent="0.35">
      <c r="K3114" s="4"/>
      <c r="AC3114" s="7">
        <v>2022</v>
      </c>
      <c r="AD3114" s="7">
        <v>5</v>
      </c>
      <c r="AE3114" s="7">
        <v>10</v>
      </c>
      <c r="AF3114" s="8">
        <v>0.66666666666666663</v>
      </c>
      <c r="AG3114" s="9">
        <v>3.4</v>
      </c>
      <c r="AH3114" s="10">
        <f t="shared" si="63"/>
        <v>3</v>
      </c>
    </row>
    <row r="3115" spans="11:34" ht="14.5" x14ac:dyDescent="0.35">
      <c r="K3115" s="4"/>
      <c r="AC3115" s="7">
        <v>2022</v>
      </c>
      <c r="AD3115" s="7">
        <v>5</v>
      </c>
      <c r="AE3115" s="7">
        <v>10</v>
      </c>
      <c r="AF3115" s="8">
        <v>0.70833333333333337</v>
      </c>
      <c r="AG3115" s="9">
        <v>6.2</v>
      </c>
      <c r="AH3115" s="10">
        <f t="shared" si="63"/>
        <v>6</v>
      </c>
    </row>
    <row r="3116" spans="11:34" ht="14.5" x14ac:dyDescent="0.35">
      <c r="K3116" s="4"/>
      <c r="AC3116" s="7">
        <v>2022</v>
      </c>
      <c r="AD3116" s="7">
        <v>5</v>
      </c>
      <c r="AE3116" s="7">
        <v>10</v>
      </c>
      <c r="AF3116" s="8">
        <v>0.75</v>
      </c>
      <c r="AG3116" s="9">
        <v>6.8</v>
      </c>
      <c r="AH3116" s="10">
        <f t="shared" si="63"/>
        <v>7</v>
      </c>
    </row>
    <row r="3117" spans="11:34" ht="14.5" x14ac:dyDescent="0.35">
      <c r="K3117" s="4"/>
      <c r="AC3117" s="7">
        <v>2022</v>
      </c>
      <c r="AD3117" s="7">
        <v>5</v>
      </c>
      <c r="AE3117" s="7">
        <v>10</v>
      </c>
      <c r="AF3117" s="8">
        <v>0.79166666666666663</v>
      </c>
      <c r="AG3117" s="9">
        <v>6.3</v>
      </c>
      <c r="AH3117" s="10">
        <f t="shared" si="63"/>
        <v>6</v>
      </c>
    </row>
    <row r="3118" spans="11:34" ht="14.5" x14ac:dyDescent="0.35">
      <c r="K3118" s="4"/>
      <c r="AC3118" s="7">
        <v>2022</v>
      </c>
      <c r="AD3118" s="7">
        <v>5</v>
      </c>
      <c r="AE3118" s="7">
        <v>10</v>
      </c>
      <c r="AF3118" s="8">
        <v>0.83333333333333337</v>
      </c>
      <c r="AG3118" s="9">
        <v>5.7</v>
      </c>
      <c r="AH3118" s="10">
        <f t="shared" si="63"/>
        <v>6</v>
      </c>
    </row>
    <row r="3119" spans="11:34" ht="14.5" x14ac:dyDescent="0.35">
      <c r="K3119" s="4"/>
      <c r="AC3119" s="7">
        <v>2022</v>
      </c>
      <c r="AD3119" s="7">
        <v>5</v>
      </c>
      <c r="AE3119" s="7">
        <v>10</v>
      </c>
      <c r="AF3119" s="8">
        <v>0.875</v>
      </c>
      <c r="AG3119" s="9">
        <v>5.5</v>
      </c>
      <c r="AH3119" s="10">
        <f t="shared" si="63"/>
        <v>6</v>
      </c>
    </row>
    <row r="3120" spans="11:34" ht="14.5" x14ac:dyDescent="0.35">
      <c r="K3120" s="4"/>
      <c r="AC3120" s="7">
        <v>2022</v>
      </c>
      <c r="AD3120" s="7">
        <v>5</v>
      </c>
      <c r="AE3120" s="7">
        <v>10</v>
      </c>
      <c r="AF3120" s="8">
        <v>0.91666666666666663</v>
      </c>
      <c r="AG3120" s="9">
        <v>3.6</v>
      </c>
      <c r="AH3120" s="10">
        <f t="shared" si="63"/>
        <v>4</v>
      </c>
    </row>
    <row r="3121" spans="11:34" ht="14.5" x14ac:dyDescent="0.35">
      <c r="K3121" s="4"/>
      <c r="AC3121" s="7">
        <v>2022</v>
      </c>
      <c r="AD3121" s="7">
        <v>5</v>
      </c>
      <c r="AE3121" s="7">
        <v>10</v>
      </c>
      <c r="AF3121" s="8">
        <v>0.95833333333333337</v>
      </c>
      <c r="AG3121" s="9">
        <v>3.3</v>
      </c>
      <c r="AH3121" s="10">
        <f t="shared" si="63"/>
        <v>3</v>
      </c>
    </row>
    <row r="3122" spans="11:34" ht="14.5" x14ac:dyDescent="0.35">
      <c r="K3122" s="4"/>
      <c r="AC3122" s="7">
        <v>2022</v>
      </c>
      <c r="AD3122" s="7">
        <v>5</v>
      </c>
      <c r="AE3122" s="7">
        <v>11</v>
      </c>
      <c r="AF3122" s="8">
        <v>0</v>
      </c>
      <c r="AG3122" s="9">
        <v>2.7</v>
      </c>
      <c r="AH3122" s="10">
        <f t="shared" si="63"/>
        <v>3</v>
      </c>
    </row>
    <row r="3123" spans="11:34" ht="14.5" x14ac:dyDescent="0.35">
      <c r="K3123" s="4"/>
      <c r="AC3123" s="7">
        <v>2022</v>
      </c>
      <c r="AD3123" s="7">
        <v>5</v>
      </c>
      <c r="AE3123" s="7">
        <v>11</v>
      </c>
      <c r="AF3123" s="8">
        <v>4.1666666666666664E-2</v>
      </c>
      <c r="AG3123" s="9">
        <v>2</v>
      </c>
      <c r="AH3123" s="10">
        <f t="shared" si="63"/>
        <v>2</v>
      </c>
    </row>
    <row r="3124" spans="11:34" ht="14.5" x14ac:dyDescent="0.35">
      <c r="K3124" s="4"/>
      <c r="AC3124" s="7">
        <v>2022</v>
      </c>
      <c r="AD3124" s="7">
        <v>5</v>
      </c>
      <c r="AE3124" s="7">
        <v>11</v>
      </c>
      <c r="AF3124" s="8">
        <v>8.3333333333333329E-2</v>
      </c>
      <c r="AG3124" s="9">
        <v>1.4</v>
      </c>
      <c r="AH3124" s="10">
        <f t="shared" si="63"/>
        <v>1</v>
      </c>
    </row>
    <row r="3125" spans="11:34" ht="14.5" x14ac:dyDescent="0.35">
      <c r="K3125" s="4"/>
      <c r="AC3125" s="7">
        <v>2022</v>
      </c>
      <c r="AD3125" s="7">
        <v>5</v>
      </c>
      <c r="AE3125" s="7">
        <v>11</v>
      </c>
      <c r="AF3125" s="8">
        <v>0.125</v>
      </c>
      <c r="AG3125" s="9">
        <v>0.3</v>
      </c>
      <c r="AH3125" s="10">
        <f t="shared" si="63"/>
        <v>0</v>
      </c>
    </row>
    <row r="3126" spans="11:34" ht="14.5" x14ac:dyDescent="0.35">
      <c r="K3126" s="4"/>
      <c r="AC3126" s="7">
        <v>2022</v>
      </c>
      <c r="AD3126" s="7">
        <v>5</v>
      </c>
      <c r="AE3126" s="7">
        <v>11</v>
      </c>
      <c r="AF3126" s="8">
        <v>0.16666666666666666</v>
      </c>
      <c r="AG3126" s="9">
        <v>0</v>
      </c>
      <c r="AH3126" s="10">
        <f t="shared" si="63"/>
        <v>0</v>
      </c>
    </row>
    <row r="3127" spans="11:34" ht="14.5" x14ac:dyDescent="0.35">
      <c r="K3127" s="4"/>
      <c r="AC3127" s="7">
        <v>2022</v>
      </c>
      <c r="AD3127" s="7">
        <v>5</v>
      </c>
      <c r="AE3127" s="7">
        <v>11</v>
      </c>
      <c r="AF3127" s="8">
        <v>0.20833333333333334</v>
      </c>
      <c r="AG3127" s="9">
        <v>1.5</v>
      </c>
      <c r="AH3127" s="10">
        <f t="shared" si="63"/>
        <v>2</v>
      </c>
    </row>
    <row r="3128" spans="11:34" ht="14.5" x14ac:dyDescent="0.35">
      <c r="K3128" s="4"/>
      <c r="AC3128" s="7">
        <v>2022</v>
      </c>
      <c r="AD3128" s="7">
        <v>5</v>
      </c>
      <c r="AE3128" s="7">
        <v>11</v>
      </c>
      <c r="AF3128" s="8">
        <v>0.25</v>
      </c>
      <c r="AG3128" s="9">
        <v>2.2999999999999998</v>
      </c>
      <c r="AH3128" s="10">
        <f t="shared" si="63"/>
        <v>2</v>
      </c>
    </row>
    <row r="3129" spans="11:34" ht="14.5" x14ac:dyDescent="0.35">
      <c r="K3129" s="4"/>
      <c r="AC3129" s="7">
        <v>2022</v>
      </c>
      <c r="AD3129" s="7">
        <v>5</v>
      </c>
      <c r="AE3129" s="7">
        <v>11</v>
      </c>
      <c r="AF3129" s="8">
        <v>0.29166666666666669</v>
      </c>
      <c r="AG3129" s="9">
        <v>4.2</v>
      </c>
      <c r="AH3129" s="10">
        <f t="shared" si="63"/>
        <v>4</v>
      </c>
    </row>
    <row r="3130" spans="11:34" ht="14.5" x14ac:dyDescent="0.35">
      <c r="K3130" s="4"/>
      <c r="AC3130" s="7">
        <v>2022</v>
      </c>
      <c r="AD3130" s="7">
        <v>5</v>
      </c>
      <c r="AE3130" s="7">
        <v>11</v>
      </c>
      <c r="AF3130" s="8">
        <v>0.33333333333333331</v>
      </c>
      <c r="AG3130" s="9">
        <v>6.2</v>
      </c>
      <c r="AH3130" s="10">
        <f t="shared" si="63"/>
        <v>6</v>
      </c>
    </row>
    <row r="3131" spans="11:34" ht="14.5" x14ac:dyDescent="0.35">
      <c r="K3131" s="4"/>
      <c r="AC3131" s="7">
        <v>2022</v>
      </c>
      <c r="AD3131" s="7">
        <v>5</v>
      </c>
      <c r="AE3131" s="7">
        <v>11</v>
      </c>
      <c r="AF3131" s="8">
        <v>0.375</v>
      </c>
      <c r="AG3131" s="9">
        <v>8.6999999999999993</v>
      </c>
      <c r="AH3131" s="10">
        <f t="shared" si="63"/>
        <v>9</v>
      </c>
    </row>
    <row r="3132" spans="11:34" ht="14.5" x14ac:dyDescent="0.35">
      <c r="K3132" s="4"/>
      <c r="AC3132" s="7">
        <v>2022</v>
      </c>
      <c r="AD3132" s="7">
        <v>5</v>
      </c>
      <c r="AE3132" s="7">
        <v>11</v>
      </c>
      <c r="AF3132" s="8">
        <v>0.41666666666666669</v>
      </c>
      <c r="AG3132" s="9">
        <v>10.199999999999999</v>
      </c>
      <c r="AH3132" s="10">
        <f t="shared" si="63"/>
        <v>10</v>
      </c>
    </row>
    <row r="3133" spans="11:34" ht="14.5" x14ac:dyDescent="0.35">
      <c r="K3133" s="4"/>
      <c r="AC3133" s="7">
        <v>2022</v>
      </c>
      <c r="AD3133" s="7">
        <v>5</v>
      </c>
      <c r="AE3133" s="7">
        <v>11</v>
      </c>
      <c r="AF3133" s="8">
        <v>0.45833333333333331</v>
      </c>
      <c r="AG3133" s="9">
        <v>11.2</v>
      </c>
      <c r="AH3133" s="10">
        <f t="shared" si="63"/>
        <v>11</v>
      </c>
    </row>
    <row r="3134" spans="11:34" ht="14.5" x14ac:dyDescent="0.35">
      <c r="K3134" s="4"/>
      <c r="AC3134" s="7">
        <v>2022</v>
      </c>
      <c r="AD3134" s="7">
        <v>5</v>
      </c>
      <c r="AE3134" s="7">
        <v>11</v>
      </c>
      <c r="AF3134" s="8">
        <v>0.5</v>
      </c>
      <c r="AG3134" s="9">
        <v>12.3</v>
      </c>
      <c r="AH3134" s="10">
        <f t="shared" si="63"/>
        <v>12</v>
      </c>
    </row>
    <row r="3135" spans="11:34" ht="14.5" x14ac:dyDescent="0.35">
      <c r="K3135" s="4"/>
      <c r="AC3135" s="7">
        <v>2022</v>
      </c>
      <c r="AD3135" s="7">
        <v>5</v>
      </c>
      <c r="AE3135" s="7">
        <v>11</v>
      </c>
      <c r="AF3135" s="8">
        <v>0.54166666666666663</v>
      </c>
      <c r="AG3135" s="9">
        <v>11.5</v>
      </c>
      <c r="AH3135" s="10">
        <f t="shared" si="63"/>
        <v>12</v>
      </c>
    </row>
    <row r="3136" spans="11:34" ht="14.5" x14ac:dyDescent="0.35">
      <c r="K3136" s="4"/>
      <c r="AC3136" s="7">
        <v>2022</v>
      </c>
      <c r="AD3136" s="7">
        <v>5</v>
      </c>
      <c r="AE3136" s="7">
        <v>11</v>
      </c>
      <c r="AF3136" s="8">
        <v>0.58333333333333337</v>
      </c>
      <c r="AG3136" s="9">
        <v>11.9</v>
      </c>
      <c r="AH3136" s="10">
        <f t="shared" si="63"/>
        <v>12</v>
      </c>
    </row>
    <row r="3137" spans="11:34" ht="14.5" x14ac:dyDescent="0.35">
      <c r="K3137" s="4"/>
      <c r="AC3137" s="7">
        <v>2022</v>
      </c>
      <c r="AD3137" s="7">
        <v>5</v>
      </c>
      <c r="AE3137" s="7">
        <v>11</v>
      </c>
      <c r="AF3137" s="8">
        <v>0.625</v>
      </c>
      <c r="AG3137" s="9">
        <v>12.2</v>
      </c>
      <c r="AH3137" s="10">
        <f t="shared" si="63"/>
        <v>12</v>
      </c>
    </row>
    <row r="3138" spans="11:34" ht="14.5" x14ac:dyDescent="0.35">
      <c r="K3138" s="4"/>
      <c r="AC3138" s="7">
        <v>2022</v>
      </c>
      <c r="AD3138" s="7">
        <v>5</v>
      </c>
      <c r="AE3138" s="7">
        <v>11</v>
      </c>
      <c r="AF3138" s="8">
        <v>0.66666666666666663</v>
      </c>
      <c r="AG3138" s="9">
        <v>12.5</v>
      </c>
      <c r="AH3138" s="10">
        <f t="shared" si="63"/>
        <v>13</v>
      </c>
    </row>
    <row r="3139" spans="11:34" ht="14.5" x14ac:dyDescent="0.35">
      <c r="K3139" s="4"/>
      <c r="AC3139" s="7">
        <v>2022</v>
      </c>
      <c r="AD3139" s="7">
        <v>5</v>
      </c>
      <c r="AE3139" s="7">
        <v>11</v>
      </c>
      <c r="AF3139" s="8">
        <v>0.70833333333333337</v>
      </c>
      <c r="AG3139" s="9">
        <v>12.5</v>
      </c>
      <c r="AH3139" s="10">
        <f t="shared" si="63"/>
        <v>13</v>
      </c>
    </row>
    <row r="3140" spans="11:34" ht="14.5" x14ac:dyDescent="0.35">
      <c r="K3140" s="4"/>
      <c r="AC3140" s="7">
        <v>2022</v>
      </c>
      <c r="AD3140" s="7">
        <v>5</v>
      </c>
      <c r="AE3140" s="7">
        <v>11</v>
      </c>
      <c r="AF3140" s="8">
        <v>0.75</v>
      </c>
      <c r="AG3140" s="9">
        <v>13.4</v>
      </c>
      <c r="AH3140" s="10">
        <f t="shared" si="63"/>
        <v>13</v>
      </c>
    </row>
    <row r="3141" spans="11:34" ht="14.5" x14ac:dyDescent="0.35">
      <c r="K3141" s="4"/>
      <c r="AC3141" s="7">
        <v>2022</v>
      </c>
      <c r="AD3141" s="7">
        <v>5</v>
      </c>
      <c r="AE3141" s="7">
        <v>11</v>
      </c>
      <c r="AF3141" s="8">
        <v>0.79166666666666663</v>
      </c>
      <c r="AG3141" s="9">
        <v>11.6</v>
      </c>
      <c r="AH3141" s="10">
        <f t="shared" si="63"/>
        <v>12</v>
      </c>
    </row>
    <row r="3142" spans="11:34" ht="14.5" x14ac:dyDescent="0.35">
      <c r="K3142" s="4"/>
      <c r="AC3142" s="7">
        <v>2022</v>
      </c>
      <c r="AD3142" s="7">
        <v>5</v>
      </c>
      <c r="AE3142" s="7">
        <v>11</v>
      </c>
      <c r="AF3142" s="8">
        <v>0.83333333333333337</v>
      </c>
      <c r="AG3142" s="9">
        <v>9.8000000000000007</v>
      </c>
      <c r="AH3142" s="10">
        <f t="shared" si="63"/>
        <v>10</v>
      </c>
    </row>
    <row r="3143" spans="11:34" ht="14.5" x14ac:dyDescent="0.35">
      <c r="K3143" s="4"/>
      <c r="AC3143" s="7">
        <v>2022</v>
      </c>
      <c r="AD3143" s="7">
        <v>5</v>
      </c>
      <c r="AE3143" s="7">
        <v>11</v>
      </c>
      <c r="AF3143" s="8">
        <v>0.875</v>
      </c>
      <c r="AG3143" s="9">
        <v>7.9</v>
      </c>
      <c r="AH3143" s="10">
        <f t="shared" si="63"/>
        <v>8</v>
      </c>
    </row>
    <row r="3144" spans="11:34" ht="14.5" x14ac:dyDescent="0.35">
      <c r="K3144" s="4"/>
      <c r="AC3144" s="7">
        <v>2022</v>
      </c>
      <c r="AD3144" s="7">
        <v>5</v>
      </c>
      <c r="AE3144" s="7">
        <v>11</v>
      </c>
      <c r="AF3144" s="8">
        <v>0.91666666666666663</v>
      </c>
      <c r="AG3144" s="9">
        <v>6.1</v>
      </c>
      <c r="AH3144" s="10">
        <f t="shared" si="63"/>
        <v>6</v>
      </c>
    </row>
    <row r="3145" spans="11:34" ht="14.5" x14ac:dyDescent="0.35">
      <c r="K3145" s="4"/>
      <c r="AC3145" s="7">
        <v>2022</v>
      </c>
      <c r="AD3145" s="7">
        <v>5</v>
      </c>
      <c r="AE3145" s="7">
        <v>11</v>
      </c>
      <c r="AF3145" s="8">
        <v>0.95833333333333337</v>
      </c>
      <c r="AG3145" s="9">
        <v>6.1</v>
      </c>
      <c r="AH3145" s="10">
        <f t="shared" si="63"/>
        <v>6</v>
      </c>
    </row>
    <row r="3146" spans="11:34" ht="14.5" x14ac:dyDescent="0.35">
      <c r="K3146" s="4"/>
      <c r="AC3146" s="7">
        <v>2022</v>
      </c>
      <c r="AD3146" s="7">
        <v>5</v>
      </c>
      <c r="AE3146" s="7">
        <v>12</v>
      </c>
      <c r="AF3146" s="8">
        <v>0</v>
      </c>
      <c r="AG3146" s="9">
        <v>3.3</v>
      </c>
      <c r="AH3146" s="10">
        <f t="shared" si="63"/>
        <v>3</v>
      </c>
    </row>
    <row r="3147" spans="11:34" ht="14.5" x14ac:dyDescent="0.35">
      <c r="K3147" s="4"/>
      <c r="AC3147" s="7">
        <v>2022</v>
      </c>
      <c r="AD3147" s="7">
        <v>5</v>
      </c>
      <c r="AE3147" s="7">
        <v>12</v>
      </c>
      <c r="AF3147" s="8">
        <v>4.1666666666666664E-2</v>
      </c>
      <c r="AG3147" s="9">
        <v>2.2999999999999998</v>
      </c>
      <c r="AH3147" s="10">
        <f t="shared" ref="AH3147:AH3210" si="64">ROUND(AG3147,0)</f>
        <v>2</v>
      </c>
    </row>
    <row r="3148" spans="11:34" ht="14.5" x14ac:dyDescent="0.35">
      <c r="K3148" s="4"/>
      <c r="AC3148" s="7">
        <v>2022</v>
      </c>
      <c r="AD3148" s="7">
        <v>5</v>
      </c>
      <c r="AE3148" s="7">
        <v>12</v>
      </c>
      <c r="AF3148" s="8">
        <v>8.3333333333333329E-2</v>
      </c>
      <c r="AG3148" s="9">
        <v>0.5</v>
      </c>
      <c r="AH3148" s="10">
        <f t="shared" si="64"/>
        <v>1</v>
      </c>
    </row>
    <row r="3149" spans="11:34" ht="14.5" x14ac:dyDescent="0.35">
      <c r="K3149" s="4"/>
      <c r="AC3149" s="7">
        <v>2022</v>
      </c>
      <c r="AD3149" s="7">
        <v>5</v>
      </c>
      <c r="AE3149" s="7">
        <v>12</v>
      </c>
      <c r="AF3149" s="8">
        <v>0.125</v>
      </c>
      <c r="AG3149" s="9">
        <v>-0.5</v>
      </c>
      <c r="AH3149" s="10">
        <f t="shared" si="64"/>
        <v>-1</v>
      </c>
    </row>
    <row r="3150" spans="11:34" ht="14.5" x14ac:dyDescent="0.35">
      <c r="K3150" s="4"/>
      <c r="AC3150" s="7">
        <v>2022</v>
      </c>
      <c r="AD3150" s="7">
        <v>5</v>
      </c>
      <c r="AE3150" s="7">
        <v>12</v>
      </c>
      <c r="AF3150" s="8">
        <v>0.16666666666666666</v>
      </c>
      <c r="AG3150" s="9">
        <v>-1.2</v>
      </c>
      <c r="AH3150" s="10">
        <f t="shared" si="64"/>
        <v>-1</v>
      </c>
    </row>
    <row r="3151" spans="11:34" ht="14.5" x14ac:dyDescent="0.35">
      <c r="K3151" s="4"/>
      <c r="AC3151" s="7">
        <v>2022</v>
      </c>
      <c r="AD3151" s="7">
        <v>5</v>
      </c>
      <c r="AE3151" s="7">
        <v>12</v>
      </c>
      <c r="AF3151" s="8">
        <v>0.20833333333333334</v>
      </c>
      <c r="AG3151" s="9">
        <v>-1.3</v>
      </c>
      <c r="AH3151" s="10">
        <f t="shared" si="64"/>
        <v>-1</v>
      </c>
    </row>
    <row r="3152" spans="11:34" ht="14.5" x14ac:dyDescent="0.35">
      <c r="K3152" s="4"/>
      <c r="AC3152" s="7">
        <v>2022</v>
      </c>
      <c r="AD3152" s="7">
        <v>5</v>
      </c>
      <c r="AE3152" s="7">
        <v>12</v>
      </c>
      <c r="AF3152" s="8">
        <v>0.25</v>
      </c>
      <c r="AG3152" s="9">
        <v>0.8</v>
      </c>
      <c r="AH3152" s="10">
        <f t="shared" si="64"/>
        <v>1</v>
      </c>
    </row>
    <row r="3153" spans="11:34" ht="14.5" x14ac:dyDescent="0.35">
      <c r="K3153" s="4"/>
      <c r="AC3153" s="7">
        <v>2022</v>
      </c>
      <c r="AD3153" s="7">
        <v>5</v>
      </c>
      <c r="AE3153" s="7">
        <v>12</v>
      </c>
      <c r="AF3153" s="8">
        <v>0.29166666666666669</v>
      </c>
      <c r="AG3153" s="9">
        <v>4.7</v>
      </c>
      <c r="AH3153" s="10">
        <f t="shared" si="64"/>
        <v>5</v>
      </c>
    </row>
    <row r="3154" spans="11:34" ht="14.5" x14ac:dyDescent="0.35">
      <c r="K3154" s="4"/>
      <c r="AC3154" s="7">
        <v>2022</v>
      </c>
      <c r="AD3154" s="7">
        <v>5</v>
      </c>
      <c r="AE3154" s="7">
        <v>12</v>
      </c>
      <c r="AF3154" s="8">
        <v>0.33333333333333331</v>
      </c>
      <c r="AG3154" s="9">
        <v>8</v>
      </c>
      <c r="AH3154" s="10">
        <f t="shared" si="64"/>
        <v>8</v>
      </c>
    </row>
    <row r="3155" spans="11:34" ht="14.5" x14ac:dyDescent="0.35">
      <c r="K3155" s="4"/>
      <c r="AC3155" s="7">
        <v>2022</v>
      </c>
      <c r="AD3155" s="7">
        <v>5</v>
      </c>
      <c r="AE3155" s="7">
        <v>12</v>
      </c>
      <c r="AF3155" s="8">
        <v>0.375</v>
      </c>
      <c r="AG3155" s="9">
        <v>11.3</v>
      </c>
      <c r="AH3155" s="10">
        <f t="shared" si="64"/>
        <v>11</v>
      </c>
    </row>
    <row r="3156" spans="11:34" ht="14.5" x14ac:dyDescent="0.35">
      <c r="K3156" s="4"/>
      <c r="AC3156" s="7">
        <v>2022</v>
      </c>
      <c r="AD3156" s="7">
        <v>5</v>
      </c>
      <c r="AE3156" s="7">
        <v>12</v>
      </c>
      <c r="AF3156" s="8">
        <v>0.41666666666666669</v>
      </c>
      <c r="AG3156" s="9">
        <v>12.3</v>
      </c>
      <c r="AH3156" s="10">
        <f t="shared" si="64"/>
        <v>12</v>
      </c>
    </row>
    <row r="3157" spans="11:34" ht="14.5" x14ac:dyDescent="0.35">
      <c r="K3157" s="4"/>
      <c r="AC3157" s="7">
        <v>2022</v>
      </c>
      <c r="AD3157" s="7">
        <v>5</v>
      </c>
      <c r="AE3157" s="7">
        <v>12</v>
      </c>
      <c r="AF3157" s="8">
        <v>0.45833333333333331</v>
      </c>
      <c r="AG3157" s="9">
        <v>13.2</v>
      </c>
      <c r="AH3157" s="10">
        <f t="shared" si="64"/>
        <v>13</v>
      </c>
    </row>
    <row r="3158" spans="11:34" ht="14.5" x14ac:dyDescent="0.35">
      <c r="K3158" s="4"/>
      <c r="AC3158" s="7">
        <v>2022</v>
      </c>
      <c r="AD3158" s="7">
        <v>5</v>
      </c>
      <c r="AE3158" s="7">
        <v>12</v>
      </c>
      <c r="AF3158" s="8">
        <v>0.5</v>
      </c>
      <c r="AG3158" s="9">
        <v>14.3</v>
      </c>
      <c r="AH3158" s="10">
        <f t="shared" si="64"/>
        <v>14</v>
      </c>
    </row>
    <row r="3159" spans="11:34" ht="14.5" x14ac:dyDescent="0.35">
      <c r="K3159" s="4"/>
      <c r="AC3159" s="7">
        <v>2022</v>
      </c>
      <c r="AD3159" s="7">
        <v>5</v>
      </c>
      <c r="AE3159" s="7">
        <v>12</v>
      </c>
      <c r="AF3159" s="8">
        <v>0.54166666666666663</v>
      </c>
      <c r="AG3159" s="9">
        <v>14.2</v>
      </c>
      <c r="AH3159" s="10">
        <f t="shared" si="64"/>
        <v>14</v>
      </c>
    </row>
    <row r="3160" spans="11:34" ht="14.5" x14ac:dyDescent="0.35">
      <c r="K3160" s="4"/>
      <c r="AC3160" s="7">
        <v>2022</v>
      </c>
      <c r="AD3160" s="7">
        <v>5</v>
      </c>
      <c r="AE3160" s="7">
        <v>12</v>
      </c>
      <c r="AF3160" s="8">
        <v>0.58333333333333337</v>
      </c>
      <c r="AG3160" s="9">
        <v>14</v>
      </c>
      <c r="AH3160" s="10">
        <f t="shared" si="64"/>
        <v>14</v>
      </c>
    </row>
    <row r="3161" spans="11:34" ht="14.5" x14ac:dyDescent="0.35">
      <c r="K3161" s="4"/>
      <c r="AC3161" s="7">
        <v>2022</v>
      </c>
      <c r="AD3161" s="7">
        <v>5</v>
      </c>
      <c r="AE3161" s="7">
        <v>12</v>
      </c>
      <c r="AF3161" s="8">
        <v>0.625</v>
      </c>
      <c r="AG3161" s="9">
        <v>15.5</v>
      </c>
      <c r="AH3161" s="10">
        <f t="shared" si="64"/>
        <v>16</v>
      </c>
    </row>
    <row r="3162" spans="11:34" ht="14.5" x14ac:dyDescent="0.35">
      <c r="K3162" s="4"/>
      <c r="AC3162" s="7">
        <v>2022</v>
      </c>
      <c r="AD3162" s="7">
        <v>5</v>
      </c>
      <c r="AE3162" s="7">
        <v>12</v>
      </c>
      <c r="AF3162" s="8">
        <v>0.66666666666666663</v>
      </c>
      <c r="AG3162" s="9">
        <v>15.5</v>
      </c>
      <c r="AH3162" s="10">
        <f t="shared" si="64"/>
        <v>16</v>
      </c>
    </row>
    <row r="3163" spans="11:34" ht="14.5" x14ac:dyDescent="0.35">
      <c r="K3163" s="4"/>
      <c r="AC3163" s="7">
        <v>2022</v>
      </c>
      <c r="AD3163" s="7">
        <v>5</v>
      </c>
      <c r="AE3163" s="7">
        <v>12</v>
      </c>
      <c r="AF3163" s="8">
        <v>0.70833333333333337</v>
      </c>
      <c r="AG3163" s="9">
        <v>13.3</v>
      </c>
      <c r="AH3163" s="10">
        <f t="shared" si="64"/>
        <v>13</v>
      </c>
    </row>
    <row r="3164" spans="11:34" ht="14.5" x14ac:dyDescent="0.35">
      <c r="K3164" s="4"/>
      <c r="AC3164" s="7">
        <v>2022</v>
      </c>
      <c r="AD3164" s="7">
        <v>5</v>
      </c>
      <c r="AE3164" s="7">
        <v>12</v>
      </c>
      <c r="AF3164" s="8">
        <v>0.75</v>
      </c>
      <c r="AG3164" s="9">
        <v>13.6</v>
      </c>
      <c r="AH3164" s="10">
        <f t="shared" si="64"/>
        <v>14</v>
      </c>
    </row>
    <row r="3165" spans="11:34" ht="14.5" x14ac:dyDescent="0.35">
      <c r="K3165" s="4"/>
      <c r="AC3165" s="7">
        <v>2022</v>
      </c>
      <c r="AD3165" s="7">
        <v>5</v>
      </c>
      <c r="AE3165" s="7">
        <v>12</v>
      </c>
      <c r="AF3165" s="8">
        <v>0.79166666666666663</v>
      </c>
      <c r="AG3165" s="9">
        <v>12.8</v>
      </c>
      <c r="AH3165" s="10">
        <f t="shared" si="64"/>
        <v>13</v>
      </c>
    </row>
    <row r="3166" spans="11:34" ht="14.5" x14ac:dyDescent="0.35">
      <c r="K3166" s="4"/>
      <c r="AC3166" s="7">
        <v>2022</v>
      </c>
      <c r="AD3166" s="7">
        <v>5</v>
      </c>
      <c r="AE3166" s="7">
        <v>12</v>
      </c>
      <c r="AF3166" s="8">
        <v>0.83333333333333337</v>
      </c>
      <c r="AG3166" s="9">
        <v>11.6</v>
      </c>
      <c r="AH3166" s="10">
        <f t="shared" si="64"/>
        <v>12</v>
      </c>
    </row>
    <row r="3167" spans="11:34" ht="14.5" x14ac:dyDescent="0.35">
      <c r="K3167" s="4"/>
      <c r="AC3167" s="7">
        <v>2022</v>
      </c>
      <c r="AD3167" s="7">
        <v>5</v>
      </c>
      <c r="AE3167" s="7">
        <v>12</v>
      </c>
      <c r="AF3167" s="8">
        <v>0.875</v>
      </c>
      <c r="AG3167" s="9">
        <v>9.6999999999999993</v>
      </c>
      <c r="AH3167" s="10">
        <f t="shared" si="64"/>
        <v>10</v>
      </c>
    </row>
    <row r="3168" spans="11:34" ht="14.5" x14ac:dyDescent="0.35">
      <c r="K3168" s="4"/>
      <c r="AC3168" s="7">
        <v>2022</v>
      </c>
      <c r="AD3168" s="7">
        <v>5</v>
      </c>
      <c r="AE3168" s="7">
        <v>12</v>
      </c>
      <c r="AF3168" s="8">
        <v>0.91666666666666663</v>
      </c>
      <c r="AG3168" s="9">
        <v>6.4</v>
      </c>
      <c r="AH3168" s="10">
        <f t="shared" si="64"/>
        <v>6</v>
      </c>
    </row>
    <row r="3169" spans="11:34" ht="14.5" x14ac:dyDescent="0.35">
      <c r="K3169" s="4"/>
      <c r="AC3169" s="7">
        <v>2022</v>
      </c>
      <c r="AD3169" s="7">
        <v>5</v>
      </c>
      <c r="AE3169" s="7">
        <v>12</v>
      </c>
      <c r="AF3169" s="8">
        <v>0.95833333333333337</v>
      </c>
      <c r="AG3169" s="9">
        <v>3</v>
      </c>
      <c r="AH3169" s="10">
        <f t="shared" si="64"/>
        <v>3</v>
      </c>
    </row>
    <row r="3170" spans="11:34" ht="14.5" x14ac:dyDescent="0.35">
      <c r="K3170" s="4"/>
      <c r="AC3170" s="7">
        <v>2022</v>
      </c>
      <c r="AD3170" s="7">
        <v>5</v>
      </c>
      <c r="AE3170" s="7">
        <v>13</v>
      </c>
      <c r="AF3170" s="8">
        <v>0</v>
      </c>
      <c r="AG3170" s="9">
        <v>1.8</v>
      </c>
      <c r="AH3170" s="10">
        <f t="shared" si="64"/>
        <v>2</v>
      </c>
    </row>
    <row r="3171" spans="11:34" ht="14.5" x14ac:dyDescent="0.35">
      <c r="K3171" s="4"/>
      <c r="AC3171" s="7">
        <v>2022</v>
      </c>
      <c r="AD3171" s="7">
        <v>5</v>
      </c>
      <c r="AE3171" s="7">
        <v>13</v>
      </c>
      <c r="AF3171" s="8">
        <v>4.1666666666666664E-2</v>
      </c>
      <c r="AG3171" s="9">
        <v>2.4</v>
      </c>
      <c r="AH3171" s="10">
        <f t="shared" si="64"/>
        <v>2</v>
      </c>
    </row>
    <row r="3172" spans="11:34" ht="14.5" x14ac:dyDescent="0.35">
      <c r="K3172" s="4"/>
      <c r="AC3172" s="7">
        <v>2022</v>
      </c>
      <c r="AD3172" s="7">
        <v>5</v>
      </c>
      <c r="AE3172" s="7">
        <v>13</v>
      </c>
      <c r="AF3172" s="8">
        <v>8.3333333333333329E-2</v>
      </c>
      <c r="AG3172" s="9">
        <v>1.5</v>
      </c>
      <c r="AH3172" s="10">
        <f t="shared" si="64"/>
        <v>2</v>
      </c>
    </row>
    <row r="3173" spans="11:34" ht="14.5" x14ac:dyDescent="0.35">
      <c r="K3173" s="4"/>
      <c r="AC3173" s="7">
        <v>2022</v>
      </c>
      <c r="AD3173" s="7">
        <v>5</v>
      </c>
      <c r="AE3173" s="7">
        <v>13</v>
      </c>
      <c r="AF3173" s="8">
        <v>0.125</v>
      </c>
      <c r="AG3173" s="9">
        <v>1.1000000000000001</v>
      </c>
      <c r="AH3173" s="10">
        <f t="shared" si="64"/>
        <v>1</v>
      </c>
    </row>
    <row r="3174" spans="11:34" ht="14.5" x14ac:dyDescent="0.35">
      <c r="K3174" s="4"/>
      <c r="AC3174" s="7">
        <v>2022</v>
      </c>
      <c r="AD3174" s="7">
        <v>5</v>
      </c>
      <c r="AE3174" s="7">
        <v>13</v>
      </c>
      <c r="AF3174" s="8">
        <v>0.16666666666666666</v>
      </c>
      <c r="AG3174" s="9">
        <v>-0.2</v>
      </c>
      <c r="AH3174" s="10">
        <f t="shared" si="64"/>
        <v>0</v>
      </c>
    </row>
    <row r="3175" spans="11:34" ht="14.5" x14ac:dyDescent="0.35">
      <c r="K3175" s="4"/>
      <c r="AC3175" s="7">
        <v>2022</v>
      </c>
      <c r="AD3175" s="7">
        <v>5</v>
      </c>
      <c r="AE3175" s="7">
        <v>13</v>
      </c>
      <c r="AF3175" s="8">
        <v>0.20833333333333334</v>
      </c>
      <c r="AG3175" s="9">
        <v>-0.1</v>
      </c>
      <c r="AH3175" s="10">
        <f t="shared" si="64"/>
        <v>0</v>
      </c>
    </row>
    <row r="3176" spans="11:34" ht="14.5" x14ac:dyDescent="0.35">
      <c r="K3176" s="4"/>
      <c r="AC3176" s="7">
        <v>2022</v>
      </c>
      <c r="AD3176" s="7">
        <v>5</v>
      </c>
      <c r="AE3176" s="7">
        <v>13</v>
      </c>
      <c r="AF3176" s="8">
        <v>0.25</v>
      </c>
      <c r="AG3176" s="9">
        <v>1.1000000000000001</v>
      </c>
      <c r="AH3176" s="10">
        <f t="shared" si="64"/>
        <v>1</v>
      </c>
    </row>
    <row r="3177" spans="11:34" ht="14.5" x14ac:dyDescent="0.35">
      <c r="K3177" s="4"/>
      <c r="AC3177" s="7">
        <v>2022</v>
      </c>
      <c r="AD3177" s="7">
        <v>5</v>
      </c>
      <c r="AE3177" s="7">
        <v>13</v>
      </c>
      <c r="AF3177" s="8">
        <v>0.29166666666666669</v>
      </c>
      <c r="AG3177" s="9">
        <v>7.4</v>
      </c>
      <c r="AH3177" s="10">
        <f t="shared" si="64"/>
        <v>7</v>
      </c>
    </row>
    <row r="3178" spans="11:34" ht="14.5" x14ac:dyDescent="0.35">
      <c r="K3178" s="4"/>
      <c r="AC3178" s="7">
        <v>2022</v>
      </c>
      <c r="AD3178" s="7">
        <v>5</v>
      </c>
      <c r="AE3178" s="7">
        <v>13</v>
      </c>
      <c r="AF3178" s="8">
        <v>0.33333333333333331</v>
      </c>
      <c r="AG3178" s="9">
        <v>9.3000000000000007</v>
      </c>
      <c r="AH3178" s="10">
        <f t="shared" si="64"/>
        <v>9</v>
      </c>
    </row>
    <row r="3179" spans="11:34" ht="14.5" x14ac:dyDescent="0.35">
      <c r="K3179" s="4"/>
      <c r="AC3179" s="7">
        <v>2022</v>
      </c>
      <c r="AD3179" s="7">
        <v>5</v>
      </c>
      <c r="AE3179" s="7">
        <v>13</v>
      </c>
      <c r="AF3179" s="8">
        <v>0.375</v>
      </c>
      <c r="AG3179" s="9">
        <v>10.199999999999999</v>
      </c>
      <c r="AH3179" s="10">
        <f t="shared" si="64"/>
        <v>10</v>
      </c>
    </row>
    <row r="3180" spans="11:34" ht="14.5" x14ac:dyDescent="0.35">
      <c r="K3180" s="4"/>
      <c r="AC3180" s="7">
        <v>2022</v>
      </c>
      <c r="AD3180" s="7">
        <v>5</v>
      </c>
      <c r="AE3180" s="7">
        <v>13</v>
      </c>
      <c r="AF3180" s="8">
        <v>0.41666666666666669</v>
      </c>
      <c r="AG3180" s="9">
        <v>9.6999999999999993</v>
      </c>
      <c r="AH3180" s="10">
        <f t="shared" si="64"/>
        <v>10</v>
      </c>
    </row>
    <row r="3181" spans="11:34" ht="14.5" x14ac:dyDescent="0.35">
      <c r="K3181" s="4"/>
      <c r="AC3181" s="7">
        <v>2022</v>
      </c>
      <c r="AD3181" s="7">
        <v>5</v>
      </c>
      <c r="AE3181" s="7">
        <v>13</v>
      </c>
      <c r="AF3181" s="8">
        <v>0.45833333333333331</v>
      </c>
      <c r="AG3181" s="9">
        <v>12.8</v>
      </c>
      <c r="AH3181" s="10">
        <f t="shared" si="64"/>
        <v>13</v>
      </c>
    </row>
    <row r="3182" spans="11:34" ht="14.5" x14ac:dyDescent="0.35">
      <c r="K3182" s="4"/>
      <c r="AC3182" s="7">
        <v>2022</v>
      </c>
      <c r="AD3182" s="7">
        <v>5</v>
      </c>
      <c r="AE3182" s="7">
        <v>13</v>
      </c>
      <c r="AF3182" s="8">
        <v>0.5</v>
      </c>
      <c r="AG3182" s="9">
        <v>11.9</v>
      </c>
      <c r="AH3182" s="10">
        <f t="shared" si="64"/>
        <v>12</v>
      </c>
    </row>
    <row r="3183" spans="11:34" ht="14.5" x14ac:dyDescent="0.35">
      <c r="K3183" s="4"/>
      <c r="AC3183" s="7">
        <v>2022</v>
      </c>
      <c r="AD3183" s="7">
        <v>5</v>
      </c>
      <c r="AE3183" s="7">
        <v>13</v>
      </c>
      <c r="AF3183" s="8">
        <v>0.54166666666666663</v>
      </c>
      <c r="AG3183" s="9">
        <v>12.3</v>
      </c>
      <c r="AH3183" s="10">
        <f t="shared" si="64"/>
        <v>12</v>
      </c>
    </row>
    <row r="3184" spans="11:34" ht="14.5" x14ac:dyDescent="0.35">
      <c r="K3184" s="4"/>
      <c r="AC3184" s="7">
        <v>2022</v>
      </c>
      <c r="AD3184" s="7">
        <v>5</v>
      </c>
      <c r="AE3184" s="7">
        <v>13</v>
      </c>
      <c r="AF3184" s="8">
        <v>0.58333333333333337</v>
      </c>
      <c r="AG3184" s="9">
        <v>12.8</v>
      </c>
      <c r="AH3184" s="10">
        <f t="shared" si="64"/>
        <v>13</v>
      </c>
    </row>
    <row r="3185" spans="11:34" ht="14.5" x14ac:dyDescent="0.35">
      <c r="K3185" s="4"/>
      <c r="AC3185" s="7">
        <v>2022</v>
      </c>
      <c r="AD3185" s="7">
        <v>5</v>
      </c>
      <c r="AE3185" s="7">
        <v>13</v>
      </c>
      <c r="AF3185" s="8">
        <v>0.625</v>
      </c>
      <c r="AG3185" s="9">
        <v>13.2</v>
      </c>
      <c r="AH3185" s="10">
        <f t="shared" si="64"/>
        <v>13</v>
      </c>
    </row>
    <row r="3186" spans="11:34" ht="14.5" x14ac:dyDescent="0.35">
      <c r="K3186" s="4"/>
      <c r="AC3186" s="7">
        <v>2022</v>
      </c>
      <c r="AD3186" s="7">
        <v>5</v>
      </c>
      <c r="AE3186" s="7">
        <v>13</v>
      </c>
      <c r="AF3186" s="8">
        <v>0.66666666666666663</v>
      </c>
      <c r="AG3186" s="9">
        <v>13.4</v>
      </c>
      <c r="AH3186" s="10">
        <f t="shared" si="64"/>
        <v>13</v>
      </c>
    </row>
    <row r="3187" spans="11:34" ht="14.5" x14ac:dyDescent="0.35">
      <c r="K3187" s="4"/>
      <c r="AC3187" s="7">
        <v>2022</v>
      </c>
      <c r="AD3187" s="7">
        <v>5</v>
      </c>
      <c r="AE3187" s="7">
        <v>13</v>
      </c>
      <c r="AF3187" s="8">
        <v>0.70833333333333337</v>
      </c>
      <c r="AG3187" s="9">
        <v>11.1</v>
      </c>
      <c r="AH3187" s="10">
        <f t="shared" si="64"/>
        <v>11</v>
      </c>
    </row>
    <row r="3188" spans="11:34" ht="14.5" x14ac:dyDescent="0.35">
      <c r="K3188" s="4"/>
      <c r="AC3188" s="7">
        <v>2022</v>
      </c>
      <c r="AD3188" s="7">
        <v>5</v>
      </c>
      <c r="AE3188" s="7">
        <v>13</v>
      </c>
      <c r="AF3188" s="8">
        <v>0.75</v>
      </c>
      <c r="AG3188" s="9">
        <v>9.5</v>
      </c>
      <c r="AH3188" s="10">
        <f t="shared" si="64"/>
        <v>10</v>
      </c>
    </row>
    <row r="3189" spans="11:34" ht="14.5" x14ac:dyDescent="0.35">
      <c r="K3189" s="4"/>
      <c r="AC3189" s="7">
        <v>2022</v>
      </c>
      <c r="AD3189" s="7">
        <v>5</v>
      </c>
      <c r="AE3189" s="7">
        <v>13</v>
      </c>
      <c r="AF3189" s="8">
        <v>0.79166666666666663</v>
      </c>
      <c r="AG3189" s="9">
        <v>8.5</v>
      </c>
      <c r="AH3189" s="10">
        <f t="shared" si="64"/>
        <v>9</v>
      </c>
    </row>
    <row r="3190" spans="11:34" ht="14.5" x14ac:dyDescent="0.35">
      <c r="K3190" s="4"/>
      <c r="AC3190" s="7">
        <v>2022</v>
      </c>
      <c r="AD3190" s="7">
        <v>5</v>
      </c>
      <c r="AE3190" s="7">
        <v>13</v>
      </c>
      <c r="AF3190" s="8">
        <v>0.83333333333333337</v>
      </c>
      <c r="AG3190" s="9">
        <v>6.7</v>
      </c>
      <c r="AH3190" s="10">
        <f t="shared" si="64"/>
        <v>7</v>
      </c>
    </row>
    <row r="3191" spans="11:34" ht="14.5" x14ac:dyDescent="0.35">
      <c r="K3191" s="4"/>
      <c r="AC3191" s="7">
        <v>2022</v>
      </c>
      <c r="AD3191" s="7">
        <v>5</v>
      </c>
      <c r="AE3191" s="7">
        <v>13</v>
      </c>
      <c r="AF3191" s="8">
        <v>0.875</v>
      </c>
      <c r="AG3191" s="9">
        <v>5.6</v>
      </c>
      <c r="AH3191" s="10">
        <f t="shared" si="64"/>
        <v>6</v>
      </c>
    </row>
    <row r="3192" spans="11:34" ht="14.5" x14ac:dyDescent="0.35">
      <c r="K3192" s="4"/>
      <c r="AC3192" s="7">
        <v>2022</v>
      </c>
      <c r="AD3192" s="7">
        <v>5</v>
      </c>
      <c r="AE3192" s="7">
        <v>13</v>
      </c>
      <c r="AF3192" s="8">
        <v>0.91666666666666663</v>
      </c>
      <c r="AG3192" s="9">
        <v>5.5</v>
      </c>
      <c r="AH3192" s="10">
        <f t="shared" si="64"/>
        <v>6</v>
      </c>
    </row>
    <row r="3193" spans="11:34" ht="14.5" x14ac:dyDescent="0.35">
      <c r="K3193" s="4"/>
      <c r="AC3193" s="7">
        <v>2022</v>
      </c>
      <c r="AD3193" s="7">
        <v>5</v>
      </c>
      <c r="AE3193" s="7">
        <v>13</v>
      </c>
      <c r="AF3193" s="8">
        <v>0.95833333333333337</v>
      </c>
      <c r="AG3193" s="9">
        <v>6.8</v>
      </c>
      <c r="AH3193" s="10">
        <f t="shared" si="64"/>
        <v>7</v>
      </c>
    </row>
    <row r="3194" spans="11:34" ht="14.5" x14ac:dyDescent="0.35">
      <c r="K3194" s="4"/>
      <c r="AC3194" s="7">
        <v>2022</v>
      </c>
      <c r="AD3194" s="7">
        <v>5</v>
      </c>
      <c r="AE3194" s="7">
        <v>14</v>
      </c>
      <c r="AF3194" s="8">
        <v>0</v>
      </c>
      <c r="AG3194" s="9">
        <v>6.7</v>
      </c>
      <c r="AH3194" s="10">
        <f t="shared" si="64"/>
        <v>7</v>
      </c>
    </row>
    <row r="3195" spans="11:34" ht="14.5" x14ac:dyDescent="0.35">
      <c r="K3195" s="4"/>
      <c r="AC3195" s="7">
        <v>2022</v>
      </c>
      <c r="AD3195" s="7">
        <v>5</v>
      </c>
      <c r="AE3195" s="7">
        <v>14</v>
      </c>
      <c r="AF3195" s="8">
        <v>4.1666666666666664E-2</v>
      </c>
      <c r="AG3195" s="9">
        <v>7.2</v>
      </c>
      <c r="AH3195" s="10">
        <f t="shared" si="64"/>
        <v>7</v>
      </c>
    </row>
    <row r="3196" spans="11:34" ht="14.5" x14ac:dyDescent="0.35">
      <c r="K3196" s="4"/>
      <c r="AC3196" s="7">
        <v>2022</v>
      </c>
      <c r="AD3196" s="7">
        <v>5</v>
      </c>
      <c r="AE3196" s="7">
        <v>14</v>
      </c>
      <c r="AF3196" s="8">
        <v>8.3333333333333329E-2</v>
      </c>
      <c r="AG3196" s="9">
        <v>6.9</v>
      </c>
      <c r="AH3196" s="10">
        <f t="shared" si="64"/>
        <v>7</v>
      </c>
    </row>
    <row r="3197" spans="11:34" ht="14.5" x14ac:dyDescent="0.35">
      <c r="K3197" s="4"/>
      <c r="AC3197" s="7">
        <v>2022</v>
      </c>
      <c r="AD3197" s="7">
        <v>5</v>
      </c>
      <c r="AE3197" s="7">
        <v>14</v>
      </c>
      <c r="AF3197" s="8">
        <v>0.125</v>
      </c>
      <c r="AG3197" s="9">
        <v>6.2</v>
      </c>
      <c r="AH3197" s="10">
        <f t="shared" si="64"/>
        <v>6</v>
      </c>
    </row>
    <row r="3198" spans="11:34" ht="14.5" x14ac:dyDescent="0.35">
      <c r="K3198" s="4"/>
      <c r="AC3198" s="7">
        <v>2022</v>
      </c>
      <c r="AD3198" s="7">
        <v>5</v>
      </c>
      <c r="AE3198" s="7">
        <v>14</v>
      </c>
      <c r="AF3198" s="8">
        <v>0.16666666666666666</v>
      </c>
      <c r="AG3198" s="9">
        <v>5.4</v>
      </c>
      <c r="AH3198" s="10">
        <f t="shared" si="64"/>
        <v>5</v>
      </c>
    </row>
    <row r="3199" spans="11:34" ht="14.5" x14ac:dyDescent="0.35">
      <c r="K3199" s="4"/>
      <c r="AC3199" s="7">
        <v>2022</v>
      </c>
      <c r="AD3199" s="7">
        <v>5</v>
      </c>
      <c r="AE3199" s="7">
        <v>14</v>
      </c>
      <c r="AF3199" s="8">
        <v>0.20833333333333334</v>
      </c>
      <c r="AG3199" s="9">
        <v>4.8</v>
      </c>
      <c r="AH3199" s="10">
        <f t="shared" si="64"/>
        <v>5</v>
      </c>
    </row>
    <row r="3200" spans="11:34" ht="14.5" x14ac:dyDescent="0.35">
      <c r="K3200" s="4"/>
      <c r="AC3200" s="7">
        <v>2022</v>
      </c>
      <c r="AD3200" s="7">
        <v>5</v>
      </c>
      <c r="AE3200" s="7">
        <v>14</v>
      </c>
      <c r="AF3200" s="8">
        <v>0.25</v>
      </c>
      <c r="AG3200" s="9">
        <v>3.7</v>
      </c>
      <c r="AH3200" s="10">
        <f t="shared" si="64"/>
        <v>4</v>
      </c>
    </row>
    <row r="3201" spans="11:34" ht="14.5" x14ac:dyDescent="0.35">
      <c r="K3201" s="4"/>
      <c r="AC3201" s="7">
        <v>2022</v>
      </c>
      <c r="AD3201" s="7">
        <v>5</v>
      </c>
      <c r="AE3201" s="7">
        <v>14</v>
      </c>
      <c r="AF3201" s="8">
        <v>0.29166666666666669</v>
      </c>
      <c r="AG3201" s="9">
        <v>5.5</v>
      </c>
      <c r="AH3201" s="10">
        <f t="shared" si="64"/>
        <v>6</v>
      </c>
    </row>
    <row r="3202" spans="11:34" ht="14.5" x14ac:dyDescent="0.35">
      <c r="K3202" s="4"/>
      <c r="AC3202" s="7">
        <v>2022</v>
      </c>
      <c r="AD3202" s="7">
        <v>5</v>
      </c>
      <c r="AE3202" s="7">
        <v>14</v>
      </c>
      <c r="AF3202" s="8">
        <v>0.33333333333333331</v>
      </c>
      <c r="AG3202" s="9">
        <v>8</v>
      </c>
      <c r="AH3202" s="10">
        <f t="shared" si="64"/>
        <v>8</v>
      </c>
    </row>
    <row r="3203" spans="11:34" ht="14.5" x14ac:dyDescent="0.35">
      <c r="K3203" s="4"/>
      <c r="AC3203" s="7">
        <v>2022</v>
      </c>
      <c r="AD3203" s="7">
        <v>5</v>
      </c>
      <c r="AE3203" s="7">
        <v>14</v>
      </c>
      <c r="AF3203" s="8">
        <v>0.375</v>
      </c>
      <c r="AG3203" s="9">
        <v>9.4</v>
      </c>
      <c r="AH3203" s="10">
        <f t="shared" si="64"/>
        <v>9</v>
      </c>
    </row>
    <row r="3204" spans="11:34" ht="14.5" x14ac:dyDescent="0.35">
      <c r="K3204" s="4"/>
      <c r="AC3204" s="7">
        <v>2022</v>
      </c>
      <c r="AD3204" s="7">
        <v>5</v>
      </c>
      <c r="AE3204" s="7">
        <v>14</v>
      </c>
      <c r="AF3204" s="8">
        <v>0.41666666666666669</v>
      </c>
      <c r="AG3204" s="9">
        <v>9.1999999999999993</v>
      </c>
      <c r="AH3204" s="10">
        <f t="shared" si="64"/>
        <v>9</v>
      </c>
    </row>
    <row r="3205" spans="11:34" ht="14.5" x14ac:dyDescent="0.35">
      <c r="K3205" s="4"/>
      <c r="AC3205" s="7">
        <v>2022</v>
      </c>
      <c r="AD3205" s="7">
        <v>5</v>
      </c>
      <c r="AE3205" s="7">
        <v>14</v>
      </c>
      <c r="AF3205" s="8">
        <v>0.45833333333333331</v>
      </c>
      <c r="AG3205" s="9">
        <v>10.199999999999999</v>
      </c>
      <c r="AH3205" s="10">
        <f t="shared" si="64"/>
        <v>10</v>
      </c>
    </row>
    <row r="3206" spans="11:34" ht="14.5" x14ac:dyDescent="0.35">
      <c r="K3206" s="4"/>
      <c r="AC3206" s="7">
        <v>2022</v>
      </c>
      <c r="AD3206" s="7">
        <v>5</v>
      </c>
      <c r="AE3206" s="7">
        <v>14</v>
      </c>
      <c r="AF3206" s="8">
        <v>0.5</v>
      </c>
      <c r="AG3206" s="9">
        <v>11.2</v>
      </c>
      <c r="AH3206" s="10">
        <f t="shared" si="64"/>
        <v>11</v>
      </c>
    </row>
    <row r="3207" spans="11:34" ht="14.5" x14ac:dyDescent="0.35">
      <c r="K3207" s="4"/>
      <c r="AC3207" s="7">
        <v>2022</v>
      </c>
      <c r="AD3207" s="7">
        <v>5</v>
      </c>
      <c r="AE3207" s="7">
        <v>14</v>
      </c>
      <c r="AF3207" s="8">
        <v>0.54166666666666663</v>
      </c>
      <c r="AG3207" s="9">
        <v>11.7</v>
      </c>
      <c r="AH3207" s="10">
        <f t="shared" si="64"/>
        <v>12</v>
      </c>
    </row>
    <row r="3208" spans="11:34" ht="14.5" x14ac:dyDescent="0.35">
      <c r="K3208" s="4"/>
      <c r="AC3208" s="7">
        <v>2022</v>
      </c>
      <c r="AD3208" s="7">
        <v>5</v>
      </c>
      <c r="AE3208" s="7">
        <v>14</v>
      </c>
      <c r="AF3208" s="8">
        <v>0.58333333333333337</v>
      </c>
      <c r="AG3208" s="9">
        <v>13.5</v>
      </c>
      <c r="AH3208" s="10">
        <f t="shared" si="64"/>
        <v>14</v>
      </c>
    </row>
    <row r="3209" spans="11:34" ht="14.5" x14ac:dyDescent="0.35">
      <c r="K3209" s="4"/>
      <c r="AC3209" s="7">
        <v>2022</v>
      </c>
      <c r="AD3209" s="7">
        <v>5</v>
      </c>
      <c r="AE3209" s="7">
        <v>14</v>
      </c>
      <c r="AF3209" s="8">
        <v>0.625</v>
      </c>
      <c r="AG3209" s="9">
        <v>14.1</v>
      </c>
      <c r="AH3209" s="10">
        <f t="shared" si="64"/>
        <v>14</v>
      </c>
    </row>
    <row r="3210" spans="11:34" ht="14.5" x14ac:dyDescent="0.35">
      <c r="K3210" s="4"/>
      <c r="AC3210" s="7">
        <v>2022</v>
      </c>
      <c r="AD3210" s="7">
        <v>5</v>
      </c>
      <c r="AE3210" s="7">
        <v>14</v>
      </c>
      <c r="AF3210" s="8">
        <v>0.66666666666666663</v>
      </c>
      <c r="AG3210" s="9">
        <v>15.6</v>
      </c>
      <c r="AH3210" s="10">
        <f t="shared" si="64"/>
        <v>16</v>
      </c>
    </row>
    <row r="3211" spans="11:34" ht="14.5" x14ac:dyDescent="0.35">
      <c r="K3211" s="4"/>
      <c r="AC3211" s="7">
        <v>2022</v>
      </c>
      <c r="AD3211" s="7">
        <v>5</v>
      </c>
      <c r="AE3211" s="7">
        <v>14</v>
      </c>
      <c r="AF3211" s="8">
        <v>0.70833333333333337</v>
      </c>
      <c r="AG3211" s="9">
        <v>15.4</v>
      </c>
      <c r="AH3211" s="10">
        <f t="shared" ref="AH3211:AH3274" si="65">ROUND(AG3211,0)</f>
        <v>15</v>
      </c>
    </row>
    <row r="3212" spans="11:34" ht="14.5" x14ac:dyDescent="0.35">
      <c r="K3212" s="4"/>
      <c r="AC3212" s="7">
        <v>2022</v>
      </c>
      <c r="AD3212" s="7">
        <v>5</v>
      </c>
      <c r="AE3212" s="7">
        <v>14</v>
      </c>
      <c r="AF3212" s="8">
        <v>0.75</v>
      </c>
      <c r="AG3212" s="9">
        <v>15.5</v>
      </c>
      <c r="AH3212" s="10">
        <f t="shared" si="65"/>
        <v>16</v>
      </c>
    </row>
    <row r="3213" spans="11:34" ht="14.5" x14ac:dyDescent="0.35">
      <c r="K3213" s="4"/>
      <c r="AC3213" s="7">
        <v>2022</v>
      </c>
      <c r="AD3213" s="7">
        <v>5</v>
      </c>
      <c r="AE3213" s="7">
        <v>14</v>
      </c>
      <c r="AF3213" s="8">
        <v>0.79166666666666663</v>
      </c>
      <c r="AG3213" s="9">
        <v>14.3</v>
      </c>
      <c r="AH3213" s="10">
        <f t="shared" si="65"/>
        <v>14</v>
      </c>
    </row>
    <row r="3214" spans="11:34" ht="14.5" x14ac:dyDescent="0.35">
      <c r="K3214" s="4"/>
      <c r="AC3214" s="7">
        <v>2022</v>
      </c>
      <c r="AD3214" s="7">
        <v>5</v>
      </c>
      <c r="AE3214" s="7">
        <v>14</v>
      </c>
      <c r="AF3214" s="8">
        <v>0.83333333333333337</v>
      </c>
      <c r="AG3214" s="9">
        <v>12.5</v>
      </c>
      <c r="AH3214" s="10">
        <f t="shared" si="65"/>
        <v>13</v>
      </c>
    </row>
    <row r="3215" spans="11:34" ht="14.5" x14ac:dyDescent="0.35">
      <c r="K3215" s="4"/>
      <c r="AC3215" s="7">
        <v>2022</v>
      </c>
      <c r="AD3215" s="7">
        <v>5</v>
      </c>
      <c r="AE3215" s="7">
        <v>14</v>
      </c>
      <c r="AF3215" s="8">
        <v>0.875</v>
      </c>
      <c r="AG3215" s="9">
        <v>10.9</v>
      </c>
      <c r="AH3215" s="10">
        <f t="shared" si="65"/>
        <v>11</v>
      </c>
    </row>
    <row r="3216" spans="11:34" ht="14.5" x14ac:dyDescent="0.35">
      <c r="K3216" s="4"/>
      <c r="AC3216" s="7">
        <v>2022</v>
      </c>
      <c r="AD3216" s="7">
        <v>5</v>
      </c>
      <c r="AE3216" s="7">
        <v>14</v>
      </c>
      <c r="AF3216" s="8">
        <v>0.91666666666666663</v>
      </c>
      <c r="AG3216" s="9">
        <v>9.6999999999999993</v>
      </c>
      <c r="AH3216" s="10">
        <f t="shared" si="65"/>
        <v>10</v>
      </c>
    </row>
    <row r="3217" spans="11:34" ht="14.5" x14ac:dyDescent="0.35">
      <c r="K3217" s="4"/>
      <c r="AC3217" s="7">
        <v>2022</v>
      </c>
      <c r="AD3217" s="7">
        <v>5</v>
      </c>
      <c r="AE3217" s="7">
        <v>14</v>
      </c>
      <c r="AF3217" s="8">
        <v>0.95833333333333337</v>
      </c>
      <c r="AG3217" s="9">
        <v>9.3000000000000007</v>
      </c>
      <c r="AH3217" s="10">
        <f t="shared" si="65"/>
        <v>9</v>
      </c>
    </row>
    <row r="3218" spans="11:34" ht="14.5" x14ac:dyDescent="0.35">
      <c r="K3218" s="4"/>
      <c r="AC3218" s="7">
        <v>2022</v>
      </c>
      <c r="AD3218" s="7">
        <v>5</v>
      </c>
      <c r="AE3218" s="7">
        <v>15</v>
      </c>
      <c r="AF3218" s="8">
        <v>0</v>
      </c>
      <c r="AG3218" s="9">
        <v>7.1</v>
      </c>
      <c r="AH3218" s="10">
        <f t="shared" si="65"/>
        <v>7</v>
      </c>
    </row>
    <row r="3219" spans="11:34" ht="14.5" x14ac:dyDescent="0.35">
      <c r="K3219" s="4"/>
      <c r="AC3219" s="7">
        <v>2022</v>
      </c>
      <c r="AD3219" s="7">
        <v>5</v>
      </c>
      <c r="AE3219" s="7">
        <v>15</v>
      </c>
      <c r="AF3219" s="8">
        <v>4.1666666666666664E-2</v>
      </c>
      <c r="AG3219" s="9">
        <v>5.7</v>
      </c>
      <c r="AH3219" s="10">
        <f t="shared" si="65"/>
        <v>6</v>
      </c>
    </row>
    <row r="3220" spans="11:34" ht="14.5" x14ac:dyDescent="0.35">
      <c r="K3220" s="4"/>
      <c r="AC3220" s="7">
        <v>2022</v>
      </c>
      <c r="AD3220" s="7">
        <v>5</v>
      </c>
      <c r="AE3220" s="7">
        <v>15</v>
      </c>
      <c r="AF3220" s="8">
        <v>8.3333333333333329E-2</v>
      </c>
      <c r="AG3220" s="9">
        <v>3.2</v>
      </c>
      <c r="AH3220" s="10">
        <f t="shared" si="65"/>
        <v>3</v>
      </c>
    </row>
    <row r="3221" spans="11:34" ht="14.5" x14ac:dyDescent="0.35">
      <c r="K3221" s="4"/>
      <c r="AC3221" s="7">
        <v>2022</v>
      </c>
      <c r="AD3221" s="7">
        <v>5</v>
      </c>
      <c r="AE3221" s="7">
        <v>15</v>
      </c>
      <c r="AF3221" s="8">
        <v>0.125</v>
      </c>
      <c r="AG3221" s="9">
        <v>0.6</v>
      </c>
      <c r="AH3221" s="10">
        <f t="shared" si="65"/>
        <v>1</v>
      </c>
    </row>
    <row r="3222" spans="11:34" ht="14.5" x14ac:dyDescent="0.35">
      <c r="K3222" s="4"/>
      <c r="AC3222" s="7">
        <v>2022</v>
      </c>
      <c r="AD3222" s="7">
        <v>5</v>
      </c>
      <c r="AE3222" s="7">
        <v>15</v>
      </c>
      <c r="AF3222" s="8">
        <v>0.16666666666666666</v>
      </c>
      <c r="AG3222" s="9">
        <v>3.2</v>
      </c>
      <c r="AH3222" s="10">
        <f t="shared" si="65"/>
        <v>3</v>
      </c>
    </row>
    <row r="3223" spans="11:34" ht="14.5" x14ac:dyDescent="0.35">
      <c r="K3223" s="4"/>
      <c r="AC3223" s="7">
        <v>2022</v>
      </c>
      <c r="AD3223" s="7">
        <v>5</v>
      </c>
      <c r="AE3223" s="7">
        <v>15</v>
      </c>
      <c r="AF3223" s="8">
        <v>0.20833333333333334</v>
      </c>
      <c r="AG3223" s="9">
        <v>2.2000000000000002</v>
      </c>
      <c r="AH3223" s="10">
        <f t="shared" si="65"/>
        <v>2</v>
      </c>
    </row>
    <row r="3224" spans="11:34" ht="14.5" x14ac:dyDescent="0.35">
      <c r="K3224" s="4"/>
      <c r="AC3224" s="7">
        <v>2022</v>
      </c>
      <c r="AD3224" s="7">
        <v>5</v>
      </c>
      <c r="AE3224" s="7">
        <v>15</v>
      </c>
      <c r="AF3224" s="8">
        <v>0.25</v>
      </c>
      <c r="AG3224" s="9">
        <v>5.9</v>
      </c>
      <c r="AH3224" s="10">
        <f t="shared" si="65"/>
        <v>6</v>
      </c>
    </row>
    <row r="3225" spans="11:34" ht="14.5" x14ac:dyDescent="0.35">
      <c r="K3225" s="4"/>
      <c r="AC3225" s="7">
        <v>2022</v>
      </c>
      <c r="AD3225" s="7">
        <v>5</v>
      </c>
      <c r="AE3225" s="7">
        <v>15</v>
      </c>
      <c r="AF3225" s="8">
        <v>0.29166666666666669</v>
      </c>
      <c r="AG3225" s="9">
        <v>10</v>
      </c>
      <c r="AH3225" s="10">
        <f t="shared" si="65"/>
        <v>10</v>
      </c>
    </row>
    <row r="3226" spans="11:34" ht="14.5" x14ac:dyDescent="0.35">
      <c r="K3226" s="4"/>
      <c r="AC3226" s="7">
        <v>2022</v>
      </c>
      <c r="AD3226" s="7">
        <v>5</v>
      </c>
      <c r="AE3226" s="7">
        <v>15</v>
      </c>
      <c r="AF3226" s="8">
        <v>0.33333333333333331</v>
      </c>
      <c r="AG3226" s="9">
        <v>12</v>
      </c>
      <c r="AH3226" s="10">
        <f t="shared" si="65"/>
        <v>12</v>
      </c>
    </row>
    <row r="3227" spans="11:34" ht="14.5" x14ac:dyDescent="0.35">
      <c r="K3227" s="4"/>
      <c r="AC3227" s="7">
        <v>2022</v>
      </c>
      <c r="AD3227" s="7">
        <v>5</v>
      </c>
      <c r="AE3227" s="7">
        <v>15</v>
      </c>
      <c r="AF3227" s="8">
        <v>0.375</v>
      </c>
      <c r="AG3227" s="9">
        <v>13.2</v>
      </c>
      <c r="AH3227" s="10">
        <f t="shared" si="65"/>
        <v>13</v>
      </c>
    </row>
    <row r="3228" spans="11:34" ht="14.5" x14ac:dyDescent="0.35">
      <c r="K3228" s="4"/>
      <c r="AC3228" s="7">
        <v>2022</v>
      </c>
      <c r="AD3228" s="7">
        <v>5</v>
      </c>
      <c r="AE3228" s="7">
        <v>15</v>
      </c>
      <c r="AF3228" s="8">
        <v>0.41666666666666669</v>
      </c>
      <c r="AG3228" s="9">
        <v>14</v>
      </c>
      <c r="AH3228" s="10">
        <f t="shared" si="65"/>
        <v>14</v>
      </c>
    </row>
    <row r="3229" spans="11:34" ht="14.5" x14ac:dyDescent="0.35">
      <c r="K3229" s="4"/>
      <c r="AC3229" s="7">
        <v>2022</v>
      </c>
      <c r="AD3229" s="7">
        <v>5</v>
      </c>
      <c r="AE3229" s="7">
        <v>15</v>
      </c>
      <c r="AF3229" s="8">
        <v>0.45833333333333331</v>
      </c>
      <c r="AG3229" s="9">
        <v>15.1</v>
      </c>
      <c r="AH3229" s="10">
        <f t="shared" si="65"/>
        <v>15</v>
      </c>
    </row>
    <row r="3230" spans="11:34" ht="14.5" x14ac:dyDescent="0.35">
      <c r="K3230" s="4"/>
      <c r="AC3230" s="7">
        <v>2022</v>
      </c>
      <c r="AD3230" s="7">
        <v>5</v>
      </c>
      <c r="AE3230" s="7">
        <v>15</v>
      </c>
      <c r="AF3230" s="8">
        <v>0.5</v>
      </c>
      <c r="AG3230" s="9">
        <v>16.600000000000001</v>
      </c>
      <c r="AH3230" s="10">
        <f t="shared" si="65"/>
        <v>17</v>
      </c>
    </row>
    <row r="3231" spans="11:34" ht="14.5" x14ac:dyDescent="0.35">
      <c r="K3231" s="4"/>
      <c r="AC3231" s="7">
        <v>2022</v>
      </c>
      <c r="AD3231" s="7">
        <v>5</v>
      </c>
      <c r="AE3231" s="7">
        <v>15</v>
      </c>
      <c r="AF3231" s="8">
        <v>0.54166666666666663</v>
      </c>
      <c r="AG3231" s="9">
        <v>15.9</v>
      </c>
      <c r="AH3231" s="10">
        <f t="shared" si="65"/>
        <v>16</v>
      </c>
    </row>
    <row r="3232" spans="11:34" ht="14.5" x14ac:dyDescent="0.35">
      <c r="K3232" s="4"/>
      <c r="AC3232" s="7">
        <v>2022</v>
      </c>
      <c r="AD3232" s="7">
        <v>5</v>
      </c>
      <c r="AE3232" s="7">
        <v>15</v>
      </c>
      <c r="AF3232" s="8">
        <v>0.58333333333333337</v>
      </c>
      <c r="AG3232" s="9">
        <v>16.7</v>
      </c>
      <c r="AH3232" s="10">
        <f t="shared" si="65"/>
        <v>17</v>
      </c>
    </row>
    <row r="3233" spans="11:34" ht="14.5" x14ac:dyDescent="0.35">
      <c r="K3233" s="4"/>
      <c r="AC3233" s="7">
        <v>2022</v>
      </c>
      <c r="AD3233" s="7">
        <v>5</v>
      </c>
      <c r="AE3233" s="7">
        <v>15</v>
      </c>
      <c r="AF3233" s="8">
        <v>0.625</v>
      </c>
      <c r="AG3233" s="9">
        <v>17.3</v>
      </c>
      <c r="AH3233" s="10">
        <f t="shared" si="65"/>
        <v>17</v>
      </c>
    </row>
    <row r="3234" spans="11:34" ht="14.5" x14ac:dyDescent="0.35">
      <c r="K3234" s="4"/>
      <c r="AC3234" s="7">
        <v>2022</v>
      </c>
      <c r="AD3234" s="7">
        <v>5</v>
      </c>
      <c r="AE3234" s="7">
        <v>15</v>
      </c>
      <c r="AF3234" s="8">
        <v>0.66666666666666663</v>
      </c>
      <c r="AG3234" s="9">
        <v>17.3</v>
      </c>
      <c r="AH3234" s="10">
        <f t="shared" si="65"/>
        <v>17</v>
      </c>
    </row>
    <row r="3235" spans="11:34" ht="14.5" x14ac:dyDescent="0.35">
      <c r="K3235" s="4"/>
      <c r="AC3235" s="7">
        <v>2022</v>
      </c>
      <c r="AD3235" s="7">
        <v>5</v>
      </c>
      <c r="AE3235" s="7">
        <v>15</v>
      </c>
      <c r="AF3235" s="8">
        <v>0.70833333333333337</v>
      </c>
      <c r="AG3235" s="9">
        <v>17.399999999999999</v>
      </c>
      <c r="AH3235" s="10">
        <f t="shared" si="65"/>
        <v>17</v>
      </c>
    </row>
    <row r="3236" spans="11:34" ht="14.5" x14ac:dyDescent="0.35">
      <c r="K3236" s="4"/>
      <c r="AC3236" s="7">
        <v>2022</v>
      </c>
      <c r="AD3236" s="7">
        <v>5</v>
      </c>
      <c r="AE3236" s="7">
        <v>15</v>
      </c>
      <c r="AF3236" s="8">
        <v>0.75</v>
      </c>
      <c r="AG3236" s="9">
        <v>17.399999999999999</v>
      </c>
      <c r="AH3236" s="10">
        <f t="shared" si="65"/>
        <v>17</v>
      </c>
    </row>
    <row r="3237" spans="11:34" ht="14.5" x14ac:dyDescent="0.35">
      <c r="K3237" s="4"/>
      <c r="AC3237" s="7">
        <v>2022</v>
      </c>
      <c r="AD3237" s="7">
        <v>5</v>
      </c>
      <c r="AE3237" s="7">
        <v>15</v>
      </c>
      <c r="AF3237" s="8">
        <v>0.79166666666666663</v>
      </c>
      <c r="AG3237" s="9">
        <v>16.3</v>
      </c>
      <c r="AH3237" s="10">
        <f t="shared" si="65"/>
        <v>16</v>
      </c>
    </row>
    <row r="3238" spans="11:34" ht="14.5" x14ac:dyDescent="0.35">
      <c r="K3238" s="4"/>
      <c r="AC3238" s="7">
        <v>2022</v>
      </c>
      <c r="AD3238" s="7">
        <v>5</v>
      </c>
      <c r="AE3238" s="7">
        <v>15</v>
      </c>
      <c r="AF3238" s="8">
        <v>0.83333333333333337</v>
      </c>
      <c r="AG3238" s="9">
        <v>15</v>
      </c>
      <c r="AH3238" s="10">
        <f t="shared" si="65"/>
        <v>15</v>
      </c>
    </row>
    <row r="3239" spans="11:34" ht="14.5" x14ac:dyDescent="0.35">
      <c r="K3239" s="4"/>
      <c r="AC3239" s="7">
        <v>2022</v>
      </c>
      <c r="AD3239" s="7">
        <v>5</v>
      </c>
      <c r="AE3239" s="7">
        <v>15</v>
      </c>
      <c r="AF3239" s="8">
        <v>0.875</v>
      </c>
      <c r="AG3239" s="9">
        <v>15.7</v>
      </c>
      <c r="AH3239" s="10">
        <f t="shared" si="65"/>
        <v>16</v>
      </c>
    </row>
    <row r="3240" spans="11:34" ht="14.5" x14ac:dyDescent="0.35">
      <c r="K3240" s="4"/>
      <c r="AC3240" s="7">
        <v>2022</v>
      </c>
      <c r="AD3240" s="7">
        <v>5</v>
      </c>
      <c r="AE3240" s="7">
        <v>15</v>
      </c>
      <c r="AF3240" s="8">
        <v>0.91666666666666663</v>
      </c>
      <c r="AG3240" s="9">
        <v>14.9</v>
      </c>
      <c r="AH3240" s="10">
        <f t="shared" si="65"/>
        <v>15</v>
      </c>
    </row>
    <row r="3241" spans="11:34" ht="14.5" x14ac:dyDescent="0.35">
      <c r="K3241" s="4"/>
      <c r="AC3241" s="7">
        <v>2022</v>
      </c>
      <c r="AD3241" s="7">
        <v>5</v>
      </c>
      <c r="AE3241" s="7">
        <v>15</v>
      </c>
      <c r="AF3241" s="8">
        <v>0.95833333333333337</v>
      </c>
      <c r="AG3241" s="9">
        <v>12.6</v>
      </c>
      <c r="AH3241" s="10">
        <f t="shared" si="65"/>
        <v>13</v>
      </c>
    </row>
    <row r="3242" spans="11:34" ht="14.5" x14ac:dyDescent="0.35">
      <c r="K3242" s="4"/>
      <c r="AC3242" s="7">
        <v>2022</v>
      </c>
      <c r="AD3242" s="7">
        <v>5</v>
      </c>
      <c r="AE3242" s="7">
        <v>16</v>
      </c>
      <c r="AF3242" s="8">
        <v>0</v>
      </c>
      <c r="AG3242" s="9">
        <v>10.7</v>
      </c>
      <c r="AH3242" s="10">
        <f t="shared" si="65"/>
        <v>11</v>
      </c>
    </row>
    <row r="3243" spans="11:34" ht="14.5" x14ac:dyDescent="0.35">
      <c r="K3243" s="4"/>
      <c r="AC3243" s="7">
        <v>2022</v>
      </c>
      <c r="AD3243" s="7">
        <v>5</v>
      </c>
      <c r="AE3243" s="7">
        <v>16</v>
      </c>
      <c r="AF3243" s="8">
        <v>4.1666666666666664E-2</v>
      </c>
      <c r="AG3243" s="9">
        <v>11</v>
      </c>
      <c r="AH3243" s="10">
        <f t="shared" si="65"/>
        <v>11</v>
      </c>
    </row>
    <row r="3244" spans="11:34" ht="14.5" x14ac:dyDescent="0.35">
      <c r="K3244" s="4"/>
      <c r="AC3244" s="7">
        <v>2022</v>
      </c>
      <c r="AD3244" s="7">
        <v>5</v>
      </c>
      <c r="AE3244" s="7">
        <v>16</v>
      </c>
      <c r="AF3244" s="8">
        <v>8.3333333333333329E-2</v>
      </c>
      <c r="AG3244" s="9">
        <v>9.4</v>
      </c>
      <c r="AH3244" s="10">
        <f t="shared" si="65"/>
        <v>9</v>
      </c>
    </row>
    <row r="3245" spans="11:34" ht="14.5" x14ac:dyDescent="0.35">
      <c r="K3245" s="4"/>
      <c r="AC3245" s="7">
        <v>2022</v>
      </c>
      <c r="AD3245" s="7">
        <v>5</v>
      </c>
      <c r="AE3245" s="7">
        <v>16</v>
      </c>
      <c r="AF3245" s="8">
        <v>0.125</v>
      </c>
      <c r="AG3245" s="9">
        <v>8.5</v>
      </c>
      <c r="AH3245" s="10">
        <f t="shared" si="65"/>
        <v>9</v>
      </c>
    </row>
    <row r="3246" spans="11:34" ht="14.5" x14ac:dyDescent="0.35">
      <c r="K3246" s="4"/>
      <c r="AC3246" s="7">
        <v>2022</v>
      </c>
      <c r="AD3246" s="7">
        <v>5</v>
      </c>
      <c r="AE3246" s="7">
        <v>16</v>
      </c>
      <c r="AF3246" s="8">
        <v>0.16666666666666666</v>
      </c>
      <c r="AG3246" s="9">
        <v>8.6999999999999993</v>
      </c>
      <c r="AH3246" s="10">
        <f t="shared" si="65"/>
        <v>9</v>
      </c>
    </row>
    <row r="3247" spans="11:34" ht="14.5" x14ac:dyDescent="0.35">
      <c r="K3247" s="4"/>
      <c r="AC3247" s="7">
        <v>2022</v>
      </c>
      <c r="AD3247" s="7">
        <v>5</v>
      </c>
      <c r="AE3247" s="7">
        <v>16</v>
      </c>
      <c r="AF3247" s="8">
        <v>0.20833333333333334</v>
      </c>
      <c r="AG3247" s="9">
        <v>7.6</v>
      </c>
      <c r="AH3247" s="10">
        <f t="shared" si="65"/>
        <v>8</v>
      </c>
    </row>
    <row r="3248" spans="11:34" ht="14.5" x14ac:dyDescent="0.35">
      <c r="K3248" s="4"/>
      <c r="AC3248" s="7">
        <v>2022</v>
      </c>
      <c r="AD3248" s="7">
        <v>5</v>
      </c>
      <c r="AE3248" s="7">
        <v>16</v>
      </c>
      <c r="AF3248" s="8">
        <v>0.25</v>
      </c>
      <c r="AG3248" s="9">
        <v>10.1</v>
      </c>
      <c r="AH3248" s="10">
        <f t="shared" si="65"/>
        <v>10</v>
      </c>
    </row>
    <row r="3249" spans="11:34" ht="14.5" x14ac:dyDescent="0.35">
      <c r="K3249" s="4"/>
      <c r="AC3249" s="7">
        <v>2022</v>
      </c>
      <c r="AD3249" s="7">
        <v>5</v>
      </c>
      <c r="AE3249" s="7">
        <v>16</v>
      </c>
      <c r="AF3249" s="8">
        <v>0.29166666666666669</v>
      </c>
      <c r="AG3249" s="9">
        <v>12.9</v>
      </c>
      <c r="AH3249" s="10">
        <f t="shared" si="65"/>
        <v>13</v>
      </c>
    </row>
    <row r="3250" spans="11:34" ht="14.5" x14ac:dyDescent="0.35">
      <c r="K3250" s="4"/>
      <c r="AC3250" s="7">
        <v>2022</v>
      </c>
      <c r="AD3250" s="7">
        <v>5</v>
      </c>
      <c r="AE3250" s="7">
        <v>16</v>
      </c>
      <c r="AF3250" s="8">
        <v>0.33333333333333331</v>
      </c>
      <c r="AG3250" s="9">
        <v>14.9</v>
      </c>
      <c r="AH3250" s="10">
        <f t="shared" si="65"/>
        <v>15</v>
      </c>
    </row>
    <row r="3251" spans="11:34" ht="14.5" x14ac:dyDescent="0.35">
      <c r="K3251" s="4"/>
      <c r="AC3251" s="7">
        <v>2022</v>
      </c>
      <c r="AD3251" s="7">
        <v>5</v>
      </c>
      <c r="AE3251" s="7">
        <v>16</v>
      </c>
      <c r="AF3251" s="8">
        <v>0.375</v>
      </c>
      <c r="AG3251" s="9">
        <v>16.399999999999999</v>
      </c>
      <c r="AH3251" s="10">
        <f t="shared" si="65"/>
        <v>16</v>
      </c>
    </row>
    <row r="3252" spans="11:34" ht="14.5" x14ac:dyDescent="0.35">
      <c r="K3252" s="4"/>
      <c r="AC3252" s="7">
        <v>2022</v>
      </c>
      <c r="AD3252" s="7">
        <v>5</v>
      </c>
      <c r="AE3252" s="7">
        <v>16</v>
      </c>
      <c r="AF3252" s="8">
        <v>0.41666666666666669</v>
      </c>
      <c r="AG3252" s="9">
        <v>17.8</v>
      </c>
      <c r="AH3252" s="10">
        <f t="shared" si="65"/>
        <v>18</v>
      </c>
    </row>
    <row r="3253" spans="11:34" ht="14.5" x14ac:dyDescent="0.35">
      <c r="K3253" s="4"/>
      <c r="AC3253" s="7">
        <v>2022</v>
      </c>
      <c r="AD3253" s="7">
        <v>5</v>
      </c>
      <c r="AE3253" s="7">
        <v>16</v>
      </c>
      <c r="AF3253" s="8">
        <v>0.45833333333333331</v>
      </c>
      <c r="AG3253" s="9">
        <v>17.899999999999999</v>
      </c>
      <c r="AH3253" s="10">
        <f t="shared" si="65"/>
        <v>18</v>
      </c>
    </row>
    <row r="3254" spans="11:34" ht="14.5" x14ac:dyDescent="0.35">
      <c r="K3254" s="4"/>
      <c r="AC3254" s="7">
        <v>2022</v>
      </c>
      <c r="AD3254" s="7">
        <v>5</v>
      </c>
      <c r="AE3254" s="7">
        <v>16</v>
      </c>
      <c r="AF3254" s="8">
        <v>0.5</v>
      </c>
      <c r="AG3254" s="9">
        <v>18.8</v>
      </c>
      <c r="AH3254" s="10">
        <f t="shared" si="65"/>
        <v>19</v>
      </c>
    </row>
    <row r="3255" spans="11:34" ht="14.5" x14ac:dyDescent="0.35">
      <c r="K3255" s="4"/>
      <c r="AC3255" s="7">
        <v>2022</v>
      </c>
      <c r="AD3255" s="7">
        <v>5</v>
      </c>
      <c r="AE3255" s="7">
        <v>16</v>
      </c>
      <c r="AF3255" s="8">
        <v>0.54166666666666663</v>
      </c>
      <c r="AG3255" s="9">
        <v>19.399999999999999</v>
      </c>
      <c r="AH3255" s="10">
        <f t="shared" si="65"/>
        <v>19</v>
      </c>
    </row>
    <row r="3256" spans="11:34" ht="14.5" x14ac:dyDescent="0.35">
      <c r="K3256" s="4"/>
      <c r="AC3256" s="7">
        <v>2022</v>
      </c>
      <c r="AD3256" s="7">
        <v>5</v>
      </c>
      <c r="AE3256" s="7">
        <v>16</v>
      </c>
      <c r="AF3256" s="8">
        <v>0.58333333333333337</v>
      </c>
      <c r="AG3256" s="9">
        <v>20.2</v>
      </c>
      <c r="AH3256" s="10">
        <f t="shared" si="65"/>
        <v>20</v>
      </c>
    </row>
    <row r="3257" spans="11:34" ht="14.5" x14ac:dyDescent="0.35">
      <c r="K3257" s="4"/>
      <c r="AC3257" s="7">
        <v>2022</v>
      </c>
      <c r="AD3257" s="7">
        <v>5</v>
      </c>
      <c r="AE3257" s="7">
        <v>16</v>
      </c>
      <c r="AF3257" s="8">
        <v>0.625</v>
      </c>
      <c r="AG3257" s="9">
        <v>19.7</v>
      </c>
      <c r="AH3257" s="10">
        <f t="shared" si="65"/>
        <v>20</v>
      </c>
    </row>
    <row r="3258" spans="11:34" ht="14.5" x14ac:dyDescent="0.35">
      <c r="K3258" s="4"/>
      <c r="AC3258" s="7">
        <v>2022</v>
      </c>
      <c r="AD3258" s="7">
        <v>5</v>
      </c>
      <c r="AE3258" s="7">
        <v>16</v>
      </c>
      <c r="AF3258" s="8">
        <v>0.66666666666666663</v>
      </c>
      <c r="AG3258" s="9">
        <v>19.7</v>
      </c>
      <c r="AH3258" s="10">
        <f t="shared" si="65"/>
        <v>20</v>
      </c>
    </row>
    <row r="3259" spans="11:34" ht="14.5" x14ac:dyDescent="0.35">
      <c r="K3259" s="4"/>
      <c r="AC3259" s="7">
        <v>2022</v>
      </c>
      <c r="AD3259" s="7">
        <v>5</v>
      </c>
      <c r="AE3259" s="7">
        <v>16</v>
      </c>
      <c r="AF3259" s="8">
        <v>0.70833333333333337</v>
      </c>
      <c r="AG3259" s="9">
        <v>20.5</v>
      </c>
      <c r="AH3259" s="10">
        <f t="shared" si="65"/>
        <v>21</v>
      </c>
    </row>
    <row r="3260" spans="11:34" ht="14.5" x14ac:dyDescent="0.35">
      <c r="K3260" s="4"/>
      <c r="AC3260" s="7">
        <v>2022</v>
      </c>
      <c r="AD3260" s="7">
        <v>5</v>
      </c>
      <c r="AE3260" s="7">
        <v>16</v>
      </c>
      <c r="AF3260" s="8">
        <v>0.75</v>
      </c>
      <c r="AG3260" s="9">
        <v>19.399999999999999</v>
      </c>
      <c r="AH3260" s="10">
        <f t="shared" si="65"/>
        <v>19</v>
      </c>
    </row>
    <row r="3261" spans="11:34" ht="14.5" x14ac:dyDescent="0.35">
      <c r="K3261" s="4"/>
      <c r="AC3261" s="7">
        <v>2022</v>
      </c>
      <c r="AD3261" s="7">
        <v>5</v>
      </c>
      <c r="AE3261" s="7">
        <v>16</v>
      </c>
      <c r="AF3261" s="8">
        <v>0.79166666666666663</v>
      </c>
      <c r="AG3261" s="9">
        <v>18</v>
      </c>
      <c r="AH3261" s="10">
        <f t="shared" si="65"/>
        <v>18</v>
      </c>
    </row>
    <row r="3262" spans="11:34" ht="14.5" x14ac:dyDescent="0.35">
      <c r="K3262" s="4"/>
      <c r="AC3262" s="7">
        <v>2022</v>
      </c>
      <c r="AD3262" s="7">
        <v>5</v>
      </c>
      <c r="AE3262" s="7">
        <v>16</v>
      </c>
      <c r="AF3262" s="8">
        <v>0.83333333333333337</v>
      </c>
      <c r="AG3262" s="9">
        <v>16.2</v>
      </c>
      <c r="AH3262" s="10">
        <f t="shared" si="65"/>
        <v>16</v>
      </c>
    </row>
    <row r="3263" spans="11:34" ht="14.5" x14ac:dyDescent="0.35">
      <c r="K3263" s="4"/>
      <c r="AC3263" s="7">
        <v>2022</v>
      </c>
      <c r="AD3263" s="7">
        <v>5</v>
      </c>
      <c r="AE3263" s="7">
        <v>16</v>
      </c>
      <c r="AF3263" s="8">
        <v>0.875</v>
      </c>
      <c r="AG3263" s="9">
        <v>14.2</v>
      </c>
      <c r="AH3263" s="10">
        <f t="shared" si="65"/>
        <v>14</v>
      </c>
    </row>
    <row r="3264" spans="11:34" ht="14.5" x14ac:dyDescent="0.35">
      <c r="K3264" s="4"/>
      <c r="AC3264" s="7">
        <v>2022</v>
      </c>
      <c r="AD3264" s="7">
        <v>5</v>
      </c>
      <c r="AE3264" s="7">
        <v>16</v>
      </c>
      <c r="AF3264" s="8">
        <v>0.91666666666666663</v>
      </c>
      <c r="AG3264" s="9">
        <v>12.5</v>
      </c>
      <c r="AH3264" s="10">
        <f t="shared" si="65"/>
        <v>13</v>
      </c>
    </row>
    <row r="3265" spans="11:34" ht="14.5" x14ac:dyDescent="0.35">
      <c r="K3265" s="4"/>
      <c r="AC3265" s="7">
        <v>2022</v>
      </c>
      <c r="AD3265" s="7">
        <v>5</v>
      </c>
      <c r="AE3265" s="7">
        <v>16</v>
      </c>
      <c r="AF3265" s="8">
        <v>0.95833333333333337</v>
      </c>
      <c r="AG3265" s="9">
        <v>12</v>
      </c>
      <c r="AH3265" s="10">
        <f t="shared" si="65"/>
        <v>12</v>
      </c>
    </row>
    <row r="3266" spans="11:34" ht="14.5" x14ac:dyDescent="0.35">
      <c r="K3266" s="4"/>
      <c r="AC3266" s="7">
        <v>2022</v>
      </c>
      <c r="AD3266" s="7">
        <v>5</v>
      </c>
      <c r="AE3266" s="7">
        <v>17</v>
      </c>
      <c r="AF3266" s="8">
        <v>0</v>
      </c>
      <c r="AG3266" s="9">
        <v>10.7</v>
      </c>
      <c r="AH3266" s="10">
        <f t="shared" si="65"/>
        <v>11</v>
      </c>
    </row>
    <row r="3267" spans="11:34" ht="14.5" x14ac:dyDescent="0.35">
      <c r="K3267" s="4"/>
      <c r="AC3267" s="7">
        <v>2022</v>
      </c>
      <c r="AD3267" s="7">
        <v>5</v>
      </c>
      <c r="AE3267" s="7">
        <v>17</v>
      </c>
      <c r="AF3267" s="8">
        <v>4.1666666666666664E-2</v>
      </c>
      <c r="AG3267" s="9">
        <v>11</v>
      </c>
      <c r="AH3267" s="10">
        <f t="shared" si="65"/>
        <v>11</v>
      </c>
    </row>
    <row r="3268" spans="11:34" ht="14.5" x14ac:dyDescent="0.35">
      <c r="K3268" s="4"/>
      <c r="AC3268" s="7">
        <v>2022</v>
      </c>
      <c r="AD3268" s="7">
        <v>5</v>
      </c>
      <c r="AE3268" s="7">
        <v>17</v>
      </c>
      <c r="AF3268" s="8">
        <v>8.3333333333333329E-2</v>
      </c>
      <c r="AG3268" s="9">
        <v>11.6</v>
      </c>
      <c r="AH3268" s="10">
        <f t="shared" si="65"/>
        <v>12</v>
      </c>
    </row>
    <row r="3269" spans="11:34" ht="14.5" x14ac:dyDescent="0.35">
      <c r="K3269" s="4"/>
      <c r="AC3269" s="7">
        <v>2022</v>
      </c>
      <c r="AD3269" s="7">
        <v>5</v>
      </c>
      <c r="AE3269" s="7">
        <v>17</v>
      </c>
      <c r="AF3269" s="8">
        <v>0.125</v>
      </c>
      <c r="AG3269" s="9">
        <v>10.1</v>
      </c>
      <c r="AH3269" s="10">
        <f t="shared" si="65"/>
        <v>10</v>
      </c>
    </row>
    <row r="3270" spans="11:34" ht="14.5" x14ac:dyDescent="0.35">
      <c r="K3270" s="4"/>
      <c r="AC3270" s="7">
        <v>2022</v>
      </c>
      <c r="AD3270" s="7">
        <v>5</v>
      </c>
      <c r="AE3270" s="7">
        <v>17</v>
      </c>
      <c r="AF3270" s="8">
        <v>0.16666666666666666</v>
      </c>
      <c r="AG3270" s="9">
        <v>8.1999999999999993</v>
      </c>
      <c r="AH3270" s="10">
        <f t="shared" si="65"/>
        <v>8</v>
      </c>
    </row>
    <row r="3271" spans="11:34" ht="14.5" x14ac:dyDescent="0.35">
      <c r="K3271" s="4"/>
      <c r="AC3271" s="7">
        <v>2022</v>
      </c>
      <c r="AD3271" s="7">
        <v>5</v>
      </c>
      <c r="AE3271" s="7">
        <v>17</v>
      </c>
      <c r="AF3271" s="8">
        <v>0.20833333333333334</v>
      </c>
      <c r="AG3271" s="9">
        <v>7</v>
      </c>
      <c r="AH3271" s="10">
        <f t="shared" si="65"/>
        <v>7</v>
      </c>
    </row>
    <row r="3272" spans="11:34" ht="14.5" x14ac:dyDescent="0.35">
      <c r="K3272" s="4"/>
      <c r="AC3272" s="7">
        <v>2022</v>
      </c>
      <c r="AD3272" s="7">
        <v>5</v>
      </c>
      <c r="AE3272" s="7">
        <v>17</v>
      </c>
      <c r="AF3272" s="8">
        <v>0.25</v>
      </c>
      <c r="AG3272" s="9">
        <v>7.4</v>
      </c>
      <c r="AH3272" s="10">
        <f t="shared" si="65"/>
        <v>7</v>
      </c>
    </row>
    <row r="3273" spans="11:34" ht="14.5" x14ac:dyDescent="0.35">
      <c r="K3273" s="4"/>
      <c r="AC3273" s="7">
        <v>2022</v>
      </c>
      <c r="AD3273" s="7">
        <v>5</v>
      </c>
      <c r="AE3273" s="7">
        <v>17</v>
      </c>
      <c r="AF3273" s="8">
        <v>0.29166666666666669</v>
      </c>
      <c r="AG3273" s="9">
        <v>8.9</v>
      </c>
      <c r="AH3273" s="10">
        <f t="shared" si="65"/>
        <v>9</v>
      </c>
    </row>
    <row r="3274" spans="11:34" ht="14.5" x14ac:dyDescent="0.35">
      <c r="K3274" s="4"/>
      <c r="AC3274" s="7">
        <v>2022</v>
      </c>
      <c r="AD3274" s="7">
        <v>5</v>
      </c>
      <c r="AE3274" s="7">
        <v>17</v>
      </c>
      <c r="AF3274" s="8">
        <v>0.33333333333333331</v>
      </c>
      <c r="AG3274" s="9">
        <v>9.6999999999999993</v>
      </c>
      <c r="AH3274" s="10">
        <f t="shared" si="65"/>
        <v>10</v>
      </c>
    </row>
    <row r="3275" spans="11:34" ht="14.5" x14ac:dyDescent="0.35">
      <c r="K3275" s="4"/>
      <c r="AC3275" s="7">
        <v>2022</v>
      </c>
      <c r="AD3275" s="7">
        <v>5</v>
      </c>
      <c r="AE3275" s="7">
        <v>17</v>
      </c>
      <c r="AF3275" s="8">
        <v>0.375</v>
      </c>
      <c r="AG3275" s="9">
        <v>10.5</v>
      </c>
      <c r="AH3275" s="10">
        <f t="shared" ref="AH3275:AH3338" si="66">ROUND(AG3275,0)</f>
        <v>11</v>
      </c>
    </row>
    <row r="3276" spans="11:34" ht="14.5" x14ac:dyDescent="0.35">
      <c r="K3276" s="4"/>
      <c r="AC3276" s="7">
        <v>2022</v>
      </c>
      <c r="AD3276" s="7">
        <v>5</v>
      </c>
      <c r="AE3276" s="7">
        <v>17</v>
      </c>
      <c r="AF3276" s="8">
        <v>0.41666666666666669</v>
      </c>
      <c r="AG3276" s="9">
        <v>11.2</v>
      </c>
      <c r="AH3276" s="10">
        <f t="shared" si="66"/>
        <v>11</v>
      </c>
    </row>
    <row r="3277" spans="11:34" ht="14.5" x14ac:dyDescent="0.35">
      <c r="K3277" s="4"/>
      <c r="AC3277" s="7">
        <v>2022</v>
      </c>
      <c r="AD3277" s="7">
        <v>5</v>
      </c>
      <c r="AE3277" s="7">
        <v>17</v>
      </c>
      <c r="AF3277" s="8">
        <v>0.45833333333333331</v>
      </c>
      <c r="AG3277" s="9">
        <v>10.8</v>
      </c>
      <c r="AH3277" s="10">
        <f t="shared" si="66"/>
        <v>11</v>
      </c>
    </row>
    <row r="3278" spans="11:34" ht="14.5" x14ac:dyDescent="0.35">
      <c r="K3278" s="4"/>
      <c r="AC3278" s="7">
        <v>2022</v>
      </c>
      <c r="AD3278" s="7">
        <v>5</v>
      </c>
      <c r="AE3278" s="7">
        <v>17</v>
      </c>
      <c r="AF3278" s="8">
        <v>0.5</v>
      </c>
      <c r="AG3278" s="9">
        <v>11.1</v>
      </c>
      <c r="AH3278" s="10">
        <f t="shared" si="66"/>
        <v>11</v>
      </c>
    </row>
    <row r="3279" spans="11:34" ht="14.5" x14ac:dyDescent="0.35">
      <c r="K3279" s="4"/>
      <c r="AC3279" s="7">
        <v>2022</v>
      </c>
      <c r="AD3279" s="7">
        <v>5</v>
      </c>
      <c r="AE3279" s="7">
        <v>17</v>
      </c>
      <c r="AF3279" s="8">
        <v>0.54166666666666663</v>
      </c>
      <c r="AG3279" s="9">
        <v>11.8</v>
      </c>
      <c r="AH3279" s="10">
        <f t="shared" si="66"/>
        <v>12</v>
      </c>
    </row>
    <row r="3280" spans="11:34" ht="14.5" x14ac:dyDescent="0.35">
      <c r="K3280" s="4"/>
      <c r="AC3280" s="7">
        <v>2022</v>
      </c>
      <c r="AD3280" s="7">
        <v>5</v>
      </c>
      <c r="AE3280" s="7">
        <v>17</v>
      </c>
      <c r="AF3280" s="8">
        <v>0.58333333333333337</v>
      </c>
      <c r="AG3280" s="9">
        <v>7.8</v>
      </c>
      <c r="AH3280" s="10">
        <f t="shared" si="66"/>
        <v>8</v>
      </c>
    </row>
    <row r="3281" spans="11:34" ht="14.5" x14ac:dyDescent="0.35">
      <c r="K3281" s="4"/>
      <c r="AC3281" s="7">
        <v>2022</v>
      </c>
      <c r="AD3281" s="7">
        <v>5</v>
      </c>
      <c r="AE3281" s="7">
        <v>17</v>
      </c>
      <c r="AF3281" s="8">
        <v>0.625</v>
      </c>
      <c r="AG3281" s="9">
        <v>8.1999999999999993</v>
      </c>
      <c r="AH3281" s="10">
        <f t="shared" si="66"/>
        <v>8</v>
      </c>
    </row>
    <row r="3282" spans="11:34" ht="14.5" x14ac:dyDescent="0.35">
      <c r="K3282" s="4"/>
      <c r="AC3282" s="7">
        <v>2022</v>
      </c>
      <c r="AD3282" s="7">
        <v>5</v>
      </c>
      <c r="AE3282" s="7">
        <v>17</v>
      </c>
      <c r="AF3282" s="8">
        <v>0.66666666666666663</v>
      </c>
      <c r="AG3282" s="9">
        <v>8</v>
      </c>
      <c r="AH3282" s="10">
        <f t="shared" si="66"/>
        <v>8</v>
      </c>
    </row>
    <row r="3283" spans="11:34" ht="14.5" x14ac:dyDescent="0.35">
      <c r="K3283" s="4"/>
      <c r="AC3283" s="7">
        <v>2022</v>
      </c>
      <c r="AD3283" s="7">
        <v>5</v>
      </c>
      <c r="AE3283" s="7">
        <v>17</v>
      </c>
      <c r="AF3283" s="8">
        <v>0.70833333333333337</v>
      </c>
      <c r="AG3283" s="9">
        <v>9</v>
      </c>
      <c r="AH3283" s="10">
        <f t="shared" si="66"/>
        <v>9</v>
      </c>
    </row>
    <row r="3284" spans="11:34" ht="14.5" x14ac:dyDescent="0.35">
      <c r="K3284" s="4"/>
      <c r="AC3284" s="7">
        <v>2022</v>
      </c>
      <c r="AD3284" s="7">
        <v>5</v>
      </c>
      <c r="AE3284" s="7">
        <v>17</v>
      </c>
      <c r="AF3284" s="8">
        <v>0.75</v>
      </c>
      <c r="AG3284" s="9">
        <v>8.6</v>
      </c>
      <c r="AH3284" s="10">
        <f t="shared" si="66"/>
        <v>9</v>
      </c>
    </row>
    <row r="3285" spans="11:34" ht="14.5" x14ac:dyDescent="0.35">
      <c r="K3285" s="4"/>
      <c r="AC3285" s="7">
        <v>2022</v>
      </c>
      <c r="AD3285" s="7">
        <v>5</v>
      </c>
      <c r="AE3285" s="7">
        <v>17</v>
      </c>
      <c r="AF3285" s="8">
        <v>0.79166666666666663</v>
      </c>
      <c r="AG3285" s="9">
        <v>8.8000000000000007</v>
      </c>
      <c r="AH3285" s="10">
        <f t="shared" si="66"/>
        <v>9</v>
      </c>
    </row>
    <row r="3286" spans="11:34" ht="14.5" x14ac:dyDescent="0.35">
      <c r="K3286" s="4"/>
      <c r="AC3286" s="7">
        <v>2022</v>
      </c>
      <c r="AD3286" s="7">
        <v>5</v>
      </c>
      <c r="AE3286" s="7">
        <v>17</v>
      </c>
      <c r="AF3286" s="8">
        <v>0.83333333333333337</v>
      </c>
      <c r="AG3286" s="9">
        <v>7.3</v>
      </c>
      <c r="AH3286" s="10">
        <f t="shared" si="66"/>
        <v>7</v>
      </c>
    </row>
    <row r="3287" spans="11:34" ht="14.5" x14ac:dyDescent="0.35">
      <c r="K3287" s="4"/>
      <c r="AC3287" s="7">
        <v>2022</v>
      </c>
      <c r="AD3287" s="7">
        <v>5</v>
      </c>
      <c r="AE3287" s="7">
        <v>17</v>
      </c>
      <c r="AF3287" s="8">
        <v>0.875</v>
      </c>
      <c r="AG3287" s="9">
        <v>5.2</v>
      </c>
      <c r="AH3287" s="10">
        <f t="shared" si="66"/>
        <v>5</v>
      </c>
    </row>
    <row r="3288" spans="11:34" ht="14.5" x14ac:dyDescent="0.35">
      <c r="K3288" s="4"/>
      <c r="AC3288" s="7">
        <v>2022</v>
      </c>
      <c r="AD3288" s="7">
        <v>5</v>
      </c>
      <c r="AE3288" s="7">
        <v>17</v>
      </c>
      <c r="AF3288" s="8">
        <v>0.91666666666666663</v>
      </c>
      <c r="AG3288" s="9">
        <v>5.4</v>
      </c>
      <c r="AH3288" s="10">
        <f t="shared" si="66"/>
        <v>5</v>
      </c>
    </row>
    <row r="3289" spans="11:34" ht="14.5" x14ac:dyDescent="0.35">
      <c r="K3289" s="4"/>
      <c r="AC3289" s="7">
        <v>2022</v>
      </c>
      <c r="AD3289" s="7">
        <v>5</v>
      </c>
      <c r="AE3289" s="7">
        <v>17</v>
      </c>
      <c r="AF3289" s="8">
        <v>0.95833333333333337</v>
      </c>
      <c r="AG3289" s="9">
        <v>4.7</v>
      </c>
      <c r="AH3289" s="10">
        <f t="shared" si="66"/>
        <v>5</v>
      </c>
    </row>
    <row r="3290" spans="11:34" ht="14.5" x14ac:dyDescent="0.35">
      <c r="K3290" s="4"/>
      <c r="AC3290" s="7">
        <v>2022</v>
      </c>
      <c r="AD3290" s="7">
        <v>5</v>
      </c>
      <c r="AE3290" s="7">
        <v>18</v>
      </c>
      <c r="AF3290" s="8">
        <v>0</v>
      </c>
      <c r="AG3290" s="9">
        <v>3.4</v>
      </c>
      <c r="AH3290" s="10">
        <f t="shared" si="66"/>
        <v>3</v>
      </c>
    </row>
    <row r="3291" spans="11:34" ht="14.5" x14ac:dyDescent="0.35">
      <c r="K3291" s="4"/>
      <c r="AC3291" s="7">
        <v>2022</v>
      </c>
      <c r="AD3291" s="7">
        <v>5</v>
      </c>
      <c r="AE3291" s="7">
        <v>18</v>
      </c>
      <c r="AF3291" s="8">
        <v>4.1666666666666664E-2</v>
      </c>
      <c r="AG3291" s="9">
        <v>2.5</v>
      </c>
      <c r="AH3291" s="10">
        <f t="shared" si="66"/>
        <v>3</v>
      </c>
    </row>
    <row r="3292" spans="11:34" ht="14.5" x14ac:dyDescent="0.35">
      <c r="K3292" s="4"/>
      <c r="AC3292" s="7">
        <v>2022</v>
      </c>
      <c r="AD3292" s="7">
        <v>5</v>
      </c>
      <c r="AE3292" s="7">
        <v>18</v>
      </c>
      <c r="AF3292" s="8">
        <v>8.3333333333333329E-2</v>
      </c>
      <c r="AG3292" s="9">
        <v>2.6</v>
      </c>
      <c r="AH3292" s="10">
        <f t="shared" si="66"/>
        <v>3</v>
      </c>
    </row>
    <row r="3293" spans="11:34" ht="14.5" x14ac:dyDescent="0.35">
      <c r="K3293" s="4"/>
      <c r="AC3293" s="7">
        <v>2022</v>
      </c>
      <c r="AD3293" s="7">
        <v>5</v>
      </c>
      <c r="AE3293" s="7">
        <v>18</v>
      </c>
      <c r="AF3293" s="8">
        <v>0.125</v>
      </c>
      <c r="AG3293" s="9">
        <v>1.9</v>
      </c>
      <c r="AH3293" s="10">
        <f t="shared" si="66"/>
        <v>2</v>
      </c>
    </row>
    <row r="3294" spans="11:34" ht="14.5" x14ac:dyDescent="0.35">
      <c r="K3294" s="4"/>
      <c r="AC3294" s="7">
        <v>2022</v>
      </c>
      <c r="AD3294" s="7">
        <v>5</v>
      </c>
      <c r="AE3294" s="7">
        <v>18</v>
      </c>
      <c r="AF3294" s="8">
        <v>0.16666666666666666</v>
      </c>
      <c r="AG3294" s="9">
        <v>1.8</v>
      </c>
      <c r="AH3294" s="10">
        <f t="shared" si="66"/>
        <v>2</v>
      </c>
    </row>
    <row r="3295" spans="11:34" ht="14.5" x14ac:dyDescent="0.35">
      <c r="K3295" s="4"/>
      <c r="AC3295" s="7">
        <v>2022</v>
      </c>
      <c r="AD3295" s="7">
        <v>5</v>
      </c>
      <c r="AE3295" s="7">
        <v>18</v>
      </c>
      <c r="AF3295" s="8">
        <v>0.20833333333333334</v>
      </c>
      <c r="AG3295" s="9">
        <v>1.5</v>
      </c>
      <c r="AH3295" s="10">
        <f t="shared" si="66"/>
        <v>2</v>
      </c>
    </row>
    <row r="3296" spans="11:34" ht="14.5" x14ac:dyDescent="0.35">
      <c r="K3296" s="4"/>
      <c r="AC3296" s="7">
        <v>2022</v>
      </c>
      <c r="AD3296" s="7">
        <v>5</v>
      </c>
      <c r="AE3296" s="7">
        <v>18</v>
      </c>
      <c r="AF3296" s="8">
        <v>0.25</v>
      </c>
      <c r="AG3296" s="9">
        <v>2.1</v>
      </c>
      <c r="AH3296" s="10">
        <f t="shared" si="66"/>
        <v>2</v>
      </c>
    </row>
    <row r="3297" spans="11:34" ht="14.5" x14ac:dyDescent="0.35">
      <c r="K3297" s="4"/>
      <c r="AC3297" s="7">
        <v>2022</v>
      </c>
      <c r="AD3297" s="7">
        <v>5</v>
      </c>
      <c r="AE3297" s="7">
        <v>18</v>
      </c>
      <c r="AF3297" s="8">
        <v>0.29166666666666669</v>
      </c>
      <c r="AG3297" s="9">
        <v>5.3</v>
      </c>
      <c r="AH3297" s="10">
        <f t="shared" si="66"/>
        <v>5</v>
      </c>
    </row>
    <row r="3298" spans="11:34" ht="14.5" x14ac:dyDescent="0.35">
      <c r="K3298" s="4"/>
      <c r="AC3298" s="7">
        <v>2022</v>
      </c>
      <c r="AD3298" s="7">
        <v>5</v>
      </c>
      <c r="AE3298" s="7">
        <v>18</v>
      </c>
      <c r="AF3298" s="8">
        <v>0.33333333333333331</v>
      </c>
      <c r="AG3298" s="9">
        <v>6.2</v>
      </c>
      <c r="AH3298" s="10">
        <f t="shared" si="66"/>
        <v>6</v>
      </c>
    </row>
    <row r="3299" spans="11:34" ht="14.5" x14ac:dyDescent="0.35">
      <c r="K3299" s="4"/>
      <c r="AC3299" s="7">
        <v>2022</v>
      </c>
      <c r="AD3299" s="7">
        <v>5</v>
      </c>
      <c r="AE3299" s="7">
        <v>18</v>
      </c>
      <c r="AF3299" s="8">
        <v>0.375</v>
      </c>
      <c r="AG3299" s="9">
        <v>8.1</v>
      </c>
      <c r="AH3299" s="10">
        <f t="shared" si="66"/>
        <v>8</v>
      </c>
    </row>
    <row r="3300" spans="11:34" ht="14.5" x14ac:dyDescent="0.35">
      <c r="K3300" s="4"/>
      <c r="AC3300" s="7">
        <v>2022</v>
      </c>
      <c r="AD3300" s="7">
        <v>5</v>
      </c>
      <c r="AE3300" s="7">
        <v>18</v>
      </c>
      <c r="AF3300" s="8">
        <v>0.41666666666666669</v>
      </c>
      <c r="AG3300" s="9">
        <v>10.4</v>
      </c>
      <c r="AH3300" s="10">
        <f t="shared" si="66"/>
        <v>10</v>
      </c>
    </row>
    <row r="3301" spans="11:34" ht="14.5" x14ac:dyDescent="0.35">
      <c r="K3301" s="4"/>
      <c r="AC3301" s="7">
        <v>2022</v>
      </c>
      <c r="AD3301" s="7">
        <v>5</v>
      </c>
      <c r="AE3301" s="7">
        <v>18</v>
      </c>
      <c r="AF3301" s="8">
        <v>0.45833333333333331</v>
      </c>
      <c r="AG3301" s="9">
        <v>13.1</v>
      </c>
      <c r="AH3301" s="10">
        <f t="shared" si="66"/>
        <v>13</v>
      </c>
    </row>
    <row r="3302" spans="11:34" ht="14.5" x14ac:dyDescent="0.35">
      <c r="K3302" s="4"/>
      <c r="AC3302" s="7">
        <v>2022</v>
      </c>
      <c r="AD3302" s="7">
        <v>5</v>
      </c>
      <c r="AE3302" s="7">
        <v>18</v>
      </c>
      <c r="AF3302" s="8">
        <v>0.5</v>
      </c>
      <c r="AG3302" s="9">
        <v>13.9</v>
      </c>
      <c r="AH3302" s="10">
        <f t="shared" si="66"/>
        <v>14</v>
      </c>
    </row>
    <row r="3303" spans="11:34" ht="14.5" x14ac:dyDescent="0.35">
      <c r="K3303" s="4"/>
      <c r="AC3303" s="7">
        <v>2022</v>
      </c>
      <c r="AD3303" s="7">
        <v>5</v>
      </c>
      <c r="AE3303" s="7">
        <v>18</v>
      </c>
      <c r="AF3303" s="8">
        <v>0.54166666666666663</v>
      </c>
      <c r="AG3303" s="9">
        <v>15.7</v>
      </c>
      <c r="AH3303" s="10">
        <f t="shared" si="66"/>
        <v>16</v>
      </c>
    </row>
    <row r="3304" spans="11:34" ht="14.5" x14ac:dyDescent="0.35">
      <c r="K3304" s="4"/>
      <c r="AC3304" s="7">
        <v>2022</v>
      </c>
      <c r="AD3304" s="7">
        <v>5</v>
      </c>
      <c r="AE3304" s="7">
        <v>18</v>
      </c>
      <c r="AF3304" s="8">
        <v>0.58333333333333337</v>
      </c>
      <c r="AG3304" s="9">
        <v>16.3</v>
      </c>
      <c r="AH3304" s="10">
        <f t="shared" si="66"/>
        <v>16</v>
      </c>
    </row>
    <row r="3305" spans="11:34" ht="14.5" x14ac:dyDescent="0.35">
      <c r="K3305" s="4"/>
      <c r="AC3305" s="7">
        <v>2022</v>
      </c>
      <c r="AD3305" s="7">
        <v>5</v>
      </c>
      <c r="AE3305" s="7">
        <v>18</v>
      </c>
      <c r="AF3305" s="8">
        <v>0.625</v>
      </c>
      <c r="AG3305" s="9">
        <v>12.4</v>
      </c>
      <c r="AH3305" s="10">
        <f t="shared" si="66"/>
        <v>12</v>
      </c>
    </row>
    <row r="3306" spans="11:34" ht="14.5" x14ac:dyDescent="0.35">
      <c r="K3306" s="4"/>
      <c r="AC3306" s="7">
        <v>2022</v>
      </c>
      <c r="AD3306" s="7">
        <v>5</v>
      </c>
      <c r="AE3306" s="7">
        <v>18</v>
      </c>
      <c r="AF3306" s="8">
        <v>0.66666666666666663</v>
      </c>
      <c r="AG3306" s="9">
        <v>11</v>
      </c>
      <c r="AH3306" s="10">
        <f t="shared" si="66"/>
        <v>11</v>
      </c>
    </row>
    <row r="3307" spans="11:34" ht="14.5" x14ac:dyDescent="0.35">
      <c r="K3307" s="4"/>
      <c r="AC3307" s="7">
        <v>2022</v>
      </c>
      <c r="AD3307" s="7">
        <v>5</v>
      </c>
      <c r="AE3307" s="7">
        <v>18</v>
      </c>
      <c r="AF3307" s="8">
        <v>0.70833333333333337</v>
      </c>
      <c r="AG3307" s="9">
        <v>11.4</v>
      </c>
      <c r="AH3307" s="10">
        <f t="shared" si="66"/>
        <v>11</v>
      </c>
    </row>
    <row r="3308" spans="11:34" ht="14.5" x14ac:dyDescent="0.35">
      <c r="K3308" s="4"/>
      <c r="AC3308" s="7">
        <v>2022</v>
      </c>
      <c r="AD3308" s="7">
        <v>5</v>
      </c>
      <c r="AE3308" s="7">
        <v>18</v>
      </c>
      <c r="AF3308" s="8">
        <v>0.75</v>
      </c>
      <c r="AG3308" s="9">
        <v>11.7</v>
      </c>
      <c r="AH3308" s="10">
        <f t="shared" si="66"/>
        <v>12</v>
      </c>
    </row>
    <row r="3309" spans="11:34" ht="14.5" x14ac:dyDescent="0.35">
      <c r="K3309" s="4"/>
      <c r="AC3309" s="7">
        <v>2022</v>
      </c>
      <c r="AD3309" s="7">
        <v>5</v>
      </c>
      <c r="AE3309" s="7">
        <v>18</v>
      </c>
      <c r="AF3309" s="8">
        <v>0.79166666666666663</v>
      </c>
      <c r="AG3309" s="9">
        <v>10.9</v>
      </c>
      <c r="AH3309" s="10">
        <f t="shared" si="66"/>
        <v>11</v>
      </c>
    </row>
    <row r="3310" spans="11:34" ht="14.5" x14ac:dyDescent="0.35">
      <c r="K3310" s="4"/>
      <c r="AC3310" s="7">
        <v>2022</v>
      </c>
      <c r="AD3310" s="7">
        <v>5</v>
      </c>
      <c r="AE3310" s="7">
        <v>18</v>
      </c>
      <c r="AF3310" s="8">
        <v>0.83333333333333337</v>
      </c>
      <c r="AG3310" s="9">
        <v>9.6</v>
      </c>
      <c r="AH3310" s="10">
        <f t="shared" si="66"/>
        <v>10</v>
      </c>
    </row>
    <row r="3311" spans="11:34" ht="14.5" x14ac:dyDescent="0.35">
      <c r="K3311" s="4"/>
      <c r="AC3311" s="7">
        <v>2022</v>
      </c>
      <c r="AD3311" s="7">
        <v>5</v>
      </c>
      <c r="AE3311" s="7">
        <v>18</v>
      </c>
      <c r="AF3311" s="8">
        <v>0.875</v>
      </c>
      <c r="AG3311" s="9">
        <v>8.3000000000000007</v>
      </c>
      <c r="AH3311" s="10">
        <f t="shared" si="66"/>
        <v>8</v>
      </c>
    </row>
    <row r="3312" spans="11:34" ht="14.5" x14ac:dyDescent="0.35">
      <c r="K3312" s="4"/>
      <c r="AC3312" s="7">
        <v>2022</v>
      </c>
      <c r="AD3312" s="7">
        <v>5</v>
      </c>
      <c r="AE3312" s="7">
        <v>18</v>
      </c>
      <c r="AF3312" s="8">
        <v>0.91666666666666663</v>
      </c>
      <c r="AG3312" s="9">
        <v>5.7</v>
      </c>
      <c r="AH3312" s="10">
        <f t="shared" si="66"/>
        <v>6</v>
      </c>
    </row>
    <row r="3313" spans="11:34" ht="14.5" x14ac:dyDescent="0.35">
      <c r="K3313" s="4"/>
      <c r="AC3313" s="7">
        <v>2022</v>
      </c>
      <c r="AD3313" s="7">
        <v>5</v>
      </c>
      <c r="AE3313" s="7">
        <v>18</v>
      </c>
      <c r="AF3313" s="8">
        <v>0.95833333333333337</v>
      </c>
      <c r="AG3313" s="9">
        <v>3.8</v>
      </c>
      <c r="AH3313" s="10">
        <f t="shared" si="66"/>
        <v>4</v>
      </c>
    </row>
    <row r="3314" spans="11:34" ht="14.5" x14ac:dyDescent="0.35">
      <c r="K3314" s="4"/>
      <c r="AC3314" s="7">
        <v>2022</v>
      </c>
      <c r="AD3314" s="7">
        <v>5</v>
      </c>
      <c r="AE3314" s="7">
        <v>19</v>
      </c>
      <c r="AF3314" s="8">
        <v>0</v>
      </c>
      <c r="AG3314" s="9">
        <v>5.4</v>
      </c>
      <c r="AH3314" s="10">
        <f t="shared" si="66"/>
        <v>5</v>
      </c>
    </row>
    <row r="3315" spans="11:34" ht="14.5" x14ac:dyDescent="0.35">
      <c r="K3315" s="4"/>
      <c r="AC3315" s="7">
        <v>2022</v>
      </c>
      <c r="AD3315" s="7">
        <v>5</v>
      </c>
      <c r="AE3315" s="7">
        <v>19</v>
      </c>
      <c r="AF3315" s="8">
        <v>4.1666666666666664E-2</v>
      </c>
      <c r="AG3315" s="9">
        <v>5.5</v>
      </c>
      <c r="AH3315" s="10">
        <f t="shared" si="66"/>
        <v>6</v>
      </c>
    </row>
    <row r="3316" spans="11:34" ht="14.5" x14ac:dyDescent="0.35">
      <c r="K3316" s="4"/>
      <c r="AC3316" s="7">
        <v>2022</v>
      </c>
      <c r="AD3316" s="7">
        <v>5</v>
      </c>
      <c r="AE3316" s="7">
        <v>19</v>
      </c>
      <c r="AF3316" s="8">
        <v>8.3333333333333329E-2</v>
      </c>
      <c r="AG3316" s="9">
        <v>4.5</v>
      </c>
      <c r="AH3316" s="10">
        <f t="shared" si="66"/>
        <v>5</v>
      </c>
    </row>
    <row r="3317" spans="11:34" ht="14.5" x14ac:dyDescent="0.35">
      <c r="K3317" s="4"/>
      <c r="AC3317" s="7">
        <v>2022</v>
      </c>
      <c r="AD3317" s="7">
        <v>5</v>
      </c>
      <c r="AE3317" s="7">
        <v>19</v>
      </c>
      <c r="AF3317" s="8">
        <v>0.125</v>
      </c>
      <c r="AG3317" s="9">
        <v>3.9</v>
      </c>
      <c r="AH3317" s="10">
        <f t="shared" si="66"/>
        <v>4</v>
      </c>
    </row>
    <row r="3318" spans="11:34" ht="14.5" x14ac:dyDescent="0.35">
      <c r="K3318" s="4"/>
      <c r="AC3318" s="7">
        <v>2022</v>
      </c>
      <c r="AD3318" s="7">
        <v>5</v>
      </c>
      <c r="AE3318" s="7">
        <v>19</v>
      </c>
      <c r="AF3318" s="8">
        <v>0.16666666666666666</v>
      </c>
      <c r="AG3318" s="9">
        <v>3.6</v>
      </c>
      <c r="AH3318" s="10">
        <f t="shared" si="66"/>
        <v>4</v>
      </c>
    </row>
    <row r="3319" spans="11:34" ht="14.5" x14ac:dyDescent="0.35">
      <c r="K3319" s="4"/>
      <c r="AC3319" s="7">
        <v>2022</v>
      </c>
      <c r="AD3319" s="7">
        <v>5</v>
      </c>
      <c r="AE3319" s="7">
        <v>19</v>
      </c>
      <c r="AF3319" s="8">
        <v>0.20833333333333334</v>
      </c>
      <c r="AG3319" s="9">
        <v>3.1</v>
      </c>
      <c r="AH3319" s="10">
        <f t="shared" si="66"/>
        <v>3</v>
      </c>
    </row>
    <row r="3320" spans="11:34" ht="14.5" x14ac:dyDescent="0.35">
      <c r="K3320" s="4"/>
      <c r="AC3320" s="7">
        <v>2022</v>
      </c>
      <c r="AD3320" s="7">
        <v>5</v>
      </c>
      <c r="AE3320" s="7">
        <v>19</v>
      </c>
      <c r="AF3320" s="8">
        <v>0.25</v>
      </c>
      <c r="AG3320" s="9">
        <v>3.8</v>
      </c>
      <c r="AH3320" s="10">
        <f t="shared" si="66"/>
        <v>4</v>
      </c>
    </row>
    <row r="3321" spans="11:34" ht="14.5" x14ac:dyDescent="0.35">
      <c r="K3321" s="4"/>
      <c r="AC3321" s="7">
        <v>2022</v>
      </c>
      <c r="AD3321" s="7">
        <v>5</v>
      </c>
      <c r="AE3321" s="7">
        <v>19</v>
      </c>
      <c r="AF3321" s="8">
        <v>0.29166666666666669</v>
      </c>
      <c r="AG3321" s="9">
        <v>5.4</v>
      </c>
      <c r="AH3321" s="10">
        <f t="shared" si="66"/>
        <v>5</v>
      </c>
    </row>
    <row r="3322" spans="11:34" ht="14.5" x14ac:dyDescent="0.35">
      <c r="K3322" s="4"/>
      <c r="AC3322" s="7">
        <v>2022</v>
      </c>
      <c r="AD3322" s="7">
        <v>5</v>
      </c>
      <c r="AE3322" s="7">
        <v>19</v>
      </c>
      <c r="AF3322" s="8">
        <v>0.33333333333333331</v>
      </c>
      <c r="AG3322" s="9">
        <v>6.3</v>
      </c>
      <c r="AH3322" s="10">
        <f t="shared" si="66"/>
        <v>6</v>
      </c>
    </row>
    <row r="3323" spans="11:34" ht="14.5" x14ac:dyDescent="0.35">
      <c r="K3323" s="4"/>
      <c r="AC3323" s="7">
        <v>2022</v>
      </c>
      <c r="AD3323" s="7">
        <v>5</v>
      </c>
      <c r="AE3323" s="7">
        <v>19</v>
      </c>
      <c r="AF3323" s="8">
        <v>0.375</v>
      </c>
      <c r="AG3323" s="9">
        <v>7.1</v>
      </c>
      <c r="AH3323" s="10">
        <f t="shared" si="66"/>
        <v>7</v>
      </c>
    </row>
    <row r="3324" spans="11:34" ht="14.5" x14ac:dyDescent="0.35">
      <c r="K3324" s="4"/>
      <c r="AC3324" s="7">
        <v>2022</v>
      </c>
      <c r="AD3324" s="7">
        <v>5</v>
      </c>
      <c r="AE3324" s="7">
        <v>19</v>
      </c>
      <c r="AF3324" s="8">
        <v>0.41666666666666669</v>
      </c>
      <c r="AG3324" s="9">
        <v>4.9000000000000004</v>
      </c>
      <c r="AH3324" s="10">
        <f t="shared" si="66"/>
        <v>5</v>
      </c>
    </row>
    <row r="3325" spans="11:34" ht="14.5" x14ac:dyDescent="0.35">
      <c r="K3325" s="4"/>
      <c r="AC3325" s="7">
        <v>2022</v>
      </c>
      <c r="AD3325" s="7">
        <v>5</v>
      </c>
      <c r="AE3325" s="7">
        <v>19</v>
      </c>
      <c r="AF3325" s="8">
        <v>0.45833333333333331</v>
      </c>
      <c r="AG3325" s="9">
        <v>4</v>
      </c>
      <c r="AH3325" s="10">
        <f t="shared" si="66"/>
        <v>4</v>
      </c>
    </row>
    <row r="3326" spans="11:34" ht="14.5" x14ac:dyDescent="0.35">
      <c r="K3326" s="4"/>
      <c r="AC3326" s="7">
        <v>2022</v>
      </c>
      <c r="AD3326" s="7">
        <v>5</v>
      </c>
      <c r="AE3326" s="7">
        <v>19</v>
      </c>
      <c r="AF3326" s="8">
        <v>0.5</v>
      </c>
      <c r="AG3326" s="9">
        <v>4.4000000000000004</v>
      </c>
      <c r="AH3326" s="10">
        <f t="shared" si="66"/>
        <v>4</v>
      </c>
    </row>
    <row r="3327" spans="11:34" ht="14.5" x14ac:dyDescent="0.35">
      <c r="K3327" s="4"/>
      <c r="AC3327" s="7">
        <v>2022</v>
      </c>
      <c r="AD3327" s="7">
        <v>5</v>
      </c>
      <c r="AE3327" s="7">
        <v>19</v>
      </c>
      <c r="AF3327" s="8">
        <v>0.54166666666666663</v>
      </c>
      <c r="AG3327" s="9">
        <v>5.4</v>
      </c>
      <c r="AH3327" s="10">
        <f t="shared" si="66"/>
        <v>5</v>
      </c>
    </row>
    <row r="3328" spans="11:34" ht="14.5" x14ac:dyDescent="0.35">
      <c r="K3328" s="4"/>
      <c r="AC3328" s="7">
        <v>2022</v>
      </c>
      <c r="AD3328" s="7">
        <v>5</v>
      </c>
      <c r="AE3328" s="7">
        <v>19</v>
      </c>
      <c r="AF3328" s="8">
        <v>0.58333333333333337</v>
      </c>
      <c r="AG3328" s="9">
        <v>5.7</v>
      </c>
      <c r="AH3328" s="10">
        <f t="shared" si="66"/>
        <v>6</v>
      </c>
    </row>
    <row r="3329" spans="11:34" ht="14.5" x14ac:dyDescent="0.35">
      <c r="K3329" s="4"/>
      <c r="AC3329" s="7">
        <v>2022</v>
      </c>
      <c r="AD3329" s="7">
        <v>5</v>
      </c>
      <c r="AE3329" s="7">
        <v>19</v>
      </c>
      <c r="AF3329" s="8">
        <v>0.625</v>
      </c>
      <c r="AG3329" s="9">
        <v>4.5999999999999996</v>
      </c>
      <c r="AH3329" s="10">
        <f t="shared" si="66"/>
        <v>5</v>
      </c>
    </row>
    <row r="3330" spans="11:34" ht="14.5" x14ac:dyDescent="0.35">
      <c r="K3330" s="4"/>
      <c r="AC3330" s="7">
        <v>2022</v>
      </c>
      <c r="AD3330" s="7">
        <v>5</v>
      </c>
      <c r="AE3330" s="7">
        <v>19</v>
      </c>
      <c r="AF3330" s="8">
        <v>0.66666666666666663</v>
      </c>
      <c r="AG3330" s="9">
        <v>3.1</v>
      </c>
      <c r="AH3330" s="10">
        <f t="shared" si="66"/>
        <v>3</v>
      </c>
    </row>
    <row r="3331" spans="11:34" ht="14.5" x14ac:dyDescent="0.35">
      <c r="K3331" s="4"/>
      <c r="AC3331" s="7">
        <v>2022</v>
      </c>
      <c r="AD3331" s="7">
        <v>5</v>
      </c>
      <c r="AE3331" s="7">
        <v>19</v>
      </c>
      <c r="AF3331" s="8">
        <v>0.70833333333333337</v>
      </c>
      <c r="AG3331" s="9">
        <v>4.2</v>
      </c>
      <c r="AH3331" s="10">
        <f t="shared" si="66"/>
        <v>4</v>
      </c>
    </row>
    <row r="3332" spans="11:34" ht="14.5" x14ac:dyDescent="0.35">
      <c r="K3332" s="4"/>
      <c r="AC3332" s="7">
        <v>2022</v>
      </c>
      <c r="AD3332" s="7">
        <v>5</v>
      </c>
      <c r="AE3332" s="7">
        <v>19</v>
      </c>
      <c r="AF3332" s="8">
        <v>0.75</v>
      </c>
      <c r="AG3332" s="9">
        <v>3.7</v>
      </c>
      <c r="AH3332" s="10">
        <f t="shared" si="66"/>
        <v>4</v>
      </c>
    </row>
    <row r="3333" spans="11:34" ht="14.5" x14ac:dyDescent="0.35">
      <c r="K3333" s="4"/>
      <c r="AC3333" s="7">
        <v>2022</v>
      </c>
      <c r="AD3333" s="7">
        <v>5</v>
      </c>
      <c r="AE3333" s="7">
        <v>19</v>
      </c>
      <c r="AF3333" s="8">
        <v>0.79166666666666663</v>
      </c>
      <c r="AG3333" s="9">
        <v>2.9</v>
      </c>
      <c r="AH3333" s="10">
        <f t="shared" si="66"/>
        <v>3</v>
      </c>
    </row>
    <row r="3334" spans="11:34" ht="14.5" x14ac:dyDescent="0.35">
      <c r="K3334" s="4"/>
      <c r="AC3334" s="7">
        <v>2022</v>
      </c>
      <c r="AD3334" s="7">
        <v>5</v>
      </c>
      <c r="AE3334" s="7">
        <v>19</v>
      </c>
      <c r="AF3334" s="8">
        <v>0.83333333333333337</v>
      </c>
      <c r="AG3334" s="9">
        <v>2.6</v>
      </c>
      <c r="AH3334" s="10">
        <f t="shared" si="66"/>
        <v>3</v>
      </c>
    </row>
    <row r="3335" spans="11:34" ht="14.5" x14ac:dyDescent="0.35">
      <c r="K3335" s="4"/>
      <c r="AC3335" s="7">
        <v>2022</v>
      </c>
      <c r="AD3335" s="7">
        <v>5</v>
      </c>
      <c r="AE3335" s="7">
        <v>19</v>
      </c>
      <c r="AF3335" s="8">
        <v>0.875</v>
      </c>
      <c r="AG3335" s="9">
        <v>2.9</v>
      </c>
      <c r="AH3335" s="10">
        <f t="shared" si="66"/>
        <v>3</v>
      </c>
    </row>
    <row r="3336" spans="11:34" ht="14.5" x14ac:dyDescent="0.35">
      <c r="K3336" s="4"/>
      <c r="AC3336" s="7">
        <v>2022</v>
      </c>
      <c r="AD3336" s="7">
        <v>5</v>
      </c>
      <c r="AE3336" s="7">
        <v>19</v>
      </c>
      <c r="AF3336" s="8">
        <v>0.91666666666666663</v>
      </c>
      <c r="AG3336" s="9">
        <v>2.1</v>
      </c>
      <c r="AH3336" s="10">
        <f t="shared" si="66"/>
        <v>2</v>
      </c>
    </row>
    <row r="3337" spans="11:34" ht="14.5" x14ac:dyDescent="0.35">
      <c r="K3337" s="4"/>
      <c r="AC3337" s="7">
        <v>2022</v>
      </c>
      <c r="AD3337" s="7">
        <v>5</v>
      </c>
      <c r="AE3337" s="7">
        <v>19</v>
      </c>
      <c r="AF3337" s="8">
        <v>0.95833333333333337</v>
      </c>
      <c r="AG3337" s="9">
        <v>1.8</v>
      </c>
      <c r="AH3337" s="10">
        <f t="shared" si="66"/>
        <v>2</v>
      </c>
    </row>
    <row r="3338" spans="11:34" ht="14.5" x14ac:dyDescent="0.35">
      <c r="K3338" s="4"/>
      <c r="AC3338" s="7">
        <v>2022</v>
      </c>
      <c r="AD3338" s="7">
        <v>5</v>
      </c>
      <c r="AE3338" s="7">
        <v>20</v>
      </c>
      <c r="AF3338" s="8">
        <v>0</v>
      </c>
      <c r="AG3338" s="9">
        <v>2.6</v>
      </c>
      <c r="AH3338" s="10">
        <f t="shared" si="66"/>
        <v>3</v>
      </c>
    </row>
    <row r="3339" spans="11:34" ht="14.5" x14ac:dyDescent="0.35">
      <c r="K3339" s="4"/>
      <c r="AC3339" s="7">
        <v>2022</v>
      </c>
      <c r="AD3339" s="7">
        <v>5</v>
      </c>
      <c r="AE3339" s="7">
        <v>20</v>
      </c>
      <c r="AF3339" s="8">
        <v>4.1666666666666664E-2</v>
      </c>
      <c r="AG3339" s="9">
        <v>2.9</v>
      </c>
      <c r="AH3339" s="10">
        <f t="shared" ref="AH3339:AH3402" si="67">ROUND(AG3339,0)</f>
        <v>3</v>
      </c>
    </row>
    <row r="3340" spans="11:34" ht="14.5" x14ac:dyDescent="0.35">
      <c r="K3340" s="4"/>
      <c r="AC3340" s="7">
        <v>2022</v>
      </c>
      <c r="AD3340" s="7">
        <v>5</v>
      </c>
      <c r="AE3340" s="7">
        <v>20</v>
      </c>
      <c r="AF3340" s="8">
        <v>8.3333333333333329E-2</v>
      </c>
      <c r="AG3340" s="9">
        <v>2.6</v>
      </c>
      <c r="AH3340" s="10">
        <f t="shared" si="67"/>
        <v>3</v>
      </c>
    </row>
    <row r="3341" spans="11:34" ht="14.5" x14ac:dyDescent="0.35">
      <c r="K3341" s="4"/>
      <c r="AC3341" s="7">
        <v>2022</v>
      </c>
      <c r="AD3341" s="7">
        <v>5</v>
      </c>
      <c r="AE3341" s="7">
        <v>20</v>
      </c>
      <c r="AF3341" s="8">
        <v>0.125</v>
      </c>
      <c r="AG3341" s="9">
        <v>2.2999999999999998</v>
      </c>
      <c r="AH3341" s="10">
        <f t="shared" si="67"/>
        <v>2</v>
      </c>
    </row>
    <row r="3342" spans="11:34" ht="14.5" x14ac:dyDescent="0.35">
      <c r="K3342" s="4"/>
      <c r="AC3342" s="7">
        <v>2022</v>
      </c>
      <c r="AD3342" s="7">
        <v>5</v>
      </c>
      <c r="AE3342" s="7">
        <v>20</v>
      </c>
      <c r="AF3342" s="8">
        <v>0.16666666666666666</v>
      </c>
      <c r="AG3342" s="9">
        <v>2.4</v>
      </c>
      <c r="AH3342" s="10">
        <f t="shared" si="67"/>
        <v>2</v>
      </c>
    </row>
    <row r="3343" spans="11:34" ht="14.5" x14ac:dyDescent="0.35">
      <c r="K3343" s="4"/>
      <c r="AC3343" s="7">
        <v>2022</v>
      </c>
      <c r="AD3343" s="7">
        <v>5</v>
      </c>
      <c r="AE3343" s="7">
        <v>20</v>
      </c>
      <c r="AF3343" s="8">
        <v>0.20833333333333334</v>
      </c>
      <c r="AG3343" s="9">
        <v>2.1</v>
      </c>
      <c r="AH3343" s="10">
        <f t="shared" si="67"/>
        <v>2</v>
      </c>
    </row>
    <row r="3344" spans="11:34" ht="14.5" x14ac:dyDescent="0.35">
      <c r="K3344" s="4"/>
      <c r="AC3344" s="7">
        <v>2022</v>
      </c>
      <c r="AD3344" s="7">
        <v>5</v>
      </c>
      <c r="AE3344" s="7">
        <v>20</v>
      </c>
      <c r="AF3344" s="8">
        <v>0.25</v>
      </c>
      <c r="AG3344" s="9">
        <v>2.1</v>
      </c>
      <c r="AH3344" s="10">
        <f t="shared" si="67"/>
        <v>2</v>
      </c>
    </row>
    <row r="3345" spans="11:34" ht="14.5" x14ac:dyDescent="0.35">
      <c r="K3345" s="4"/>
      <c r="AC3345" s="7">
        <v>2022</v>
      </c>
      <c r="AD3345" s="7">
        <v>5</v>
      </c>
      <c r="AE3345" s="7">
        <v>20</v>
      </c>
      <c r="AF3345" s="8">
        <v>0.29166666666666669</v>
      </c>
      <c r="AG3345" s="9">
        <v>2.6</v>
      </c>
      <c r="AH3345" s="10">
        <f t="shared" si="67"/>
        <v>3</v>
      </c>
    </row>
    <row r="3346" spans="11:34" ht="14.5" x14ac:dyDescent="0.35">
      <c r="K3346" s="4"/>
      <c r="AC3346" s="7">
        <v>2022</v>
      </c>
      <c r="AD3346" s="7">
        <v>5</v>
      </c>
      <c r="AE3346" s="7">
        <v>20</v>
      </c>
      <c r="AF3346" s="8">
        <v>0.33333333333333331</v>
      </c>
      <c r="AG3346" s="9">
        <v>2.9</v>
      </c>
      <c r="AH3346" s="10">
        <f t="shared" si="67"/>
        <v>3</v>
      </c>
    </row>
    <row r="3347" spans="11:34" ht="14.5" x14ac:dyDescent="0.35">
      <c r="K3347" s="4"/>
      <c r="AC3347" s="7">
        <v>2022</v>
      </c>
      <c r="AD3347" s="7">
        <v>5</v>
      </c>
      <c r="AE3347" s="7">
        <v>20</v>
      </c>
      <c r="AF3347" s="8">
        <v>0.375</v>
      </c>
      <c r="AG3347" s="9">
        <v>3.8</v>
      </c>
      <c r="AH3347" s="10">
        <f t="shared" si="67"/>
        <v>4</v>
      </c>
    </row>
    <row r="3348" spans="11:34" ht="14.5" x14ac:dyDescent="0.35">
      <c r="K3348" s="4"/>
      <c r="AC3348" s="7">
        <v>2022</v>
      </c>
      <c r="AD3348" s="7">
        <v>5</v>
      </c>
      <c r="AE3348" s="7">
        <v>20</v>
      </c>
      <c r="AF3348" s="8">
        <v>0.41666666666666669</v>
      </c>
      <c r="AG3348" s="9">
        <v>5.2</v>
      </c>
      <c r="AH3348" s="10">
        <f t="shared" si="67"/>
        <v>5</v>
      </c>
    </row>
    <row r="3349" spans="11:34" ht="14.5" x14ac:dyDescent="0.35">
      <c r="K3349" s="4"/>
      <c r="AC3349" s="7">
        <v>2022</v>
      </c>
      <c r="AD3349" s="7">
        <v>5</v>
      </c>
      <c r="AE3349" s="7">
        <v>20</v>
      </c>
      <c r="AF3349" s="8">
        <v>0.45833333333333331</v>
      </c>
      <c r="AG3349" s="9">
        <v>6.5</v>
      </c>
      <c r="AH3349" s="10">
        <f t="shared" si="67"/>
        <v>7</v>
      </c>
    </row>
    <row r="3350" spans="11:34" ht="14.5" x14ac:dyDescent="0.35">
      <c r="K3350" s="4"/>
      <c r="AC3350" s="7">
        <v>2022</v>
      </c>
      <c r="AD3350" s="7">
        <v>5</v>
      </c>
      <c r="AE3350" s="7">
        <v>20</v>
      </c>
      <c r="AF3350" s="8">
        <v>0.5</v>
      </c>
      <c r="AG3350" s="9">
        <v>7.2</v>
      </c>
      <c r="AH3350" s="10">
        <f t="shared" si="67"/>
        <v>7</v>
      </c>
    </row>
    <row r="3351" spans="11:34" ht="14.5" x14ac:dyDescent="0.35">
      <c r="K3351" s="4"/>
      <c r="AC3351" s="7">
        <v>2022</v>
      </c>
      <c r="AD3351" s="7">
        <v>5</v>
      </c>
      <c r="AE3351" s="7">
        <v>20</v>
      </c>
      <c r="AF3351" s="8">
        <v>0.54166666666666663</v>
      </c>
      <c r="AG3351" s="9">
        <v>6.7</v>
      </c>
      <c r="AH3351" s="10">
        <f t="shared" si="67"/>
        <v>7</v>
      </c>
    </row>
    <row r="3352" spans="11:34" ht="14.5" x14ac:dyDescent="0.35">
      <c r="K3352" s="4"/>
      <c r="AC3352" s="7">
        <v>2022</v>
      </c>
      <c r="AD3352" s="7">
        <v>5</v>
      </c>
      <c r="AE3352" s="7">
        <v>20</v>
      </c>
      <c r="AF3352" s="8">
        <v>0.58333333333333337</v>
      </c>
      <c r="AG3352" s="9">
        <v>7</v>
      </c>
      <c r="AH3352" s="10">
        <f t="shared" si="67"/>
        <v>7</v>
      </c>
    </row>
    <row r="3353" spans="11:34" ht="14.5" x14ac:dyDescent="0.35">
      <c r="K3353" s="4"/>
      <c r="AC3353" s="7">
        <v>2022</v>
      </c>
      <c r="AD3353" s="7">
        <v>5</v>
      </c>
      <c r="AE3353" s="7">
        <v>20</v>
      </c>
      <c r="AF3353" s="8">
        <v>0.625</v>
      </c>
      <c r="AG3353" s="9">
        <v>8</v>
      </c>
      <c r="AH3353" s="10">
        <f t="shared" si="67"/>
        <v>8</v>
      </c>
    </row>
    <row r="3354" spans="11:34" ht="14.5" x14ac:dyDescent="0.35">
      <c r="K3354" s="4"/>
      <c r="AC3354" s="7">
        <v>2022</v>
      </c>
      <c r="AD3354" s="7">
        <v>5</v>
      </c>
      <c r="AE3354" s="7">
        <v>20</v>
      </c>
      <c r="AF3354" s="8">
        <v>0.66666666666666663</v>
      </c>
      <c r="AG3354" s="9">
        <v>7.6</v>
      </c>
      <c r="AH3354" s="10">
        <f t="shared" si="67"/>
        <v>8</v>
      </c>
    </row>
    <row r="3355" spans="11:34" ht="14.5" x14ac:dyDescent="0.35">
      <c r="K3355" s="4"/>
      <c r="AC3355" s="7">
        <v>2022</v>
      </c>
      <c r="AD3355" s="7">
        <v>5</v>
      </c>
      <c r="AE3355" s="7">
        <v>20</v>
      </c>
      <c r="AF3355" s="8">
        <v>0.70833333333333337</v>
      </c>
      <c r="AG3355" s="9">
        <v>7.3</v>
      </c>
      <c r="AH3355" s="10">
        <f t="shared" si="67"/>
        <v>7</v>
      </c>
    </row>
    <row r="3356" spans="11:34" ht="14.5" x14ac:dyDescent="0.35">
      <c r="K3356" s="4"/>
      <c r="AC3356" s="7">
        <v>2022</v>
      </c>
      <c r="AD3356" s="7">
        <v>5</v>
      </c>
      <c r="AE3356" s="7">
        <v>20</v>
      </c>
      <c r="AF3356" s="8">
        <v>0.75</v>
      </c>
      <c r="AG3356" s="9">
        <v>5.7</v>
      </c>
      <c r="AH3356" s="10">
        <f t="shared" si="67"/>
        <v>6</v>
      </c>
    </row>
    <row r="3357" spans="11:34" ht="14.5" x14ac:dyDescent="0.35">
      <c r="K3357" s="4"/>
      <c r="AC3357" s="7">
        <v>2022</v>
      </c>
      <c r="AD3357" s="7">
        <v>5</v>
      </c>
      <c r="AE3357" s="7">
        <v>20</v>
      </c>
      <c r="AF3357" s="8">
        <v>0.79166666666666663</v>
      </c>
      <c r="AG3357" s="9">
        <v>6.1</v>
      </c>
      <c r="AH3357" s="10">
        <f t="shared" si="67"/>
        <v>6</v>
      </c>
    </row>
    <row r="3358" spans="11:34" ht="14.5" x14ac:dyDescent="0.35">
      <c r="K3358" s="4"/>
      <c r="AC3358" s="7">
        <v>2022</v>
      </c>
      <c r="AD3358" s="7">
        <v>5</v>
      </c>
      <c r="AE3358" s="7">
        <v>20</v>
      </c>
      <c r="AF3358" s="8">
        <v>0.83333333333333337</v>
      </c>
      <c r="AG3358" s="9">
        <v>5.0999999999999996</v>
      </c>
      <c r="AH3358" s="10">
        <f t="shared" si="67"/>
        <v>5</v>
      </c>
    </row>
    <row r="3359" spans="11:34" ht="14.5" x14ac:dyDescent="0.35">
      <c r="K3359" s="4"/>
      <c r="AC3359" s="7">
        <v>2022</v>
      </c>
      <c r="AD3359" s="7">
        <v>5</v>
      </c>
      <c r="AE3359" s="7">
        <v>20</v>
      </c>
      <c r="AF3359" s="8">
        <v>0.875</v>
      </c>
      <c r="AG3359" s="9">
        <v>3.5</v>
      </c>
      <c r="AH3359" s="10">
        <f t="shared" si="67"/>
        <v>4</v>
      </c>
    </row>
    <row r="3360" spans="11:34" ht="14.5" x14ac:dyDescent="0.35">
      <c r="K3360" s="4"/>
      <c r="AC3360" s="7">
        <v>2022</v>
      </c>
      <c r="AD3360" s="7">
        <v>5</v>
      </c>
      <c r="AE3360" s="7">
        <v>20</v>
      </c>
      <c r="AF3360" s="8">
        <v>0.91666666666666663</v>
      </c>
      <c r="AG3360" s="9">
        <v>2.6</v>
      </c>
      <c r="AH3360" s="10">
        <f t="shared" si="67"/>
        <v>3</v>
      </c>
    </row>
    <row r="3361" spans="11:34" ht="14.5" x14ac:dyDescent="0.35">
      <c r="K3361" s="4"/>
      <c r="AC3361" s="7">
        <v>2022</v>
      </c>
      <c r="AD3361" s="7">
        <v>5</v>
      </c>
      <c r="AE3361" s="7">
        <v>20</v>
      </c>
      <c r="AF3361" s="8">
        <v>0.95833333333333337</v>
      </c>
      <c r="AG3361" s="9">
        <v>3</v>
      </c>
      <c r="AH3361" s="10">
        <f t="shared" si="67"/>
        <v>3</v>
      </c>
    </row>
    <row r="3362" spans="11:34" ht="14.5" x14ac:dyDescent="0.35">
      <c r="K3362" s="4"/>
      <c r="AC3362" s="7">
        <v>2022</v>
      </c>
      <c r="AD3362" s="7">
        <v>5</v>
      </c>
      <c r="AE3362" s="7">
        <v>21</v>
      </c>
      <c r="AF3362" s="8">
        <v>0</v>
      </c>
      <c r="AG3362" s="9">
        <v>2</v>
      </c>
      <c r="AH3362" s="10">
        <f t="shared" si="67"/>
        <v>2</v>
      </c>
    </row>
    <row r="3363" spans="11:34" ht="14.5" x14ac:dyDescent="0.35">
      <c r="K3363" s="4"/>
      <c r="AC3363" s="7">
        <v>2022</v>
      </c>
      <c r="AD3363" s="7">
        <v>5</v>
      </c>
      <c r="AE3363" s="7">
        <v>21</v>
      </c>
      <c r="AF3363" s="8">
        <v>4.1666666666666664E-2</v>
      </c>
      <c r="AG3363" s="9">
        <v>2.5</v>
      </c>
      <c r="AH3363" s="10">
        <f t="shared" si="67"/>
        <v>3</v>
      </c>
    </row>
    <row r="3364" spans="11:34" ht="14.5" x14ac:dyDescent="0.35">
      <c r="K3364" s="4"/>
      <c r="AC3364" s="7">
        <v>2022</v>
      </c>
      <c r="AD3364" s="7">
        <v>5</v>
      </c>
      <c r="AE3364" s="7">
        <v>21</v>
      </c>
      <c r="AF3364" s="8">
        <v>8.3333333333333329E-2</v>
      </c>
      <c r="AG3364" s="9">
        <v>1.3</v>
      </c>
      <c r="AH3364" s="10">
        <f t="shared" si="67"/>
        <v>1</v>
      </c>
    </row>
    <row r="3365" spans="11:34" ht="14.5" x14ac:dyDescent="0.35">
      <c r="K3365" s="4"/>
      <c r="AC3365" s="7">
        <v>2022</v>
      </c>
      <c r="AD3365" s="7">
        <v>5</v>
      </c>
      <c r="AE3365" s="7">
        <v>21</v>
      </c>
      <c r="AF3365" s="8">
        <v>0.125</v>
      </c>
      <c r="AG3365" s="9">
        <v>0.7</v>
      </c>
      <c r="AH3365" s="10">
        <f t="shared" si="67"/>
        <v>1</v>
      </c>
    </row>
    <row r="3366" spans="11:34" ht="14.5" x14ac:dyDescent="0.35">
      <c r="K3366" s="4"/>
      <c r="AC3366" s="7">
        <v>2022</v>
      </c>
      <c r="AD3366" s="7">
        <v>5</v>
      </c>
      <c r="AE3366" s="7">
        <v>21</v>
      </c>
      <c r="AF3366" s="8">
        <v>0.16666666666666666</v>
      </c>
      <c r="AG3366" s="9">
        <v>0.4</v>
      </c>
      <c r="AH3366" s="10">
        <f t="shared" si="67"/>
        <v>0</v>
      </c>
    </row>
    <row r="3367" spans="11:34" ht="14.5" x14ac:dyDescent="0.35">
      <c r="K3367" s="4"/>
      <c r="AC3367" s="7">
        <v>2022</v>
      </c>
      <c r="AD3367" s="7">
        <v>5</v>
      </c>
      <c r="AE3367" s="7">
        <v>21</v>
      </c>
      <c r="AF3367" s="8">
        <v>0.20833333333333334</v>
      </c>
      <c r="AG3367" s="9">
        <v>0.7</v>
      </c>
      <c r="AH3367" s="10">
        <f t="shared" si="67"/>
        <v>1</v>
      </c>
    </row>
    <row r="3368" spans="11:34" ht="14.5" x14ac:dyDescent="0.35">
      <c r="K3368" s="4"/>
      <c r="AC3368" s="7">
        <v>2022</v>
      </c>
      <c r="AD3368" s="7">
        <v>5</v>
      </c>
      <c r="AE3368" s="7">
        <v>21</v>
      </c>
      <c r="AF3368" s="8">
        <v>0.25</v>
      </c>
      <c r="AG3368" s="9">
        <v>1.2</v>
      </c>
      <c r="AH3368" s="10">
        <f t="shared" si="67"/>
        <v>1</v>
      </c>
    </row>
    <row r="3369" spans="11:34" ht="14.5" x14ac:dyDescent="0.35">
      <c r="K3369" s="4"/>
      <c r="AC3369" s="7">
        <v>2022</v>
      </c>
      <c r="AD3369" s="7">
        <v>5</v>
      </c>
      <c r="AE3369" s="7">
        <v>21</v>
      </c>
      <c r="AF3369" s="8">
        <v>0.29166666666666669</v>
      </c>
      <c r="AG3369" s="9">
        <v>3.5</v>
      </c>
      <c r="AH3369" s="10">
        <f t="shared" si="67"/>
        <v>4</v>
      </c>
    </row>
    <row r="3370" spans="11:34" ht="14.5" x14ac:dyDescent="0.35">
      <c r="K3370" s="4"/>
      <c r="AC3370" s="7">
        <v>2022</v>
      </c>
      <c r="AD3370" s="7">
        <v>5</v>
      </c>
      <c r="AE3370" s="7">
        <v>21</v>
      </c>
      <c r="AF3370" s="8">
        <v>0.33333333333333331</v>
      </c>
      <c r="AG3370" s="9">
        <v>5.3</v>
      </c>
      <c r="AH3370" s="10">
        <f t="shared" si="67"/>
        <v>5</v>
      </c>
    </row>
    <row r="3371" spans="11:34" ht="14.5" x14ac:dyDescent="0.35">
      <c r="K3371" s="4"/>
      <c r="AC3371" s="7">
        <v>2022</v>
      </c>
      <c r="AD3371" s="7">
        <v>5</v>
      </c>
      <c r="AE3371" s="7">
        <v>21</v>
      </c>
      <c r="AF3371" s="8">
        <v>0.375</v>
      </c>
      <c r="AG3371" s="9">
        <v>6.8</v>
      </c>
      <c r="AH3371" s="10">
        <f t="shared" si="67"/>
        <v>7</v>
      </c>
    </row>
    <row r="3372" spans="11:34" ht="14.5" x14ac:dyDescent="0.35">
      <c r="K3372" s="4"/>
      <c r="AC3372" s="7">
        <v>2022</v>
      </c>
      <c r="AD3372" s="7">
        <v>5</v>
      </c>
      <c r="AE3372" s="7">
        <v>21</v>
      </c>
      <c r="AF3372" s="8">
        <v>0.41666666666666669</v>
      </c>
      <c r="AG3372" s="9">
        <v>7.5</v>
      </c>
      <c r="AH3372" s="10">
        <f t="shared" si="67"/>
        <v>8</v>
      </c>
    </row>
    <row r="3373" spans="11:34" ht="14.5" x14ac:dyDescent="0.35">
      <c r="K3373" s="4"/>
      <c r="AC3373" s="7">
        <v>2022</v>
      </c>
      <c r="AD3373" s="7">
        <v>5</v>
      </c>
      <c r="AE3373" s="7">
        <v>21</v>
      </c>
      <c r="AF3373" s="8">
        <v>0.45833333333333331</v>
      </c>
      <c r="AG3373" s="9">
        <v>8</v>
      </c>
      <c r="AH3373" s="10">
        <f t="shared" si="67"/>
        <v>8</v>
      </c>
    </row>
    <row r="3374" spans="11:34" ht="14.5" x14ac:dyDescent="0.35">
      <c r="K3374" s="4"/>
      <c r="AC3374" s="7">
        <v>2022</v>
      </c>
      <c r="AD3374" s="7">
        <v>5</v>
      </c>
      <c r="AE3374" s="7">
        <v>21</v>
      </c>
      <c r="AF3374" s="8">
        <v>0.5</v>
      </c>
      <c r="AG3374" s="9">
        <v>7.5</v>
      </c>
      <c r="AH3374" s="10">
        <f t="shared" si="67"/>
        <v>8</v>
      </c>
    </row>
    <row r="3375" spans="11:34" ht="14.5" x14ac:dyDescent="0.35">
      <c r="K3375" s="4"/>
      <c r="AC3375" s="7">
        <v>2022</v>
      </c>
      <c r="AD3375" s="7">
        <v>5</v>
      </c>
      <c r="AE3375" s="7">
        <v>21</v>
      </c>
      <c r="AF3375" s="8">
        <v>0.54166666666666663</v>
      </c>
      <c r="AG3375" s="9">
        <v>8.8000000000000007</v>
      </c>
      <c r="AH3375" s="10">
        <f t="shared" si="67"/>
        <v>9</v>
      </c>
    </row>
    <row r="3376" spans="11:34" ht="14.5" x14ac:dyDescent="0.35">
      <c r="K3376" s="4"/>
      <c r="AC3376" s="7">
        <v>2022</v>
      </c>
      <c r="AD3376" s="7">
        <v>5</v>
      </c>
      <c r="AE3376" s="7">
        <v>21</v>
      </c>
      <c r="AF3376" s="8">
        <v>0.58333333333333337</v>
      </c>
      <c r="AG3376" s="9">
        <v>8.6</v>
      </c>
      <c r="AH3376" s="10">
        <f t="shared" si="67"/>
        <v>9</v>
      </c>
    </row>
    <row r="3377" spans="11:34" ht="14.5" x14ac:dyDescent="0.35">
      <c r="K3377" s="4"/>
      <c r="AC3377" s="7">
        <v>2022</v>
      </c>
      <c r="AD3377" s="7">
        <v>5</v>
      </c>
      <c r="AE3377" s="7">
        <v>21</v>
      </c>
      <c r="AF3377" s="8">
        <v>0.625</v>
      </c>
      <c r="AG3377" s="9">
        <v>9.9</v>
      </c>
      <c r="AH3377" s="10">
        <f t="shared" si="67"/>
        <v>10</v>
      </c>
    </row>
    <row r="3378" spans="11:34" ht="14.5" x14ac:dyDescent="0.35">
      <c r="K3378" s="4"/>
      <c r="AC3378" s="7">
        <v>2022</v>
      </c>
      <c r="AD3378" s="7">
        <v>5</v>
      </c>
      <c r="AE3378" s="7">
        <v>21</v>
      </c>
      <c r="AF3378" s="8">
        <v>0.66666666666666663</v>
      </c>
      <c r="AG3378" s="9">
        <v>10.5</v>
      </c>
      <c r="AH3378" s="10">
        <f t="shared" si="67"/>
        <v>11</v>
      </c>
    </row>
    <row r="3379" spans="11:34" ht="14.5" x14ac:dyDescent="0.35">
      <c r="K3379" s="4"/>
      <c r="AC3379" s="7">
        <v>2022</v>
      </c>
      <c r="AD3379" s="7">
        <v>5</v>
      </c>
      <c r="AE3379" s="7">
        <v>21</v>
      </c>
      <c r="AF3379" s="8">
        <v>0.70833333333333337</v>
      </c>
      <c r="AG3379" s="9">
        <v>9.3000000000000007</v>
      </c>
      <c r="AH3379" s="10">
        <f t="shared" si="67"/>
        <v>9</v>
      </c>
    </row>
    <row r="3380" spans="11:34" ht="14.5" x14ac:dyDescent="0.35">
      <c r="K3380" s="4"/>
      <c r="AC3380" s="7">
        <v>2022</v>
      </c>
      <c r="AD3380" s="7">
        <v>5</v>
      </c>
      <c r="AE3380" s="7">
        <v>21</v>
      </c>
      <c r="AF3380" s="8">
        <v>0.75</v>
      </c>
      <c r="AG3380" s="9">
        <v>9.3000000000000007</v>
      </c>
      <c r="AH3380" s="10">
        <f t="shared" si="67"/>
        <v>9</v>
      </c>
    </row>
    <row r="3381" spans="11:34" ht="14.5" x14ac:dyDescent="0.35">
      <c r="K3381" s="4"/>
      <c r="AC3381" s="7">
        <v>2022</v>
      </c>
      <c r="AD3381" s="7">
        <v>5</v>
      </c>
      <c r="AE3381" s="7">
        <v>21</v>
      </c>
      <c r="AF3381" s="8">
        <v>0.79166666666666663</v>
      </c>
      <c r="AG3381" s="9">
        <v>7</v>
      </c>
      <c r="AH3381" s="10">
        <f t="shared" si="67"/>
        <v>7</v>
      </c>
    </row>
    <row r="3382" spans="11:34" ht="14.5" x14ac:dyDescent="0.35">
      <c r="K3382" s="4"/>
      <c r="AC3382" s="7">
        <v>2022</v>
      </c>
      <c r="AD3382" s="7">
        <v>5</v>
      </c>
      <c r="AE3382" s="7">
        <v>21</v>
      </c>
      <c r="AF3382" s="8">
        <v>0.83333333333333337</v>
      </c>
      <c r="AG3382" s="9">
        <v>7</v>
      </c>
      <c r="AH3382" s="10">
        <f t="shared" si="67"/>
        <v>7</v>
      </c>
    </row>
    <row r="3383" spans="11:34" ht="14.5" x14ac:dyDescent="0.35">
      <c r="K3383" s="4"/>
      <c r="AC3383" s="7">
        <v>2022</v>
      </c>
      <c r="AD3383" s="7">
        <v>5</v>
      </c>
      <c r="AE3383" s="7">
        <v>21</v>
      </c>
      <c r="AF3383" s="8">
        <v>0.875</v>
      </c>
      <c r="AG3383" s="9">
        <v>5.5</v>
      </c>
      <c r="AH3383" s="10">
        <f t="shared" si="67"/>
        <v>6</v>
      </c>
    </row>
    <row r="3384" spans="11:34" ht="14.5" x14ac:dyDescent="0.35">
      <c r="K3384" s="4"/>
      <c r="AC3384" s="7">
        <v>2022</v>
      </c>
      <c r="AD3384" s="7">
        <v>5</v>
      </c>
      <c r="AE3384" s="7">
        <v>21</v>
      </c>
      <c r="AF3384" s="8">
        <v>0.91666666666666663</v>
      </c>
      <c r="AG3384" s="9">
        <v>3.6</v>
      </c>
      <c r="AH3384" s="10">
        <f t="shared" si="67"/>
        <v>4</v>
      </c>
    </row>
    <row r="3385" spans="11:34" ht="14.5" x14ac:dyDescent="0.35">
      <c r="K3385" s="4"/>
      <c r="AC3385" s="7">
        <v>2022</v>
      </c>
      <c r="AD3385" s="7">
        <v>5</v>
      </c>
      <c r="AE3385" s="7">
        <v>21</v>
      </c>
      <c r="AF3385" s="8">
        <v>0.95833333333333337</v>
      </c>
      <c r="AG3385" s="9">
        <v>1.9</v>
      </c>
      <c r="AH3385" s="10">
        <f t="shared" si="67"/>
        <v>2</v>
      </c>
    </row>
    <row r="3386" spans="11:34" ht="14.5" x14ac:dyDescent="0.35">
      <c r="K3386" s="4"/>
      <c r="AC3386" s="7">
        <v>2022</v>
      </c>
      <c r="AD3386" s="7">
        <v>5</v>
      </c>
      <c r="AE3386" s="7">
        <v>22</v>
      </c>
      <c r="AF3386" s="8">
        <v>0</v>
      </c>
      <c r="AG3386" s="9">
        <v>2.1</v>
      </c>
      <c r="AH3386" s="10">
        <f t="shared" si="67"/>
        <v>2</v>
      </c>
    </row>
    <row r="3387" spans="11:34" ht="14.5" x14ac:dyDescent="0.35">
      <c r="K3387" s="4"/>
      <c r="AC3387" s="7">
        <v>2022</v>
      </c>
      <c r="AD3387" s="7">
        <v>5</v>
      </c>
      <c r="AE3387" s="7">
        <v>22</v>
      </c>
      <c r="AF3387" s="8">
        <v>4.1666666666666664E-2</v>
      </c>
      <c r="AG3387" s="9">
        <v>-0.1</v>
      </c>
      <c r="AH3387" s="10">
        <f t="shared" si="67"/>
        <v>0</v>
      </c>
    </row>
    <row r="3388" spans="11:34" ht="14.5" x14ac:dyDescent="0.35">
      <c r="K3388" s="4"/>
      <c r="AC3388" s="7">
        <v>2022</v>
      </c>
      <c r="AD3388" s="7">
        <v>5</v>
      </c>
      <c r="AE3388" s="7">
        <v>22</v>
      </c>
      <c r="AF3388" s="8">
        <v>8.3333333333333329E-2</v>
      </c>
      <c r="AG3388" s="9">
        <v>0</v>
      </c>
      <c r="AH3388" s="10">
        <f t="shared" si="67"/>
        <v>0</v>
      </c>
    </row>
    <row r="3389" spans="11:34" ht="14.5" x14ac:dyDescent="0.35">
      <c r="K3389" s="4"/>
      <c r="AC3389" s="7">
        <v>2022</v>
      </c>
      <c r="AD3389" s="7">
        <v>5</v>
      </c>
      <c r="AE3389" s="7">
        <v>22</v>
      </c>
      <c r="AF3389" s="8">
        <v>0.125</v>
      </c>
      <c r="AG3389" s="9">
        <v>0</v>
      </c>
      <c r="AH3389" s="10">
        <f t="shared" si="67"/>
        <v>0</v>
      </c>
    </row>
    <row r="3390" spans="11:34" ht="14.5" x14ac:dyDescent="0.35">
      <c r="K3390" s="4"/>
      <c r="AC3390" s="7">
        <v>2022</v>
      </c>
      <c r="AD3390" s="7">
        <v>5</v>
      </c>
      <c r="AE3390" s="7">
        <v>22</v>
      </c>
      <c r="AF3390" s="8">
        <v>0.16666666666666666</v>
      </c>
      <c r="AG3390" s="9">
        <v>-1.4</v>
      </c>
      <c r="AH3390" s="10">
        <f t="shared" si="67"/>
        <v>-1</v>
      </c>
    </row>
    <row r="3391" spans="11:34" ht="14.5" x14ac:dyDescent="0.35">
      <c r="K3391" s="4"/>
      <c r="AC3391" s="7">
        <v>2022</v>
      </c>
      <c r="AD3391" s="7">
        <v>5</v>
      </c>
      <c r="AE3391" s="7">
        <v>22</v>
      </c>
      <c r="AF3391" s="8">
        <v>0.20833333333333334</v>
      </c>
      <c r="AG3391" s="9">
        <v>-2</v>
      </c>
      <c r="AH3391" s="10">
        <f t="shared" si="67"/>
        <v>-2</v>
      </c>
    </row>
    <row r="3392" spans="11:34" ht="14.5" x14ac:dyDescent="0.35">
      <c r="K3392" s="4"/>
      <c r="AC3392" s="7">
        <v>2022</v>
      </c>
      <c r="AD3392" s="7">
        <v>5</v>
      </c>
      <c r="AE3392" s="7">
        <v>22</v>
      </c>
      <c r="AF3392" s="8">
        <v>0.25</v>
      </c>
      <c r="AG3392" s="9">
        <v>0.7</v>
      </c>
      <c r="AH3392" s="10">
        <f t="shared" si="67"/>
        <v>1</v>
      </c>
    </row>
    <row r="3393" spans="11:34" ht="14.5" x14ac:dyDescent="0.35">
      <c r="K3393" s="4"/>
      <c r="AC3393" s="7">
        <v>2022</v>
      </c>
      <c r="AD3393" s="7">
        <v>5</v>
      </c>
      <c r="AE3393" s="7">
        <v>22</v>
      </c>
      <c r="AF3393" s="8">
        <v>0.29166666666666669</v>
      </c>
      <c r="AG3393" s="9">
        <v>5.5</v>
      </c>
      <c r="AH3393" s="10">
        <f t="shared" si="67"/>
        <v>6</v>
      </c>
    </row>
    <row r="3394" spans="11:34" ht="14.5" x14ac:dyDescent="0.35">
      <c r="K3394" s="4"/>
      <c r="AC3394" s="7">
        <v>2022</v>
      </c>
      <c r="AD3394" s="7">
        <v>5</v>
      </c>
      <c r="AE3394" s="7">
        <v>22</v>
      </c>
      <c r="AF3394" s="8">
        <v>0.33333333333333331</v>
      </c>
      <c r="AG3394" s="9">
        <v>7.8</v>
      </c>
      <c r="AH3394" s="10">
        <f t="shared" si="67"/>
        <v>8</v>
      </c>
    </row>
    <row r="3395" spans="11:34" ht="14.5" x14ac:dyDescent="0.35">
      <c r="K3395" s="4"/>
      <c r="AC3395" s="7">
        <v>2022</v>
      </c>
      <c r="AD3395" s="7">
        <v>5</v>
      </c>
      <c r="AE3395" s="7">
        <v>22</v>
      </c>
      <c r="AF3395" s="8">
        <v>0.375</v>
      </c>
      <c r="AG3395" s="9">
        <v>11</v>
      </c>
      <c r="AH3395" s="10">
        <f t="shared" si="67"/>
        <v>11</v>
      </c>
    </row>
    <row r="3396" spans="11:34" ht="14.5" x14ac:dyDescent="0.35">
      <c r="K3396" s="4"/>
      <c r="AC3396" s="7">
        <v>2022</v>
      </c>
      <c r="AD3396" s="7">
        <v>5</v>
      </c>
      <c r="AE3396" s="7">
        <v>22</v>
      </c>
      <c r="AF3396" s="8">
        <v>0.41666666666666669</v>
      </c>
      <c r="AG3396" s="9">
        <v>12.3</v>
      </c>
      <c r="AH3396" s="10">
        <f t="shared" si="67"/>
        <v>12</v>
      </c>
    </row>
    <row r="3397" spans="11:34" ht="14.5" x14ac:dyDescent="0.35">
      <c r="K3397" s="4"/>
      <c r="AC3397" s="7">
        <v>2022</v>
      </c>
      <c r="AD3397" s="7">
        <v>5</v>
      </c>
      <c r="AE3397" s="7">
        <v>22</v>
      </c>
      <c r="AF3397" s="8">
        <v>0.45833333333333331</v>
      </c>
      <c r="AG3397" s="9">
        <v>13.1</v>
      </c>
      <c r="AH3397" s="10">
        <f t="shared" si="67"/>
        <v>13</v>
      </c>
    </row>
    <row r="3398" spans="11:34" ht="14.5" x14ac:dyDescent="0.35">
      <c r="K3398" s="4"/>
      <c r="AC3398" s="7">
        <v>2022</v>
      </c>
      <c r="AD3398" s="7">
        <v>5</v>
      </c>
      <c r="AE3398" s="7">
        <v>22</v>
      </c>
      <c r="AF3398" s="8">
        <v>0.5</v>
      </c>
      <c r="AG3398" s="9">
        <v>13.9</v>
      </c>
      <c r="AH3398" s="10">
        <f t="shared" si="67"/>
        <v>14</v>
      </c>
    </row>
    <row r="3399" spans="11:34" ht="14.5" x14ac:dyDescent="0.35">
      <c r="K3399" s="4"/>
      <c r="AC3399" s="7">
        <v>2022</v>
      </c>
      <c r="AD3399" s="7">
        <v>5</v>
      </c>
      <c r="AE3399" s="7">
        <v>22</v>
      </c>
      <c r="AF3399" s="8">
        <v>0.54166666666666663</v>
      </c>
      <c r="AG3399" s="9">
        <v>14.5</v>
      </c>
      <c r="AH3399" s="10">
        <f t="shared" si="67"/>
        <v>15</v>
      </c>
    </row>
    <row r="3400" spans="11:34" ht="14.5" x14ac:dyDescent="0.35">
      <c r="K3400" s="4"/>
      <c r="AC3400" s="7">
        <v>2022</v>
      </c>
      <c r="AD3400" s="7">
        <v>5</v>
      </c>
      <c r="AE3400" s="7">
        <v>22</v>
      </c>
      <c r="AF3400" s="8">
        <v>0.58333333333333337</v>
      </c>
      <c r="AG3400" s="9">
        <v>15.8</v>
      </c>
      <c r="AH3400" s="10">
        <f t="shared" si="67"/>
        <v>16</v>
      </c>
    </row>
    <row r="3401" spans="11:34" ht="14.5" x14ac:dyDescent="0.35">
      <c r="K3401" s="4"/>
      <c r="AC3401" s="7">
        <v>2022</v>
      </c>
      <c r="AD3401" s="7">
        <v>5</v>
      </c>
      <c r="AE3401" s="7">
        <v>22</v>
      </c>
      <c r="AF3401" s="8">
        <v>0.625</v>
      </c>
      <c r="AG3401" s="9">
        <v>15</v>
      </c>
      <c r="AH3401" s="10">
        <f t="shared" si="67"/>
        <v>15</v>
      </c>
    </row>
    <row r="3402" spans="11:34" ht="14.5" x14ac:dyDescent="0.35">
      <c r="K3402" s="4"/>
      <c r="AC3402" s="7">
        <v>2022</v>
      </c>
      <c r="AD3402" s="7">
        <v>5</v>
      </c>
      <c r="AE3402" s="7">
        <v>22</v>
      </c>
      <c r="AF3402" s="8">
        <v>0.66666666666666663</v>
      </c>
      <c r="AG3402" s="9">
        <v>15.3</v>
      </c>
      <c r="AH3402" s="10">
        <f t="shared" si="67"/>
        <v>15</v>
      </c>
    </row>
    <row r="3403" spans="11:34" ht="14.5" x14ac:dyDescent="0.35">
      <c r="K3403" s="4"/>
      <c r="AC3403" s="7">
        <v>2022</v>
      </c>
      <c r="AD3403" s="7">
        <v>5</v>
      </c>
      <c r="AE3403" s="7">
        <v>22</v>
      </c>
      <c r="AF3403" s="8">
        <v>0.70833333333333337</v>
      </c>
      <c r="AG3403" s="9">
        <v>14.9</v>
      </c>
      <c r="AH3403" s="10">
        <f t="shared" ref="AH3403:AH3466" si="68">ROUND(AG3403,0)</f>
        <v>15</v>
      </c>
    </row>
    <row r="3404" spans="11:34" ht="14.5" x14ac:dyDescent="0.35">
      <c r="K3404" s="4"/>
      <c r="AC3404" s="7">
        <v>2022</v>
      </c>
      <c r="AD3404" s="7">
        <v>5</v>
      </c>
      <c r="AE3404" s="7">
        <v>22</v>
      </c>
      <c r="AF3404" s="8">
        <v>0.75</v>
      </c>
      <c r="AG3404" s="9">
        <v>14.8</v>
      </c>
      <c r="AH3404" s="10">
        <f t="shared" si="68"/>
        <v>15</v>
      </c>
    </row>
    <row r="3405" spans="11:34" ht="14.5" x14ac:dyDescent="0.35">
      <c r="K3405" s="4"/>
      <c r="AC3405" s="7">
        <v>2022</v>
      </c>
      <c r="AD3405" s="7">
        <v>5</v>
      </c>
      <c r="AE3405" s="7">
        <v>22</v>
      </c>
      <c r="AF3405" s="8">
        <v>0.79166666666666663</v>
      </c>
      <c r="AG3405" s="9">
        <v>14.8</v>
      </c>
      <c r="AH3405" s="10">
        <f t="shared" si="68"/>
        <v>15</v>
      </c>
    </row>
    <row r="3406" spans="11:34" ht="14.5" x14ac:dyDescent="0.35">
      <c r="K3406" s="4"/>
      <c r="AC3406" s="7">
        <v>2022</v>
      </c>
      <c r="AD3406" s="7">
        <v>5</v>
      </c>
      <c r="AE3406" s="7">
        <v>22</v>
      </c>
      <c r="AF3406" s="8">
        <v>0.83333333333333337</v>
      </c>
      <c r="AG3406" s="9">
        <v>12.8</v>
      </c>
      <c r="AH3406" s="10">
        <f t="shared" si="68"/>
        <v>13</v>
      </c>
    </row>
    <row r="3407" spans="11:34" ht="14.5" x14ac:dyDescent="0.35">
      <c r="K3407" s="4"/>
      <c r="AC3407" s="7">
        <v>2022</v>
      </c>
      <c r="AD3407" s="7">
        <v>5</v>
      </c>
      <c r="AE3407" s="7">
        <v>22</v>
      </c>
      <c r="AF3407" s="8">
        <v>0.875</v>
      </c>
      <c r="AG3407" s="9">
        <v>10.199999999999999</v>
      </c>
      <c r="AH3407" s="10">
        <f t="shared" si="68"/>
        <v>10</v>
      </c>
    </row>
    <row r="3408" spans="11:34" ht="14.5" x14ac:dyDescent="0.35">
      <c r="K3408" s="4"/>
      <c r="AC3408" s="7">
        <v>2022</v>
      </c>
      <c r="AD3408" s="7">
        <v>5</v>
      </c>
      <c r="AE3408" s="7">
        <v>22</v>
      </c>
      <c r="AF3408" s="8">
        <v>0.91666666666666663</v>
      </c>
      <c r="AG3408" s="9">
        <v>10</v>
      </c>
      <c r="AH3408" s="10">
        <f t="shared" si="68"/>
        <v>10</v>
      </c>
    </row>
    <row r="3409" spans="11:34" ht="14.5" x14ac:dyDescent="0.35">
      <c r="K3409" s="4"/>
      <c r="AC3409" s="7">
        <v>2022</v>
      </c>
      <c r="AD3409" s="7">
        <v>5</v>
      </c>
      <c r="AE3409" s="7">
        <v>22</v>
      </c>
      <c r="AF3409" s="8">
        <v>0.95833333333333337</v>
      </c>
      <c r="AG3409" s="9">
        <v>11.1</v>
      </c>
      <c r="AH3409" s="10">
        <f t="shared" si="68"/>
        <v>11</v>
      </c>
    </row>
    <row r="3410" spans="11:34" ht="14.5" x14ac:dyDescent="0.35">
      <c r="K3410" s="4"/>
      <c r="AC3410" s="7">
        <v>2022</v>
      </c>
      <c r="AD3410" s="7">
        <v>5</v>
      </c>
      <c r="AE3410" s="7">
        <v>23</v>
      </c>
      <c r="AF3410" s="8">
        <v>0</v>
      </c>
      <c r="AG3410" s="9">
        <v>8.5</v>
      </c>
      <c r="AH3410" s="10">
        <f t="shared" si="68"/>
        <v>9</v>
      </c>
    </row>
    <row r="3411" spans="11:34" ht="14.5" x14ac:dyDescent="0.35">
      <c r="K3411" s="4"/>
      <c r="AC3411" s="7">
        <v>2022</v>
      </c>
      <c r="AD3411" s="7">
        <v>5</v>
      </c>
      <c r="AE3411" s="7">
        <v>23</v>
      </c>
      <c r="AF3411" s="8">
        <v>4.1666666666666664E-2</v>
      </c>
      <c r="AG3411" s="9">
        <v>5.5</v>
      </c>
      <c r="AH3411" s="10">
        <f t="shared" si="68"/>
        <v>6</v>
      </c>
    </row>
    <row r="3412" spans="11:34" ht="14.5" x14ac:dyDescent="0.35">
      <c r="K3412" s="4"/>
      <c r="AC3412" s="7">
        <v>2022</v>
      </c>
      <c r="AD3412" s="7">
        <v>5</v>
      </c>
      <c r="AE3412" s="7">
        <v>23</v>
      </c>
      <c r="AF3412" s="8">
        <v>8.3333333333333329E-2</v>
      </c>
      <c r="AG3412" s="9">
        <v>4</v>
      </c>
      <c r="AH3412" s="10">
        <f t="shared" si="68"/>
        <v>4</v>
      </c>
    </row>
    <row r="3413" spans="11:34" ht="14.5" x14ac:dyDescent="0.35">
      <c r="K3413" s="4"/>
      <c r="AC3413" s="7">
        <v>2022</v>
      </c>
      <c r="AD3413" s="7">
        <v>5</v>
      </c>
      <c r="AE3413" s="7">
        <v>23</v>
      </c>
      <c r="AF3413" s="8">
        <v>0.125</v>
      </c>
      <c r="AG3413" s="9">
        <v>2.5</v>
      </c>
      <c r="AH3413" s="10">
        <f t="shared" si="68"/>
        <v>3</v>
      </c>
    </row>
    <row r="3414" spans="11:34" ht="14.5" x14ac:dyDescent="0.35">
      <c r="K3414" s="4"/>
      <c r="AC3414" s="7">
        <v>2022</v>
      </c>
      <c r="AD3414" s="7">
        <v>5</v>
      </c>
      <c r="AE3414" s="7">
        <v>23</v>
      </c>
      <c r="AF3414" s="8">
        <v>0.16666666666666666</v>
      </c>
      <c r="AG3414" s="9">
        <v>2.5</v>
      </c>
      <c r="AH3414" s="10">
        <f t="shared" si="68"/>
        <v>3</v>
      </c>
    </row>
    <row r="3415" spans="11:34" ht="14.5" x14ac:dyDescent="0.35">
      <c r="K3415" s="4"/>
      <c r="AC3415" s="7">
        <v>2022</v>
      </c>
      <c r="AD3415" s="7">
        <v>5</v>
      </c>
      <c r="AE3415" s="7">
        <v>23</v>
      </c>
      <c r="AF3415" s="8">
        <v>0.20833333333333334</v>
      </c>
      <c r="AG3415" s="9">
        <v>2.4</v>
      </c>
      <c r="AH3415" s="10">
        <f t="shared" si="68"/>
        <v>2</v>
      </c>
    </row>
    <row r="3416" spans="11:34" ht="14.5" x14ac:dyDescent="0.35">
      <c r="K3416" s="4"/>
      <c r="AC3416" s="7">
        <v>2022</v>
      </c>
      <c r="AD3416" s="7">
        <v>5</v>
      </c>
      <c r="AE3416" s="7">
        <v>23</v>
      </c>
      <c r="AF3416" s="8">
        <v>0.25</v>
      </c>
      <c r="AG3416" s="9">
        <v>5.3</v>
      </c>
      <c r="AH3416" s="10">
        <f t="shared" si="68"/>
        <v>5</v>
      </c>
    </row>
    <row r="3417" spans="11:34" ht="14.5" x14ac:dyDescent="0.35">
      <c r="K3417" s="4"/>
      <c r="AC3417" s="7">
        <v>2022</v>
      </c>
      <c r="AD3417" s="7">
        <v>5</v>
      </c>
      <c r="AE3417" s="7">
        <v>23</v>
      </c>
      <c r="AF3417" s="8">
        <v>0.29166666666666669</v>
      </c>
      <c r="AG3417" s="9">
        <v>8.8000000000000007</v>
      </c>
      <c r="AH3417" s="10">
        <f t="shared" si="68"/>
        <v>9</v>
      </c>
    </row>
    <row r="3418" spans="11:34" ht="14.5" x14ac:dyDescent="0.35">
      <c r="K3418" s="4"/>
      <c r="AC3418" s="7">
        <v>2022</v>
      </c>
      <c r="AD3418" s="7">
        <v>5</v>
      </c>
      <c r="AE3418" s="7">
        <v>23</v>
      </c>
      <c r="AF3418" s="8">
        <v>0.33333333333333331</v>
      </c>
      <c r="AG3418" s="9">
        <v>12.7</v>
      </c>
      <c r="AH3418" s="10">
        <f t="shared" si="68"/>
        <v>13</v>
      </c>
    </row>
    <row r="3419" spans="11:34" ht="14.5" x14ac:dyDescent="0.35">
      <c r="K3419" s="4"/>
      <c r="AC3419" s="7">
        <v>2022</v>
      </c>
      <c r="AD3419" s="7">
        <v>5</v>
      </c>
      <c r="AE3419" s="7">
        <v>23</v>
      </c>
      <c r="AF3419" s="8">
        <v>0.375</v>
      </c>
      <c r="AG3419" s="9">
        <v>14.7</v>
      </c>
      <c r="AH3419" s="10">
        <f t="shared" si="68"/>
        <v>15</v>
      </c>
    </row>
    <row r="3420" spans="11:34" ht="14.5" x14ac:dyDescent="0.35">
      <c r="K3420" s="4"/>
      <c r="AC3420" s="7">
        <v>2022</v>
      </c>
      <c r="AD3420" s="7">
        <v>5</v>
      </c>
      <c r="AE3420" s="7">
        <v>23</v>
      </c>
      <c r="AF3420" s="8">
        <v>0.41666666666666669</v>
      </c>
      <c r="AG3420" s="9">
        <v>15.4</v>
      </c>
      <c r="AH3420" s="10">
        <f t="shared" si="68"/>
        <v>15</v>
      </c>
    </row>
    <row r="3421" spans="11:34" ht="14.5" x14ac:dyDescent="0.35">
      <c r="K3421" s="4"/>
      <c r="AC3421" s="7">
        <v>2022</v>
      </c>
      <c r="AD3421" s="7">
        <v>5</v>
      </c>
      <c r="AE3421" s="7">
        <v>23</v>
      </c>
      <c r="AF3421" s="8">
        <v>0.45833333333333331</v>
      </c>
      <c r="AG3421" s="9">
        <v>15.8</v>
      </c>
      <c r="AH3421" s="10">
        <f t="shared" si="68"/>
        <v>16</v>
      </c>
    </row>
    <row r="3422" spans="11:34" ht="14.5" x14ac:dyDescent="0.35">
      <c r="K3422" s="4"/>
      <c r="AC3422" s="7">
        <v>2022</v>
      </c>
      <c r="AD3422" s="7">
        <v>5</v>
      </c>
      <c r="AE3422" s="7">
        <v>23</v>
      </c>
      <c r="AF3422" s="8">
        <v>0.5</v>
      </c>
      <c r="AG3422" s="9">
        <v>17.3</v>
      </c>
      <c r="AH3422" s="10">
        <f t="shared" si="68"/>
        <v>17</v>
      </c>
    </row>
    <row r="3423" spans="11:34" ht="14.5" x14ac:dyDescent="0.35">
      <c r="K3423" s="4"/>
      <c r="AC3423" s="7">
        <v>2022</v>
      </c>
      <c r="AD3423" s="7">
        <v>5</v>
      </c>
      <c r="AE3423" s="7">
        <v>23</v>
      </c>
      <c r="AF3423" s="8">
        <v>0.54166666666666663</v>
      </c>
      <c r="AG3423" s="9">
        <v>18.399999999999999</v>
      </c>
      <c r="AH3423" s="10">
        <f t="shared" si="68"/>
        <v>18</v>
      </c>
    </row>
    <row r="3424" spans="11:34" ht="14.5" x14ac:dyDescent="0.35">
      <c r="K3424" s="4"/>
      <c r="AC3424" s="7">
        <v>2022</v>
      </c>
      <c r="AD3424" s="7">
        <v>5</v>
      </c>
      <c r="AE3424" s="7">
        <v>23</v>
      </c>
      <c r="AF3424" s="8">
        <v>0.58333333333333337</v>
      </c>
      <c r="AG3424" s="9">
        <v>18.5</v>
      </c>
      <c r="AH3424" s="10">
        <f t="shared" si="68"/>
        <v>19</v>
      </c>
    </row>
    <row r="3425" spans="11:34" ht="14.5" x14ac:dyDescent="0.35">
      <c r="K3425" s="4"/>
      <c r="AC3425" s="7">
        <v>2022</v>
      </c>
      <c r="AD3425" s="7">
        <v>5</v>
      </c>
      <c r="AE3425" s="7">
        <v>23</v>
      </c>
      <c r="AF3425" s="8">
        <v>0.625</v>
      </c>
      <c r="AG3425" s="9">
        <v>17.3</v>
      </c>
      <c r="AH3425" s="10">
        <f t="shared" si="68"/>
        <v>17</v>
      </c>
    </row>
    <row r="3426" spans="11:34" ht="14.5" x14ac:dyDescent="0.35">
      <c r="K3426" s="4"/>
      <c r="AC3426" s="7">
        <v>2022</v>
      </c>
      <c r="AD3426" s="7">
        <v>5</v>
      </c>
      <c r="AE3426" s="7">
        <v>23</v>
      </c>
      <c r="AF3426" s="8">
        <v>0.66666666666666663</v>
      </c>
      <c r="AG3426" s="9">
        <v>17.5</v>
      </c>
      <c r="AH3426" s="10">
        <f t="shared" si="68"/>
        <v>18</v>
      </c>
    </row>
    <row r="3427" spans="11:34" ht="14.5" x14ac:dyDescent="0.35">
      <c r="K3427" s="4"/>
      <c r="AC3427" s="7">
        <v>2022</v>
      </c>
      <c r="AD3427" s="7">
        <v>5</v>
      </c>
      <c r="AE3427" s="7">
        <v>23</v>
      </c>
      <c r="AF3427" s="8">
        <v>0.70833333333333337</v>
      </c>
      <c r="AG3427" s="9">
        <v>17.7</v>
      </c>
      <c r="AH3427" s="10">
        <f t="shared" si="68"/>
        <v>18</v>
      </c>
    </row>
    <row r="3428" spans="11:34" ht="14.5" x14ac:dyDescent="0.35">
      <c r="K3428" s="4"/>
      <c r="AC3428" s="7">
        <v>2022</v>
      </c>
      <c r="AD3428" s="7">
        <v>5</v>
      </c>
      <c r="AE3428" s="7">
        <v>23</v>
      </c>
      <c r="AF3428" s="8">
        <v>0.75</v>
      </c>
      <c r="AG3428" s="9">
        <v>17.100000000000001</v>
      </c>
      <c r="AH3428" s="10">
        <f t="shared" si="68"/>
        <v>17</v>
      </c>
    </row>
    <row r="3429" spans="11:34" ht="14.5" x14ac:dyDescent="0.35">
      <c r="K3429" s="4"/>
      <c r="AC3429" s="7">
        <v>2022</v>
      </c>
      <c r="AD3429" s="7">
        <v>5</v>
      </c>
      <c r="AE3429" s="7">
        <v>23</v>
      </c>
      <c r="AF3429" s="8">
        <v>0.79166666666666663</v>
      </c>
      <c r="AG3429" s="9">
        <v>16.5</v>
      </c>
      <c r="AH3429" s="10">
        <f t="shared" si="68"/>
        <v>17</v>
      </c>
    </row>
    <row r="3430" spans="11:34" ht="14.5" x14ac:dyDescent="0.35">
      <c r="K3430" s="4"/>
      <c r="AC3430" s="7">
        <v>2022</v>
      </c>
      <c r="AD3430" s="7">
        <v>5</v>
      </c>
      <c r="AE3430" s="7">
        <v>23</v>
      </c>
      <c r="AF3430" s="8">
        <v>0.83333333333333337</v>
      </c>
      <c r="AG3430" s="9">
        <v>14.6</v>
      </c>
      <c r="AH3430" s="10">
        <f t="shared" si="68"/>
        <v>15</v>
      </c>
    </row>
    <row r="3431" spans="11:34" ht="14.5" x14ac:dyDescent="0.35">
      <c r="K3431" s="4"/>
      <c r="AC3431" s="7">
        <v>2022</v>
      </c>
      <c r="AD3431" s="7">
        <v>5</v>
      </c>
      <c r="AE3431" s="7">
        <v>23</v>
      </c>
      <c r="AF3431" s="8">
        <v>0.875</v>
      </c>
      <c r="AG3431" s="9">
        <v>15</v>
      </c>
      <c r="AH3431" s="10">
        <f t="shared" si="68"/>
        <v>15</v>
      </c>
    </row>
    <row r="3432" spans="11:34" ht="14.5" x14ac:dyDescent="0.35">
      <c r="K3432" s="4"/>
      <c r="AC3432" s="7">
        <v>2022</v>
      </c>
      <c r="AD3432" s="7">
        <v>5</v>
      </c>
      <c r="AE3432" s="7">
        <v>23</v>
      </c>
      <c r="AF3432" s="8">
        <v>0.91666666666666663</v>
      </c>
      <c r="AG3432" s="9">
        <v>13.4</v>
      </c>
      <c r="AH3432" s="10">
        <f t="shared" si="68"/>
        <v>13</v>
      </c>
    </row>
    <row r="3433" spans="11:34" ht="14.5" x14ac:dyDescent="0.35">
      <c r="K3433" s="4"/>
      <c r="AC3433" s="7">
        <v>2022</v>
      </c>
      <c r="AD3433" s="7">
        <v>5</v>
      </c>
      <c r="AE3433" s="7">
        <v>23</v>
      </c>
      <c r="AF3433" s="8">
        <v>0.95833333333333337</v>
      </c>
      <c r="AG3433" s="9">
        <v>11.9</v>
      </c>
      <c r="AH3433" s="10">
        <f t="shared" si="68"/>
        <v>12</v>
      </c>
    </row>
    <row r="3434" spans="11:34" ht="14.5" x14ac:dyDescent="0.35">
      <c r="K3434" s="4"/>
      <c r="AC3434" s="7">
        <v>2022</v>
      </c>
      <c r="AD3434" s="7">
        <v>5</v>
      </c>
      <c r="AE3434" s="7">
        <v>24</v>
      </c>
      <c r="AF3434" s="8">
        <v>0</v>
      </c>
      <c r="AG3434" s="9">
        <v>9.6999999999999993</v>
      </c>
      <c r="AH3434" s="10">
        <f t="shared" si="68"/>
        <v>10</v>
      </c>
    </row>
    <row r="3435" spans="11:34" ht="14.5" x14ac:dyDescent="0.35">
      <c r="K3435" s="4"/>
      <c r="AC3435" s="7">
        <v>2022</v>
      </c>
      <c r="AD3435" s="7">
        <v>5</v>
      </c>
      <c r="AE3435" s="7">
        <v>24</v>
      </c>
      <c r="AF3435" s="8">
        <v>4.1666666666666664E-2</v>
      </c>
      <c r="AG3435" s="9">
        <v>7.4</v>
      </c>
      <c r="AH3435" s="10">
        <f t="shared" si="68"/>
        <v>7</v>
      </c>
    </row>
    <row r="3436" spans="11:34" ht="14.5" x14ac:dyDescent="0.35">
      <c r="K3436" s="4"/>
      <c r="AC3436" s="7">
        <v>2022</v>
      </c>
      <c r="AD3436" s="7">
        <v>5</v>
      </c>
      <c r="AE3436" s="7">
        <v>24</v>
      </c>
      <c r="AF3436" s="8">
        <v>8.3333333333333329E-2</v>
      </c>
      <c r="AG3436" s="9">
        <v>5.4</v>
      </c>
      <c r="AH3436" s="10">
        <f t="shared" si="68"/>
        <v>5</v>
      </c>
    </row>
    <row r="3437" spans="11:34" ht="14.5" x14ac:dyDescent="0.35">
      <c r="K3437" s="4"/>
      <c r="AC3437" s="7">
        <v>2022</v>
      </c>
      <c r="AD3437" s="7">
        <v>5</v>
      </c>
      <c r="AE3437" s="7">
        <v>24</v>
      </c>
      <c r="AF3437" s="8">
        <v>0.125</v>
      </c>
      <c r="AG3437" s="9">
        <v>7.9</v>
      </c>
      <c r="AH3437" s="10">
        <f t="shared" si="68"/>
        <v>8</v>
      </c>
    </row>
    <row r="3438" spans="11:34" ht="14.5" x14ac:dyDescent="0.35">
      <c r="K3438" s="4"/>
      <c r="AC3438" s="7">
        <v>2022</v>
      </c>
      <c r="AD3438" s="7">
        <v>5</v>
      </c>
      <c r="AE3438" s="7">
        <v>24</v>
      </c>
      <c r="AF3438" s="8">
        <v>0.16666666666666666</v>
      </c>
      <c r="AG3438" s="9">
        <v>8.4</v>
      </c>
      <c r="AH3438" s="10">
        <f t="shared" si="68"/>
        <v>8</v>
      </c>
    </row>
    <row r="3439" spans="11:34" ht="14.5" x14ac:dyDescent="0.35">
      <c r="K3439" s="4"/>
      <c r="AC3439" s="7">
        <v>2022</v>
      </c>
      <c r="AD3439" s="7">
        <v>5</v>
      </c>
      <c r="AE3439" s="7">
        <v>24</v>
      </c>
      <c r="AF3439" s="8">
        <v>0.20833333333333334</v>
      </c>
      <c r="AG3439" s="9">
        <v>8.6999999999999993</v>
      </c>
      <c r="AH3439" s="10">
        <f t="shared" si="68"/>
        <v>9</v>
      </c>
    </row>
    <row r="3440" spans="11:34" ht="14.5" x14ac:dyDescent="0.35">
      <c r="K3440" s="4"/>
      <c r="AC3440" s="7">
        <v>2022</v>
      </c>
      <c r="AD3440" s="7">
        <v>5</v>
      </c>
      <c r="AE3440" s="7">
        <v>24</v>
      </c>
      <c r="AF3440" s="8">
        <v>0.25</v>
      </c>
      <c r="AG3440" s="9">
        <v>8.9</v>
      </c>
      <c r="AH3440" s="10">
        <f t="shared" si="68"/>
        <v>9</v>
      </c>
    </row>
    <row r="3441" spans="11:34" ht="14.5" x14ac:dyDescent="0.35">
      <c r="K3441" s="4"/>
      <c r="AC3441" s="7">
        <v>2022</v>
      </c>
      <c r="AD3441" s="7">
        <v>5</v>
      </c>
      <c r="AE3441" s="7">
        <v>24</v>
      </c>
      <c r="AF3441" s="8">
        <v>0.29166666666666669</v>
      </c>
      <c r="AG3441" s="9">
        <v>10.199999999999999</v>
      </c>
      <c r="AH3441" s="10">
        <f t="shared" si="68"/>
        <v>10</v>
      </c>
    </row>
    <row r="3442" spans="11:34" ht="14.5" x14ac:dyDescent="0.35">
      <c r="K3442" s="4"/>
      <c r="AC3442" s="7">
        <v>2022</v>
      </c>
      <c r="AD3442" s="7">
        <v>5</v>
      </c>
      <c r="AE3442" s="7">
        <v>24</v>
      </c>
      <c r="AF3442" s="8">
        <v>0.33333333333333331</v>
      </c>
      <c r="AG3442" s="9">
        <v>13.4</v>
      </c>
      <c r="AH3442" s="10">
        <f t="shared" si="68"/>
        <v>13</v>
      </c>
    </row>
    <row r="3443" spans="11:34" ht="14.5" x14ac:dyDescent="0.35">
      <c r="K3443" s="4"/>
      <c r="AC3443" s="7">
        <v>2022</v>
      </c>
      <c r="AD3443" s="7">
        <v>5</v>
      </c>
      <c r="AE3443" s="7">
        <v>24</v>
      </c>
      <c r="AF3443" s="8">
        <v>0.375</v>
      </c>
      <c r="AG3443" s="9">
        <v>14.2</v>
      </c>
      <c r="AH3443" s="10">
        <f t="shared" si="68"/>
        <v>14</v>
      </c>
    </row>
    <row r="3444" spans="11:34" ht="14.5" x14ac:dyDescent="0.35">
      <c r="K3444" s="4"/>
      <c r="AC3444" s="7">
        <v>2022</v>
      </c>
      <c r="AD3444" s="7">
        <v>5</v>
      </c>
      <c r="AE3444" s="7">
        <v>24</v>
      </c>
      <c r="AF3444" s="8">
        <v>0.41666666666666669</v>
      </c>
      <c r="AG3444" s="9">
        <v>15.3</v>
      </c>
      <c r="AH3444" s="10">
        <f t="shared" si="68"/>
        <v>15</v>
      </c>
    </row>
    <row r="3445" spans="11:34" ht="14.5" x14ac:dyDescent="0.35">
      <c r="K3445" s="4"/>
      <c r="AC3445" s="7">
        <v>2022</v>
      </c>
      <c r="AD3445" s="7">
        <v>5</v>
      </c>
      <c r="AE3445" s="7">
        <v>24</v>
      </c>
      <c r="AF3445" s="8">
        <v>0.45833333333333331</v>
      </c>
      <c r="AG3445" s="9">
        <v>15.8</v>
      </c>
      <c r="AH3445" s="10">
        <f t="shared" si="68"/>
        <v>16</v>
      </c>
    </row>
    <row r="3446" spans="11:34" ht="14.5" x14ac:dyDescent="0.35">
      <c r="K3446" s="4"/>
      <c r="AC3446" s="7">
        <v>2022</v>
      </c>
      <c r="AD3446" s="7">
        <v>5</v>
      </c>
      <c r="AE3446" s="7">
        <v>24</v>
      </c>
      <c r="AF3446" s="8">
        <v>0.5</v>
      </c>
      <c r="AG3446" s="9">
        <v>15.6</v>
      </c>
      <c r="AH3446" s="10">
        <f t="shared" si="68"/>
        <v>16</v>
      </c>
    </row>
    <row r="3447" spans="11:34" ht="14.5" x14ac:dyDescent="0.35">
      <c r="K3447" s="4"/>
      <c r="AC3447" s="7">
        <v>2022</v>
      </c>
      <c r="AD3447" s="7">
        <v>5</v>
      </c>
      <c r="AE3447" s="7">
        <v>24</v>
      </c>
      <c r="AF3447" s="8">
        <v>0.54166666666666663</v>
      </c>
      <c r="AG3447" s="9">
        <v>15.8</v>
      </c>
      <c r="AH3447" s="10">
        <f t="shared" si="68"/>
        <v>16</v>
      </c>
    </row>
    <row r="3448" spans="11:34" ht="14.5" x14ac:dyDescent="0.35">
      <c r="K3448" s="4"/>
      <c r="AC3448" s="7">
        <v>2022</v>
      </c>
      <c r="AD3448" s="7">
        <v>5</v>
      </c>
      <c r="AE3448" s="7">
        <v>24</v>
      </c>
      <c r="AF3448" s="8">
        <v>0.58333333333333337</v>
      </c>
      <c r="AG3448" s="9">
        <v>14.8</v>
      </c>
      <c r="AH3448" s="10">
        <f t="shared" si="68"/>
        <v>15</v>
      </c>
    </row>
    <row r="3449" spans="11:34" ht="14.5" x14ac:dyDescent="0.35">
      <c r="K3449" s="4"/>
      <c r="AC3449" s="7">
        <v>2022</v>
      </c>
      <c r="AD3449" s="7">
        <v>5</v>
      </c>
      <c r="AE3449" s="7">
        <v>24</v>
      </c>
      <c r="AF3449" s="8">
        <v>0.625</v>
      </c>
      <c r="AG3449" s="9">
        <v>14.2</v>
      </c>
      <c r="AH3449" s="10">
        <f t="shared" si="68"/>
        <v>14</v>
      </c>
    </row>
    <row r="3450" spans="11:34" ht="14.5" x14ac:dyDescent="0.35">
      <c r="K3450" s="4"/>
      <c r="AC3450" s="7">
        <v>2022</v>
      </c>
      <c r="AD3450" s="7">
        <v>5</v>
      </c>
      <c r="AE3450" s="7">
        <v>24</v>
      </c>
      <c r="AF3450" s="8">
        <v>0.66666666666666663</v>
      </c>
      <c r="AG3450" s="9">
        <v>15.6</v>
      </c>
      <c r="AH3450" s="10">
        <f t="shared" si="68"/>
        <v>16</v>
      </c>
    </row>
    <row r="3451" spans="11:34" ht="14.5" x14ac:dyDescent="0.35">
      <c r="K3451" s="4"/>
      <c r="AC3451" s="7">
        <v>2022</v>
      </c>
      <c r="AD3451" s="7">
        <v>5</v>
      </c>
      <c r="AE3451" s="7">
        <v>24</v>
      </c>
      <c r="AF3451" s="8">
        <v>0.70833333333333337</v>
      </c>
      <c r="AG3451" s="9">
        <v>16</v>
      </c>
      <c r="AH3451" s="10">
        <f t="shared" si="68"/>
        <v>16</v>
      </c>
    </row>
    <row r="3452" spans="11:34" ht="14.5" x14ac:dyDescent="0.35">
      <c r="K3452" s="4"/>
      <c r="AC3452" s="7">
        <v>2022</v>
      </c>
      <c r="AD3452" s="7">
        <v>5</v>
      </c>
      <c r="AE3452" s="7">
        <v>24</v>
      </c>
      <c r="AF3452" s="8">
        <v>0.75</v>
      </c>
      <c r="AG3452" s="9">
        <v>14.8</v>
      </c>
      <c r="AH3452" s="10">
        <f t="shared" si="68"/>
        <v>15</v>
      </c>
    </row>
    <row r="3453" spans="11:34" ht="14.5" x14ac:dyDescent="0.35">
      <c r="K3453" s="4"/>
      <c r="AC3453" s="7">
        <v>2022</v>
      </c>
      <c r="AD3453" s="7">
        <v>5</v>
      </c>
      <c r="AE3453" s="7">
        <v>24</v>
      </c>
      <c r="AF3453" s="8">
        <v>0.79166666666666663</v>
      </c>
      <c r="AG3453" s="9">
        <v>14.3</v>
      </c>
      <c r="AH3453" s="10">
        <f t="shared" si="68"/>
        <v>14</v>
      </c>
    </row>
    <row r="3454" spans="11:34" ht="14.5" x14ac:dyDescent="0.35">
      <c r="K3454" s="4"/>
      <c r="AC3454" s="7">
        <v>2022</v>
      </c>
      <c r="AD3454" s="7">
        <v>5</v>
      </c>
      <c r="AE3454" s="7">
        <v>24</v>
      </c>
      <c r="AF3454" s="8">
        <v>0.83333333333333337</v>
      </c>
      <c r="AG3454" s="9">
        <v>13.9</v>
      </c>
      <c r="AH3454" s="10">
        <f t="shared" si="68"/>
        <v>14</v>
      </c>
    </row>
    <row r="3455" spans="11:34" ht="14.5" x14ac:dyDescent="0.35">
      <c r="K3455" s="4"/>
      <c r="AC3455" s="7">
        <v>2022</v>
      </c>
      <c r="AD3455" s="7">
        <v>5</v>
      </c>
      <c r="AE3455" s="7">
        <v>24</v>
      </c>
      <c r="AF3455" s="8">
        <v>0.875</v>
      </c>
      <c r="AG3455" s="9">
        <v>11</v>
      </c>
      <c r="AH3455" s="10">
        <f t="shared" si="68"/>
        <v>11</v>
      </c>
    </row>
    <row r="3456" spans="11:34" ht="14.5" x14ac:dyDescent="0.35">
      <c r="K3456" s="4"/>
      <c r="AC3456" s="7">
        <v>2022</v>
      </c>
      <c r="AD3456" s="7">
        <v>5</v>
      </c>
      <c r="AE3456" s="7">
        <v>24</v>
      </c>
      <c r="AF3456" s="8">
        <v>0.91666666666666663</v>
      </c>
      <c r="AG3456" s="9">
        <v>11.2</v>
      </c>
      <c r="AH3456" s="10">
        <f t="shared" si="68"/>
        <v>11</v>
      </c>
    </row>
    <row r="3457" spans="11:34" ht="14.5" x14ac:dyDescent="0.35">
      <c r="K3457" s="4"/>
      <c r="AC3457" s="7">
        <v>2022</v>
      </c>
      <c r="AD3457" s="7">
        <v>5</v>
      </c>
      <c r="AE3457" s="7">
        <v>24</v>
      </c>
      <c r="AF3457" s="8">
        <v>0.95833333333333337</v>
      </c>
      <c r="AG3457" s="9">
        <v>10.6</v>
      </c>
      <c r="AH3457" s="10">
        <f t="shared" si="68"/>
        <v>11</v>
      </c>
    </row>
    <row r="3458" spans="11:34" ht="14.5" x14ac:dyDescent="0.35">
      <c r="K3458" s="4"/>
      <c r="AC3458" s="7">
        <v>2022</v>
      </c>
      <c r="AD3458" s="7">
        <v>5</v>
      </c>
      <c r="AE3458" s="7">
        <v>25</v>
      </c>
      <c r="AF3458" s="8">
        <v>0</v>
      </c>
      <c r="AG3458" s="9">
        <v>9.8000000000000007</v>
      </c>
      <c r="AH3458" s="10">
        <f t="shared" si="68"/>
        <v>10</v>
      </c>
    </row>
    <row r="3459" spans="11:34" ht="14.5" x14ac:dyDescent="0.35">
      <c r="K3459" s="4"/>
      <c r="AC3459" s="7">
        <v>2022</v>
      </c>
      <c r="AD3459" s="7">
        <v>5</v>
      </c>
      <c r="AE3459" s="7">
        <v>25</v>
      </c>
      <c r="AF3459" s="8">
        <v>4.1666666666666664E-2</v>
      </c>
      <c r="AG3459" s="9">
        <v>9.4</v>
      </c>
      <c r="AH3459" s="10">
        <f t="shared" si="68"/>
        <v>9</v>
      </c>
    </row>
    <row r="3460" spans="11:34" ht="14.5" x14ac:dyDescent="0.35">
      <c r="K3460" s="4"/>
      <c r="AC3460" s="7">
        <v>2022</v>
      </c>
      <c r="AD3460" s="7">
        <v>5</v>
      </c>
      <c r="AE3460" s="7">
        <v>25</v>
      </c>
      <c r="AF3460" s="8">
        <v>8.3333333333333329E-2</v>
      </c>
      <c r="AG3460" s="9">
        <v>9.3000000000000007</v>
      </c>
      <c r="AH3460" s="10">
        <f t="shared" si="68"/>
        <v>9</v>
      </c>
    </row>
    <row r="3461" spans="11:34" ht="14.5" x14ac:dyDescent="0.35">
      <c r="K3461" s="4"/>
      <c r="AC3461" s="7">
        <v>2022</v>
      </c>
      <c r="AD3461" s="7">
        <v>5</v>
      </c>
      <c r="AE3461" s="7">
        <v>25</v>
      </c>
      <c r="AF3461" s="8">
        <v>0.125</v>
      </c>
      <c r="AG3461" s="9">
        <v>7.6</v>
      </c>
      <c r="AH3461" s="10">
        <f t="shared" si="68"/>
        <v>8</v>
      </c>
    </row>
    <row r="3462" spans="11:34" ht="14.5" x14ac:dyDescent="0.35">
      <c r="K3462" s="4"/>
      <c r="AC3462" s="7">
        <v>2022</v>
      </c>
      <c r="AD3462" s="7">
        <v>5</v>
      </c>
      <c r="AE3462" s="7">
        <v>25</v>
      </c>
      <c r="AF3462" s="8">
        <v>0.16666666666666666</v>
      </c>
      <c r="AG3462" s="9">
        <v>7.4</v>
      </c>
      <c r="AH3462" s="10">
        <f t="shared" si="68"/>
        <v>7</v>
      </c>
    </row>
    <row r="3463" spans="11:34" ht="14.5" x14ac:dyDescent="0.35">
      <c r="K3463" s="4"/>
      <c r="AC3463" s="7">
        <v>2022</v>
      </c>
      <c r="AD3463" s="7">
        <v>5</v>
      </c>
      <c r="AE3463" s="7">
        <v>25</v>
      </c>
      <c r="AF3463" s="8">
        <v>0.20833333333333334</v>
      </c>
      <c r="AG3463" s="9">
        <v>9.5</v>
      </c>
      <c r="AH3463" s="10">
        <f t="shared" si="68"/>
        <v>10</v>
      </c>
    </row>
    <row r="3464" spans="11:34" ht="14.5" x14ac:dyDescent="0.35">
      <c r="K3464" s="4"/>
      <c r="AC3464" s="7">
        <v>2022</v>
      </c>
      <c r="AD3464" s="7">
        <v>5</v>
      </c>
      <c r="AE3464" s="7">
        <v>25</v>
      </c>
      <c r="AF3464" s="8">
        <v>0.25</v>
      </c>
      <c r="AG3464" s="9">
        <v>10.199999999999999</v>
      </c>
      <c r="AH3464" s="10">
        <f t="shared" si="68"/>
        <v>10</v>
      </c>
    </row>
    <row r="3465" spans="11:34" ht="14.5" x14ac:dyDescent="0.35">
      <c r="K3465" s="4"/>
      <c r="AC3465" s="7">
        <v>2022</v>
      </c>
      <c r="AD3465" s="7">
        <v>5</v>
      </c>
      <c r="AE3465" s="7">
        <v>25</v>
      </c>
      <c r="AF3465" s="8">
        <v>0.29166666666666669</v>
      </c>
      <c r="AG3465" s="9">
        <v>11.5</v>
      </c>
      <c r="AH3465" s="10">
        <f t="shared" si="68"/>
        <v>12</v>
      </c>
    </row>
    <row r="3466" spans="11:34" ht="14.5" x14ac:dyDescent="0.35">
      <c r="K3466" s="4"/>
      <c r="AC3466" s="7">
        <v>2022</v>
      </c>
      <c r="AD3466" s="7">
        <v>5</v>
      </c>
      <c r="AE3466" s="7">
        <v>25</v>
      </c>
      <c r="AF3466" s="8">
        <v>0.33333333333333331</v>
      </c>
      <c r="AG3466" s="9">
        <v>13.5</v>
      </c>
      <c r="AH3466" s="10">
        <f t="shared" si="68"/>
        <v>14</v>
      </c>
    </row>
    <row r="3467" spans="11:34" ht="14.5" x14ac:dyDescent="0.35">
      <c r="K3467" s="4"/>
      <c r="AC3467" s="7">
        <v>2022</v>
      </c>
      <c r="AD3467" s="7">
        <v>5</v>
      </c>
      <c r="AE3467" s="7">
        <v>25</v>
      </c>
      <c r="AF3467" s="8">
        <v>0.375</v>
      </c>
      <c r="AG3467" s="9">
        <v>15</v>
      </c>
      <c r="AH3467" s="10">
        <f t="shared" ref="AH3467:AH3530" si="69">ROUND(AG3467,0)</f>
        <v>15</v>
      </c>
    </row>
    <row r="3468" spans="11:34" ht="14.5" x14ac:dyDescent="0.35">
      <c r="K3468" s="4"/>
      <c r="AC3468" s="7">
        <v>2022</v>
      </c>
      <c r="AD3468" s="7">
        <v>5</v>
      </c>
      <c r="AE3468" s="7">
        <v>25</v>
      </c>
      <c r="AF3468" s="8">
        <v>0.41666666666666669</v>
      </c>
      <c r="AG3468" s="9">
        <v>15.9</v>
      </c>
      <c r="AH3468" s="10">
        <f t="shared" si="69"/>
        <v>16</v>
      </c>
    </row>
    <row r="3469" spans="11:34" ht="14.5" x14ac:dyDescent="0.35">
      <c r="K3469" s="4"/>
      <c r="AC3469" s="7">
        <v>2022</v>
      </c>
      <c r="AD3469" s="7">
        <v>5</v>
      </c>
      <c r="AE3469" s="7">
        <v>25</v>
      </c>
      <c r="AF3469" s="8">
        <v>0.45833333333333331</v>
      </c>
      <c r="AG3469" s="9">
        <v>16.7</v>
      </c>
      <c r="AH3469" s="10">
        <f t="shared" si="69"/>
        <v>17</v>
      </c>
    </row>
    <row r="3470" spans="11:34" ht="14.5" x14ac:dyDescent="0.35">
      <c r="K3470" s="4"/>
      <c r="AC3470" s="7">
        <v>2022</v>
      </c>
      <c r="AD3470" s="7">
        <v>5</v>
      </c>
      <c r="AE3470" s="7">
        <v>25</v>
      </c>
      <c r="AF3470" s="8">
        <v>0.5</v>
      </c>
      <c r="AG3470" s="9">
        <v>17.7</v>
      </c>
      <c r="AH3470" s="10">
        <f t="shared" si="69"/>
        <v>18</v>
      </c>
    </row>
    <row r="3471" spans="11:34" ht="14.5" x14ac:dyDescent="0.35">
      <c r="K3471" s="4"/>
      <c r="AC3471" s="7">
        <v>2022</v>
      </c>
      <c r="AD3471" s="7">
        <v>5</v>
      </c>
      <c r="AE3471" s="7">
        <v>25</v>
      </c>
      <c r="AF3471" s="8">
        <v>0.54166666666666663</v>
      </c>
      <c r="AG3471" s="9">
        <v>16.8</v>
      </c>
      <c r="AH3471" s="10">
        <f t="shared" si="69"/>
        <v>17</v>
      </c>
    </row>
    <row r="3472" spans="11:34" ht="14.5" x14ac:dyDescent="0.35">
      <c r="K3472" s="4"/>
      <c r="AC3472" s="7">
        <v>2022</v>
      </c>
      <c r="AD3472" s="7">
        <v>5</v>
      </c>
      <c r="AE3472" s="7">
        <v>25</v>
      </c>
      <c r="AF3472" s="8">
        <v>0.58333333333333337</v>
      </c>
      <c r="AG3472" s="9">
        <v>17.3</v>
      </c>
      <c r="AH3472" s="10">
        <f t="shared" si="69"/>
        <v>17</v>
      </c>
    </row>
    <row r="3473" spans="11:34" ht="14.5" x14ac:dyDescent="0.35">
      <c r="K3473" s="4"/>
      <c r="AC3473" s="7">
        <v>2022</v>
      </c>
      <c r="AD3473" s="7">
        <v>5</v>
      </c>
      <c r="AE3473" s="7">
        <v>25</v>
      </c>
      <c r="AF3473" s="8">
        <v>0.625</v>
      </c>
      <c r="AG3473" s="9">
        <v>17.8</v>
      </c>
      <c r="AH3473" s="10">
        <f t="shared" si="69"/>
        <v>18</v>
      </c>
    </row>
    <row r="3474" spans="11:34" ht="14.5" x14ac:dyDescent="0.35">
      <c r="K3474" s="4"/>
      <c r="AC3474" s="7">
        <v>2022</v>
      </c>
      <c r="AD3474" s="7">
        <v>5</v>
      </c>
      <c r="AE3474" s="7">
        <v>25</v>
      </c>
      <c r="AF3474" s="8">
        <v>0.66666666666666663</v>
      </c>
      <c r="AG3474" s="9">
        <v>18.8</v>
      </c>
      <c r="AH3474" s="10">
        <f t="shared" si="69"/>
        <v>19</v>
      </c>
    </row>
    <row r="3475" spans="11:34" ht="14.5" x14ac:dyDescent="0.35">
      <c r="K3475" s="4"/>
      <c r="AC3475" s="7">
        <v>2022</v>
      </c>
      <c r="AD3475" s="7">
        <v>5</v>
      </c>
      <c r="AE3475" s="7">
        <v>25</v>
      </c>
      <c r="AF3475" s="8">
        <v>0.70833333333333337</v>
      </c>
      <c r="AG3475" s="9">
        <v>18.5</v>
      </c>
      <c r="AH3475" s="10">
        <f t="shared" si="69"/>
        <v>19</v>
      </c>
    </row>
    <row r="3476" spans="11:34" ht="14.5" x14ac:dyDescent="0.35">
      <c r="K3476" s="4"/>
      <c r="AC3476" s="7">
        <v>2022</v>
      </c>
      <c r="AD3476" s="7">
        <v>5</v>
      </c>
      <c r="AE3476" s="7">
        <v>25</v>
      </c>
      <c r="AF3476" s="8">
        <v>0.75</v>
      </c>
      <c r="AG3476" s="9">
        <v>17.899999999999999</v>
      </c>
      <c r="AH3476" s="10">
        <f t="shared" si="69"/>
        <v>18</v>
      </c>
    </row>
    <row r="3477" spans="11:34" ht="14.5" x14ac:dyDescent="0.35">
      <c r="K3477" s="4"/>
      <c r="AC3477" s="7">
        <v>2022</v>
      </c>
      <c r="AD3477" s="7">
        <v>5</v>
      </c>
      <c r="AE3477" s="7">
        <v>25</v>
      </c>
      <c r="AF3477" s="8">
        <v>0.79166666666666663</v>
      </c>
      <c r="AG3477" s="9">
        <v>16.600000000000001</v>
      </c>
      <c r="AH3477" s="10">
        <f t="shared" si="69"/>
        <v>17</v>
      </c>
    </row>
    <row r="3478" spans="11:34" ht="14.5" x14ac:dyDescent="0.35">
      <c r="K3478" s="4"/>
      <c r="AC3478" s="7">
        <v>2022</v>
      </c>
      <c r="AD3478" s="7">
        <v>5</v>
      </c>
      <c r="AE3478" s="7">
        <v>25</v>
      </c>
      <c r="AF3478" s="8">
        <v>0.83333333333333337</v>
      </c>
      <c r="AG3478" s="9">
        <v>15.2</v>
      </c>
      <c r="AH3478" s="10">
        <f t="shared" si="69"/>
        <v>15</v>
      </c>
    </row>
    <row r="3479" spans="11:34" ht="14.5" x14ac:dyDescent="0.35">
      <c r="K3479" s="4"/>
      <c r="AC3479" s="7">
        <v>2022</v>
      </c>
      <c r="AD3479" s="7">
        <v>5</v>
      </c>
      <c r="AE3479" s="7">
        <v>25</v>
      </c>
      <c r="AF3479" s="8">
        <v>0.875</v>
      </c>
      <c r="AG3479" s="9">
        <v>13.6</v>
      </c>
      <c r="AH3479" s="10">
        <f t="shared" si="69"/>
        <v>14</v>
      </c>
    </row>
    <row r="3480" spans="11:34" ht="14.5" x14ac:dyDescent="0.35">
      <c r="K3480" s="4"/>
      <c r="AC3480" s="7">
        <v>2022</v>
      </c>
      <c r="AD3480" s="7">
        <v>5</v>
      </c>
      <c r="AE3480" s="7">
        <v>25</v>
      </c>
      <c r="AF3480" s="8">
        <v>0.91666666666666663</v>
      </c>
      <c r="AG3480" s="9">
        <v>12.6</v>
      </c>
      <c r="AH3480" s="10">
        <f t="shared" si="69"/>
        <v>13</v>
      </c>
    </row>
    <row r="3481" spans="11:34" ht="14.5" x14ac:dyDescent="0.35">
      <c r="K3481" s="4"/>
      <c r="AC3481" s="7">
        <v>2022</v>
      </c>
      <c r="AD3481" s="7">
        <v>5</v>
      </c>
      <c r="AE3481" s="7">
        <v>25</v>
      </c>
      <c r="AF3481" s="8">
        <v>0.95833333333333337</v>
      </c>
      <c r="AG3481" s="9">
        <v>11</v>
      </c>
      <c r="AH3481" s="10">
        <f t="shared" si="69"/>
        <v>11</v>
      </c>
    </row>
    <row r="3482" spans="11:34" ht="14.5" x14ac:dyDescent="0.35">
      <c r="K3482" s="4"/>
      <c r="AC3482" s="7">
        <v>2022</v>
      </c>
      <c r="AD3482" s="7">
        <v>5</v>
      </c>
      <c r="AE3482" s="7">
        <v>26</v>
      </c>
      <c r="AF3482" s="8">
        <v>0</v>
      </c>
      <c r="AG3482" s="9">
        <v>10.4</v>
      </c>
      <c r="AH3482" s="10">
        <f t="shared" si="69"/>
        <v>10</v>
      </c>
    </row>
    <row r="3483" spans="11:34" ht="14.5" x14ac:dyDescent="0.35">
      <c r="K3483" s="4"/>
      <c r="AC3483" s="7">
        <v>2022</v>
      </c>
      <c r="AD3483" s="7">
        <v>5</v>
      </c>
      <c r="AE3483" s="7">
        <v>26</v>
      </c>
      <c r="AF3483" s="8">
        <v>4.1666666666666664E-2</v>
      </c>
      <c r="AG3483" s="9">
        <v>8.1999999999999993</v>
      </c>
      <c r="AH3483" s="10">
        <f t="shared" si="69"/>
        <v>8</v>
      </c>
    </row>
    <row r="3484" spans="11:34" ht="14.5" x14ac:dyDescent="0.35">
      <c r="K3484" s="4"/>
      <c r="AC3484" s="7">
        <v>2022</v>
      </c>
      <c r="AD3484" s="7">
        <v>5</v>
      </c>
      <c r="AE3484" s="7">
        <v>26</v>
      </c>
      <c r="AF3484" s="8">
        <v>8.3333333333333329E-2</v>
      </c>
      <c r="AG3484" s="9">
        <v>5.4</v>
      </c>
      <c r="AH3484" s="10">
        <f t="shared" si="69"/>
        <v>5</v>
      </c>
    </row>
    <row r="3485" spans="11:34" ht="14.5" x14ac:dyDescent="0.35">
      <c r="K3485" s="4"/>
      <c r="AC3485" s="7">
        <v>2022</v>
      </c>
      <c r="AD3485" s="7">
        <v>5</v>
      </c>
      <c r="AE3485" s="7">
        <v>26</v>
      </c>
      <c r="AF3485" s="8">
        <v>0.125</v>
      </c>
      <c r="AG3485" s="9">
        <v>7.9</v>
      </c>
      <c r="AH3485" s="10">
        <f t="shared" si="69"/>
        <v>8</v>
      </c>
    </row>
    <row r="3486" spans="11:34" ht="14.5" x14ac:dyDescent="0.35">
      <c r="K3486" s="4"/>
      <c r="AC3486" s="7">
        <v>2022</v>
      </c>
      <c r="AD3486" s="7">
        <v>5</v>
      </c>
      <c r="AE3486" s="7">
        <v>26</v>
      </c>
      <c r="AF3486" s="8">
        <v>0.16666666666666666</v>
      </c>
      <c r="AG3486" s="9">
        <v>7</v>
      </c>
      <c r="AH3486" s="10">
        <f t="shared" si="69"/>
        <v>7</v>
      </c>
    </row>
    <row r="3487" spans="11:34" ht="14.5" x14ac:dyDescent="0.35">
      <c r="K3487" s="4"/>
      <c r="AC3487" s="7">
        <v>2022</v>
      </c>
      <c r="AD3487" s="7">
        <v>5</v>
      </c>
      <c r="AE3487" s="7">
        <v>26</v>
      </c>
      <c r="AF3487" s="8">
        <v>0.20833333333333334</v>
      </c>
      <c r="AG3487" s="9">
        <v>5.5</v>
      </c>
      <c r="AH3487" s="10">
        <f t="shared" si="69"/>
        <v>6</v>
      </c>
    </row>
    <row r="3488" spans="11:34" ht="14.5" x14ac:dyDescent="0.35">
      <c r="K3488" s="4"/>
      <c r="AC3488" s="7">
        <v>2022</v>
      </c>
      <c r="AD3488" s="7">
        <v>5</v>
      </c>
      <c r="AE3488" s="7">
        <v>26</v>
      </c>
      <c r="AF3488" s="8">
        <v>0.25</v>
      </c>
      <c r="AG3488" s="9">
        <v>7.8</v>
      </c>
      <c r="AH3488" s="10">
        <f t="shared" si="69"/>
        <v>8</v>
      </c>
    </row>
    <row r="3489" spans="11:34" ht="14.5" x14ac:dyDescent="0.35">
      <c r="K3489" s="4"/>
      <c r="AC3489" s="7">
        <v>2022</v>
      </c>
      <c r="AD3489" s="7">
        <v>5</v>
      </c>
      <c r="AE3489" s="7">
        <v>26</v>
      </c>
      <c r="AF3489" s="8">
        <v>0.29166666666666669</v>
      </c>
      <c r="AG3489" s="9">
        <v>10.9</v>
      </c>
      <c r="AH3489" s="10">
        <f t="shared" si="69"/>
        <v>11</v>
      </c>
    </row>
    <row r="3490" spans="11:34" ht="14.5" x14ac:dyDescent="0.35">
      <c r="K3490" s="4"/>
      <c r="AC3490" s="7">
        <v>2022</v>
      </c>
      <c r="AD3490" s="7">
        <v>5</v>
      </c>
      <c r="AE3490" s="7">
        <v>26</v>
      </c>
      <c r="AF3490" s="8">
        <v>0.33333333333333331</v>
      </c>
      <c r="AG3490" s="9">
        <v>13.4</v>
      </c>
      <c r="AH3490" s="10">
        <f t="shared" si="69"/>
        <v>13</v>
      </c>
    </row>
    <row r="3491" spans="11:34" ht="14.5" x14ac:dyDescent="0.35">
      <c r="K3491" s="4"/>
      <c r="AC3491" s="7">
        <v>2022</v>
      </c>
      <c r="AD3491" s="7">
        <v>5</v>
      </c>
      <c r="AE3491" s="7">
        <v>26</v>
      </c>
      <c r="AF3491" s="8">
        <v>0.375</v>
      </c>
      <c r="AG3491" s="9">
        <v>15.6</v>
      </c>
      <c r="AH3491" s="10">
        <f t="shared" si="69"/>
        <v>16</v>
      </c>
    </row>
    <row r="3492" spans="11:34" ht="14.5" x14ac:dyDescent="0.35">
      <c r="K3492" s="4"/>
      <c r="AC3492" s="7">
        <v>2022</v>
      </c>
      <c r="AD3492" s="7">
        <v>5</v>
      </c>
      <c r="AE3492" s="7">
        <v>26</v>
      </c>
      <c r="AF3492" s="8">
        <v>0.41666666666666669</v>
      </c>
      <c r="AG3492" s="9">
        <v>16.7</v>
      </c>
      <c r="AH3492" s="10">
        <f t="shared" si="69"/>
        <v>17</v>
      </c>
    </row>
    <row r="3493" spans="11:34" ht="14.5" x14ac:dyDescent="0.35">
      <c r="K3493" s="4"/>
      <c r="AC3493" s="7">
        <v>2022</v>
      </c>
      <c r="AD3493" s="7">
        <v>5</v>
      </c>
      <c r="AE3493" s="7">
        <v>26</v>
      </c>
      <c r="AF3493" s="8">
        <v>0.45833333333333331</v>
      </c>
      <c r="AG3493" s="9">
        <v>17.7</v>
      </c>
      <c r="AH3493" s="10">
        <f t="shared" si="69"/>
        <v>18</v>
      </c>
    </row>
    <row r="3494" spans="11:34" ht="14.5" x14ac:dyDescent="0.35">
      <c r="K3494" s="4"/>
      <c r="AC3494" s="7">
        <v>2022</v>
      </c>
      <c r="AD3494" s="7">
        <v>5</v>
      </c>
      <c r="AE3494" s="7">
        <v>26</v>
      </c>
      <c r="AF3494" s="8">
        <v>0.5</v>
      </c>
      <c r="AG3494" s="9">
        <v>17.899999999999999</v>
      </c>
      <c r="AH3494" s="10">
        <f t="shared" si="69"/>
        <v>18</v>
      </c>
    </row>
    <row r="3495" spans="11:34" ht="14.5" x14ac:dyDescent="0.35">
      <c r="K3495" s="4"/>
      <c r="AC3495" s="7">
        <v>2022</v>
      </c>
      <c r="AD3495" s="7">
        <v>5</v>
      </c>
      <c r="AE3495" s="7">
        <v>26</v>
      </c>
      <c r="AF3495" s="8">
        <v>0.54166666666666663</v>
      </c>
      <c r="AG3495" s="9">
        <v>19.7</v>
      </c>
      <c r="AH3495" s="10">
        <f t="shared" si="69"/>
        <v>20</v>
      </c>
    </row>
    <row r="3496" spans="11:34" ht="14.5" x14ac:dyDescent="0.35">
      <c r="K3496" s="4"/>
      <c r="AC3496" s="7">
        <v>2022</v>
      </c>
      <c r="AD3496" s="7">
        <v>5</v>
      </c>
      <c r="AE3496" s="7">
        <v>26</v>
      </c>
      <c r="AF3496" s="8">
        <v>0.58333333333333337</v>
      </c>
      <c r="AG3496" s="9">
        <v>19.7</v>
      </c>
      <c r="AH3496" s="10">
        <f t="shared" si="69"/>
        <v>20</v>
      </c>
    </row>
    <row r="3497" spans="11:34" ht="14.5" x14ac:dyDescent="0.35">
      <c r="K3497" s="4"/>
      <c r="AC3497" s="7">
        <v>2022</v>
      </c>
      <c r="AD3497" s="7">
        <v>5</v>
      </c>
      <c r="AE3497" s="7">
        <v>26</v>
      </c>
      <c r="AF3497" s="8">
        <v>0.625</v>
      </c>
      <c r="AG3497" s="9">
        <v>19.7</v>
      </c>
      <c r="AH3497" s="10">
        <f t="shared" si="69"/>
        <v>20</v>
      </c>
    </row>
    <row r="3498" spans="11:34" ht="14.5" x14ac:dyDescent="0.35">
      <c r="K3498" s="4"/>
      <c r="AC3498" s="7">
        <v>2022</v>
      </c>
      <c r="AD3498" s="7">
        <v>5</v>
      </c>
      <c r="AE3498" s="7">
        <v>26</v>
      </c>
      <c r="AF3498" s="8">
        <v>0.66666666666666663</v>
      </c>
      <c r="AG3498" s="9">
        <v>19.600000000000001</v>
      </c>
      <c r="AH3498" s="10">
        <f t="shared" si="69"/>
        <v>20</v>
      </c>
    </row>
    <row r="3499" spans="11:34" ht="14.5" x14ac:dyDescent="0.35">
      <c r="K3499" s="4"/>
      <c r="AC3499" s="7">
        <v>2022</v>
      </c>
      <c r="AD3499" s="7">
        <v>5</v>
      </c>
      <c r="AE3499" s="7">
        <v>26</v>
      </c>
      <c r="AF3499" s="8">
        <v>0.70833333333333337</v>
      </c>
      <c r="AG3499" s="9">
        <v>20</v>
      </c>
      <c r="AH3499" s="10">
        <f t="shared" si="69"/>
        <v>20</v>
      </c>
    </row>
    <row r="3500" spans="11:34" ht="14.5" x14ac:dyDescent="0.35">
      <c r="K3500" s="4"/>
      <c r="AC3500" s="7">
        <v>2022</v>
      </c>
      <c r="AD3500" s="7">
        <v>5</v>
      </c>
      <c r="AE3500" s="7">
        <v>26</v>
      </c>
      <c r="AF3500" s="8">
        <v>0.75</v>
      </c>
      <c r="AG3500" s="9">
        <v>20</v>
      </c>
      <c r="AH3500" s="10">
        <f t="shared" si="69"/>
        <v>20</v>
      </c>
    </row>
    <row r="3501" spans="11:34" ht="14.5" x14ac:dyDescent="0.35">
      <c r="K3501" s="4"/>
      <c r="AC3501" s="7">
        <v>2022</v>
      </c>
      <c r="AD3501" s="7">
        <v>5</v>
      </c>
      <c r="AE3501" s="7">
        <v>26</v>
      </c>
      <c r="AF3501" s="8">
        <v>0.79166666666666663</v>
      </c>
      <c r="AG3501" s="9">
        <v>19.100000000000001</v>
      </c>
      <c r="AH3501" s="10">
        <f t="shared" si="69"/>
        <v>19</v>
      </c>
    </row>
    <row r="3502" spans="11:34" ht="14.5" x14ac:dyDescent="0.35">
      <c r="K3502" s="4"/>
      <c r="AC3502" s="7">
        <v>2022</v>
      </c>
      <c r="AD3502" s="7">
        <v>5</v>
      </c>
      <c r="AE3502" s="7">
        <v>26</v>
      </c>
      <c r="AF3502" s="8">
        <v>0.83333333333333337</v>
      </c>
      <c r="AG3502" s="9">
        <v>17.899999999999999</v>
      </c>
      <c r="AH3502" s="10">
        <f t="shared" si="69"/>
        <v>18</v>
      </c>
    </row>
    <row r="3503" spans="11:34" ht="14.5" x14ac:dyDescent="0.35">
      <c r="K3503" s="4"/>
      <c r="AC3503" s="7">
        <v>2022</v>
      </c>
      <c r="AD3503" s="7">
        <v>5</v>
      </c>
      <c r="AE3503" s="7">
        <v>26</v>
      </c>
      <c r="AF3503" s="8">
        <v>0.875</v>
      </c>
      <c r="AG3503" s="9">
        <v>15.9</v>
      </c>
      <c r="AH3503" s="10">
        <f t="shared" si="69"/>
        <v>16</v>
      </c>
    </row>
    <row r="3504" spans="11:34" ht="14.5" x14ac:dyDescent="0.35">
      <c r="K3504" s="4"/>
      <c r="AC3504" s="7">
        <v>2022</v>
      </c>
      <c r="AD3504" s="7">
        <v>5</v>
      </c>
      <c r="AE3504" s="7">
        <v>26</v>
      </c>
      <c r="AF3504" s="8">
        <v>0.91666666666666663</v>
      </c>
      <c r="AG3504" s="9">
        <v>13.8</v>
      </c>
      <c r="AH3504" s="10">
        <f t="shared" si="69"/>
        <v>14</v>
      </c>
    </row>
    <row r="3505" spans="11:34" ht="14.5" x14ac:dyDescent="0.35">
      <c r="K3505" s="4"/>
      <c r="AC3505" s="7">
        <v>2022</v>
      </c>
      <c r="AD3505" s="7">
        <v>5</v>
      </c>
      <c r="AE3505" s="7">
        <v>26</v>
      </c>
      <c r="AF3505" s="8">
        <v>0.95833333333333337</v>
      </c>
      <c r="AG3505" s="9">
        <v>13.5</v>
      </c>
      <c r="AH3505" s="10">
        <f t="shared" si="69"/>
        <v>14</v>
      </c>
    </row>
    <row r="3506" spans="11:34" ht="14.5" x14ac:dyDescent="0.35">
      <c r="K3506" s="4"/>
      <c r="AC3506" s="7">
        <v>2022</v>
      </c>
      <c r="AD3506" s="7">
        <v>5</v>
      </c>
      <c r="AE3506" s="7">
        <v>27</v>
      </c>
      <c r="AF3506" s="8">
        <v>0</v>
      </c>
      <c r="AG3506" s="9">
        <v>10</v>
      </c>
      <c r="AH3506" s="10">
        <f t="shared" si="69"/>
        <v>10</v>
      </c>
    </row>
    <row r="3507" spans="11:34" ht="14.5" x14ac:dyDescent="0.35">
      <c r="K3507" s="4"/>
      <c r="AC3507" s="7">
        <v>2022</v>
      </c>
      <c r="AD3507" s="7">
        <v>5</v>
      </c>
      <c r="AE3507" s="7">
        <v>27</v>
      </c>
      <c r="AF3507" s="8">
        <v>4.1666666666666664E-2</v>
      </c>
      <c r="AG3507" s="9">
        <v>9.1999999999999993</v>
      </c>
      <c r="AH3507" s="10">
        <f t="shared" si="69"/>
        <v>9</v>
      </c>
    </row>
    <row r="3508" spans="11:34" ht="14.5" x14ac:dyDescent="0.35">
      <c r="K3508" s="4"/>
      <c r="AC3508" s="7">
        <v>2022</v>
      </c>
      <c r="AD3508" s="7">
        <v>5</v>
      </c>
      <c r="AE3508" s="7">
        <v>27</v>
      </c>
      <c r="AF3508" s="8">
        <v>8.3333333333333329E-2</v>
      </c>
      <c r="AG3508" s="9">
        <v>9.6999999999999993</v>
      </c>
      <c r="AH3508" s="10">
        <f t="shared" si="69"/>
        <v>10</v>
      </c>
    </row>
    <row r="3509" spans="11:34" ht="14.5" x14ac:dyDescent="0.35">
      <c r="K3509" s="4"/>
      <c r="AC3509" s="7">
        <v>2022</v>
      </c>
      <c r="AD3509" s="7">
        <v>5</v>
      </c>
      <c r="AE3509" s="7">
        <v>27</v>
      </c>
      <c r="AF3509" s="8">
        <v>0.125</v>
      </c>
      <c r="AG3509" s="9">
        <v>10</v>
      </c>
      <c r="AH3509" s="10">
        <f t="shared" si="69"/>
        <v>10</v>
      </c>
    </row>
    <row r="3510" spans="11:34" ht="14.5" x14ac:dyDescent="0.35">
      <c r="K3510" s="4"/>
      <c r="AC3510" s="7">
        <v>2022</v>
      </c>
      <c r="AD3510" s="7">
        <v>5</v>
      </c>
      <c r="AE3510" s="7">
        <v>27</v>
      </c>
      <c r="AF3510" s="8">
        <v>0.16666666666666666</v>
      </c>
      <c r="AG3510" s="9">
        <v>10.9</v>
      </c>
      <c r="AH3510" s="10">
        <f t="shared" si="69"/>
        <v>11</v>
      </c>
    </row>
    <row r="3511" spans="11:34" ht="14.5" x14ac:dyDescent="0.35">
      <c r="K3511" s="4"/>
      <c r="AC3511" s="7">
        <v>2022</v>
      </c>
      <c r="AD3511" s="7">
        <v>5</v>
      </c>
      <c r="AE3511" s="7">
        <v>27</v>
      </c>
      <c r="AF3511" s="8">
        <v>0.20833333333333334</v>
      </c>
      <c r="AG3511" s="9">
        <v>10.7</v>
      </c>
      <c r="AH3511" s="10">
        <f t="shared" si="69"/>
        <v>11</v>
      </c>
    </row>
    <row r="3512" spans="11:34" ht="14.5" x14ac:dyDescent="0.35">
      <c r="K3512" s="4"/>
      <c r="AC3512" s="7">
        <v>2022</v>
      </c>
      <c r="AD3512" s="7">
        <v>5</v>
      </c>
      <c r="AE3512" s="7">
        <v>27</v>
      </c>
      <c r="AF3512" s="8">
        <v>0.25</v>
      </c>
      <c r="AG3512" s="9">
        <v>10.4</v>
      </c>
      <c r="AH3512" s="10">
        <f t="shared" si="69"/>
        <v>10</v>
      </c>
    </row>
    <row r="3513" spans="11:34" ht="14.5" x14ac:dyDescent="0.35">
      <c r="K3513" s="4"/>
      <c r="AC3513" s="7">
        <v>2022</v>
      </c>
      <c r="AD3513" s="7">
        <v>5</v>
      </c>
      <c r="AE3513" s="7">
        <v>27</v>
      </c>
      <c r="AF3513" s="8">
        <v>0.29166666666666669</v>
      </c>
      <c r="AG3513" s="9">
        <v>12.5</v>
      </c>
      <c r="AH3513" s="10">
        <f t="shared" si="69"/>
        <v>13</v>
      </c>
    </row>
    <row r="3514" spans="11:34" ht="14.5" x14ac:dyDescent="0.35">
      <c r="K3514" s="4"/>
      <c r="AC3514" s="7">
        <v>2022</v>
      </c>
      <c r="AD3514" s="7">
        <v>5</v>
      </c>
      <c r="AE3514" s="7">
        <v>27</v>
      </c>
      <c r="AF3514" s="8">
        <v>0.33333333333333331</v>
      </c>
      <c r="AG3514" s="9">
        <v>13.5</v>
      </c>
      <c r="AH3514" s="10">
        <f t="shared" si="69"/>
        <v>14</v>
      </c>
    </row>
    <row r="3515" spans="11:34" ht="14.5" x14ac:dyDescent="0.35">
      <c r="K3515" s="4"/>
      <c r="AC3515" s="7">
        <v>2022</v>
      </c>
      <c r="AD3515" s="7">
        <v>5</v>
      </c>
      <c r="AE3515" s="7">
        <v>27</v>
      </c>
      <c r="AF3515" s="8">
        <v>0.375</v>
      </c>
      <c r="AG3515" s="9">
        <v>16.3</v>
      </c>
      <c r="AH3515" s="10">
        <f t="shared" si="69"/>
        <v>16</v>
      </c>
    </row>
    <row r="3516" spans="11:34" ht="14.5" x14ac:dyDescent="0.35">
      <c r="K3516" s="4"/>
      <c r="AC3516" s="7">
        <v>2022</v>
      </c>
      <c r="AD3516" s="7">
        <v>5</v>
      </c>
      <c r="AE3516" s="7">
        <v>27</v>
      </c>
      <c r="AF3516" s="8">
        <v>0.41666666666666669</v>
      </c>
      <c r="AG3516" s="9">
        <v>18.3</v>
      </c>
      <c r="AH3516" s="10">
        <f t="shared" si="69"/>
        <v>18</v>
      </c>
    </row>
    <row r="3517" spans="11:34" ht="14.5" x14ac:dyDescent="0.35">
      <c r="K3517" s="4"/>
      <c r="AC3517" s="7">
        <v>2022</v>
      </c>
      <c r="AD3517" s="7">
        <v>5</v>
      </c>
      <c r="AE3517" s="7">
        <v>27</v>
      </c>
      <c r="AF3517" s="8">
        <v>0.45833333333333331</v>
      </c>
      <c r="AG3517" s="9">
        <v>19.3</v>
      </c>
      <c r="AH3517" s="10">
        <f t="shared" si="69"/>
        <v>19</v>
      </c>
    </row>
    <row r="3518" spans="11:34" ht="14.5" x14ac:dyDescent="0.35">
      <c r="K3518" s="4"/>
      <c r="AC3518" s="7">
        <v>2022</v>
      </c>
      <c r="AD3518" s="7">
        <v>5</v>
      </c>
      <c r="AE3518" s="7">
        <v>27</v>
      </c>
      <c r="AF3518" s="8">
        <v>0.5</v>
      </c>
      <c r="AG3518" s="9">
        <v>20.399999999999999</v>
      </c>
      <c r="AH3518" s="10">
        <f t="shared" si="69"/>
        <v>20</v>
      </c>
    </row>
    <row r="3519" spans="11:34" ht="14.5" x14ac:dyDescent="0.35">
      <c r="K3519" s="4"/>
      <c r="AC3519" s="7">
        <v>2022</v>
      </c>
      <c r="AD3519" s="7">
        <v>5</v>
      </c>
      <c r="AE3519" s="7">
        <v>27</v>
      </c>
      <c r="AF3519" s="8">
        <v>0.54166666666666663</v>
      </c>
      <c r="AG3519" s="9">
        <v>21</v>
      </c>
      <c r="AH3519" s="10">
        <f t="shared" si="69"/>
        <v>21</v>
      </c>
    </row>
    <row r="3520" spans="11:34" ht="14.5" x14ac:dyDescent="0.35">
      <c r="K3520" s="4"/>
      <c r="AC3520" s="7">
        <v>2022</v>
      </c>
      <c r="AD3520" s="7">
        <v>5</v>
      </c>
      <c r="AE3520" s="7">
        <v>27</v>
      </c>
      <c r="AF3520" s="8">
        <v>0.58333333333333337</v>
      </c>
      <c r="AG3520" s="9">
        <v>20.6</v>
      </c>
      <c r="AH3520" s="10">
        <f t="shared" si="69"/>
        <v>21</v>
      </c>
    </row>
    <row r="3521" spans="11:34" ht="14.5" x14ac:dyDescent="0.35">
      <c r="K3521" s="4"/>
      <c r="AC3521" s="7">
        <v>2022</v>
      </c>
      <c r="AD3521" s="7">
        <v>5</v>
      </c>
      <c r="AE3521" s="7">
        <v>27</v>
      </c>
      <c r="AF3521" s="8">
        <v>0.625</v>
      </c>
      <c r="AG3521" s="9">
        <v>20.7</v>
      </c>
      <c r="AH3521" s="10">
        <f t="shared" si="69"/>
        <v>21</v>
      </c>
    </row>
    <row r="3522" spans="11:34" ht="14.5" x14ac:dyDescent="0.35">
      <c r="K3522" s="4"/>
      <c r="AC3522" s="7">
        <v>2022</v>
      </c>
      <c r="AD3522" s="7">
        <v>5</v>
      </c>
      <c r="AE3522" s="7">
        <v>27</v>
      </c>
      <c r="AF3522" s="8">
        <v>0.66666666666666663</v>
      </c>
      <c r="AG3522" s="9">
        <v>19.600000000000001</v>
      </c>
      <c r="AH3522" s="10">
        <f t="shared" si="69"/>
        <v>20</v>
      </c>
    </row>
    <row r="3523" spans="11:34" ht="14.5" x14ac:dyDescent="0.35">
      <c r="K3523" s="4"/>
      <c r="AC3523" s="7">
        <v>2022</v>
      </c>
      <c r="AD3523" s="7">
        <v>5</v>
      </c>
      <c r="AE3523" s="7">
        <v>27</v>
      </c>
      <c r="AF3523" s="8">
        <v>0.70833333333333337</v>
      </c>
      <c r="AG3523" s="9">
        <v>18.899999999999999</v>
      </c>
      <c r="AH3523" s="10">
        <f t="shared" si="69"/>
        <v>19</v>
      </c>
    </row>
    <row r="3524" spans="11:34" ht="14.5" x14ac:dyDescent="0.35">
      <c r="K3524" s="4"/>
      <c r="AC3524" s="7">
        <v>2022</v>
      </c>
      <c r="AD3524" s="7">
        <v>5</v>
      </c>
      <c r="AE3524" s="7">
        <v>27</v>
      </c>
      <c r="AF3524" s="8">
        <v>0.75</v>
      </c>
      <c r="AG3524" s="9">
        <v>18.5</v>
      </c>
      <c r="AH3524" s="10">
        <f t="shared" si="69"/>
        <v>19</v>
      </c>
    </row>
    <row r="3525" spans="11:34" ht="14.5" x14ac:dyDescent="0.35">
      <c r="K3525" s="4"/>
      <c r="AC3525" s="7">
        <v>2022</v>
      </c>
      <c r="AD3525" s="7">
        <v>5</v>
      </c>
      <c r="AE3525" s="7">
        <v>27</v>
      </c>
      <c r="AF3525" s="8">
        <v>0.79166666666666663</v>
      </c>
      <c r="AG3525" s="9">
        <v>17.8</v>
      </c>
      <c r="AH3525" s="10">
        <f t="shared" si="69"/>
        <v>18</v>
      </c>
    </row>
    <row r="3526" spans="11:34" ht="14.5" x14ac:dyDescent="0.35">
      <c r="K3526" s="4"/>
      <c r="AC3526" s="7">
        <v>2022</v>
      </c>
      <c r="AD3526" s="7">
        <v>5</v>
      </c>
      <c r="AE3526" s="7">
        <v>27</v>
      </c>
      <c r="AF3526" s="8">
        <v>0.83333333333333337</v>
      </c>
      <c r="AG3526" s="9">
        <v>15</v>
      </c>
      <c r="AH3526" s="10">
        <f t="shared" si="69"/>
        <v>15</v>
      </c>
    </row>
    <row r="3527" spans="11:34" ht="14.5" x14ac:dyDescent="0.35">
      <c r="K3527" s="4"/>
      <c r="AC3527" s="7">
        <v>2022</v>
      </c>
      <c r="AD3527" s="7">
        <v>5</v>
      </c>
      <c r="AE3527" s="7">
        <v>27</v>
      </c>
      <c r="AF3527" s="8">
        <v>0.875</v>
      </c>
      <c r="AG3527" s="9">
        <v>13.8</v>
      </c>
      <c r="AH3527" s="10">
        <f t="shared" si="69"/>
        <v>14</v>
      </c>
    </row>
    <row r="3528" spans="11:34" ht="14.5" x14ac:dyDescent="0.35">
      <c r="K3528" s="4"/>
      <c r="AC3528" s="7">
        <v>2022</v>
      </c>
      <c r="AD3528" s="7">
        <v>5</v>
      </c>
      <c r="AE3528" s="7">
        <v>27</v>
      </c>
      <c r="AF3528" s="8">
        <v>0.91666666666666663</v>
      </c>
      <c r="AG3528" s="9">
        <v>13.3</v>
      </c>
      <c r="AH3528" s="10">
        <f t="shared" si="69"/>
        <v>13</v>
      </c>
    </row>
    <row r="3529" spans="11:34" ht="14.5" x14ac:dyDescent="0.35">
      <c r="K3529" s="4"/>
      <c r="AC3529" s="7">
        <v>2022</v>
      </c>
      <c r="AD3529" s="7">
        <v>5</v>
      </c>
      <c r="AE3529" s="7">
        <v>27</v>
      </c>
      <c r="AF3529" s="8">
        <v>0.95833333333333337</v>
      </c>
      <c r="AG3529" s="9">
        <v>13.1</v>
      </c>
      <c r="AH3529" s="10">
        <f t="shared" si="69"/>
        <v>13</v>
      </c>
    </row>
    <row r="3530" spans="11:34" ht="14.5" x14ac:dyDescent="0.35">
      <c r="K3530" s="4"/>
      <c r="AC3530" s="7">
        <v>2022</v>
      </c>
      <c r="AD3530" s="7">
        <v>5</v>
      </c>
      <c r="AE3530" s="7">
        <v>28</v>
      </c>
      <c r="AF3530" s="8">
        <v>0</v>
      </c>
      <c r="AG3530" s="9">
        <v>12.6</v>
      </c>
      <c r="AH3530" s="10">
        <f t="shared" si="69"/>
        <v>13</v>
      </c>
    </row>
    <row r="3531" spans="11:34" ht="14.5" x14ac:dyDescent="0.35">
      <c r="K3531" s="4"/>
      <c r="AC3531" s="7">
        <v>2022</v>
      </c>
      <c r="AD3531" s="7">
        <v>5</v>
      </c>
      <c r="AE3531" s="7">
        <v>28</v>
      </c>
      <c r="AF3531" s="8">
        <v>4.1666666666666664E-2</v>
      </c>
      <c r="AG3531" s="9">
        <v>12.1</v>
      </c>
      <c r="AH3531" s="10">
        <f t="shared" ref="AH3531:AH3594" si="70">ROUND(AG3531,0)</f>
        <v>12</v>
      </c>
    </row>
    <row r="3532" spans="11:34" ht="14.5" x14ac:dyDescent="0.35">
      <c r="K3532" s="4"/>
      <c r="AC3532" s="7">
        <v>2022</v>
      </c>
      <c r="AD3532" s="7">
        <v>5</v>
      </c>
      <c r="AE3532" s="7">
        <v>28</v>
      </c>
      <c r="AF3532" s="8">
        <v>8.3333333333333329E-2</v>
      </c>
      <c r="AG3532" s="9">
        <v>10.3</v>
      </c>
      <c r="AH3532" s="10">
        <f t="shared" si="70"/>
        <v>10</v>
      </c>
    </row>
    <row r="3533" spans="11:34" ht="14.5" x14ac:dyDescent="0.35">
      <c r="K3533" s="4"/>
      <c r="AC3533" s="7">
        <v>2022</v>
      </c>
      <c r="AD3533" s="7">
        <v>5</v>
      </c>
      <c r="AE3533" s="7">
        <v>28</v>
      </c>
      <c r="AF3533" s="8">
        <v>0.125</v>
      </c>
      <c r="AG3533" s="9">
        <v>10.199999999999999</v>
      </c>
      <c r="AH3533" s="10">
        <f t="shared" si="70"/>
        <v>10</v>
      </c>
    </row>
    <row r="3534" spans="11:34" ht="14.5" x14ac:dyDescent="0.35">
      <c r="K3534" s="4"/>
      <c r="AC3534" s="7">
        <v>2022</v>
      </c>
      <c r="AD3534" s="7">
        <v>5</v>
      </c>
      <c r="AE3534" s="7">
        <v>28</v>
      </c>
      <c r="AF3534" s="8">
        <v>0.16666666666666666</v>
      </c>
      <c r="AG3534" s="9">
        <v>8.6999999999999993</v>
      </c>
      <c r="AH3534" s="10">
        <f t="shared" si="70"/>
        <v>9</v>
      </c>
    </row>
    <row r="3535" spans="11:34" ht="14.5" x14ac:dyDescent="0.35">
      <c r="K3535" s="4"/>
      <c r="AC3535" s="7">
        <v>2022</v>
      </c>
      <c r="AD3535" s="7">
        <v>5</v>
      </c>
      <c r="AE3535" s="7">
        <v>28</v>
      </c>
      <c r="AF3535" s="8">
        <v>0.20833333333333334</v>
      </c>
      <c r="AG3535" s="9">
        <v>8.9</v>
      </c>
      <c r="AH3535" s="10">
        <f t="shared" si="70"/>
        <v>9</v>
      </c>
    </row>
    <row r="3536" spans="11:34" ht="14.5" x14ac:dyDescent="0.35">
      <c r="K3536" s="4"/>
      <c r="AC3536" s="7">
        <v>2022</v>
      </c>
      <c r="AD3536" s="7">
        <v>5</v>
      </c>
      <c r="AE3536" s="7">
        <v>28</v>
      </c>
      <c r="AF3536" s="8">
        <v>0.25</v>
      </c>
      <c r="AG3536" s="9">
        <v>8.5</v>
      </c>
      <c r="AH3536" s="10">
        <f t="shared" si="70"/>
        <v>9</v>
      </c>
    </row>
    <row r="3537" spans="11:34" ht="14.5" x14ac:dyDescent="0.35">
      <c r="K3537" s="4"/>
      <c r="AC3537" s="7">
        <v>2022</v>
      </c>
      <c r="AD3537" s="7">
        <v>5</v>
      </c>
      <c r="AE3537" s="7">
        <v>28</v>
      </c>
      <c r="AF3537" s="8">
        <v>0.29166666666666669</v>
      </c>
      <c r="AG3537" s="9">
        <v>10.3</v>
      </c>
      <c r="AH3537" s="10">
        <f t="shared" si="70"/>
        <v>10</v>
      </c>
    </row>
    <row r="3538" spans="11:34" ht="14.5" x14ac:dyDescent="0.35">
      <c r="K3538" s="4"/>
      <c r="AC3538" s="7">
        <v>2022</v>
      </c>
      <c r="AD3538" s="7">
        <v>5</v>
      </c>
      <c r="AE3538" s="7">
        <v>28</v>
      </c>
      <c r="AF3538" s="8">
        <v>0.33333333333333331</v>
      </c>
      <c r="AG3538" s="9">
        <v>12.6</v>
      </c>
      <c r="AH3538" s="10">
        <f t="shared" si="70"/>
        <v>13</v>
      </c>
    </row>
    <row r="3539" spans="11:34" ht="14.5" x14ac:dyDescent="0.35">
      <c r="K3539" s="4"/>
      <c r="AC3539" s="7">
        <v>2022</v>
      </c>
      <c r="AD3539" s="7">
        <v>5</v>
      </c>
      <c r="AE3539" s="7">
        <v>28</v>
      </c>
      <c r="AF3539" s="8">
        <v>0.375</v>
      </c>
      <c r="AG3539" s="9">
        <v>14.3</v>
      </c>
      <c r="AH3539" s="10">
        <f t="shared" si="70"/>
        <v>14</v>
      </c>
    </row>
    <row r="3540" spans="11:34" ht="14.5" x14ac:dyDescent="0.35">
      <c r="K3540" s="4"/>
      <c r="AC3540" s="7">
        <v>2022</v>
      </c>
      <c r="AD3540" s="7">
        <v>5</v>
      </c>
      <c r="AE3540" s="7">
        <v>28</v>
      </c>
      <c r="AF3540" s="8">
        <v>0.41666666666666669</v>
      </c>
      <c r="AG3540" s="9">
        <v>14.4</v>
      </c>
      <c r="AH3540" s="10">
        <f t="shared" si="70"/>
        <v>14</v>
      </c>
    </row>
    <row r="3541" spans="11:34" ht="14.5" x14ac:dyDescent="0.35">
      <c r="K3541" s="4"/>
      <c r="AC3541" s="7">
        <v>2022</v>
      </c>
      <c r="AD3541" s="7">
        <v>5</v>
      </c>
      <c r="AE3541" s="7">
        <v>28</v>
      </c>
      <c r="AF3541" s="8">
        <v>0.45833333333333331</v>
      </c>
      <c r="AG3541" s="9">
        <v>15.5</v>
      </c>
      <c r="AH3541" s="10">
        <f t="shared" si="70"/>
        <v>16</v>
      </c>
    </row>
    <row r="3542" spans="11:34" ht="14.5" x14ac:dyDescent="0.35">
      <c r="K3542" s="4"/>
      <c r="AC3542" s="7">
        <v>2022</v>
      </c>
      <c r="AD3542" s="7">
        <v>5</v>
      </c>
      <c r="AE3542" s="7">
        <v>28</v>
      </c>
      <c r="AF3542" s="8">
        <v>0.5</v>
      </c>
      <c r="AG3542" s="9">
        <v>16.399999999999999</v>
      </c>
      <c r="AH3542" s="10">
        <f t="shared" si="70"/>
        <v>16</v>
      </c>
    </row>
    <row r="3543" spans="11:34" ht="14.5" x14ac:dyDescent="0.35">
      <c r="K3543" s="4"/>
      <c r="AC3543" s="7">
        <v>2022</v>
      </c>
      <c r="AD3543" s="7">
        <v>5</v>
      </c>
      <c r="AE3543" s="7">
        <v>28</v>
      </c>
      <c r="AF3543" s="8">
        <v>0.54166666666666663</v>
      </c>
      <c r="AG3543" s="9">
        <v>16.899999999999999</v>
      </c>
      <c r="AH3543" s="10">
        <f t="shared" si="70"/>
        <v>17</v>
      </c>
    </row>
    <row r="3544" spans="11:34" ht="14.5" x14ac:dyDescent="0.35">
      <c r="K3544" s="4"/>
      <c r="AC3544" s="7">
        <v>2022</v>
      </c>
      <c r="AD3544" s="7">
        <v>5</v>
      </c>
      <c r="AE3544" s="7">
        <v>28</v>
      </c>
      <c r="AF3544" s="8">
        <v>0.58333333333333337</v>
      </c>
      <c r="AG3544" s="9">
        <v>17</v>
      </c>
      <c r="AH3544" s="10">
        <f t="shared" si="70"/>
        <v>17</v>
      </c>
    </row>
    <row r="3545" spans="11:34" ht="14.5" x14ac:dyDescent="0.35">
      <c r="K3545" s="4"/>
      <c r="AC3545" s="7">
        <v>2022</v>
      </c>
      <c r="AD3545" s="7">
        <v>5</v>
      </c>
      <c r="AE3545" s="7">
        <v>28</v>
      </c>
      <c r="AF3545" s="8">
        <v>0.625</v>
      </c>
      <c r="AG3545" s="9">
        <v>16.5</v>
      </c>
      <c r="AH3545" s="10">
        <f t="shared" si="70"/>
        <v>17</v>
      </c>
    </row>
    <row r="3546" spans="11:34" ht="14.5" x14ac:dyDescent="0.35">
      <c r="K3546" s="4"/>
      <c r="AC3546" s="7">
        <v>2022</v>
      </c>
      <c r="AD3546" s="7">
        <v>5</v>
      </c>
      <c r="AE3546" s="7">
        <v>28</v>
      </c>
      <c r="AF3546" s="8">
        <v>0.66666666666666663</v>
      </c>
      <c r="AG3546" s="9">
        <v>17.3</v>
      </c>
      <c r="AH3546" s="10">
        <f t="shared" si="70"/>
        <v>17</v>
      </c>
    </row>
    <row r="3547" spans="11:34" ht="14.5" x14ac:dyDescent="0.35">
      <c r="K3547" s="4"/>
      <c r="AC3547" s="7">
        <v>2022</v>
      </c>
      <c r="AD3547" s="7">
        <v>5</v>
      </c>
      <c r="AE3547" s="7">
        <v>28</v>
      </c>
      <c r="AF3547" s="8">
        <v>0.70833333333333337</v>
      </c>
      <c r="AG3547" s="9">
        <v>17.8</v>
      </c>
      <c r="AH3547" s="10">
        <f t="shared" si="70"/>
        <v>18</v>
      </c>
    </row>
    <row r="3548" spans="11:34" ht="14.5" x14ac:dyDescent="0.35">
      <c r="K3548" s="4"/>
      <c r="AC3548" s="7">
        <v>2022</v>
      </c>
      <c r="AD3548" s="7">
        <v>5</v>
      </c>
      <c r="AE3548" s="7">
        <v>28</v>
      </c>
      <c r="AF3548" s="8">
        <v>0.75</v>
      </c>
      <c r="AG3548" s="9">
        <v>17.5</v>
      </c>
      <c r="AH3548" s="10">
        <f t="shared" si="70"/>
        <v>18</v>
      </c>
    </row>
    <row r="3549" spans="11:34" ht="14.5" x14ac:dyDescent="0.35">
      <c r="K3549" s="4"/>
      <c r="AC3549" s="7">
        <v>2022</v>
      </c>
      <c r="AD3549" s="7">
        <v>5</v>
      </c>
      <c r="AE3549" s="7">
        <v>28</v>
      </c>
      <c r="AF3549" s="8">
        <v>0.79166666666666663</v>
      </c>
      <c r="AG3549" s="9">
        <v>17.2</v>
      </c>
      <c r="AH3549" s="10">
        <f t="shared" si="70"/>
        <v>17</v>
      </c>
    </row>
    <row r="3550" spans="11:34" ht="14.5" x14ac:dyDescent="0.35">
      <c r="K3550" s="4"/>
      <c r="AC3550" s="7">
        <v>2022</v>
      </c>
      <c r="AD3550" s="7">
        <v>5</v>
      </c>
      <c r="AE3550" s="7">
        <v>28</v>
      </c>
      <c r="AF3550" s="8">
        <v>0.83333333333333337</v>
      </c>
      <c r="AG3550" s="9">
        <v>16.3</v>
      </c>
      <c r="AH3550" s="10">
        <f t="shared" si="70"/>
        <v>16</v>
      </c>
    </row>
    <row r="3551" spans="11:34" ht="14.5" x14ac:dyDescent="0.35">
      <c r="K3551" s="4"/>
      <c r="AC3551" s="7">
        <v>2022</v>
      </c>
      <c r="AD3551" s="7">
        <v>5</v>
      </c>
      <c r="AE3551" s="7">
        <v>28</v>
      </c>
      <c r="AF3551" s="8">
        <v>0.875</v>
      </c>
      <c r="AG3551" s="9">
        <v>14.1</v>
      </c>
      <c r="AH3551" s="10">
        <f t="shared" si="70"/>
        <v>14</v>
      </c>
    </row>
    <row r="3552" spans="11:34" ht="14.5" x14ac:dyDescent="0.35">
      <c r="K3552" s="4"/>
      <c r="AC3552" s="7">
        <v>2022</v>
      </c>
      <c r="AD3552" s="7">
        <v>5</v>
      </c>
      <c r="AE3552" s="7">
        <v>28</v>
      </c>
      <c r="AF3552" s="8">
        <v>0.91666666666666663</v>
      </c>
      <c r="AG3552" s="9">
        <v>11.6</v>
      </c>
      <c r="AH3552" s="10">
        <f t="shared" si="70"/>
        <v>12</v>
      </c>
    </row>
    <row r="3553" spans="11:34" ht="14.5" x14ac:dyDescent="0.35">
      <c r="K3553" s="4"/>
      <c r="AC3553" s="7">
        <v>2022</v>
      </c>
      <c r="AD3553" s="7">
        <v>5</v>
      </c>
      <c r="AE3553" s="7">
        <v>28</v>
      </c>
      <c r="AF3553" s="8">
        <v>0.95833333333333337</v>
      </c>
      <c r="AG3553" s="9">
        <v>11.4</v>
      </c>
      <c r="AH3553" s="10">
        <f t="shared" si="70"/>
        <v>11</v>
      </c>
    </row>
    <row r="3554" spans="11:34" ht="14.5" x14ac:dyDescent="0.35">
      <c r="K3554" s="4"/>
      <c r="AC3554" s="7">
        <v>2022</v>
      </c>
      <c r="AD3554" s="7">
        <v>5</v>
      </c>
      <c r="AE3554" s="7">
        <v>29</v>
      </c>
      <c r="AF3554" s="8">
        <v>0</v>
      </c>
      <c r="AG3554" s="9">
        <v>10.9</v>
      </c>
      <c r="AH3554" s="10">
        <f t="shared" si="70"/>
        <v>11</v>
      </c>
    </row>
    <row r="3555" spans="11:34" ht="14.5" x14ac:dyDescent="0.35">
      <c r="K3555" s="4"/>
      <c r="AC3555" s="7">
        <v>2022</v>
      </c>
      <c r="AD3555" s="7">
        <v>5</v>
      </c>
      <c r="AE3555" s="7">
        <v>29</v>
      </c>
      <c r="AF3555" s="8">
        <v>4.1666666666666664E-2</v>
      </c>
      <c r="AG3555" s="9">
        <v>8.9</v>
      </c>
      <c r="AH3555" s="10">
        <f t="shared" si="70"/>
        <v>9</v>
      </c>
    </row>
    <row r="3556" spans="11:34" ht="14.5" x14ac:dyDescent="0.35">
      <c r="K3556" s="4"/>
      <c r="AC3556" s="7">
        <v>2022</v>
      </c>
      <c r="AD3556" s="7">
        <v>5</v>
      </c>
      <c r="AE3556" s="7">
        <v>29</v>
      </c>
      <c r="AF3556" s="8">
        <v>8.3333333333333329E-2</v>
      </c>
      <c r="AG3556" s="9">
        <v>10.1</v>
      </c>
      <c r="AH3556" s="10">
        <f t="shared" si="70"/>
        <v>10</v>
      </c>
    </row>
    <row r="3557" spans="11:34" ht="14.5" x14ac:dyDescent="0.35">
      <c r="K3557" s="4"/>
      <c r="AC3557" s="7">
        <v>2022</v>
      </c>
      <c r="AD3557" s="7">
        <v>5</v>
      </c>
      <c r="AE3557" s="7">
        <v>29</v>
      </c>
      <c r="AF3557" s="8">
        <v>0.125</v>
      </c>
      <c r="AG3557" s="9">
        <v>10.6</v>
      </c>
      <c r="AH3557" s="10">
        <f t="shared" si="70"/>
        <v>11</v>
      </c>
    </row>
    <row r="3558" spans="11:34" ht="14.5" x14ac:dyDescent="0.35">
      <c r="K3558" s="4"/>
      <c r="AC3558" s="7">
        <v>2022</v>
      </c>
      <c r="AD3558" s="7">
        <v>5</v>
      </c>
      <c r="AE3558" s="7">
        <v>29</v>
      </c>
      <c r="AF3558" s="8">
        <v>0.16666666666666666</v>
      </c>
      <c r="AG3558" s="9">
        <v>9.3000000000000007</v>
      </c>
      <c r="AH3558" s="10">
        <f t="shared" si="70"/>
        <v>9</v>
      </c>
    </row>
    <row r="3559" spans="11:34" ht="14.5" x14ac:dyDescent="0.35">
      <c r="K3559" s="4"/>
      <c r="AC3559" s="7">
        <v>2022</v>
      </c>
      <c r="AD3559" s="7">
        <v>5</v>
      </c>
      <c r="AE3559" s="7">
        <v>29</v>
      </c>
      <c r="AF3559" s="8">
        <v>0.20833333333333334</v>
      </c>
      <c r="AG3559" s="9">
        <v>9.4</v>
      </c>
      <c r="AH3559" s="10">
        <f t="shared" si="70"/>
        <v>9</v>
      </c>
    </row>
    <row r="3560" spans="11:34" ht="14.5" x14ac:dyDescent="0.35">
      <c r="K3560" s="4"/>
      <c r="AC3560" s="7">
        <v>2022</v>
      </c>
      <c r="AD3560" s="7">
        <v>5</v>
      </c>
      <c r="AE3560" s="7">
        <v>29</v>
      </c>
      <c r="AF3560" s="8">
        <v>0.25</v>
      </c>
      <c r="AG3560" s="9">
        <v>8.9</v>
      </c>
      <c r="AH3560" s="10">
        <f t="shared" si="70"/>
        <v>9</v>
      </c>
    </row>
    <row r="3561" spans="11:34" ht="14.5" x14ac:dyDescent="0.35">
      <c r="K3561" s="4"/>
      <c r="AC3561" s="7">
        <v>2022</v>
      </c>
      <c r="AD3561" s="7">
        <v>5</v>
      </c>
      <c r="AE3561" s="7">
        <v>29</v>
      </c>
      <c r="AF3561" s="8">
        <v>0.29166666666666669</v>
      </c>
      <c r="AG3561" s="9">
        <v>8.6</v>
      </c>
      <c r="AH3561" s="10">
        <f t="shared" si="70"/>
        <v>9</v>
      </c>
    </row>
    <row r="3562" spans="11:34" ht="14.5" x14ac:dyDescent="0.35">
      <c r="K3562" s="4"/>
      <c r="AC3562" s="7">
        <v>2022</v>
      </c>
      <c r="AD3562" s="7">
        <v>5</v>
      </c>
      <c r="AE3562" s="7">
        <v>29</v>
      </c>
      <c r="AF3562" s="8">
        <v>0.33333333333333331</v>
      </c>
      <c r="AG3562" s="9">
        <v>9.3000000000000007</v>
      </c>
      <c r="AH3562" s="10">
        <f t="shared" si="70"/>
        <v>9</v>
      </c>
    </row>
    <row r="3563" spans="11:34" ht="14.5" x14ac:dyDescent="0.35">
      <c r="K3563" s="4"/>
      <c r="AC3563" s="7">
        <v>2022</v>
      </c>
      <c r="AD3563" s="7">
        <v>5</v>
      </c>
      <c r="AE3563" s="7">
        <v>29</v>
      </c>
      <c r="AF3563" s="8">
        <v>0.375</v>
      </c>
      <c r="AG3563" s="9">
        <v>10.8</v>
      </c>
      <c r="AH3563" s="10">
        <f t="shared" si="70"/>
        <v>11</v>
      </c>
    </row>
    <row r="3564" spans="11:34" ht="14.5" x14ac:dyDescent="0.35">
      <c r="K3564" s="4"/>
      <c r="AC3564" s="7">
        <v>2022</v>
      </c>
      <c r="AD3564" s="7">
        <v>5</v>
      </c>
      <c r="AE3564" s="7">
        <v>29</v>
      </c>
      <c r="AF3564" s="8">
        <v>0.41666666666666669</v>
      </c>
      <c r="AG3564" s="9">
        <v>12.1</v>
      </c>
      <c r="AH3564" s="10">
        <f t="shared" si="70"/>
        <v>12</v>
      </c>
    </row>
    <row r="3565" spans="11:34" ht="14.5" x14ac:dyDescent="0.35">
      <c r="K3565" s="4"/>
      <c r="AC3565" s="7">
        <v>2022</v>
      </c>
      <c r="AD3565" s="7">
        <v>5</v>
      </c>
      <c r="AE3565" s="7">
        <v>29</v>
      </c>
      <c r="AF3565" s="8">
        <v>0.45833333333333331</v>
      </c>
      <c r="AG3565" s="9">
        <v>12.7</v>
      </c>
      <c r="AH3565" s="10">
        <f t="shared" si="70"/>
        <v>13</v>
      </c>
    </row>
    <row r="3566" spans="11:34" ht="14.5" x14ac:dyDescent="0.35">
      <c r="K3566" s="4"/>
      <c r="AC3566" s="7">
        <v>2022</v>
      </c>
      <c r="AD3566" s="7">
        <v>5</v>
      </c>
      <c r="AE3566" s="7">
        <v>29</v>
      </c>
      <c r="AF3566" s="8">
        <v>0.5</v>
      </c>
      <c r="AG3566" s="9">
        <v>14.1</v>
      </c>
      <c r="AH3566" s="10">
        <f t="shared" si="70"/>
        <v>14</v>
      </c>
    </row>
    <row r="3567" spans="11:34" ht="14.5" x14ac:dyDescent="0.35">
      <c r="K3567" s="4"/>
      <c r="AC3567" s="7">
        <v>2022</v>
      </c>
      <c r="AD3567" s="7">
        <v>5</v>
      </c>
      <c r="AE3567" s="7">
        <v>29</v>
      </c>
      <c r="AF3567" s="8">
        <v>0.54166666666666663</v>
      </c>
      <c r="AG3567" s="9">
        <v>13.7</v>
      </c>
      <c r="AH3567" s="10">
        <f t="shared" si="70"/>
        <v>14</v>
      </c>
    </row>
    <row r="3568" spans="11:34" ht="14.5" x14ac:dyDescent="0.35">
      <c r="K3568" s="4"/>
      <c r="AC3568" s="7">
        <v>2022</v>
      </c>
      <c r="AD3568" s="7">
        <v>5</v>
      </c>
      <c r="AE3568" s="7">
        <v>29</v>
      </c>
      <c r="AF3568" s="8">
        <v>0.58333333333333337</v>
      </c>
      <c r="AG3568" s="9">
        <v>15</v>
      </c>
      <c r="AH3568" s="10">
        <f t="shared" si="70"/>
        <v>15</v>
      </c>
    </row>
    <row r="3569" spans="11:34" ht="14.5" x14ac:dyDescent="0.35">
      <c r="K3569" s="4"/>
      <c r="AC3569" s="7">
        <v>2022</v>
      </c>
      <c r="AD3569" s="7">
        <v>5</v>
      </c>
      <c r="AE3569" s="7">
        <v>29</v>
      </c>
      <c r="AF3569" s="8">
        <v>0.625</v>
      </c>
      <c r="AG3569" s="9">
        <v>14.9</v>
      </c>
      <c r="AH3569" s="10">
        <f t="shared" si="70"/>
        <v>15</v>
      </c>
    </row>
    <row r="3570" spans="11:34" ht="14.5" x14ac:dyDescent="0.35">
      <c r="K3570" s="4"/>
      <c r="AC3570" s="7">
        <v>2022</v>
      </c>
      <c r="AD3570" s="7">
        <v>5</v>
      </c>
      <c r="AE3570" s="7">
        <v>29</v>
      </c>
      <c r="AF3570" s="8">
        <v>0.66666666666666663</v>
      </c>
      <c r="AG3570" s="9">
        <v>14.7</v>
      </c>
      <c r="AH3570" s="10">
        <f t="shared" si="70"/>
        <v>15</v>
      </c>
    </row>
    <row r="3571" spans="11:34" ht="14.5" x14ac:dyDescent="0.35">
      <c r="K3571" s="4"/>
      <c r="AC3571" s="7">
        <v>2022</v>
      </c>
      <c r="AD3571" s="7">
        <v>5</v>
      </c>
      <c r="AE3571" s="7">
        <v>29</v>
      </c>
      <c r="AF3571" s="8">
        <v>0.70833333333333337</v>
      </c>
      <c r="AG3571" s="9">
        <v>14.7</v>
      </c>
      <c r="AH3571" s="10">
        <f t="shared" si="70"/>
        <v>15</v>
      </c>
    </row>
    <row r="3572" spans="11:34" ht="14.5" x14ac:dyDescent="0.35">
      <c r="K3572" s="4"/>
      <c r="AC3572" s="7">
        <v>2022</v>
      </c>
      <c r="AD3572" s="7">
        <v>5</v>
      </c>
      <c r="AE3572" s="7">
        <v>29</v>
      </c>
      <c r="AF3572" s="8">
        <v>0.75</v>
      </c>
      <c r="AG3572" s="9">
        <v>13.7</v>
      </c>
      <c r="AH3572" s="10">
        <f t="shared" si="70"/>
        <v>14</v>
      </c>
    </row>
    <row r="3573" spans="11:34" ht="14.5" x14ac:dyDescent="0.35">
      <c r="K3573" s="4"/>
      <c r="AC3573" s="7">
        <v>2022</v>
      </c>
      <c r="AD3573" s="7">
        <v>5</v>
      </c>
      <c r="AE3573" s="7">
        <v>29</v>
      </c>
      <c r="AF3573" s="8">
        <v>0.79166666666666663</v>
      </c>
      <c r="AG3573" s="9">
        <v>13.6</v>
      </c>
      <c r="AH3573" s="10">
        <f t="shared" si="70"/>
        <v>14</v>
      </c>
    </row>
    <row r="3574" spans="11:34" ht="14.5" x14ac:dyDescent="0.35">
      <c r="K3574" s="4"/>
      <c r="AC3574" s="7">
        <v>2022</v>
      </c>
      <c r="AD3574" s="7">
        <v>5</v>
      </c>
      <c r="AE3574" s="7">
        <v>29</v>
      </c>
      <c r="AF3574" s="8">
        <v>0.83333333333333337</v>
      </c>
      <c r="AG3574" s="9">
        <v>12.4</v>
      </c>
      <c r="AH3574" s="10">
        <f t="shared" si="70"/>
        <v>12</v>
      </c>
    </row>
    <row r="3575" spans="11:34" ht="14.5" x14ac:dyDescent="0.35">
      <c r="K3575" s="4"/>
      <c r="AC3575" s="7">
        <v>2022</v>
      </c>
      <c r="AD3575" s="7">
        <v>5</v>
      </c>
      <c r="AE3575" s="7">
        <v>29</v>
      </c>
      <c r="AF3575" s="8">
        <v>0.875</v>
      </c>
      <c r="AG3575" s="9">
        <v>10.7</v>
      </c>
      <c r="AH3575" s="10">
        <f t="shared" si="70"/>
        <v>11</v>
      </c>
    </row>
    <row r="3576" spans="11:34" ht="14.5" x14ac:dyDescent="0.35">
      <c r="K3576" s="4"/>
      <c r="AC3576" s="7">
        <v>2022</v>
      </c>
      <c r="AD3576" s="7">
        <v>5</v>
      </c>
      <c r="AE3576" s="7">
        <v>29</v>
      </c>
      <c r="AF3576" s="8">
        <v>0.91666666666666663</v>
      </c>
      <c r="AG3576" s="9">
        <v>9</v>
      </c>
      <c r="AH3576" s="10">
        <f t="shared" si="70"/>
        <v>9</v>
      </c>
    </row>
    <row r="3577" spans="11:34" ht="14.5" x14ac:dyDescent="0.35">
      <c r="K3577" s="4"/>
      <c r="AC3577" s="7">
        <v>2022</v>
      </c>
      <c r="AD3577" s="7">
        <v>5</v>
      </c>
      <c r="AE3577" s="7">
        <v>29</v>
      </c>
      <c r="AF3577" s="8">
        <v>0.95833333333333337</v>
      </c>
      <c r="AG3577" s="9">
        <v>8.1</v>
      </c>
      <c r="AH3577" s="10">
        <f t="shared" si="70"/>
        <v>8</v>
      </c>
    </row>
    <row r="3578" spans="11:34" ht="14.5" x14ac:dyDescent="0.35">
      <c r="K3578" s="4"/>
      <c r="AC3578" s="7">
        <v>2022</v>
      </c>
      <c r="AD3578" s="7">
        <v>5</v>
      </c>
      <c r="AE3578" s="7">
        <v>30</v>
      </c>
      <c r="AF3578" s="8">
        <v>0</v>
      </c>
      <c r="AG3578" s="9">
        <v>7.6</v>
      </c>
      <c r="AH3578" s="10">
        <f t="shared" si="70"/>
        <v>8</v>
      </c>
    </row>
    <row r="3579" spans="11:34" ht="14.5" x14ac:dyDescent="0.35">
      <c r="K3579" s="4"/>
      <c r="AC3579" s="7">
        <v>2022</v>
      </c>
      <c r="AD3579" s="7">
        <v>5</v>
      </c>
      <c r="AE3579" s="7">
        <v>30</v>
      </c>
      <c r="AF3579" s="8">
        <v>4.1666666666666664E-2</v>
      </c>
      <c r="AG3579" s="9">
        <v>7.5</v>
      </c>
      <c r="AH3579" s="10">
        <f t="shared" si="70"/>
        <v>8</v>
      </c>
    </row>
    <row r="3580" spans="11:34" ht="14.5" x14ac:dyDescent="0.35">
      <c r="K3580" s="4"/>
      <c r="AC3580" s="7">
        <v>2022</v>
      </c>
      <c r="AD3580" s="7">
        <v>5</v>
      </c>
      <c r="AE3580" s="7">
        <v>30</v>
      </c>
      <c r="AF3580" s="8">
        <v>8.3333333333333329E-2</v>
      </c>
      <c r="AG3580" s="9">
        <v>7.2</v>
      </c>
      <c r="AH3580" s="10">
        <f t="shared" si="70"/>
        <v>7</v>
      </c>
    </row>
    <row r="3581" spans="11:34" ht="14.5" x14ac:dyDescent="0.35">
      <c r="K3581" s="4"/>
      <c r="AC3581" s="7">
        <v>2022</v>
      </c>
      <c r="AD3581" s="7">
        <v>5</v>
      </c>
      <c r="AE3581" s="7">
        <v>30</v>
      </c>
      <c r="AF3581" s="8">
        <v>0.125</v>
      </c>
      <c r="AG3581" s="9">
        <v>7.4</v>
      </c>
      <c r="AH3581" s="10">
        <f t="shared" si="70"/>
        <v>7</v>
      </c>
    </row>
    <row r="3582" spans="11:34" ht="14.5" x14ac:dyDescent="0.35">
      <c r="K3582" s="4"/>
      <c r="AC3582" s="7">
        <v>2022</v>
      </c>
      <c r="AD3582" s="7">
        <v>5</v>
      </c>
      <c r="AE3582" s="7">
        <v>30</v>
      </c>
      <c r="AF3582" s="8">
        <v>0.16666666666666666</v>
      </c>
      <c r="AG3582" s="9">
        <v>7.2</v>
      </c>
      <c r="AH3582" s="10">
        <f t="shared" si="70"/>
        <v>7</v>
      </c>
    </row>
    <row r="3583" spans="11:34" ht="14.5" x14ac:dyDescent="0.35">
      <c r="K3583" s="4"/>
      <c r="AC3583" s="7">
        <v>2022</v>
      </c>
      <c r="AD3583" s="7">
        <v>5</v>
      </c>
      <c r="AE3583" s="7">
        <v>30</v>
      </c>
      <c r="AF3583" s="8">
        <v>0.20833333333333334</v>
      </c>
      <c r="AG3583" s="9">
        <v>6.9</v>
      </c>
      <c r="AH3583" s="10">
        <f t="shared" si="70"/>
        <v>7</v>
      </c>
    </row>
    <row r="3584" spans="11:34" ht="14.5" x14ac:dyDescent="0.35">
      <c r="K3584" s="4"/>
      <c r="AC3584" s="7">
        <v>2022</v>
      </c>
      <c r="AD3584" s="7">
        <v>5</v>
      </c>
      <c r="AE3584" s="7">
        <v>30</v>
      </c>
      <c r="AF3584" s="8">
        <v>0.25</v>
      </c>
      <c r="AG3584" s="9">
        <v>6.8</v>
      </c>
      <c r="AH3584" s="10">
        <f t="shared" si="70"/>
        <v>7</v>
      </c>
    </row>
    <row r="3585" spans="11:34" ht="14.5" x14ac:dyDescent="0.35">
      <c r="K3585" s="4"/>
      <c r="AC3585" s="7">
        <v>2022</v>
      </c>
      <c r="AD3585" s="7">
        <v>5</v>
      </c>
      <c r="AE3585" s="7">
        <v>30</v>
      </c>
      <c r="AF3585" s="8">
        <v>0.29166666666666669</v>
      </c>
      <c r="AG3585" s="9">
        <v>7.1</v>
      </c>
      <c r="AH3585" s="10">
        <f t="shared" si="70"/>
        <v>7</v>
      </c>
    </row>
    <row r="3586" spans="11:34" ht="14.5" x14ac:dyDescent="0.35">
      <c r="K3586" s="4"/>
      <c r="AC3586" s="7">
        <v>2022</v>
      </c>
      <c r="AD3586" s="7">
        <v>5</v>
      </c>
      <c r="AE3586" s="7">
        <v>30</v>
      </c>
      <c r="AF3586" s="8">
        <v>0.33333333333333331</v>
      </c>
      <c r="AG3586" s="9">
        <v>7.3</v>
      </c>
      <c r="AH3586" s="10">
        <f t="shared" si="70"/>
        <v>7</v>
      </c>
    </row>
    <row r="3587" spans="11:34" ht="14.5" x14ac:dyDescent="0.35">
      <c r="K3587" s="4"/>
      <c r="AC3587" s="7">
        <v>2022</v>
      </c>
      <c r="AD3587" s="7">
        <v>5</v>
      </c>
      <c r="AE3587" s="7">
        <v>30</v>
      </c>
      <c r="AF3587" s="8">
        <v>0.375</v>
      </c>
      <c r="AG3587" s="9">
        <v>7</v>
      </c>
      <c r="AH3587" s="10">
        <f t="shared" si="70"/>
        <v>7</v>
      </c>
    </row>
    <row r="3588" spans="11:34" ht="14.5" x14ac:dyDescent="0.35">
      <c r="K3588" s="4"/>
      <c r="AC3588" s="7">
        <v>2022</v>
      </c>
      <c r="AD3588" s="7">
        <v>5</v>
      </c>
      <c r="AE3588" s="7">
        <v>30</v>
      </c>
      <c r="AF3588" s="8">
        <v>0.41666666666666669</v>
      </c>
      <c r="AG3588" s="9">
        <v>7.1</v>
      </c>
      <c r="AH3588" s="10">
        <f t="shared" si="70"/>
        <v>7</v>
      </c>
    </row>
    <row r="3589" spans="11:34" ht="14.5" x14ac:dyDescent="0.35">
      <c r="K3589" s="4"/>
      <c r="AC3589" s="7">
        <v>2022</v>
      </c>
      <c r="AD3589" s="7">
        <v>5</v>
      </c>
      <c r="AE3589" s="7">
        <v>30</v>
      </c>
      <c r="AF3589" s="8">
        <v>0.45833333333333331</v>
      </c>
      <c r="AG3589" s="9">
        <v>9.1999999999999993</v>
      </c>
      <c r="AH3589" s="10">
        <f t="shared" si="70"/>
        <v>9</v>
      </c>
    </row>
    <row r="3590" spans="11:34" ht="14.5" x14ac:dyDescent="0.35">
      <c r="K3590" s="4"/>
      <c r="AC3590" s="7">
        <v>2022</v>
      </c>
      <c r="AD3590" s="7">
        <v>5</v>
      </c>
      <c r="AE3590" s="7">
        <v>30</v>
      </c>
      <c r="AF3590" s="8">
        <v>0.5</v>
      </c>
      <c r="AG3590" s="9">
        <v>9.9</v>
      </c>
      <c r="AH3590" s="10">
        <f t="shared" si="70"/>
        <v>10</v>
      </c>
    </row>
    <row r="3591" spans="11:34" ht="14.5" x14ac:dyDescent="0.35">
      <c r="K3591" s="4"/>
      <c r="AC3591" s="7">
        <v>2022</v>
      </c>
      <c r="AD3591" s="7">
        <v>5</v>
      </c>
      <c r="AE3591" s="7">
        <v>30</v>
      </c>
      <c r="AF3591" s="8">
        <v>0.54166666666666663</v>
      </c>
      <c r="AG3591" s="9">
        <v>11.7</v>
      </c>
      <c r="AH3591" s="10">
        <f t="shared" si="70"/>
        <v>12</v>
      </c>
    </row>
    <row r="3592" spans="11:34" ht="14.5" x14ac:dyDescent="0.35">
      <c r="K3592" s="4"/>
      <c r="AC3592" s="7">
        <v>2022</v>
      </c>
      <c r="AD3592" s="7">
        <v>5</v>
      </c>
      <c r="AE3592" s="7">
        <v>30</v>
      </c>
      <c r="AF3592" s="8">
        <v>0.58333333333333337</v>
      </c>
      <c r="AG3592" s="9">
        <v>13.5</v>
      </c>
      <c r="AH3592" s="10">
        <f t="shared" si="70"/>
        <v>14</v>
      </c>
    </row>
    <row r="3593" spans="11:34" ht="14.5" x14ac:dyDescent="0.35">
      <c r="K3593" s="4"/>
      <c r="AC3593" s="7">
        <v>2022</v>
      </c>
      <c r="AD3593" s="7">
        <v>5</v>
      </c>
      <c r="AE3593" s="7">
        <v>30</v>
      </c>
      <c r="AF3593" s="8">
        <v>0.625</v>
      </c>
      <c r="AG3593" s="9">
        <v>14</v>
      </c>
      <c r="AH3593" s="10">
        <f t="shared" si="70"/>
        <v>14</v>
      </c>
    </row>
    <row r="3594" spans="11:34" ht="14.5" x14ac:dyDescent="0.35">
      <c r="K3594" s="4"/>
      <c r="AC3594" s="7">
        <v>2022</v>
      </c>
      <c r="AD3594" s="7">
        <v>5</v>
      </c>
      <c r="AE3594" s="7">
        <v>30</v>
      </c>
      <c r="AF3594" s="8">
        <v>0.66666666666666663</v>
      </c>
      <c r="AG3594" s="9">
        <v>15.2</v>
      </c>
      <c r="AH3594" s="10">
        <f t="shared" si="70"/>
        <v>15</v>
      </c>
    </row>
    <row r="3595" spans="11:34" ht="14.5" x14ac:dyDescent="0.35">
      <c r="K3595" s="4"/>
      <c r="AC3595" s="7">
        <v>2022</v>
      </c>
      <c r="AD3595" s="7">
        <v>5</v>
      </c>
      <c r="AE3595" s="7">
        <v>30</v>
      </c>
      <c r="AF3595" s="8">
        <v>0.70833333333333337</v>
      </c>
      <c r="AG3595" s="9">
        <v>14.5</v>
      </c>
      <c r="AH3595" s="10">
        <f t="shared" ref="AH3595:AH3658" si="71">ROUND(AG3595,0)</f>
        <v>15</v>
      </c>
    </row>
    <row r="3596" spans="11:34" ht="14.5" x14ac:dyDescent="0.35">
      <c r="K3596" s="4"/>
      <c r="AC3596" s="7">
        <v>2022</v>
      </c>
      <c r="AD3596" s="7">
        <v>5</v>
      </c>
      <c r="AE3596" s="7">
        <v>30</v>
      </c>
      <c r="AF3596" s="8">
        <v>0.75</v>
      </c>
      <c r="AG3596" s="9">
        <v>14.5</v>
      </c>
      <c r="AH3596" s="10">
        <f t="shared" si="71"/>
        <v>15</v>
      </c>
    </row>
    <row r="3597" spans="11:34" ht="14.5" x14ac:dyDescent="0.35">
      <c r="K3597" s="4"/>
      <c r="AC3597" s="7">
        <v>2022</v>
      </c>
      <c r="AD3597" s="7">
        <v>5</v>
      </c>
      <c r="AE3597" s="7">
        <v>30</v>
      </c>
      <c r="AF3597" s="8">
        <v>0.79166666666666663</v>
      </c>
      <c r="AG3597" s="9">
        <v>13.5</v>
      </c>
      <c r="AH3597" s="10">
        <f t="shared" si="71"/>
        <v>14</v>
      </c>
    </row>
    <row r="3598" spans="11:34" ht="14.5" x14ac:dyDescent="0.35">
      <c r="K3598" s="4"/>
      <c r="AC3598" s="7">
        <v>2022</v>
      </c>
      <c r="AD3598" s="7">
        <v>5</v>
      </c>
      <c r="AE3598" s="7">
        <v>30</v>
      </c>
      <c r="AF3598" s="8">
        <v>0.83333333333333337</v>
      </c>
      <c r="AG3598" s="9">
        <v>12.2</v>
      </c>
      <c r="AH3598" s="10">
        <f t="shared" si="71"/>
        <v>12</v>
      </c>
    </row>
    <row r="3599" spans="11:34" ht="14.5" x14ac:dyDescent="0.35">
      <c r="K3599" s="4"/>
      <c r="AC3599" s="7">
        <v>2022</v>
      </c>
      <c r="AD3599" s="7">
        <v>5</v>
      </c>
      <c r="AE3599" s="7">
        <v>30</v>
      </c>
      <c r="AF3599" s="8">
        <v>0.875</v>
      </c>
      <c r="AG3599" s="9">
        <v>9.5</v>
      </c>
      <c r="AH3599" s="10">
        <f t="shared" si="71"/>
        <v>10</v>
      </c>
    </row>
    <row r="3600" spans="11:34" ht="14.5" x14ac:dyDescent="0.35">
      <c r="K3600" s="4"/>
      <c r="AC3600" s="7">
        <v>2022</v>
      </c>
      <c r="AD3600" s="7">
        <v>5</v>
      </c>
      <c r="AE3600" s="7">
        <v>30</v>
      </c>
      <c r="AF3600" s="8">
        <v>0.91666666666666663</v>
      </c>
      <c r="AG3600" s="9">
        <v>7.9</v>
      </c>
      <c r="AH3600" s="10">
        <f t="shared" si="71"/>
        <v>8</v>
      </c>
    </row>
    <row r="3601" spans="11:34" ht="14.5" x14ac:dyDescent="0.35">
      <c r="K3601" s="4"/>
      <c r="AC3601" s="7">
        <v>2022</v>
      </c>
      <c r="AD3601" s="7">
        <v>5</v>
      </c>
      <c r="AE3601" s="7">
        <v>30</v>
      </c>
      <c r="AF3601" s="8">
        <v>0.95833333333333337</v>
      </c>
      <c r="AG3601" s="9">
        <v>5.5</v>
      </c>
      <c r="AH3601" s="10">
        <f t="shared" si="71"/>
        <v>6</v>
      </c>
    </row>
    <row r="3602" spans="11:34" ht="14.5" x14ac:dyDescent="0.35">
      <c r="K3602" s="4"/>
      <c r="AC3602" s="7">
        <v>2022</v>
      </c>
      <c r="AD3602" s="7">
        <v>5</v>
      </c>
      <c r="AE3602" s="7">
        <v>31</v>
      </c>
      <c r="AF3602" s="8">
        <v>0</v>
      </c>
      <c r="AG3602" s="9">
        <v>4.3</v>
      </c>
      <c r="AH3602" s="10">
        <f t="shared" si="71"/>
        <v>4</v>
      </c>
    </row>
    <row r="3603" spans="11:34" ht="14.5" x14ac:dyDescent="0.35">
      <c r="K3603" s="4"/>
      <c r="AC3603" s="7">
        <v>2022</v>
      </c>
      <c r="AD3603" s="7">
        <v>5</v>
      </c>
      <c r="AE3603" s="7">
        <v>31</v>
      </c>
      <c r="AF3603" s="8">
        <v>4.1666666666666664E-2</v>
      </c>
      <c r="AG3603" s="9">
        <v>3.7</v>
      </c>
      <c r="AH3603" s="10">
        <f t="shared" si="71"/>
        <v>4</v>
      </c>
    </row>
    <row r="3604" spans="11:34" ht="14.5" x14ac:dyDescent="0.35">
      <c r="K3604" s="4"/>
      <c r="AC3604" s="7">
        <v>2022</v>
      </c>
      <c r="AD3604" s="7">
        <v>5</v>
      </c>
      <c r="AE3604" s="7">
        <v>31</v>
      </c>
      <c r="AF3604" s="8">
        <v>8.3333333333333329E-2</v>
      </c>
      <c r="AG3604" s="9">
        <v>2.9</v>
      </c>
      <c r="AH3604" s="10">
        <f t="shared" si="71"/>
        <v>3</v>
      </c>
    </row>
    <row r="3605" spans="11:34" ht="14.5" x14ac:dyDescent="0.35">
      <c r="K3605" s="4"/>
      <c r="AC3605" s="7">
        <v>2022</v>
      </c>
      <c r="AD3605" s="7">
        <v>5</v>
      </c>
      <c r="AE3605" s="7">
        <v>31</v>
      </c>
      <c r="AF3605" s="8">
        <v>0.125</v>
      </c>
      <c r="AG3605" s="9">
        <v>2</v>
      </c>
      <c r="AH3605" s="10">
        <f t="shared" si="71"/>
        <v>2</v>
      </c>
    </row>
    <row r="3606" spans="11:34" ht="14.5" x14ac:dyDescent="0.35">
      <c r="K3606" s="4"/>
      <c r="AC3606" s="7">
        <v>2022</v>
      </c>
      <c r="AD3606" s="7">
        <v>5</v>
      </c>
      <c r="AE3606" s="7">
        <v>31</v>
      </c>
      <c r="AF3606" s="8">
        <v>0.16666666666666666</v>
      </c>
      <c r="AG3606" s="9">
        <v>1.4</v>
      </c>
      <c r="AH3606" s="10">
        <f t="shared" si="71"/>
        <v>1</v>
      </c>
    </row>
    <row r="3607" spans="11:34" ht="14.5" x14ac:dyDescent="0.35">
      <c r="K3607" s="4"/>
      <c r="AC3607" s="7">
        <v>2022</v>
      </c>
      <c r="AD3607" s="7">
        <v>5</v>
      </c>
      <c r="AE3607" s="7">
        <v>31</v>
      </c>
      <c r="AF3607" s="8">
        <v>0.20833333333333334</v>
      </c>
      <c r="AG3607" s="9">
        <v>2</v>
      </c>
      <c r="AH3607" s="10">
        <f t="shared" si="71"/>
        <v>2</v>
      </c>
    </row>
    <row r="3608" spans="11:34" ht="14.5" x14ac:dyDescent="0.35">
      <c r="K3608" s="4"/>
      <c r="AC3608" s="7">
        <v>2022</v>
      </c>
      <c r="AD3608" s="7">
        <v>5</v>
      </c>
      <c r="AE3608" s="7">
        <v>31</v>
      </c>
      <c r="AF3608" s="8">
        <v>0.25</v>
      </c>
      <c r="AG3608" s="9">
        <v>5.3</v>
      </c>
      <c r="AH3608" s="10">
        <f t="shared" si="71"/>
        <v>5</v>
      </c>
    </row>
    <row r="3609" spans="11:34" ht="14.5" x14ac:dyDescent="0.35">
      <c r="K3609" s="4"/>
      <c r="AC3609" s="7">
        <v>2022</v>
      </c>
      <c r="AD3609" s="7">
        <v>5</v>
      </c>
      <c r="AE3609" s="7">
        <v>31</v>
      </c>
      <c r="AF3609" s="8">
        <v>0.29166666666666669</v>
      </c>
      <c r="AG3609" s="9">
        <v>9</v>
      </c>
      <c r="AH3609" s="10">
        <f t="shared" si="71"/>
        <v>9</v>
      </c>
    </row>
    <row r="3610" spans="11:34" ht="14.5" x14ac:dyDescent="0.35">
      <c r="K3610" s="4"/>
      <c r="AC3610" s="7">
        <v>2022</v>
      </c>
      <c r="AD3610" s="7">
        <v>5</v>
      </c>
      <c r="AE3610" s="7">
        <v>31</v>
      </c>
      <c r="AF3610" s="8">
        <v>0.33333333333333331</v>
      </c>
      <c r="AG3610" s="9">
        <v>10.8</v>
      </c>
      <c r="AH3610" s="10">
        <f t="shared" si="71"/>
        <v>11</v>
      </c>
    </row>
    <row r="3611" spans="11:34" ht="14.5" x14ac:dyDescent="0.35">
      <c r="K3611" s="4"/>
      <c r="AC3611" s="7">
        <v>2022</v>
      </c>
      <c r="AD3611" s="7">
        <v>5</v>
      </c>
      <c r="AE3611" s="7">
        <v>31</v>
      </c>
      <c r="AF3611" s="8">
        <v>0.375</v>
      </c>
      <c r="AG3611" s="9">
        <v>12.5</v>
      </c>
      <c r="AH3611" s="10">
        <f t="shared" si="71"/>
        <v>13</v>
      </c>
    </row>
    <row r="3612" spans="11:34" ht="14.5" x14ac:dyDescent="0.35">
      <c r="K3612" s="4"/>
      <c r="AC3612" s="7">
        <v>2022</v>
      </c>
      <c r="AD3612" s="7">
        <v>5</v>
      </c>
      <c r="AE3612" s="7">
        <v>31</v>
      </c>
      <c r="AF3612" s="8">
        <v>0.41666666666666669</v>
      </c>
      <c r="AG3612" s="9">
        <v>12.7</v>
      </c>
      <c r="AH3612" s="10">
        <f t="shared" si="71"/>
        <v>13</v>
      </c>
    </row>
    <row r="3613" spans="11:34" ht="14.5" x14ac:dyDescent="0.35">
      <c r="K3613" s="4"/>
      <c r="AC3613" s="7">
        <v>2022</v>
      </c>
      <c r="AD3613" s="7">
        <v>5</v>
      </c>
      <c r="AE3613" s="7">
        <v>31</v>
      </c>
      <c r="AF3613" s="8">
        <v>0.45833333333333331</v>
      </c>
      <c r="AG3613" s="9">
        <v>14.1</v>
      </c>
      <c r="AH3613" s="10">
        <f t="shared" si="71"/>
        <v>14</v>
      </c>
    </row>
    <row r="3614" spans="11:34" ht="14.5" x14ac:dyDescent="0.35">
      <c r="K3614" s="4"/>
      <c r="AC3614" s="7">
        <v>2022</v>
      </c>
      <c r="AD3614" s="7">
        <v>5</v>
      </c>
      <c r="AE3614" s="7">
        <v>31</v>
      </c>
      <c r="AF3614" s="8">
        <v>0.5</v>
      </c>
      <c r="AG3614" s="9">
        <v>14.4</v>
      </c>
      <c r="AH3614" s="10">
        <f t="shared" si="71"/>
        <v>14</v>
      </c>
    </row>
    <row r="3615" spans="11:34" ht="14.5" x14ac:dyDescent="0.35">
      <c r="K3615" s="4"/>
      <c r="AC3615" s="7">
        <v>2022</v>
      </c>
      <c r="AD3615" s="7">
        <v>5</v>
      </c>
      <c r="AE3615" s="7">
        <v>31</v>
      </c>
      <c r="AF3615" s="8">
        <v>0.54166666666666663</v>
      </c>
      <c r="AG3615" s="9">
        <v>14.9</v>
      </c>
      <c r="AH3615" s="10">
        <f t="shared" si="71"/>
        <v>15</v>
      </c>
    </row>
    <row r="3616" spans="11:34" ht="14.5" x14ac:dyDescent="0.35">
      <c r="K3616" s="4"/>
      <c r="AC3616" s="7">
        <v>2022</v>
      </c>
      <c r="AD3616" s="7">
        <v>5</v>
      </c>
      <c r="AE3616" s="7">
        <v>31</v>
      </c>
      <c r="AF3616" s="8">
        <v>0.58333333333333337</v>
      </c>
      <c r="AG3616" s="9">
        <v>16.600000000000001</v>
      </c>
      <c r="AH3616" s="10">
        <f t="shared" si="71"/>
        <v>17</v>
      </c>
    </row>
    <row r="3617" spans="11:34" ht="14.5" x14ac:dyDescent="0.35">
      <c r="K3617" s="4"/>
      <c r="AC3617" s="7">
        <v>2022</v>
      </c>
      <c r="AD3617" s="7">
        <v>5</v>
      </c>
      <c r="AE3617" s="7">
        <v>31</v>
      </c>
      <c r="AF3617" s="8">
        <v>0.625</v>
      </c>
      <c r="AG3617" s="9">
        <v>16.600000000000001</v>
      </c>
      <c r="AH3617" s="10">
        <f t="shared" si="71"/>
        <v>17</v>
      </c>
    </row>
    <row r="3618" spans="11:34" ht="14.5" x14ac:dyDescent="0.35">
      <c r="K3618" s="4"/>
      <c r="AC3618" s="7">
        <v>2022</v>
      </c>
      <c r="AD3618" s="7">
        <v>5</v>
      </c>
      <c r="AE3618" s="7">
        <v>31</v>
      </c>
      <c r="AF3618" s="8">
        <v>0.66666666666666663</v>
      </c>
      <c r="AG3618" s="9">
        <v>15.6</v>
      </c>
      <c r="AH3618" s="10">
        <f t="shared" si="71"/>
        <v>16</v>
      </c>
    </row>
    <row r="3619" spans="11:34" ht="14.5" x14ac:dyDescent="0.35">
      <c r="K3619" s="4"/>
      <c r="AC3619" s="7">
        <v>2022</v>
      </c>
      <c r="AD3619" s="7">
        <v>5</v>
      </c>
      <c r="AE3619" s="7">
        <v>31</v>
      </c>
      <c r="AF3619" s="8">
        <v>0.70833333333333337</v>
      </c>
      <c r="AG3619" s="9">
        <v>15.8</v>
      </c>
      <c r="AH3619" s="10">
        <f t="shared" si="71"/>
        <v>16</v>
      </c>
    </row>
    <row r="3620" spans="11:34" ht="14.5" x14ac:dyDescent="0.35">
      <c r="K3620" s="4"/>
      <c r="AC3620" s="7">
        <v>2022</v>
      </c>
      <c r="AD3620" s="7">
        <v>5</v>
      </c>
      <c r="AE3620" s="7">
        <v>31</v>
      </c>
      <c r="AF3620" s="8">
        <v>0.75</v>
      </c>
      <c r="AG3620" s="9">
        <v>15.7</v>
      </c>
      <c r="AH3620" s="10">
        <f t="shared" si="71"/>
        <v>16</v>
      </c>
    </row>
    <row r="3621" spans="11:34" ht="14.5" x14ac:dyDescent="0.35">
      <c r="K3621" s="4"/>
      <c r="AC3621" s="7">
        <v>2022</v>
      </c>
      <c r="AD3621" s="7">
        <v>5</v>
      </c>
      <c r="AE3621" s="7">
        <v>31</v>
      </c>
      <c r="AF3621" s="8">
        <v>0.79166666666666663</v>
      </c>
      <c r="AG3621" s="9">
        <v>15.6</v>
      </c>
      <c r="AH3621" s="10">
        <f t="shared" si="71"/>
        <v>16</v>
      </c>
    </row>
    <row r="3622" spans="11:34" ht="14.5" x14ac:dyDescent="0.35">
      <c r="K3622" s="4"/>
      <c r="AC3622" s="7">
        <v>2022</v>
      </c>
      <c r="AD3622" s="7">
        <v>5</v>
      </c>
      <c r="AE3622" s="7">
        <v>31</v>
      </c>
      <c r="AF3622" s="8">
        <v>0.83333333333333337</v>
      </c>
      <c r="AG3622" s="9">
        <v>14.7</v>
      </c>
      <c r="AH3622" s="10">
        <f t="shared" si="71"/>
        <v>15</v>
      </c>
    </row>
    <row r="3623" spans="11:34" ht="14.5" x14ac:dyDescent="0.35">
      <c r="K3623" s="4"/>
      <c r="AC3623" s="7">
        <v>2022</v>
      </c>
      <c r="AD3623" s="7">
        <v>5</v>
      </c>
      <c r="AE3623" s="7">
        <v>31</v>
      </c>
      <c r="AF3623" s="8">
        <v>0.875</v>
      </c>
      <c r="AG3623" s="9">
        <v>13.4</v>
      </c>
      <c r="AH3623" s="10">
        <f t="shared" si="71"/>
        <v>13</v>
      </c>
    </row>
    <row r="3624" spans="11:34" ht="14.5" x14ac:dyDescent="0.35">
      <c r="K3624" s="4"/>
      <c r="AC3624" s="7">
        <v>2022</v>
      </c>
      <c r="AD3624" s="7">
        <v>5</v>
      </c>
      <c r="AE3624" s="7">
        <v>31</v>
      </c>
      <c r="AF3624" s="8">
        <v>0.91666666666666663</v>
      </c>
      <c r="AG3624" s="9">
        <v>11.8</v>
      </c>
      <c r="AH3624" s="10">
        <f t="shared" si="71"/>
        <v>12</v>
      </c>
    </row>
    <row r="3625" spans="11:34" ht="14.5" x14ac:dyDescent="0.35">
      <c r="K3625" s="4"/>
      <c r="AC3625" s="7">
        <v>2022</v>
      </c>
      <c r="AD3625" s="7">
        <v>5</v>
      </c>
      <c r="AE3625" s="7">
        <v>31</v>
      </c>
      <c r="AF3625" s="8">
        <v>0.95833333333333337</v>
      </c>
      <c r="AG3625" s="9">
        <v>12.7</v>
      </c>
      <c r="AH3625" s="10">
        <f t="shared" si="71"/>
        <v>13</v>
      </c>
    </row>
    <row r="3626" spans="11:34" ht="14.5" x14ac:dyDescent="0.35">
      <c r="K3626" s="4"/>
      <c r="AC3626" s="384">
        <v>2022</v>
      </c>
      <c r="AD3626" s="384">
        <v>6</v>
      </c>
      <c r="AE3626" s="384">
        <v>1</v>
      </c>
      <c r="AF3626" s="385">
        <v>0</v>
      </c>
      <c r="AG3626" s="386">
        <v>10.7</v>
      </c>
      <c r="AH3626" s="387">
        <f t="shared" si="71"/>
        <v>11</v>
      </c>
    </row>
    <row r="3627" spans="11:34" ht="14.5" x14ac:dyDescent="0.35">
      <c r="K3627" s="4"/>
      <c r="AC3627" s="384">
        <v>2022</v>
      </c>
      <c r="AD3627" s="384">
        <v>6</v>
      </c>
      <c r="AE3627" s="384">
        <v>1</v>
      </c>
      <c r="AF3627" s="385">
        <v>4.1666666666666664E-2</v>
      </c>
      <c r="AG3627" s="386">
        <v>8.3000000000000007</v>
      </c>
      <c r="AH3627" s="387">
        <f t="shared" si="71"/>
        <v>8</v>
      </c>
    </row>
    <row r="3628" spans="11:34" ht="14.5" x14ac:dyDescent="0.35">
      <c r="K3628" s="4"/>
      <c r="AC3628" s="384">
        <v>2022</v>
      </c>
      <c r="AD3628" s="384">
        <v>6</v>
      </c>
      <c r="AE3628" s="384">
        <v>1</v>
      </c>
      <c r="AF3628" s="385">
        <v>8.3333333333333329E-2</v>
      </c>
      <c r="AG3628" s="386">
        <v>9.4</v>
      </c>
      <c r="AH3628" s="387">
        <f t="shared" si="71"/>
        <v>9</v>
      </c>
    </row>
    <row r="3629" spans="11:34" ht="14.5" x14ac:dyDescent="0.35">
      <c r="K3629" s="4"/>
      <c r="AC3629" s="384">
        <v>2022</v>
      </c>
      <c r="AD3629" s="384">
        <v>6</v>
      </c>
      <c r="AE3629" s="384">
        <v>1</v>
      </c>
      <c r="AF3629" s="385">
        <v>0.125</v>
      </c>
      <c r="AG3629" s="386">
        <v>10.1</v>
      </c>
      <c r="AH3629" s="387">
        <f t="shared" si="71"/>
        <v>10</v>
      </c>
    </row>
    <row r="3630" spans="11:34" ht="14.5" x14ac:dyDescent="0.35">
      <c r="K3630" s="4"/>
      <c r="AC3630" s="384">
        <v>2022</v>
      </c>
      <c r="AD3630" s="384">
        <v>6</v>
      </c>
      <c r="AE3630" s="384">
        <v>1</v>
      </c>
      <c r="AF3630" s="385">
        <v>0.16666666666666666</v>
      </c>
      <c r="AG3630" s="386">
        <v>9.3000000000000007</v>
      </c>
      <c r="AH3630" s="387">
        <f t="shared" si="71"/>
        <v>9</v>
      </c>
    </row>
    <row r="3631" spans="11:34" ht="14.5" x14ac:dyDescent="0.35">
      <c r="K3631" s="4"/>
      <c r="AC3631" s="384">
        <v>2022</v>
      </c>
      <c r="AD3631" s="384">
        <v>6</v>
      </c>
      <c r="AE3631" s="384">
        <v>1</v>
      </c>
      <c r="AF3631" s="385">
        <v>0.20833333333333334</v>
      </c>
      <c r="AG3631" s="386">
        <v>9.3000000000000007</v>
      </c>
      <c r="AH3631" s="387">
        <f t="shared" si="71"/>
        <v>9</v>
      </c>
    </row>
    <row r="3632" spans="11:34" ht="14.5" x14ac:dyDescent="0.35">
      <c r="K3632" s="4"/>
      <c r="AC3632" s="384">
        <v>2022</v>
      </c>
      <c r="AD3632" s="384">
        <v>6</v>
      </c>
      <c r="AE3632" s="384">
        <v>1</v>
      </c>
      <c r="AF3632" s="385">
        <v>0.25</v>
      </c>
      <c r="AG3632" s="386">
        <v>10.5</v>
      </c>
      <c r="AH3632" s="387">
        <f t="shared" si="71"/>
        <v>11</v>
      </c>
    </row>
    <row r="3633" spans="11:34" ht="14.5" x14ac:dyDescent="0.35">
      <c r="K3633" s="4"/>
      <c r="AC3633" s="384">
        <v>2022</v>
      </c>
      <c r="AD3633" s="384">
        <v>6</v>
      </c>
      <c r="AE3633" s="384">
        <v>1</v>
      </c>
      <c r="AF3633" s="385">
        <v>0.29166666666666669</v>
      </c>
      <c r="AG3633" s="386">
        <v>12</v>
      </c>
      <c r="AH3633" s="387">
        <f t="shared" si="71"/>
        <v>12</v>
      </c>
    </row>
    <row r="3634" spans="11:34" ht="14.5" x14ac:dyDescent="0.35">
      <c r="K3634" s="4"/>
      <c r="AC3634" s="384">
        <v>2022</v>
      </c>
      <c r="AD3634" s="384">
        <v>6</v>
      </c>
      <c r="AE3634" s="384">
        <v>1</v>
      </c>
      <c r="AF3634" s="385">
        <v>0.33333333333333331</v>
      </c>
      <c r="AG3634" s="386">
        <v>12.2</v>
      </c>
      <c r="AH3634" s="387">
        <f t="shared" si="71"/>
        <v>12</v>
      </c>
    </row>
    <row r="3635" spans="11:34" ht="14.5" x14ac:dyDescent="0.35">
      <c r="K3635" s="4"/>
      <c r="AC3635" s="384">
        <v>2022</v>
      </c>
      <c r="AD3635" s="384">
        <v>6</v>
      </c>
      <c r="AE3635" s="384">
        <v>1</v>
      </c>
      <c r="AF3635" s="385">
        <v>0.375</v>
      </c>
      <c r="AG3635" s="386">
        <v>14.2</v>
      </c>
      <c r="AH3635" s="387">
        <f t="shared" si="71"/>
        <v>14</v>
      </c>
    </row>
    <row r="3636" spans="11:34" ht="14.5" x14ac:dyDescent="0.35">
      <c r="K3636" s="4"/>
      <c r="AC3636" s="384">
        <v>2022</v>
      </c>
      <c r="AD3636" s="384">
        <v>6</v>
      </c>
      <c r="AE3636" s="384">
        <v>1</v>
      </c>
      <c r="AF3636" s="385">
        <v>0.41666666666666669</v>
      </c>
      <c r="AG3636" s="386">
        <v>16</v>
      </c>
      <c r="AH3636" s="387">
        <f t="shared" si="71"/>
        <v>16</v>
      </c>
    </row>
    <row r="3637" spans="11:34" ht="14.5" x14ac:dyDescent="0.35">
      <c r="K3637" s="4"/>
      <c r="AC3637" s="384">
        <v>2022</v>
      </c>
      <c r="AD3637" s="384">
        <v>6</v>
      </c>
      <c r="AE3637" s="384">
        <v>1</v>
      </c>
      <c r="AF3637" s="385">
        <v>0.45833333333333331</v>
      </c>
      <c r="AG3637" s="386">
        <v>15.7</v>
      </c>
      <c r="AH3637" s="387">
        <f t="shared" si="71"/>
        <v>16</v>
      </c>
    </row>
    <row r="3638" spans="11:34" ht="14.5" x14ac:dyDescent="0.35">
      <c r="K3638" s="4"/>
      <c r="AC3638" s="384">
        <v>2022</v>
      </c>
      <c r="AD3638" s="384">
        <v>6</v>
      </c>
      <c r="AE3638" s="384">
        <v>1</v>
      </c>
      <c r="AF3638" s="385">
        <v>0.5</v>
      </c>
      <c r="AG3638" s="386">
        <v>15.9</v>
      </c>
      <c r="AH3638" s="387">
        <f t="shared" si="71"/>
        <v>16</v>
      </c>
    </row>
    <row r="3639" spans="11:34" ht="14.5" x14ac:dyDescent="0.35">
      <c r="K3639" s="4"/>
      <c r="AC3639" s="384">
        <v>2022</v>
      </c>
      <c r="AD3639" s="384">
        <v>6</v>
      </c>
      <c r="AE3639" s="384">
        <v>1</v>
      </c>
      <c r="AF3639" s="385">
        <v>0.54166666666666663</v>
      </c>
      <c r="AG3639" s="386">
        <v>16.899999999999999</v>
      </c>
      <c r="AH3639" s="387">
        <f t="shared" si="71"/>
        <v>17</v>
      </c>
    </row>
    <row r="3640" spans="11:34" ht="14.5" x14ac:dyDescent="0.35">
      <c r="K3640" s="4"/>
      <c r="AC3640" s="384">
        <v>2022</v>
      </c>
      <c r="AD3640" s="384">
        <v>6</v>
      </c>
      <c r="AE3640" s="384">
        <v>1</v>
      </c>
      <c r="AF3640" s="385">
        <v>0.58333333333333337</v>
      </c>
      <c r="AG3640" s="386">
        <v>18.399999999999999</v>
      </c>
      <c r="AH3640" s="387">
        <f t="shared" si="71"/>
        <v>18</v>
      </c>
    </row>
    <row r="3641" spans="11:34" ht="14.5" x14ac:dyDescent="0.35">
      <c r="K3641" s="4"/>
      <c r="AC3641" s="384">
        <v>2022</v>
      </c>
      <c r="AD3641" s="384">
        <v>6</v>
      </c>
      <c r="AE3641" s="384">
        <v>1</v>
      </c>
      <c r="AF3641" s="385">
        <v>0.625</v>
      </c>
      <c r="AG3641" s="386">
        <v>18.5</v>
      </c>
      <c r="AH3641" s="387">
        <f t="shared" si="71"/>
        <v>19</v>
      </c>
    </row>
    <row r="3642" spans="11:34" ht="14.5" x14ac:dyDescent="0.35">
      <c r="K3642" s="4"/>
      <c r="AC3642" s="384">
        <v>2022</v>
      </c>
      <c r="AD3642" s="384">
        <v>6</v>
      </c>
      <c r="AE3642" s="384">
        <v>1</v>
      </c>
      <c r="AF3642" s="385">
        <v>0.66666666666666663</v>
      </c>
      <c r="AG3642" s="386">
        <v>17.600000000000001</v>
      </c>
      <c r="AH3642" s="387">
        <f t="shared" si="71"/>
        <v>18</v>
      </c>
    </row>
    <row r="3643" spans="11:34" ht="14.5" x14ac:dyDescent="0.35">
      <c r="K3643" s="4"/>
      <c r="AC3643" s="384">
        <v>2022</v>
      </c>
      <c r="AD3643" s="384">
        <v>6</v>
      </c>
      <c r="AE3643" s="384">
        <v>1</v>
      </c>
      <c r="AF3643" s="385">
        <v>0.70833333333333337</v>
      </c>
      <c r="AG3643" s="386">
        <v>18.5</v>
      </c>
      <c r="AH3643" s="387">
        <f t="shared" si="71"/>
        <v>19</v>
      </c>
    </row>
    <row r="3644" spans="11:34" ht="14.5" x14ac:dyDescent="0.35">
      <c r="K3644" s="4"/>
      <c r="AC3644" s="384">
        <v>2022</v>
      </c>
      <c r="AD3644" s="384">
        <v>6</v>
      </c>
      <c r="AE3644" s="384">
        <v>1</v>
      </c>
      <c r="AF3644" s="385">
        <v>0.75</v>
      </c>
      <c r="AG3644" s="386">
        <v>18</v>
      </c>
      <c r="AH3644" s="387">
        <f t="shared" si="71"/>
        <v>18</v>
      </c>
    </row>
    <row r="3645" spans="11:34" ht="14.5" x14ac:dyDescent="0.35">
      <c r="K3645" s="4"/>
      <c r="AC3645" s="384">
        <v>2022</v>
      </c>
      <c r="AD3645" s="384">
        <v>6</v>
      </c>
      <c r="AE3645" s="384">
        <v>1</v>
      </c>
      <c r="AF3645" s="385">
        <v>0.79166666666666663</v>
      </c>
      <c r="AG3645" s="386">
        <v>17.5</v>
      </c>
      <c r="AH3645" s="387">
        <f t="shared" si="71"/>
        <v>18</v>
      </c>
    </row>
    <row r="3646" spans="11:34" ht="14.5" x14ac:dyDescent="0.35">
      <c r="K3646" s="4"/>
      <c r="AC3646" s="384">
        <v>2022</v>
      </c>
      <c r="AD3646" s="384">
        <v>6</v>
      </c>
      <c r="AE3646" s="384">
        <v>1</v>
      </c>
      <c r="AF3646" s="385">
        <v>0.83333333333333337</v>
      </c>
      <c r="AG3646" s="386">
        <v>16.3</v>
      </c>
      <c r="AH3646" s="387">
        <f t="shared" si="71"/>
        <v>16</v>
      </c>
    </row>
    <row r="3647" spans="11:34" ht="14.5" x14ac:dyDescent="0.35">
      <c r="K3647" s="4"/>
      <c r="AC3647" s="384">
        <v>2022</v>
      </c>
      <c r="AD3647" s="384">
        <v>6</v>
      </c>
      <c r="AE3647" s="384">
        <v>1</v>
      </c>
      <c r="AF3647" s="385">
        <v>0.875</v>
      </c>
      <c r="AG3647" s="386">
        <v>12.9</v>
      </c>
      <c r="AH3647" s="387">
        <f t="shared" si="71"/>
        <v>13</v>
      </c>
    </row>
    <row r="3648" spans="11:34" ht="14.5" x14ac:dyDescent="0.35">
      <c r="K3648" s="4"/>
      <c r="AC3648" s="384">
        <v>2022</v>
      </c>
      <c r="AD3648" s="384">
        <v>6</v>
      </c>
      <c r="AE3648" s="384">
        <v>1</v>
      </c>
      <c r="AF3648" s="385">
        <v>0.91666666666666663</v>
      </c>
      <c r="AG3648" s="386">
        <v>9.9</v>
      </c>
      <c r="AH3648" s="387">
        <f t="shared" si="71"/>
        <v>10</v>
      </c>
    </row>
    <row r="3649" spans="11:34" ht="14.5" x14ac:dyDescent="0.35">
      <c r="K3649" s="4"/>
      <c r="AC3649" s="384">
        <v>2022</v>
      </c>
      <c r="AD3649" s="384">
        <v>6</v>
      </c>
      <c r="AE3649" s="384">
        <v>1</v>
      </c>
      <c r="AF3649" s="385">
        <v>0.95833333333333337</v>
      </c>
      <c r="AG3649" s="386">
        <v>9</v>
      </c>
      <c r="AH3649" s="387">
        <f t="shared" si="71"/>
        <v>9</v>
      </c>
    </row>
    <row r="3650" spans="11:34" ht="14.5" x14ac:dyDescent="0.35">
      <c r="K3650" s="4"/>
      <c r="AC3650" s="384">
        <v>2022</v>
      </c>
      <c r="AD3650" s="384">
        <v>6</v>
      </c>
      <c r="AE3650" s="384">
        <v>2</v>
      </c>
      <c r="AF3650" s="385">
        <v>0</v>
      </c>
      <c r="AG3650" s="386">
        <v>8</v>
      </c>
      <c r="AH3650" s="387">
        <f t="shared" si="71"/>
        <v>8</v>
      </c>
    </row>
    <row r="3651" spans="11:34" ht="14.5" x14ac:dyDescent="0.35">
      <c r="K3651" s="4"/>
      <c r="AC3651" s="384">
        <v>2022</v>
      </c>
      <c r="AD3651" s="384">
        <v>6</v>
      </c>
      <c r="AE3651" s="384">
        <v>2</v>
      </c>
      <c r="AF3651" s="385">
        <v>4.1666666666666664E-2</v>
      </c>
      <c r="AG3651" s="386">
        <v>5.5</v>
      </c>
      <c r="AH3651" s="387">
        <f t="shared" si="71"/>
        <v>6</v>
      </c>
    </row>
    <row r="3652" spans="11:34" ht="14.5" x14ac:dyDescent="0.35">
      <c r="K3652" s="4"/>
      <c r="AC3652" s="384">
        <v>2022</v>
      </c>
      <c r="AD3652" s="384">
        <v>6</v>
      </c>
      <c r="AE3652" s="384">
        <v>2</v>
      </c>
      <c r="AF3652" s="385">
        <v>8.3333333333333329E-2</v>
      </c>
      <c r="AG3652" s="386">
        <v>4.9000000000000004</v>
      </c>
      <c r="AH3652" s="387">
        <f t="shared" si="71"/>
        <v>5</v>
      </c>
    </row>
    <row r="3653" spans="11:34" ht="14.5" x14ac:dyDescent="0.35">
      <c r="K3653" s="4"/>
      <c r="AC3653" s="384">
        <v>2022</v>
      </c>
      <c r="AD3653" s="384">
        <v>6</v>
      </c>
      <c r="AE3653" s="384">
        <v>2</v>
      </c>
      <c r="AF3653" s="385">
        <v>0.125</v>
      </c>
      <c r="AG3653" s="386">
        <v>3.7</v>
      </c>
      <c r="AH3653" s="387">
        <f t="shared" si="71"/>
        <v>4</v>
      </c>
    </row>
    <row r="3654" spans="11:34" ht="14.5" x14ac:dyDescent="0.35">
      <c r="K3654" s="4"/>
      <c r="AC3654" s="384">
        <v>2022</v>
      </c>
      <c r="AD3654" s="384">
        <v>6</v>
      </c>
      <c r="AE3654" s="384">
        <v>2</v>
      </c>
      <c r="AF3654" s="385">
        <v>0.16666666666666666</v>
      </c>
      <c r="AG3654" s="386">
        <v>2.7</v>
      </c>
      <c r="AH3654" s="387">
        <f t="shared" si="71"/>
        <v>3</v>
      </c>
    </row>
    <row r="3655" spans="11:34" ht="14.5" x14ac:dyDescent="0.35">
      <c r="K3655" s="4"/>
      <c r="AC3655" s="384">
        <v>2022</v>
      </c>
      <c r="AD3655" s="384">
        <v>6</v>
      </c>
      <c r="AE3655" s="384">
        <v>2</v>
      </c>
      <c r="AF3655" s="385">
        <v>0.20833333333333334</v>
      </c>
      <c r="AG3655" s="386">
        <v>3.1</v>
      </c>
      <c r="AH3655" s="387">
        <f t="shared" si="71"/>
        <v>3</v>
      </c>
    </row>
    <row r="3656" spans="11:34" ht="14.5" x14ac:dyDescent="0.35">
      <c r="K3656" s="4"/>
      <c r="AC3656" s="384">
        <v>2022</v>
      </c>
      <c r="AD3656" s="384">
        <v>6</v>
      </c>
      <c r="AE3656" s="384">
        <v>2</v>
      </c>
      <c r="AF3656" s="385">
        <v>0.25</v>
      </c>
      <c r="AG3656" s="386">
        <v>6.9</v>
      </c>
      <c r="AH3656" s="387">
        <f t="shared" si="71"/>
        <v>7</v>
      </c>
    </row>
    <row r="3657" spans="11:34" ht="14.5" x14ac:dyDescent="0.35">
      <c r="K3657" s="4"/>
      <c r="AC3657" s="384">
        <v>2022</v>
      </c>
      <c r="AD3657" s="384">
        <v>6</v>
      </c>
      <c r="AE3657" s="384">
        <v>2</v>
      </c>
      <c r="AF3657" s="385">
        <v>0.29166666666666669</v>
      </c>
      <c r="AG3657" s="386">
        <v>10.199999999999999</v>
      </c>
      <c r="AH3657" s="387">
        <f t="shared" si="71"/>
        <v>10</v>
      </c>
    </row>
    <row r="3658" spans="11:34" ht="14.5" x14ac:dyDescent="0.35">
      <c r="K3658" s="4"/>
      <c r="AC3658" s="384">
        <v>2022</v>
      </c>
      <c r="AD3658" s="384">
        <v>6</v>
      </c>
      <c r="AE3658" s="384">
        <v>2</v>
      </c>
      <c r="AF3658" s="385">
        <v>0.33333333333333331</v>
      </c>
      <c r="AG3658" s="386">
        <v>13.8</v>
      </c>
      <c r="AH3658" s="387">
        <f t="shared" si="71"/>
        <v>14</v>
      </c>
    </row>
    <row r="3659" spans="11:34" ht="14.5" x14ac:dyDescent="0.35">
      <c r="K3659" s="4"/>
      <c r="AC3659" s="384">
        <v>2022</v>
      </c>
      <c r="AD3659" s="384">
        <v>6</v>
      </c>
      <c r="AE3659" s="384">
        <v>2</v>
      </c>
      <c r="AF3659" s="385">
        <v>0.375</v>
      </c>
      <c r="AG3659" s="386">
        <v>15.5</v>
      </c>
      <c r="AH3659" s="387">
        <f t="shared" ref="AH3659:AH3722" si="72">ROUND(AG3659,0)</f>
        <v>16</v>
      </c>
    </row>
    <row r="3660" spans="11:34" ht="14.5" x14ac:dyDescent="0.35">
      <c r="K3660" s="4"/>
      <c r="AC3660" s="384">
        <v>2022</v>
      </c>
      <c r="AD3660" s="384">
        <v>6</v>
      </c>
      <c r="AE3660" s="384">
        <v>2</v>
      </c>
      <c r="AF3660" s="385">
        <v>0.41666666666666669</v>
      </c>
      <c r="AG3660" s="386">
        <v>16.399999999999999</v>
      </c>
      <c r="AH3660" s="387">
        <f t="shared" si="72"/>
        <v>16</v>
      </c>
    </row>
    <row r="3661" spans="11:34" ht="14.5" x14ac:dyDescent="0.35">
      <c r="K3661" s="4"/>
      <c r="AC3661" s="384">
        <v>2022</v>
      </c>
      <c r="AD3661" s="384">
        <v>6</v>
      </c>
      <c r="AE3661" s="384">
        <v>2</v>
      </c>
      <c r="AF3661" s="385">
        <v>0.45833333333333331</v>
      </c>
      <c r="AG3661" s="386">
        <v>17.7</v>
      </c>
      <c r="AH3661" s="387">
        <f t="shared" si="72"/>
        <v>18</v>
      </c>
    </row>
    <row r="3662" spans="11:34" ht="14.5" x14ac:dyDescent="0.35">
      <c r="K3662" s="4"/>
      <c r="AC3662" s="384">
        <v>2022</v>
      </c>
      <c r="AD3662" s="384">
        <v>6</v>
      </c>
      <c r="AE3662" s="384">
        <v>2</v>
      </c>
      <c r="AF3662" s="385">
        <v>0.5</v>
      </c>
      <c r="AG3662" s="386">
        <v>18.2</v>
      </c>
      <c r="AH3662" s="387">
        <f t="shared" si="72"/>
        <v>18</v>
      </c>
    </row>
    <row r="3663" spans="11:34" ht="14.5" x14ac:dyDescent="0.35">
      <c r="K3663" s="4"/>
      <c r="AC3663" s="384">
        <v>2022</v>
      </c>
      <c r="AD3663" s="384">
        <v>6</v>
      </c>
      <c r="AE3663" s="384">
        <v>2</v>
      </c>
      <c r="AF3663" s="385">
        <v>0.54166666666666663</v>
      </c>
      <c r="AG3663" s="386">
        <v>17.899999999999999</v>
      </c>
      <c r="AH3663" s="387">
        <f t="shared" si="72"/>
        <v>18</v>
      </c>
    </row>
    <row r="3664" spans="11:34" ht="14.5" x14ac:dyDescent="0.35">
      <c r="K3664" s="4"/>
      <c r="AC3664" s="384">
        <v>2022</v>
      </c>
      <c r="AD3664" s="384">
        <v>6</v>
      </c>
      <c r="AE3664" s="384">
        <v>2</v>
      </c>
      <c r="AF3664" s="385">
        <v>0.58333333333333337</v>
      </c>
      <c r="AG3664" s="386">
        <v>19.3</v>
      </c>
      <c r="AH3664" s="387">
        <f t="shared" si="72"/>
        <v>19</v>
      </c>
    </row>
    <row r="3665" spans="11:34" ht="14.5" x14ac:dyDescent="0.35">
      <c r="K3665" s="4"/>
      <c r="AC3665" s="384">
        <v>2022</v>
      </c>
      <c r="AD3665" s="384">
        <v>6</v>
      </c>
      <c r="AE3665" s="384">
        <v>2</v>
      </c>
      <c r="AF3665" s="385">
        <v>0.625</v>
      </c>
      <c r="AG3665" s="386">
        <v>19.7</v>
      </c>
      <c r="AH3665" s="387">
        <f t="shared" si="72"/>
        <v>20</v>
      </c>
    </row>
    <row r="3666" spans="11:34" ht="14.5" x14ac:dyDescent="0.35">
      <c r="K3666" s="4"/>
      <c r="AC3666" s="384">
        <v>2022</v>
      </c>
      <c r="AD3666" s="384">
        <v>6</v>
      </c>
      <c r="AE3666" s="384">
        <v>2</v>
      </c>
      <c r="AF3666" s="385">
        <v>0.66666666666666663</v>
      </c>
      <c r="AG3666" s="386">
        <v>20.399999999999999</v>
      </c>
      <c r="AH3666" s="387">
        <f t="shared" si="72"/>
        <v>20</v>
      </c>
    </row>
    <row r="3667" spans="11:34" ht="14.5" x14ac:dyDescent="0.35">
      <c r="K3667" s="4"/>
      <c r="AC3667" s="384">
        <v>2022</v>
      </c>
      <c r="AD3667" s="384">
        <v>6</v>
      </c>
      <c r="AE3667" s="384">
        <v>2</v>
      </c>
      <c r="AF3667" s="385">
        <v>0.70833333333333337</v>
      </c>
      <c r="AG3667" s="386">
        <v>19.399999999999999</v>
      </c>
      <c r="AH3667" s="387">
        <f t="shared" si="72"/>
        <v>19</v>
      </c>
    </row>
    <row r="3668" spans="11:34" ht="14.5" x14ac:dyDescent="0.35">
      <c r="K3668" s="4"/>
      <c r="AC3668" s="384">
        <v>2022</v>
      </c>
      <c r="AD3668" s="384">
        <v>6</v>
      </c>
      <c r="AE3668" s="384">
        <v>2</v>
      </c>
      <c r="AF3668" s="385">
        <v>0.75</v>
      </c>
      <c r="AG3668" s="386">
        <v>18.600000000000001</v>
      </c>
      <c r="AH3668" s="387">
        <f t="shared" si="72"/>
        <v>19</v>
      </c>
    </row>
    <row r="3669" spans="11:34" ht="14.5" x14ac:dyDescent="0.35">
      <c r="K3669" s="4"/>
      <c r="AC3669" s="384">
        <v>2022</v>
      </c>
      <c r="AD3669" s="384">
        <v>6</v>
      </c>
      <c r="AE3669" s="384">
        <v>2</v>
      </c>
      <c r="AF3669" s="385">
        <v>0.79166666666666663</v>
      </c>
      <c r="AG3669" s="386">
        <v>17.899999999999999</v>
      </c>
      <c r="AH3669" s="387">
        <f t="shared" si="72"/>
        <v>18</v>
      </c>
    </row>
    <row r="3670" spans="11:34" ht="14.5" x14ac:dyDescent="0.35">
      <c r="K3670" s="4"/>
      <c r="AC3670" s="384">
        <v>2022</v>
      </c>
      <c r="AD3670" s="384">
        <v>6</v>
      </c>
      <c r="AE3670" s="384">
        <v>2</v>
      </c>
      <c r="AF3670" s="385">
        <v>0.83333333333333337</v>
      </c>
      <c r="AG3670" s="386">
        <v>16.5</v>
      </c>
      <c r="AH3670" s="387">
        <f t="shared" si="72"/>
        <v>17</v>
      </c>
    </row>
    <row r="3671" spans="11:34" ht="14.5" x14ac:dyDescent="0.35">
      <c r="K3671" s="4"/>
      <c r="AC3671" s="384">
        <v>2022</v>
      </c>
      <c r="AD3671" s="384">
        <v>6</v>
      </c>
      <c r="AE3671" s="384">
        <v>2</v>
      </c>
      <c r="AF3671" s="385">
        <v>0.875</v>
      </c>
      <c r="AG3671" s="386">
        <v>14</v>
      </c>
      <c r="AH3671" s="387">
        <f t="shared" si="72"/>
        <v>14</v>
      </c>
    </row>
    <row r="3672" spans="11:34" ht="14.5" x14ac:dyDescent="0.35">
      <c r="K3672" s="4"/>
      <c r="AC3672" s="384">
        <v>2022</v>
      </c>
      <c r="AD3672" s="384">
        <v>6</v>
      </c>
      <c r="AE3672" s="384">
        <v>2</v>
      </c>
      <c r="AF3672" s="385">
        <v>0.91666666666666663</v>
      </c>
      <c r="AG3672" s="386">
        <v>14.6</v>
      </c>
      <c r="AH3672" s="387">
        <f t="shared" si="72"/>
        <v>15</v>
      </c>
    </row>
    <row r="3673" spans="11:34" ht="14.5" x14ac:dyDescent="0.35">
      <c r="K3673" s="4"/>
      <c r="AC3673" s="384">
        <v>2022</v>
      </c>
      <c r="AD3673" s="384">
        <v>6</v>
      </c>
      <c r="AE3673" s="384">
        <v>2</v>
      </c>
      <c r="AF3673" s="385">
        <v>0.95833333333333337</v>
      </c>
      <c r="AG3673" s="386">
        <v>13.6</v>
      </c>
      <c r="AH3673" s="387">
        <f t="shared" si="72"/>
        <v>14</v>
      </c>
    </row>
    <row r="3674" spans="11:34" ht="14.5" x14ac:dyDescent="0.35">
      <c r="K3674" s="4"/>
      <c r="AC3674" s="384">
        <v>2022</v>
      </c>
      <c r="AD3674" s="384">
        <v>6</v>
      </c>
      <c r="AE3674" s="384">
        <v>3</v>
      </c>
      <c r="AF3674" s="385">
        <v>0</v>
      </c>
      <c r="AG3674" s="386">
        <v>10.7</v>
      </c>
      <c r="AH3674" s="387">
        <f t="shared" si="72"/>
        <v>11</v>
      </c>
    </row>
    <row r="3675" spans="11:34" ht="14.5" x14ac:dyDescent="0.35">
      <c r="K3675" s="4"/>
      <c r="AC3675" s="384">
        <v>2022</v>
      </c>
      <c r="AD3675" s="384">
        <v>6</v>
      </c>
      <c r="AE3675" s="384">
        <v>3</v>
      </c>
      <c r="AF3675" s="385">
        <v>4.1666666666666664E-2</v>
      </c>
      <c r="AG3675" s="386">
        <v>10.199999999999999</v>
      </c>
      <c r="AH3675" s="387">
        <f t="shared" si="72"/>
        <v>10</v>
      </c>
    </row>
    <row r="3676" spans="11:34" ht="14.5" x14ac:dyDescent="0.35">
      <c r="K3676" s="4"/>
      <c r="AC3676" s="384">
        <v>2022</v>
      </c>
      <c r="AD3676" s="384">
        <v>6</v>
      </c>
      <c r="AE3676" s="384">
        <v>3</v>
      </c>
      <c r="AF3676" s="385">
        <v>8.3333333333333329E-2</v>
      </c>
      <c r="AG3676" s="386">
        <v>8.5</v>
      </c>
      <c r="AH3676" s="387">
        <f t="shared" si="72"/>
        <v>9</v>
      </c>
    </row>
    <row r="3677" spans="11:34" ht="14.5" x14ac:dyDescent="0.35">
      <c r="K3677" s="4"/>
      <c r="AC3677" s="384">
        <v>2022</v>
      </c>
      <c r="AD3677" s="384">
        <v>6</v>
      </c>
      <c r="AE3677" s="384">
        <v>3</v>
      </c>
      <c r="AF3677" s="385">
        <v>0.125</v>
      </c>
      <c r="AG3677" s="386">
        <v>7.4</v>
      </c>
      <c r="AH3677" s="387">
        <f t="shared" si="72"/>
        <v>7</v>
      </c>
    </row>
    <row r="3678" spans="11:34" ht="14.5" x14ac:dyDescent="0.35">
      <c r="K3678" s="4"/>
      <c r="AC3678" s="384">
        <v>2022</v>
      </c>
      <c r="AD3678" s="384">
        <v>6</v>
      </c>
      <c r="AE3678" s="384">
        <v>3</v>
      </c>
      <c r="AF3678" s="385">
        <v>0.16666666666666666</v>
      </c>
      <c r="AG3678" s="386">
        <v>5.9</v>
      </c>
      <c r="AH3678" s="387">
        <f t="shared" si="72"/>
        <v>6</v>
      </c>
    </row>
    <row r="3679" spans="11:34" ht="14.5" x14ac:dyDescent="0.35">
      <c r="K3679" s="4"/>
      <c r="AC3679" s="384">
        <v>2022</v>
      </c>
      <c r="AD3679" s="384">
        <v>6</v>
      </c>
      <c r="AE3679" s="384">
        <v>3</v>
      </c>
      <c r="AF3679" s="385">
        <v>0.20833333333333334</v>
      </c>
      <c r="AG3679" s="386">
        <v>6.4</v>
      </c>
      <c r="AH3679" s="387">
        <f t="shared" si="72"/>
        <v>6</v>
      </c>
    </row>
    <row r="3680" spans="11:34" ht="14.5" x14ac:dyDescent="0.35">
      <c r="K3680" s="4"/>
      <c r="AC3680" s="384">
        <v>2022</v>
      </c>
      <c r="AD3680" s="384">
        <v>6</v>
      </c>
      <c r="AE3680" s="384">
        <v>3</v>
      </c>
      <c r="AF3680" s="385">
        <v>0.25</v>
      </c>
      <c r="AG3680" s="386">
        <v>9.1999999999999993</v>
      </c>
      <c r="AH3680" s="387">
        <f t="shared" si="72"/>
        <v>9</v>
      </c>
    </row>
    <row r="3681" spans="11:34" ht="14.5" x14ac:dyDescent="0.35">
      <c r="K3681" s="4"/>
      <c r="AC3681" s="384">
        <v>2022</v>
      </c>
      <c r="AD3681" s="384">
        <v>6</v>
      </c>
      <c r="AE3681" s="384">
        <v>3</v>
      </c>
      <c r="AF3681" s="385">
        <v>0.29166666666666669</v>
      </c>
      <c r="AG3681" s="386">
        <v>12.7</v>
      </c>
      <c r="AH3681" s="387">
        <f t="shared" si="72"/>
        <v>13</v>
      </c>
    </row>
    <row r="3682" spans="11:34" ht="14.5" x14ac:dyDescent="0.35">
      <c r="K3682" s="4"/>
      <c r="AC3682" s="384">
        <v>2022</v>
      </c>
      <c r="AD3682" s="384">
        <v>6</v>
      </c>
      <c r="AE3682" s="384">
        <v>3</v>
      </c>
      <c r="AF3682" s="385">
        <v>0.33333333333333331</v>
      </c>
      <c r="AG3682" s="386">
        <v>15.3</v>
      </c>
      <c r="AH3682" s="387">
        <f t="shared" si="72"/>
        <v>15</v>
      </c>
    </row>
    <row r="3683" spans="11:34" ht="14.5" x14ac:dyDescent="0.35">
      <c r="K3683" s="4"/>
      <c r="AC3683" s="384">
        <v>2022</v>
      </c>
      <c r="AD3683" s="384">
        <v>6</v>
      </c>
      <c r="AE3683" s="384">
        <v>3</v>
      </c>
      <c r="AF3683" s="385">
        <v>0.375</v>
      </c>
      <c r="AG3683" s="386">
        <v>17.8</v>
      </c>
      <c r="AH3683" s="387">
        <f t="shared" si="72"/>
        <v>18</v>
      </c>
    </row>
    <row r="3684" spans="11:34" ht="14.5" x14ac:dyDescent="0.35">
      <c r="K3684" s="4"/>
      <c r="AC3684" s="384">
        <v>2022</v>
      </c>
      <c r="AD3684" s="384">
        <v>6</v>
      </c>
      <c r="AE3684" s="384">
        <v>3</v>
      </c>
      <c r="AF3684" s="385">
        <v>0.41666666666666669</v>
      </c>
      <c r="AG3684" s="386">
        <v>19.2</v>
      </c>
      <c r="AH3684" s="387">
        <f t="shared" si="72"/>
        <v>19</v>
      </c>
    </row>
    <row r="3685" spans="11:34" ht="14.5" x14ac:dyDescent="0.35">
      <c r="K3685" s="4"/>
      <c r="AC3685" s="384">
        <v>2022</v>
      </c>
      <c r="AD3685" s="384">
        <v>6</v>
      </c>
      <c r="AE3685" s="384">
        <v>3</v>
      </c>
      <c r="AF3685" s="385">
        <v>0.45833333333333331</v>
      </c>
      <c r="AG3685" s="386">
        <v>19.7</v>
      </c>
      <c r="AH3685" s="387">
        <f t="shared" si="72"/>
        <v>20</v>
      </c>
    </row>
    <row r="3686" spans="11:34" ht="14.5" x14ac:dyDescent="0.35">
      <c r="K3686" s="4"/>
      <c r="AC3686" s="384">
        <v>2022</v>
      </c>
      <c r="AD3686" s="384">
        <v>6</v>
      </c>
      <c r="AE3686" s="384">
        <v>3</v>
      </c>
      <c r="AF3686" s="385">
        <v>0.5</v>
      </c>
      <c r="AG3686" s="386">
        <v>20.6</v>
      </c>
      <c r="AH3686" s="387">
        <f t="shared" si="72"/>
        <v>21</v>
      </c>
    </row>
    <row r="3687" spans="11:34" ht="14.5" x14ac:dyDescent="0.35">
      <c r="K3687" s="4"/>
      <c r="AC3687" s="384">
        <v>2022</v>
      </c>
      <c r="AD3687" s="384">
        <v>6</v>
      </c>
      <c r="AE3687" s="384">
        <v>3</v>
      </c>
      <c r="AF3687" s="385">
        <v>0.54166666666666663</v>
      </c>
      <c r="AG3687" s="386">
        <v>20.8</v>
      </c>
      <c r="AH3687" s="387">
        <f t="shared" si="72"/>
        <v>21</v>
      </c>
    </row>
    <row r="3688" spans="11:34" ht="14.5" x14ac:dyDescent="0.35">
      <c r="K3688" s="4"/>
      <c r="AC3688" s="384">
        <v>2022</v>
      </c>
      <c r="AD3688" s="384">
        <v>6</v>
      </c>
      <c r="AE3688" s="384">
        <v>3</v>
      </c>
      <c r="AF3688" s="385">
        <v>0.58333333333333337</v>
      </c>
      <c r="AG3688" s="386">
        <v>21.1</v>
      </c>
      <c r="AH3688" s="387">
        <f t="shared" si="72"/>
        <v>21</v>
      </c>
    </row>
    <row r="3689" spans="11:34" ht="14.5" x14ac:dyDescent="0.35">
      <c r="K3689" s="4"/>
      <c r="AC3689" s="384">
        <v>2022</v>
      </c>
      <c r="AD3689" s="384">
        <v>6</v>
      </c>
      <c r="AE3689" s="384">
        <v>3</v>
      </c>
      <c r="AF3689" s="385">
        <v>0.625</v>
      </c>
      <c r="AG3689" s="386">
        <v>20.8</v>
      </c>
      <c r="AH3689" s="387">
        <f t="shared" si="72"/>
        <v>21</v>
      </c>
    </row>
    <row r="3690" spans="11:34" ht="14.5" x14ac:dyDescent="0.35">
      <c r="K3690" s="4"/>
      <c r="AC3690" s="384">
        <v>2022</v>
      </c>
      <c r="AD3690" s="384">
        <v>6</v>
      </c>
      <c r="AE3690" s="384">
        <v>3</v>
      </c>
      <c r="AF3690" s="385">
        <v>0.66666666666666663</v>
      </c>
      <c r="AG3690" s="386">
        <v>20.5</v>
      </c>
      <c r="AH3690" s="387">
        <f t="shared" si="72"/>
        <v>21</v>
      </c>
    </row>
    <row r="3691" spans="11:34" ht="14.5" x14ac:dyDescent="0.35">
      <c r="K3691" s="4"/>
      <c r="AC3691" s="384">
        <v>2022</v>
      </c>
      <c r="AD3691" s="384">
        <v>6</v>
      </c>
      <c r="AE3691" s="384">
        <v>3</v>
      </c>
      <c r="AF3691" s="385">
        <v>0.70833333333333337</v>
      </c>
      <c r="AG3691" s="386">
        <v>21.2</v>
      </c>
      <c r="AH3691" s="387">
        <f t="shared" si="72"/>
        <v>21</v>
      </c>
    </row>
    <row r="3692" spans="11:34" ht="14.5" x14ac:dyDescent="0.35">
      <c r="K3692" s="4"/>
      <c r="AC3692" s="384">
        <v>2022</v>
      </c>
      <c r="AD3692" s="384">
        <v>6</v>
      </c>
      <c r="AE3692" s="384">
        <v>3</v>
      </c>
      <c r="AF3692" s="385">
        <v>0.75</v>
      </c>
      <c r="AG3692" s="386">
        <v>19.600000000000001</v>
      </c>
      <c r="AH3692" s="387">
        <f t="shared" si="72"/>
        <v>20</v>
      </c>
    </row>
    <row r="3693" spans="11:34" ht="14.5" x14ac:dyDescent="0.35">
      <c r="K3693" s="4"/>
      <c r="AC3693" s="384">
        <v>2022</v>
      </c>
      <c r="AD3693" s="384">
        <v>6</v>
      </c>
      <c r="AE3693" s="384">
        <v>3</v>
      </c>
      <c r="AF3693" s="385">
        <v>0.79166666666666663</v>
      </c>
      <c r="AG3693" s="386">
        <v>18.5</v>
      </c>
      <c r="AH3693" s="387">
        <f t="shared" si="72"/>
        <v>19</v>
      </c>
    </row>
    <row r="3694" spans="11:34" ht="14.5" x14ac:dyDescent="0.35">
      <c r="K3694" s="4"/>
      <c r="AC3694" s="384">
        <v>2022</v>
      </c>
      <c r="AD3694" s="384">
        <v>6</v>
      </c>
      <c r="AE3694" s="384">
        <v>3</v>
      </c>
      <c r="AF3694" s="385">
        <v>0.83333333333333337</v>
      </c>
      <c r="AG3694" s="386">
        <v>17.899999999999999</v>
      </c>
      <c r="AH3694" s="387">
        <f t="shared" si="72"/>
        <v>18</v>
      </c>
    </row>
    <row r="3695" spans="11:34" ht="14.5" x14ac:dyDescent="0.35">
      <c r="K3695" s="4"/>
      <c r="AC3695" s="384">
        <v>2022</v>
      </c>
      <c r="AD3695" s="384">
        <v>6</v>
      </c>
      <c r="AE3695" s="384">
        <v>3</v>
      </c>
      <c r="AF3695" s="385">
        <v>0.875</v>
      </c>
      <c r="AG3695" s="386">
        <v>16.899999999999999</v>
      </c>
      <c r="AH3695" s="387">
        <f t="shared" si="72"/>
        <v>17</v>
      </c>
    </row>
    <row r="3696" spans="11:34" ht="14.5" x14ac:dyDescent="0.35">
      <c r="K3696" s="4"/>
      <c r="AC3696" s="384">
        <v>2022</v>
      </c>
      <c r="AD3696" s="384">
        <v>6</v>
      </c>
      <c r="AE3696" s="384">
        <v>3</v>
      </c>
      <c r="AF3696" s="385">
        <v>0.91666666666666663</v>
      </c>
      <c r="AG3696" s="386">
        <v>13.5</v>
      </c>
      <c r="AH3696" s="387">
        <f t="shared" si="72"/>
        <v>14</v>
      </c>
    </row>
    <row r="3697" spans="11:34" ht="14.5" x14ac:dyDescent="0.35">
      <c r="K3697" s="4"/>
      <c r="AC3697" s="384">
        <v>2022</v>
      </c>
      <c r="AD3697" s="384">
        <v>6</v>
      </c>
      <c r="AE3697" s="384">
        <v>3</v>
      </c>
      <c r="AF3697" s="385">
        <v>0.95833333333333337</v>
      </c>
      <c r="AG3697" s="386">
        <v>13.7</v>
      </c>
      <c r="AH3697" s="387">
        <f t="shared" si="72"/>
        <v>14</v>
      </c>
    </row>
    <row r="3698" spans="11:34" ht="14.5" x14ac:dyDescent="0.35">
      <c r="K3698" s="4"/>
      <c r="AC3698" s="384">
        <v>2022</v>
      </c>
      <c r="AD3698" s="384">
        <v>6</v>
      </c>
      <c r="AE3698" s="384">
        <v>4</v>
      </c>
      <c r="AF3698" s="385">
        <v>0</v>
      </c>
      <c r="AG3698" s="386">
        <v>13.7</v>
      </c>
      <c r="AH3698" s="387">
        <f t="shared" si="72"/>
        <v>14</v>
      </c>
    </row>
    <row r="3699" spans="11:34" ht="14.5" x14ac:dyDescent="0.35">
      <c r="K3699" s="4"/>
      <c r="AC3699" s="384">
        <v>2022</v>
      </c>
      <c r="AD3699" s="384">
        <v>6</v>
      </c>
      <c r="AE3699" s="384">
        <v>4</v>
      </c>
      <c r="AF3699" s="385">
        <v>4.1666666666666664E-2</v>
      </c>
      <c r="AG3699" s="386">
        <v>12.2</v>
      </c>
      <c r="AH3699" s="387">
        <f t="shared" si="72"/>
        <v>12</v>
      </c>
    </row>
    <row r="3700" spans="11:34" ht="14.5" x14ac:dyDescent="0.35">
      <c r="K3700" s="4"/>
      <c r="AC3700" s="384">
        <v>2022</v>
      </c>
      <c r="AD3700" s="384">
        <v>6</v>
      </c>
      <c r="AE3700" s="384">
        <v>4</v>
      </c>
      <c r="AF3700" s="385">
        <v>8.3333333333333329E-2</v>
      </c>
      <c r="AG3700" s="386">
        <v>9.9</v>
      </c>
      <c r="AH3700" s="387">
        <f t="shared" si="72"/>
        <v>10</v>
      </c>
    </row>
    <row r="3701" spans="11:34" ht="14.5" x14ac:dyDescent="0.35">
      <c r="K3701" s="4"/>
      <c r="AC3701" s="384">
        <v>2022</v>
      </c>
      <c r="AD3701" s="384">
        <v>6</v>
      </c>
      <c r="AE3701" s="384">
        <v>4</v>
      </c>
      <c r="AF3701" s="385">
        <v>0.125</v>
      </c>
      <c r="AG3701" s="386">
        <v>9.3000000000000007</v>
      </c>
      <c r="AH3701" s="387">
        <f t="shared" si="72"/>
        <v>9</v>
      </c>
    </row>
    <row r="3702" spans="11:34" ht="14.5" x14ac:dyDescent="0.35">
      <c r="K3702" s="4"/>
      <c r="AC3702" s="384">
        <v>2022</v>
      </c>
      <c r="AD3702" s="384">
        <v>6</v>
      </c>
      <c r="AE3702" s="384">
        <v>4</v>
      </c>
      <c r="AF3702" s="385">
        <v>0.16666666666666666</v>
      </c>
      <c r="AG3702" s="386">
        <v>9.1999999999999993</v>
      </c>
      <c r="AH3702" s="387">
        <f t="shared" si="72"/>
        <v>9</v>
      </c>
    </row>
    <row r="3703" spans="11:34" ht="14.5" x14ac:dyDescent="0.35">
      <c r="K3703" s="4"/>
      <c r="AC3703" s="384">
        <v>2022</v>
      </c>
      <c r="AD3703" s="384">
        <v>6</v>
      </c>
      <c r="AE3703" s="384">
        <v>4</v>
      </c>
      <c r="AF3703" s="385">
        <v>0.20833333333333334</v>
      </c>
      <c r="AG3703" s="386">
        <v>9.5</v>
      </c>
      <c r="AH3703" s="387">
        <f t="shared" si="72"/>
        <v>10</v>
      </c>
    </row>
    <row r="3704" spans="11:34" ht="14.5" x14ac:dyDescent="0.35">
      <c r="K3704" s="4"/>
      <c r="AC3704" s="384">
        <v>2022</v>
      </c>
      <c r="AD3704" s="384">
        <v>6</v>
      </c>
      <c r="AE3704" s="384">
        <v>4</v>
      </c>
      <c r="AF3704" s="385">
        <v>0.25</v>
      </c>
      <c r="AG3704" s="386">
        <v>10.3</v>
      </c>
      <c r="AH3704" s="387">
        <f t="shared" si="72"/>
        <v>10</v>
      </c>
    </row>
    <row r="3705" spans="11:34" ht="14.5" x14ac:dyDescent="0.35">
      <c r="K3705" s="4"/>
      <c r="AC3705" s="384">
        <v>2022</v>
      </c>
      <c r="AD3705" s="384">
        <v>6</v>
      </c>
      <c r="AE3705" s="384">
        <v>4</v>
      </c>
      <c r="AF3705" s="385">
        <v>0.29166666666666669</v>
      </c>
      <c r="AG3705" s="386">
        <v>11.8</v>
      </c>
      <c r="AH3705" s="387">
        <f t="shared" si="72"/>
        <v>12</v>
      </c>
    </row>
    <row r="3706" spans="11:34" ht="14.5" x14ac:dyDescent="0.35">
      <c r="K3706" s="4"/>
      <c r="AC3706" s="384">
        <v>2022</v>
      </c>
      <c r="AD3706" s="384">
        <v>6</v>
      </c>
      <c r="AE3706" s="384">
        <v>4</v>
      </c>
      <c r="AF3706" s="385">
        <v>0.33333333333333331</v>
      </c>
      <c r="AG3706" s="386">
        <v>13.7</v>
      </c>
      <c r="AH3706" s="387">
        <f t="shared" si="72"/>
        <v>14</v>
      </c>
    </row>
    <row r="3707" spans="11:34" ht="14.5" x14ac:dyDescent="0.35">
      <c r="K3707" s="4"/>
      <c r="AC3707" s="384">
        <v>2022</v>
      </c>
      <c r="AD3707" s="384">
        <v>6</v>
      </c>
      <c r="AE3707" s="384">
        <v>4</v>
      </c>
      <c r="AF3707" s="385">
        <v>0.375</v>
      </c>
      <c r="AG3707" s="386">
        <v>14.7</v>
      </c>
      <c r="AH3707" s="387">
        <f t="shared" si="72"/>
        <v>15</v>
      </c>
    </row>
    <row r="3708" spans="11:34" ht="14.5" x14ac:dyDescent="0.35">
      <c r="K3708" s="4"/>
      <c r="AC3708" s="384">
        <v>2022</v>
      </c>
      <c r="AD3708" s="384">
        <v>6</v>
      </c>
      <c r="AE3708" s="384">
        <v>4</v>
      </c>
      <c r="AF3708" s="385">
        <v>0.41666666666666669</v>
      </c>
      <c r="AG3708" s="386">
        <v>16.399999999999999</v>
      </c>
      <c r="AH3708" s="387">
        <f t="shared" si="72"/>
        <v>16</v>
      </c>
    </row>
    <row r="3709" spans="11:34" ht="14.5" x14ac:dyDescent="0.35">
      <c r="K3709" s="4"/>
      <c r="AC3709" s="384">
        <v>2022</v>
      </c>
      <c r="AD3709" s="384">
        <v>6</v>
      </c>
      <c r="AE3709" s="384">
        <v>4</v>
      </c>
      <c r="AF3709" s="385">
        <v>0.45833333333333331</v>
      </c>
      <c r="AG3709" s="386">
        <v>16.899999999999999</v>
      </c>
      <c r="AH3709" s="387">
        <f t="shared" si="72"/>
        <v>17</v>
      </c>
    </row>
    <row r="3710" spans="11:34" ht="14.5" x14ac:dyDescent="0.35">
      <c r="K3710" s="4"/>
      <c r="AC3710" s="384">
        <v>2022</v>
      </c>
      <c r="AD3710" s="384">
        <v>6</v>
      </c>
      <c r="AE3710" s="384">
        <v>4</v>
      </c>
      <c r="AF3710" s="385">
        <v>0.5</v>
      </c>
      <c r="AG3710" s="386">
        <v>17.8</v>
      </c>
      <c r="AH3710" s="387">
        <f t="shared" si="72"/>
        <v>18</v>
      </c>
    </row>
    <row r="3711" spans="11:34" ht="14.5" x14ac:dyDescent="0.35">
      <c r="K3711" s="4"/>
      <c r="AC3711" s="384">
        <v>2022</v>
      </c>
      <c r="AD3711" s="384">
        <v>6</v>
      </c>
      <c r="AE3711" s="384">
        <v>4</v>
      </c>
      <c r="AF3711" s="385">
        <v>0.54166666666666663</v>
      </c>
      <c r="AG3711" s="386">
        <v>18.3</v>
      </c>
      <c r="AH3711" s="387">
        <f t="shared" si="72"/>
        <v>18</v>
      </c>
    </row>
    <row r="3712" spans="11:34" ht="14.5" x14ac:dyDescent="0.35">
      <c r="K3712" s="4"/>
      <c r="AC3712" s="384">
        <v>2022</v>
      </c>
      <c r="AD3712" s="384">
        <v>6</v>
      </c>
      <c r="AE3712" s="384">
        <v>4</v>
      </c>
      <c r="AF3712" s="385">
        <v>0.58333333333333337</v>
      </c>
      <c r="AG3712" s="386">
        <v>19</v>
      </c>
      <c r="AH3712" s="387">
        <f t="shared" si="72"/>
        <v>19</v>
      </c>
    </row>
    <row r="3713" spans="11:34" ht="14.5" x14ac:dyDescent="0.35">
      <c r="K3713" s="4"/>
      <c r="AC3713" s="384">
        <v>2022</v>
      </c>
      <c r="AD3713" s="384">
        <v>6</v>
      </c>
      <c r="AE3713" s="384">
        <v>4</v>
      </c>
      <c r="AF3713" s="385">
        <v>0.625</v>
      </c>
      <c r="AG3713" s="386">
        <v>19.2</v>
      </c>
      <c r="AH3713" s="387">
        <f t="shared" si="72"/>
        <v>19</v>
      </c>
    </row>
    <row r="3714" spans="11:34" ht="14.5" x14ac:dyDescent="0.35">
      <c r="K3714" s="4"/>
      <c r="AC3714" s="384">
        <v>2022</v>
      </c>
      <c r="AD3714" s="384">
        <v>6</v>
      </c>
      <c r="AE3714" s="384">
        <v>4</v>
      </c>
      <c r="AF3714" s="385">
        <v>0.66666666666666663</v>
      </c>
      <c r="AG3714" s="386">
        <v>19.3</v>
      </c>
      <c r="AH3714" s="387">
        <f t="shared" si="72"/>
        <v>19</v>
      </c>
    </row>
    <row r="3715" spans="11:34" ht="14.5" x14ac:dyDescent="0.35">
      <c r="K3715" s="4"/>
      <c r="AC3715" s="384">
        <v>2022</v>
      </c>
      <c r="AD3715" s="384">
        <v>6</v>
      </c>
      <c r="AE3715" s="384">
        <v>4</v>
      </c>
      <c r="AF3715" s="385">
        <v>0.70833333333333337</v>
      </c>
      <c r="AG3715" s="386">
        <v>17.899999999999999</v>
      </c>
      <c r="AH3715" s="387">
        <f t="shared" si="72"/>
        <v>18</v>
      </c>
    </row>
    <row r="3716" spans="11:34" ht="14.5" x14ac:dyDescent="0.35">
      <c r="K3716" s="4"/>
      <c r="AC3716" s="384">
        <v>2022</v>
      </c>
      <c r="AD3716" s="384">
        <v>6</v>
      </c>
      <c r="AE3716" s="384">
        <v>4</v>
      </c>
      <c r="AF3716" s="385">
        <v>0.75</v>
      </c>
      <c r="AG3716" s="386">
        <v>17.3</v>
      </c>
      <c r="AH3716" s="387">
        <f t="shared" si="72"/>
        <v>17</v>
      </c>
    </row>
    <row r="3717" spans="11:34" ht="14.5" x14ac:dyDescent="0.35">
      <c r="K3717" s="4"/>
      <c r="AC3717" s="384">
        <v>2022</v>
      </c>
      <c r="AD3717" s="384">
        <v>6</v>
      </c>
      <c r="AE3717" s="384">
        <v>4</v>
      </c>
      <c r="AF3717" s="385">
        <v>0.79166666666666663</v>
      </c>
      <c r="AG3717" s="386">
        <v>16.7</v>
      </c>
      <c r="AH3717" s="387">
        <f t="shared" si="72"/>
        <v>17</v>
      </c>
    </row>
    <row r="3718" spans="11:34" ht="14.5" x14ac:dyDescent="0.35">
      <c r="K3718" s="4"/>
      <c r="AC3718" s="384">
        <v>2022</v>
      </c>
      <c r="AD3718" s="384">
        <v>6</v>
      </c>
      <c r="AE3718" s="384">
        <v>4</v>
      </c>
      <c r="AF3718" s="385">
        <v>0.83333333333333337</v>
      </c>
      <c r="AG3718" s="386">
        <v>15.5</v>
      </c>
      <c r="AH3718" s="387">
        <f t="shared" si="72"/>
        <v>16</v>
      </c>
    </row>
    <row r="3719" spans="11:34" ht="14.5" x14ac:dyDescent="0.35">
      <c r="K3719" s="4"/>
      <c r="AC3719" s="384">
        <v>2022</v>
      </c>
      <c r="AD3719" s="384">
        <v>6</v>
      </c>
      <c r="AE3719" s="384">
        <v>4</v>
      </c>
      <c r="AF3719" s="385">
        <v>0.875</v>
      </c>
      <c r="AG3719" s="386">
        <v>14</v>
      </c>
      <c r="AH3719" s="387">
        <f t="shared" si="72"/>
        <v>14</v>
      </c>
    </row>
    <row r="3720" spans="11:34" ht="14.5" x14ac:dyDescent="0.35">
      <c r="K3720" s="4"/>
      <c r="AC3720" s="384">
        <v>2022</v>
      </c>
      <c r="AD3720" s="384">
        <v>6</v>
      </c>
      <c r="AE3720" s="384">
        <v>4</v>
      </c>
      <c r="AF3720" s="385">
        <v>0.91666666666666663</v>
      </c>
      <c r="AG3720" s="386">
        <v>13.3</v>
      </c>
      <c r="AH3720" s="387">
        <f t="shared" si="72"/>
        <v>13</v>
      </c>
    </row>
    <row r="3721" spans="11:34" ht="14.5" x14ac:dyDescent="0.35">
      <c r="K3721" s="4"/>
      <c r="AC3721" s="384">
        <v>2022</v>
      </c>
      <c r="AD3721" s="384">
        <v>6</v>
      </c>
      <c r="AE3721" s="384">
        <v>4</v>
      </c>
      <c r="AF3721" s="385">
        <v>0.95833333333333337</v>
      </c>
      <c r="AG3721" s="386">
        <v>11.5</v>
      </c>
      <c r="AH3721" s="387">
        <f t="shared" si="72"/>
        <v>12</v>
      </c>
    </row>
    <row r="3722" spans="11:34" ht="14.5" x14ac:dyDescent="0.35">
      <c r="K3722" s="4"/>
      <c r="AC3722" s="384">
        <v>2022</v>
      </c>
      <c r="AD3722" s="384">
        <v>6</v>
      </c>
      <c r="AE3722" s="384">
        <v>5</v>
      </c>
      <c r="AF3722" s="385">
        <v>0</v>
      </c>
      <c r="AG3722" s="386">
        <v>11.2</v>
      </c>
      <c r="AH3722" s="387">
        <f t="shared" si="72"/>
        <v>11</v>
      </c>
    </row>
    <row r="3723" spans="11:34" ht="14.5" x14ac:dyDescent="0.35">
      <c r="K3723" s="4"/>
      <c r="AC3723" s="384">
        <v>2022</v>
      </c>
      <c r="AD3723" s="384">
        <v>6</v>
      </c>
      <c r="AE3723" s="384">
        <v>5</v>
      </c>
      <c r="AF3723" s="385">
        <v>4.1666666666666664E-2</v>
      </c>
      <c r="AG3723" s="386">
        <v>11.1</v>
      </c>
      <c r="AH3723" s="387">
        <f t="shared" ref="AH3723:AH3786" si="73">ROUND(AG3723,0)</f>
        <v>11</v>
      </c>
    </row>
    <row r="3724" spans="11:34" ht="14.5" x14ac:dyDescent="0.35">
      <c r="K3724" s="4"/>
      <c r="AC3724" s="384">
        <v>2022</v>
      </c>
      <c r="AD3724" s="384">
        <v>6</v>
      </c>
      <c r="AE3724" s="384">
        <v>5</v>
      </c>
      <c r="AF3724" s="385">
        <v>8.3333333333333329E-2</v>
      </c>
      <c r="AG3724" s="386">
        <v>11</v>
      </c>
      <c r="AH3724" s="387">
        <f t="shared" si="73"/>
        <v>11</v>
      </c>
    </row>
    <row r="3725" spans="11:34" ht="14.5" x14ac:dyDescent="0.35">
      <c r="K3725" s="4"/>
      <c r="AC3725" s="384">
        <v>2022</v>
      </c>
      <c r="AD3725" s="384">
        <v>6</v>
      </c>
      <c r="AE3725" s="384">
        <v>5</v>
      </c>
      <c r="AF3725" s="385">
        <v>0.125</v>
      </c>
      <c r="AG3725" s="386">
        <v>10.9</v>
      </c>
      <c r="AH3725" s="387">
        <f t="shared" si="73"/>
        <v>11</v>
      </c>
    </row>
    <row r="3726" spans="11:34" ht="14.5" x14ac:dyDescent="0.35">
      <c r="K3726" s="4"/>
      <c r="AC3726" s="384">
        <v>2022</v>
      </c>
      <c r="AD3726" s="384">
        <v>6</v>
      </c>
      <c r="AE3726" s="384">
        <v>5</v>
      </c>
      <c r="AF3726" s="385">
        <v>0.16666666666666666</v>
      </c>
      <c r="AG3726" s="386">
        <v>10.7</v>
      </c>
      <c r="AH3726" s="387">
        <f t="shared" si="73"/>
        <v>11</v>
      </c>
    </row>
    <row r="3727" spans="11:34" ht="14.5" x14ac:dyDescent="0.35">
      <c r="K3727" s="4"/>
      <c r="AC3727" s="384">
        <v>2022</v>
      </c>
      <c r="AD3727" s="384">
        <v>6</v>
      </c>
      <c r="AE3727" s="384">
        <v>5</v>
      </c>
      <c r="AF3727" s="385">
        <v>0.20833333333333334</v>
      </c>
      <c r="AG3727" s="386">
        <v>8.8000000000000007</v>
      </c>
      <c r="AH3727" s="387">
        <f t="shared" si="73"/>
        <v>9</v>
      </c>
    </row>
    <row r="3728" spans="11:34" ht="14.5" x14ac:dyDescent="0.35">
      <c r="K3728" s="4"/>
      <c r="AC3728" s="384">
        <v>2022</v>
      </c>
      <c r="AD3728" s="384">
        <v>6</v>
      </c>
      <c r="AE3728" s="384">
        <v>5</v>
      </c>
      <c r="AF3728" s="385">
        <v>0.25</v>
      </c>
      <c r="AG3728" s="386">
        <v>8.1999999999999993</v>
      </c>
      <c r="AH3728" s="387">
        <f t="shared" si="73"/>
        <v>8</v>
      </c>
    </row>
    <row r="3729" spans="11:34" ht="14.5" x14ac:dyDescent="0.35">
      <c r="K3729" s="4"/>
      <c r="AC3729" s="384">
        <v>2022</v>
      </c>
      <c r="AD3729" s="384">
        <v>6</v>
      </c>
      <c r="AE3729" s="384">
        <v>5</v>
      </c>
      <c r="AF3729" s="385">
        <v>0.29166666666666669</v>
      </c>
      <c r="AG3729" s="386">
        <v>7.7</v>
      </c>
      <c r="AH3729" s="387">
        <f t="shared" si="73"/>
        <v>8</v>
      </c>
    </row>
    <row r="3730" spans="11:34" ht="14.5" x14ac:dyDescent="0.35">
      <c r="K3730" s="4"/>
      <c r="AC3730" s="384">
        <v>2022</v>
      </c>
      <c r="AD3730" s="384">
        <v>6</v>
      </c>
      <c r="AE3730" s="384">
        <v>5</v>
      </c>
      <c r="AF3730" s="385">
        <v>0.33333333333333331</v>
      </c>
      <c r="AG3730" s="386">
        <v>8.1</v>
      </c>
      <c r="AH3730" s="387">
        <f t="shared" si="73"/>
        <v>8</v>
      </c>
    </row>
    <row r="3731" spans="11:34" ht="14.5" x14ac:dyDescent="0.35">
      <c r="K3731" s="4"/>
      <c r="AC3731" s="384">
        <v>2022</v>
      </c>
      <c r="AD3731" s="384">
        <v>6</v>
      </c>
      <c r="AE3731" s="384">
        <v>5</v>
      </c>
      <c r="AF3731" s="385">
        <v>0.375</v>
      </c>
      <c r="AG3731" s="386">
        <v>8.6</v>
      </c>
      <c r="AH3731" s="387">
        <f t="shared" si="73"/>
        <v>9</v>
      </c>
    </row>
    <row r="3732" spans="11:34" ht="14.5" x14ac:dyDescent="0.35">
      <c r="K3732" s="4"/>
      <c r="AC3732" s="384">
        <v>2022</v>
      </c>
      <c r="AD3732" s="384">
        <v>6</v>
      </c>
      <c r="AE3732" s="384">
        <v>5</v>
      </c>
      <c r="AF3732" s="385">
        <v>0.41666666666666669</v>
      </c>
      <c r="AG3732" s="386">
        <v>10.199999999999999</v>
      </c>
      <c r="AH3732" s="387">
        <f t="shared" si="73"/>
        <v>10</v>
      </c>
    </row>
    <row r="3733" spans="11:34" ht="14.5" x14ac:dyDescent="0.35">
      <c r="K3733" s="4"/>
      <c r="AC3733" s="384">
        <v>2022</v>
      </c>
      <c r="AD3733" s="384">
        <v>6</v>
      </c>
      <c r="AE3733" s="384">
        <v>5</v>
      </c>
      <c r="AF3733" s="385">
        <v>0.45833333333333331</v>
      </c>
      <c r="AG3733" s="386">
        <v>11.4</v>
      </c>
      <c r="AH3733" s="387">
        <f t="shared" si="73"/>
        <v>11</v>
      </c>
    </row>
    <row r="3734" spans="11:34" ht="14.5" x14ac:dyDescent="0.35">
      <c r="K3734" s="4"/>
      <c r="AC3734" s="384">
        <v>2022</v>
      </c>
      <c r="AD3734" s="384">
        <v>6</v>
      </c>
      <c r="AE3734" s="384">
        <v>5</v>
      </c>
      <c r="AF3734" s="385">
        <v>0.5</v>
      </c>
      <c r="AG3734" s="386">
        <v>12.3</v>
      </c>
      <c r="AH3734" s="387">
        <f t="shared" si="73"/>
        <v>12</v>
      </c>
    </row>
    <row r="3735" spans="11:34" ht="14.5" x14ac:dyDescent="0.35">
      <c r="K3735" s="4"/>
      <c r="AC3735" s="384">
        <v>2022</v>
      </c>
      <c r="AD3735" s="384">
        <v>6</v>
      </c>
      <c r="AE3735" s="384">
        <v>5</v>
      </c>
      <c r="AF3735" s="385">
        <v>0.54166666666666663</v>
      </c>
      <c r="AG3735" s="386">
        <v>13.3</v>
      </c>
      <c r="AH3735" s="387">
        <f t="shared" si="73"/>
        <v>13</v>
      </c>
    </row>
    <row r="3736" spans="11:34" ht="14.5" x14ac:dyDescent="0.35">
      <c r="K3736" s="4"/>
      <c r="AC3736" s="384">
        <v>2022</v>
      </c>
      <c r="AD3736" s="384">
        <v>6</v>
      </c>
      <c r="AE3736" s="384">
        <v>5</v>
      </c>
      <c r="AF3736" s="385">
        <v>0.58333333333333337</v>
      </c>
      <c r="AG3736" s="386">
        <v>14.1</v>
      </c>
      <c r="AH3736" s="387">
        <f t="shared" si="73"/>
        <v>14</v>
      </c>
    </row>
    <row r="3737" spans="11:34" ht="14.5" x14ac:dyDescent="0.35">
      <c r="K3737" s="4"/>
      <c r="AC3737" s="384">
        <v>2022</v>
      </c>
      <c r="AD3737" s="384">
        <v>6</v>
      </c>
      <c r="AE3737" s="384">
        <v>5</v>
      </c>
      <c r="AF3737" s="385">
        <v>0.625</v>
      </c>
      <c r="AG3737" s="386">
        <v>15.2</v>
      </c>
      <c r="AH3737" s="387">
        <f t="shared" si="73"/>
        <v>15</v>
      </c>
    </row>
    <row r="3738" spans="11:34" ht="14.5" x14ac:dyDescent="0.35">
      <c r="K3738" s="4"/>
      <c r="AC3738" s="384">
        <v>2022</v>
      </c>
      <c r="AD3738" s="384">
        <v>6</v>
      </c>
      <c r="AE3738" s="384">
        <v>5</v>
      </c>
      <c r="AF3738" s="385">
        <v>0.66666666666666663</v>
      </c>
      <c r="AG3738" s="386">
        <v>15</v>
      </c>
      <c r="AH3738" s="387">
        <f t="shared" si="73"/>
        <v>15</v>
      </c>
    </row>
    <row r="3739" spans="11:34" ht="14.5" x14ac:dyDescent="0.35">
      <c r="K3739" s="4"/>
      <c r="AC3739" s="384">
        <v>2022</v>
      </c>
      <c r="AD3739" s="384">
        <v>6</v>
      </c>
      <c r="AE3739" s="384">
        <v>5</v>
      </c>
      <c r="AF3739" s="385">
        <v>0.70833333333333337</v>
      </c>
      <c r="AG3739" s="386">
        <v>13.5</v>
      </c>
      <c r="AH3739" s="387">
        <f t="shared" si="73"/>
        <v>14</v>
      </c>
    </row>
    <row r="3740" spans="11:34" ht="14.5" x14ac:dyDescent="0.35">
      <c r="K3740" s="4"/>
      <c r="AC3740" s="384">
        <v>2022</v>
      </c>
      <c r="AD3740" s="384">
        <v>6</v>
      </c>
      <c r="AE3740" s="384">
        <v>5</v>
      </c>
      <c r="AF3740" s="385">
        <v>0.75</v>
      </c>
      <c r="AG3740" s="386">
        <v>13</v>
      </c>
      <c r="AH3740" s="387">
        <f t="shared" si="73"/>
        <v>13</v>
      </c>
    </row>
    <row r="3741" spans="11:34" ht="14.5" x14ac:dyDescent="0.35">
      <c r="K3741" s="4"/>
      <c r="AC3741" s="384">
        <v>2022</v>
      </c>
      <c r="AD3741" s="384">
        <v>6</v>
      </c>
      <c r="AE3741" s="384">
        <v>5</v>
      </c>
      <c r="AF3741" s="385">
        <v>0.79166666666666663</v>
      </c>
      <c r="AG3741" s="386">
        <v>11.5</v>
      </c>
      <c r="AH3741" s="387">
        <f t="shared" si="73"/>
        <v>12</v>
      </c>
    </row>
    <row r="3742" spans="11:34" ht="14.5" x14ac:dyDescent="0.35">
      <c r="K3742" s="4"/>
      <c r="AC3742" s="384">
        <v>2022</v>
      </c>
      <c r="AD3742" s="384">
        <v>6</v>
      </c>
      <c r="AE3742" s="384">
        <v>5</v>
      </c>
      <c r="AF3742" s="385">
        <v>0.83333333333333337</v>
      </c>
      <c r="AG3742" s="386">
        <v>10.4</v>
      </c>
      <c r="AH3742" s="387">
        <f t="shared" si="73"/>
        <v>10</v>
      </c>
    </row>
    <row r="3743" spans="11:34" ht="14.5" x14ac:dyDescent="0.35">
      <c r="K3743" s="4"/>
      <c r="AC3743" s="384">
        <v>2022</v>
      </c>
      <c r="AD3743" s="384">
        <v>6</v>
      </c>
      <c r="AE3743" s="384">
        <v>5</v>
      </c>
      <c r="AF3743" s="385">
        <v>0.875</v>
      </c>
      <c r="AG3743" s="386">
        <v>10.6</v>
      </c>
      <c r="AH3743" s="387">
        <f t="shared" si="73"/>
        <v>11</v>
      </c>
    </row>
    <row r="3744" spans="11:34" ht="14.5" x14ac:dyDescent="0.35">
      <c r="K3744" s="4"/>
      <c r="AC3744" s="384">
        <v>2022</v>
      </c>
      <c r="AD3744" s="384">
        <v>6</v>
      </c>
      <c r="AE3744" s="384">
        <v>5</v>
      </c>
      <c r="AF3744" s="385">
        <v>0.91666666666666663</v>
      </c>
      <c r="AG3744" s="386">
        <v>10.4</v>
      </c>
      <c r="AH3744" s="387">
        <f t="shared" si="73"/>
        <v>10</v>
      </c>
    </row>
    <row r="3745" spans="11:34" ht="14.5" x14ac:dyDescent="0.35">
      <c r="K3745" s="4"/>
      <c r="AC3745" s="384">
        <v>2022</v>
      </c>
      <c r="AD3745" s="384">
        <v>6</v>
      </c>
      <c r="AE3745" s="384">
        <v>5</v>
      </c>
      <c r="AF3745" s="385">
        <v>0.95833333333333337</v>
      </c>
      <c r="AG3745" s="386">
        <v>10.5</v>
      </c>
      <c r="AH3745" s="387">
        <f t="shared" si="73"/>
        <v>11</v>
      </c>
    </row>
    <row r="3746" spans="11:34" ht="14.5" x14ac:dyDescent="0.35">
      <c r="K3746" s="4"/>
      <c r="AC3746" s="384">
        <v>2022</v>
      </c>
      <c r="AD3746" s="384">
        <v>6</v>
      </c>
      <c r="AE3746" s="384">
        <v>6</v>
      </c>
      <c r="AF3746" s="385">
        <v>0</v>
      </c>
      <c r="AG3746" s="386">
        <v>10.5</v>
      </c>
      <c r="AH3746" s="387">
        <f t="shared" si="73"/>
        <v>11</v>
      </c>
    </row>
    <row r="3747" spans="11:34" ht="14.5" x14ac:dyDescent="0.35">
      <c r="K3747" s="4"/>
      <c r="AC3747" s="384">
        <v>2022</v>
      </c>
      <c r="AD3747" s="384">
        <v>6</v>
      </c>
      <c r="AE3747" s="384">
        <v>6</v>
      </c>
      <c r="AF3747" s="385">
        <v>4.1666666666666664E-2</v>
      </c>
      <c r="AG3747" s="386">
        <v>10.4</v>
      </c>
      <c r="AH3747" s="387">
        <f t="shared" si="73"/>
        <v>10</v>
      </c>
    </row>
    <row r="3748" spans="11:34" ht="14.5" x14ac:dyDescent="0.35">
      <c r="K3748" s="4"/>
      <c r="AC3748" s="384">
        <v>2022</v>
      </c>
      <c r="AD3748" s="384">
        <v>6</v>
      </c>
      <c r="AE3748" s="384">
        <v>6</v>
      </c>
      <c r="AF3748" s="385">
        <v>8.3333333333333329E-2</v>
      </c>
      <c r="AG3748" s="386">
        <v>9.5</v>
      </c>
      <c r="AH3748" s="387">
        <f t="shared" si="73"/>
        <v>10</v>
      </c>
    </row>
    <row r="3749" spans="11:34" ht="14.5" x14ac:dyDescent="0.35">
      <c r="K3749" s="4"/>
      <c r="AC3749" s="384">
        <v>2022</v>
      </c>
      <c r="AD3749" s="384">
        <v>6</v>
      </c>
      <c r="AE3749" s="384">
        <v>6</v>
      </c>
      <c r="AF3749" s="385">
        <v>0.125</v>
      </c>
      <c r="AG3749" s="386">
        <v>10.1</v>
      </c>
      <c r="AH3749" s="387">
        <f t="shared" si="73"/>
        <v>10</v>
      </c>
    </row>
    <row r="3750" spans="11:34" ht="14.5" x14ac:dyDescent="0.35">
      <c r="K3750" s="4"/>
      <c r="AC3750" s="384">
        <v>2022</v>
      </c>
      <c r="AD3750" s="384">
        <v>6</v>
      </c>
      <c r="AE3750" s="384">
        <v>6</v>
      </c>
      <c r="AF3750" s="385">
        <v>0.16666666666666666</v>
      </c>
      <c r="AG3750" s="386">
        <v>10.3</v>
      </c>
      <c r="AH3750" s="387">
        <f t="shared" si="73"/>
        <v>10</v>
      </c>
    </row>
    <row r="3751" spans="11:34" ht="14.5" x14ac:dyDescent="0.35">
      <c r="K3751" s="4"/>
      <c r="AC3751" s="384">
        <v>2022</v>
      </c>
      <c r="AD3751" s="384">
        <v>6</v>
      </c>
      <c r="AE3751" s="384">
        <v>6</v>
      </c>
      <c r="AF3751" s="385">
        <v>0.20833333333333334</v>
      </c>
      <c r="AG3751" s="386">
        <v>10.4</v>
      </c>
      <c r="AH3751" s="387">
        <f t="shared" si="73"/>
        <v>10</v>
      </c>
    </row>
    <row r="3752" spans="11:34" ht="14.5" x14ac:dyDescent="0.35">
      <c r="K3752" s="4"/>
      <c r="AC3752" s="384">
        <v>2022</v>
      </c>
      <c r="AD3752" s="384">
        <v>6</v>
      </c>
      <c r="AE3752" s="384">
        <v>6</v>
      </c>
      <c r="AF3752" s="385">
        <v>0.25</v>
      </c>
      <c r="AG3752" s="386">
        <v>10.4</v>
      </c>
      <c r="AH3752" s="387">
        <f t="shared" si="73"/>
        <v>10</v>
      </c>
    </row>
    <row r="3753" spans="11:34" ht="14.5" x14ac:dyDescent="0.35">
      <c r="K3753" s="4"/>
      <c r="AC3753" s="384">
        <v>2022</v>
      </c>
      <c r="AD3753" s="384">
        <v>6</v>
      </c>
      <c r="AE3753" s="384">
        <v>6</v>
      </c>
      <c r="AF3753" s="385">
        <v>0.29166666666666669</v>
      </c>
      <c r="AG3753" s="386">
        <v>10.4</v>
      </c>
      <c r="AH3753" s="387">
        <f t="shared" si="73"/>
        <v>10</v>
      </c>
    </row>
    <row r="3754" spans="11:34" ht="14.5" x14ac:dyDescent="0.35">
      <c r="K3754" s="4"/>
      <c r="AC3754" s="384">
        <v>2022</v>
      </c>
      <c r="AD3754" s="384">
        <v>6</v>
      </c>
      <c r="AE3754" s="384">
        <v>6</v>
      </c>
      <c r="AF3754" s="385">
        <v>0.33333333333333331</v>
      </c>
      <c r="AG3754" s="386">
        <v>11.4</v>
      </c>
      <c r="AH3754" s="387">
        <f t="shared" si="73"/>
        <v>11</v>
      </c>
    </row>
    <row r="3755" spans="11:34" ht="14.5" x14ac:dyDescent="0.35">
      <c r="K3755" s="4"/>
      <c r="AC3755" s="384">
        <v>2022</v>
      </c>
      <c r="AD3755" s="384">
        <v>6</v>
      </c>
      <c r="AE3755" s="384">
        <v>6</v>
      </c>
      <c r="AF3755" s="385">
        <v>0.375</v>
      </c>
      <c r="AG3755" s="386">
        <v>12</v>
      </c>
      <c r="AH3755" s="387">
        <f t="shared" si="73"/>
        <v>12</v>
      </c>
    </row>
    <row r="3756" spans="11:34" ht="14.5" x14ac:dyDescent="0.35">
      <c r="K3756" s="4"/>
      <c r="AC3756" s="384">
        <v>2022</v>
      </c>
      <c r="AD3756" s="384">
        <v>6</v>
      </c>
      <c r="AE3756" s="384">
        <v>6</v>
      </c>
      <c r="AF3756" s="385">
        <v>0.41666666666666669</v>
      </c>
      <c r="AG3756" s="386">
        <v>12.9</v>
      </c>
      <c r="AH3756" s="387">
        <f t="shared" si="73"/>
        <v>13</v>
      </c>
    </row>
    <row r="3757" spans="11:34" ht="14.5" x14ac:dyDescent="0.35">
      <c r="K3757" s="4"/>
      <c r="AC3757" s="384">
        <v>2022</v>
      </c>
      <c r="AD3757" s="384">
        <v>6</v>
      </c>
      <c r="AE3757" s="384">
        <v>6</v>
      </c>
      <c r="AF3757" s="385">
        <v>0.45833333333333331</v>
      </c>
      <c r="AG3757" s="386">
        <v>14.5</v>
      </c>
      <c r="AH3757" s="387">
        <f t="shared" si="73"/>
        <v>15</v>
      </c>
    </row>
    <row r="3758" spans="11:34" ht="14.5" x14ac:dyDescent="0.35">
      <c r="K3758" s="4"/>
      <c r="AC3758" s="384">
        <v>2022</v>
      </c>
      <c r="AD3758" s="384">
        <v>6</v>
      </c>
      <c r="AE3758" s="384">
        <v>6</v>
      </c>
      <c r="AF3758" s="385">
        <v>0.5</v>
      </c>
      <c r="AG3758" s="386">
        <v>14.8</v>
      </c>
      <c r="AH3758" s="387">
        <f t="shared" si="73"/>
        <v>15</v>
      </c>
    </row>
    <row r="3759" spans="11:34" ht="14.5" x14ac:dyDescent="0.35">
      <c r="K3759" s="4"/>
      <c r="AC3759" s="384">
        <v>2022</v>
      </c>
      <c r="AD3759" s="384">
        <v>6</v>
      </c>
      <c r="AE3759" s="384">
        <v>6</v>
      </c>
      <c r="AF3759" s="385">
        <v>0.54166666666666663</v>
      </c>
      <c r="AG3759" s="386">
        <v>15.5</v>
      </c>
      <c r="AH3759" s="387">
        <f t="shared" si="73"/>
        <v>16</v>
      </c>
    </row>
    <row r="3760" spans="11:34" ht="14.5" x14ac:dyDescent="0.35">
      <c r="K3760" s="4"/>
      <c r="AC3760" s="384">
        <v>2022</v>
      </c>
      <c r="AD3760" s="384">
        <v>6</v>
      </c>
      <c r="AE3760" s="384">
        <v>6</v>
      </c>
      <c r="AF3760" s="385">
        <v>0.58333333333333337</v>
      </c>
      <c r="AG3760" s="386">
        <v>16.100000000000001</v>
      </c>
      <c r="AH3760" s="387">
        <f t="shared" si="73"/>
        <v>16</v>
      </c>
    </row>
    <row r="3761" spans="11:34" ht="14.5" x14ac:dyDescent="0.35">
      <c r="K3761" s="4"/>
      <c r="AC3761" s="384">
        <v>2022</v>
      </c>
      <c r="AD3761" s="384">
        <v>6</v>
      </c>
      <c r="AE3761" s="384">
        <v>6</v>
      </c>
      <c r="AF3761" s="385">
        <v>0.625</v>
      </c>
      <c r="AG3761" s="386">
        <v>9.1999999999999993</v>
      </c>
      <c r="AH3761" s="387">
        <f t="shared" si="73"/>
        <v>9</v>
      </c>
    </row>
    <row r="3762" spans="11:34" ht="14.5" x14ac:dyDescent="0.35">
      <c r="K3762" s="4"/>
      <c r="AC3762" s="384">
        <v>2022</v>
      </c>
      <c r="AD3762" s="384">
        <v>6</v>
      </c>
      <c r="AE3762" s="384">
        <v>6</v>
      </c>
      <c r="AF3762" s="385">
        <v>0.66666666666666663</v>
      </c>
      <c r="AG3762" s="386">
        <v>10.199999999999999</v>
      </c>
      <c r="AH3762" s="387">
        <f t="shared" si="73"/>
        <v>10</v>
      </c>
    </row>
    <row r="3763" spans="11:34" ht="14.5" x14ac:dyDescent="0.35">
      <c r="K3763" s="4"/>
      <c r="AC3763" s="384">
        <v>2022</v>
      </c>
      <c r="AD3763" s="384">
        <v>6</v>
      </c>
      <c r="AE3763" s="384">
        <v>6</v>
      </c>
      <c r="AF3763" s="385">
        <v>0.70833333333333337</v>
      </c>
      <c r="AG3763" s="386">
        <v>9.8000000000000007</v>
      </c>
      <c r="AH3763" s="387">
        <f t="shared" si="73"/>
        <v>10</v>
      </c>
    </row>
    <row r="3764" spans="11:34" ht="14.5" x14ac:dyDescent="0.35">
      <c r="K3764" s="4"/>
      <c r="AC3764" s="384">
        <v>2022</v>
      </c>
      <c r="AD3764" s="384">
        <v>6</v>
      </c>
      <c r="AE3764" s="384">
        <v>6</v>
      </c>
      <c r="AF3764" s="385">
        <v>0.75</v>
      </c>
      <c r="AG3764" s="386">
        <v>10</v>
      </c>
      <c r="AH3764" s="387">
        <f t="shared" si="73"/>
        <v>10</v>
      </c>
    </row>
    <row r="3765" spans="11:34" ht="14.5" x14ac:dyDescent="0.35">
      <c r="K3765" s="4"/>
      <c r="AC3765" s="384">
        <v>2022</v>
      </c>
      <c r="AD3765" s="384">
        <v>6</v>
      </c>
      <c r="AE3765" s="384">
        <v>6</v>
      </c>
      <c r="AF3765" s="385">
        <v>0.79166666666666663</v>
      </c>
      <c r="AG3765" s="386">
        <v>10.1</v>
      </c>
      <c r="AH3765" s="387">
        <f t="shared" si="73"/>
        <v>10</v>
      </c>
    </row>
    <row r="3766" spans="11:34" ht="14.5" x14ac:dyDescent="0.35">
      <c r="K3766" s="4"/>
      <c r="AC3766" s="384">
        <v>2022</v>
      </c>
      <c r="AD3766" s="384">
        <v>6</v>
      </c>
      <c r="AE3766" s="384">
        <v>6</v>
      </c>
      <c r="AF3766" s="385">
        <v>0.83333333333333337</v>
      </c>
      <c r="AG3766" s="386">
        <v>9.9</v>
      </c>
      <c r="AH3766" s="387">
        <f t="shared" si="73"/>
        <v>10</v>
      </c>
    </row>
    <row r="3767" spans="11:34" ht="14.5" x14ac:dyDescent="0.35">
      <c r="K3767" s="4"/>
      <c r="AC3767" s="384">
        <v>2022</v>
      </c>
      <c r="AD3767" s="384">
        <v>6</v>
      </c>
      <c r="AE3767" s="384">
        <v>6</v>
      </c>
      <c r="AF3767" s="385">
        <v>0.875</v>
      </c>
      <c r="AG3767" s="386">
        <v>9.8000000000000007</v>
      </c>
      <c r="AH3767" s="387">
        <f t="shared" si="73"/>
        <v>10</v>
      </c>
    </row>
    <row r="3768" spans="11:34" ht="14.5" x14ac:dyDescent="0.35">
      <c r="K3768" s="4"/>
      <c r="AC3768" s="384">
        <v>2022</v>
      </c>
      <c r="AD3768" s="384">
        <v>6</v>
      </c>
      <c r="AE3768" s="384">
        <v>6</v>
      </c>
      <c r="AF3768" s="385">
        <v>0.91666666666666663</v>
      </c>
      <c r="AG3768" s="386">
        <v>9.6</v>
      </c>
      <c r="AH3768" s="387">
        <f t="shared" si="73"/>
        <v>10</v>
      </c>
    </row>
    <row r="3769" spans="11:34" ht="14.5" x14ac:dyDescent="0.35">
      <c r="K3769" s="4"/>
      <c r="AC3769" s="384">
        <v>2022</v>
      </c>
      <c r="AD3769" s="384">
        <v>6</v>
      </c>
      <c r="AE3769" s="384">
        <v>6</v>
      </c>
      <c r="AF3769" s="385">
        <v>0.95833333333333337</v>
      </c>
      <c r="AG3769" s="386">
        <v>9.6999999999999993</v>
      </c>
      <c r="AH3769" s="387">
        <f t="shared" si="73"/>
        <v>10</v>
      </c>
    </row>
    <row r="3770" spans="11:34" ht="14.5" x14ac:dyDescent="0.35">
      <c r="K3770" s="4"/>
      <c r="AC3770" s="384">
        <v>2022</v>
      </c>
      <c r="AD3770" s="384">
        <v>6</v>
      </c>
      <c r="AE3770" s="384">
        <v>7</v>
      </c>
      <c r="AF3770" s="385">
        <v>0</v>
      </c>
      <c r="AG3770" s="386">
        <v>9.6999999999999993</v>
      </c>
      <c r="AH3770" s="387">
        <f t="shared" si="73"/>
        <v>10</v>
      </c>
    </row>
    <row r="3771" spans="11:34" ht="14.5" x14ac:dyDescent="0.35">
      <c r="K3771" s="4"/>
      <c r="AC3771" s="384">
        <v>2022</v>
      </c>
      <c r="AD3771" s="384">
        <v>6</v>
      </c>
      <c r="AE3771" s="384">
        <v>7</v>
      </c>
      <c r="AF3771" s="385">
        <v>4.1666666666666664E-2</v>
      </c>
      <c r="AG3771" s="386">
        <v>9.1</v>
      </c>
      <c r="AH3771" s="387">
        <f t="shared" si="73"/>
        <v>9</v>
      </c>
    </row>
    <row r="3772" spans="11:34" ht="14.5" x14ac:dyDescent="0.35">
      <c r="K3772" s="4"/>
      <c r="AC3772" s="384">
        <v>2022</v>
      </c>
      <c r="AD3772" s="384">
        <v>6</v>
      </c>
      <c r="AE3772" s="384">
        <v>7</v>
      </c>
      <c r="AF3772" s="385">
        <v>8.3333333333333329E-2</v>
      </c>
      <c r="AG3772" s="386">
        <v>8.8000000000000007</v>
      </c>
      <c r="AH3772" s="387">
        <f t="shared" si="73"/>
        <v>9</v>
      </c>
    </row>
    <row r="3773" spans="11:34" ht="14.5" x14ac:dyDescent="0.35">
      <c r="K3773" s="4"/>
      <c r="AC3773" s="384">
        <v>2022</v>
      </c>
      <c r="AD3773" s="384">
        <v>6</v>
      </c>
      <c r="AE3773" s="384">
        <v>7</v>
      </c>
      <c r="AF3773" s="385">
        <v>0.125</v>
      </c>
      <c r="AG3773" s="386">
        <v>8.9</v>
      </c>
      <c r="AH3773" s="387">
        <f t="shared" si="73"/>
        <v>9</v>
      </c>
    </row>
    <row r="3774" spans="11:34" ht="14.5" x14ac:dyDescent="0.35">
      <c r="K3774" s="4"/>
      <c r="AC3774" s="384">
        <v>2022</v>
      </c>
      <c r="AD3774" s="384">
        <v>6</v>
      </c>
      <c r="AE3774" s="384">
        <v>7</v>
      </c>
      <c r="AF3774" s="385">
        <v>0.16666666666666666</v>
      </c>
      <c r="AG3774" s="386">
        <v>8.8000000000000007</v>
      </c>
      <c r="AH3774" s="387">
        <f t="shared" si="73"/>
        <v>9</v>
      </c>
    </row>
    <row r="3775" spans="11:34" ht="14.5" x14ac:dyDescent="0.35">
      <c r="K3775" s="4"/>
      <c r="AC3775" s="384">
        <v>2022</v>
      </c>
      <c r="AD3775" s="384">
        <v>6</v>
      </c>
      <c r="AE3775" s="384">
        <v>7</v>
      </c>
      <c r="AF3775" s="385">
        <v>0.20833333333333334</v>
      </c>
      <c r="AG3775" s="386">
        <v>8.8000000000000007</v>
      </c>
      <c r="AH3775" s="387">
        <f t="shared" si="73"/>
        <v>9</v>
      </c>
    </row>
    <row r="3776" spans="11:34" ht="14.5" x14ac:dyDescent="0.35">
      <c r="K3776" s="4"/>
      <c r="AC3776" s="384">
        <v>2022</v>
      </c>
      <c r="AD3776" s="384">
        <v>6</v>
      </c>
      <c r="AE3776" s="384">
        <v>7</v>
      </c>
      <c r="AF3776" s="385">
        <v>0.25</v>
      </c>
      <c r="AG3776" s="386">
        <v>9.3000000000000007</v>
      </c>
      <c r="AH3776" s="387">
        <f t="shared" si="73"/>
        <v>9</v>
      </c>
    </row>
    <row r="3777" spans="11:34" ht="14.5" x14ac:dyDescent="0.35">
      <c r="K3777" s="4"/>
      <c r="AC3777" s="384">
        <v>2022</v>
      </c>
      <c r="AD3777" s="384">
        <v>6</v>
      </c>
      <c r="AE3777" s="384">
        <v>7</v>
      </c>
      <c r="AF3777" s="385">
        <v>0.29166666666666669</v>
      </c>
      <c r="AG3777" s="386">
        <v>9.8000000000000007</v>
      </c>
      <c r="AH3777" s="387">
        <f t="shared" si="73"/>
        <v>10</v>
      </c>
    </row>
    <row r="3778" spans="11:34" ht="14.5" x14ac:dyDescent="0.35">
      <c r="K3778" s="4"/>
      <c r="AC3778" s="384">
        <v>2022</v>
      </c>
      <c r="AD3778" s="384">
        <v>6</v>
      </c>
      <c r="AE3778" s="384">
        <v>7</v>
      </c>
      <c r="AF3778" s="385">
        <v>0.33333333333333331</v>
      </c>
      <c r="AG3778" s="386">
        <v>10.7</v>
      </c>
      <c r="AH3778" s="387">
        <f t="shared" si="73"/>
        <v>11</v>
      </c>
    </row>
    <row r="3779" spans="11:34" ht="14.5" x14ac:dyDescent="0.35">
      <c r="K3779" s="4"/>
      <c r="AC3779" s="384">
        <v>2022</v>
      </c>
      <c r="AD3779" s="384">
        <v>6</v>
      </c>
      <c r="AE3779" s="384">
        <v>7</v>
      </c>
      <c r="AF3779" s="385">
        <v>0.375</v>
      </c>
      <c r="AG3779" s="386">
        <v>12.1</v>
      </c>
      <c r="AH3779" s="387">
        <f t="shared" si="73"/>
        <v>12</v>
      </c>
    </row>
    <row r="3780" spans="11:34" ht="14.5" x14ac:dyDescent="0.35">
      <c r="K3780" s="4"/>
      <c r="AC3780" s="384">
        <v>2022</v>
      </c>
      <c r="AD3780" s="384">
        <v>6</v>
      </c>
      <c r="AE3780" s="384">
        <v>7</v>
      </c>
      <c r="AF3780" s="385">
        <v>0.41666666666666669</v>
      </c>
      <c r="AG3780" s="386">
        <v>13.1</v>
      </c>
      <c r="AH3780" s="387">
        <f t="shared" si="73"/>
        <v>13</v>
      </c>
    </row>
    <row r="3781" spans="11:34" ht="14.5" x14ac:dyDescent="0.35">
      <c r="K3781" s="4"/>
      <c r="AC3781" s="384">
        <v>2022</v>
      </c>
      <c r="AD3781" s="384">
        <v>6</v>
      </c>
      <c r="AE3781" s="384">
        <v>7</v>
      </c>
      <c r="AF3781" s="385">
        <v>0.45833333333333331</v>
      </c>
      <c r="AG3781" s="386">
        <v>13</v>
      </c>
      <c r="AH3781" s="387">
        <f t="shared" si="73"/>
        <v>13</v>
      </c>
    </row>
    <row r="3782" spans="11:34" ht="14.5" x14ac:dyDescent="0.35">
      <c r="K3782" s="4"/>
      <c r="AC3782" s="384">
        <v>2022</v>
      </c>
      <c r="AD3782" s="384">
        <v>6</v>
      </c>
      <c r="AE3782" s="384">
        <v>7</v>
      </c>
      <c r="AF3782" s="385">
        <v>0.5</v>
      </c>
      <c r="AG3782" s="386">
        <v>13.7</v>
      </c>
      <c r="AH3782" s="387">
        <f t="shared" si="73"/>
        <v>14</v>
      </c>
    </row>
    <row r="3783" spans="11:34" ht="14.5" x14ac:dyDescent="0.35">
      <c r="K3783" s="4"/>
      <c r="AC3783" s="384">
        <v>2022</v>
      </c>
      <c r="AD3783" s="384">
        <v>6</v>
      </c>
      <c r="AE3783" s="384">
        <v>7</v>
      </c>
      <c r="AF3783" s="385">
        <v>0.54166666666666663</v>
      </c>
      <c r="AG3783" s="386">
        <v>14.7</v>
      </c>
      <c r="AH3783" s="387">
        <f t="shared" si="73"/>
        <v>15</v>
      </c>
    </row>
    <row r="3784" spans="11:34" ht="14.5" x14ac:dyDescent="0.35">
      <c r="K3784" s="4"/>
      <c r="AC3784" s="384">
        <v>2022</v>
      </c>
      <c r="AD3784" s="384">
        <v>6</v>
      </c>
      <c r="AE3784" s="384">
        <v>7</v>
      </c>
      <c r="AF3784" s="385">
        <v>0.58333333333333337</v>
      </c>
      <c r="AG3784" s="386">
        <v>14.8</v>
      </c>
      <c r="AH3784" s="387">
        <f t="shared" si="73"/>
        <v>15</v>
      </c>
    </row>
    <row r="3785" spans="11:34" ht="14.5" x14ac:dyDescent="0.35">
      <c r="K3785" s="4"/>
      <c r="AC3785" s="384">
        <v>2022</v>
      </c>
      <c r="AD3785" s="384">
        <v>6</v>
      </c>
      <c r="AE3785" s="384">
        <v>7</v>
      </c>
      <c r="AF3785" s="385">
        <v>0.625</v>
      </c>
      <c r="AG3785" s="386">
        <v>14.9</v>
      </c>
      <c r="AH3785" s="387">
        <f t="shared" si="73"/>
        <v>15</v>
      </c>
    </row>
    <row r="3786" spans="11:34" ht="14.5" x14ac:dyDescent="0.35">
      <c r="K3786" s="4"/>
      <c r="AC3786" s="384">
        <v>2022</v>
      </c>
      <c r="AD3786" s="384">
        <v>6</v>
      </c>
      <c r="AE3786" s="384">
        <v>7</v>
      </c>
      <c r="AF3786" s="385">
        <v>0.66666666666666663</v>
      </c>
      <c r="AG3786" s="386">
        <v>15</v>
      </c>
      <c r="AH3786" s="387">
        <f t="shared" si="73"/>
        <v>15</v>
      </c>
    </row>
    <row r="3787" spans="11:34" ht="14.5" x14ac:dyDescent="0.35">
      <c r="K3787" s="4"/>
      <c r="AC3787" s="384">
        <v>2022</v>
      </c>
      <c r="AD3787" s="384">
        <v>6</v>
      </c>
      <c r="AE3787" s="384">
        <v>7</v>
      </c>
      <c r="AF3787" s="385">
        <v>0.70833333333333337</v>
      </c>
      <c r="AG3787" s="386">
        <v>15.1</v>
      </c>
      <c r="AH3787" s="387">
        <f t="shared" ref="AH3787:AH3850" si="74">ROUND(AG3787,0)</f>
        <v>15</v>
      </c>
    </row>
    <row r="3788" spans="11:34" ht="14.5" x14ac:dyDescent="0.35">
      <c r="K3788" s="4"/>
      <c r="AC3788" s="384">
        <v>2022</v>
      </c>
      <c r="AD3788" s="384">
        <v>6</v>
      </c>
      <c r="AE3788" s="384">
        <v>7</v>
      </c>
      <c r="AF3788" s="385">
        <v>0.75</v>
      </c>
      <c r="AG3788" s="386">
        <v>14.9</v>
      </c>
      <c r="AH3788" s="387">
        <f t="shared" si="74"/>
        <v>15</v>
      </c>
    </row>
    <row r="3789" spans="11:34" ht="14.5" x14ac:dyDescent="0.35">
      <c r="K3789" s="4"/>
      <c r="AC3789" s="384">
        <v>2022</v>
      </c>
      <c r="AD3789" s="384">
        <v>6</v>
      </c>
      <c r="AE3789" s="384">
        <v>7</v>
      </c>
      <c r="AF3789" s="385">
        <v>0.79166666666666663</v>
      </c>
      <c r="AG3789" s="386">
        <v>13.9</v>
      </c>
      <c r="AH3789" s="387">
        <f t="shared" si="74"/>
        <v>14</v>
      </c>
    </row>
    <row r="3790" spans="11:34" ht="14.5" x14ac:dyDescent="0.35">
      <c r="K3790" s="4"/>
      <c r="AC3790" s="384">
        <v>2022</v>
      </c>
      <c r="AD3790" s="384">
        <v>6</v>
      </c>
      <c r="AE3790" s="384">
        <v>7</v>
      </c>
      <c r="AF3790" s="385">
        <v>0.83333333333333337</v>
      </c>
      <c r="AG3790" s="386">
        <v>13.3</v>
      </c>
      <c r="AH3790" s="387">
        <f t="shared" si="74"/>
        <v>13</v>
      </c>
    </row>
    <row r="3791" spans="11:34" ht="14.5" x14ac:dyDescent="0.35">
      <c r="K3791" s="4"/>
      <c r="AC3791" s="384">
        <v>2022</v>
      </c>
      <c r="AD3791" s="384">
        <v>6</v>
      </c>
      <c r="AE3791" s="384">
        <v>7</v>
      </c>
      <c r="AF3791" s="385">
        <v>0.875</v>
      </c>
      <c r="AG3791" s="386">
        <v>12</v>
      </c>
      <c r="AH3791" s="387">
        <f t="shared" si="74"/>
        <v>12</v>
      </c>
    </row>
    <row r="3792" spans="11:34" ht="14.5" x14ac:dyDescent="0.35">
      <c r="K3792" s="4"/>
      <c r="AC3792" s="384">
        <v>2022</v>
      </c>
      <c r="AD3792" s="384">
        <v>6</v>
      </c>
      <c r="AE3792" s="384">
        <v>7</v>
      </c>
      <c r="AF3792" s="385">
        <v>0.91666666666666663</v>
      </c>
      <c r="AG3792" s="386">
        <v>10.3</v>
      </c>
      <c r="AH3792" s="387">
        <f t="shared" si="74"/>
        <v>10</v>
      </c>
    </row>
    <row r="3793" spans="11:34" ht="14.5" x14ac:dyDescent="0.35">
      <c r="K3793" s="4"/>
      <c r="AC3793" s="384">
        <v>2022</v>
      </c>
      <c r="AD3793" s="384">
        <v>6</v>
      </c>
      <c r="AE3793" s="384">
        <v>7</v>
      </c>
      <c r="AF3793" s="385">
        <v>0.95833333333333337</v>
      </c>
      <c r="AG3793" s="386">
        <v>9.4</v>
      </c>
      <c r="AH3793" s="387">
        <f t="shared" si="74"/>
        <v>9</v>
      </c>
    </row>
    <row r="3794" spans="11:34" ht="14.5" x14ac:dyDescent="0.35">
      <c r="K3794" s="4"/>
      <c r="AC3794" s="384">
        <v>2022</v>
      </c>
      <c r="AD3794" s="384">
        <v>6</v>
      </c>
      <c r="AE3794" s="384">
        <v>8</v>
      </c>
      <c r="AF3794" s="385">
        <v>0</v>
      </c>
      <c r="AG3794" s="386">
        <v>8.6999999999999993</v>
      </c>
      <c r="AH3794" s="387">
        <f t="shared" si="74"/>
        <v>9</v>
      </c>
    </row>
    <row r="3795" spans="11:34" ht="14.5" x14ac:dyDescent="0.35">
      <c r="K3795" s="4"/>
      <c r="AC3795" s="384">
        <v>2022</v>
      </c>
      <c r="AD3795" s="384">
        <v>6</v>
      </c>
      <c r="AE3795" s="384">
        <v>8</v>
      </c>
      <c r="AF3795" s="385">
        <v>4.1666666666666664E-2</v>
      </c>
      <c r="AG3795" s="386">
        <v>8</v>
      </c>
      <c r="AH3795" s="387">
        <f t="shared" si="74"/>
        <v>8</v>
      </c>
    </row>
    <row r="3796" spans="11:34" ht="14.5" x14ac:dyDescent="0.35">
      <c r="K3796" s="4"/>
      <c r="AC3796" s="384">
        <v>2022</v>
      </c>
      <c r="AD3796" s="384">
        <v>6</v>
      </c>
      <c r="AE3796" s="384">
        <v>8</v>
      </c>
      <c r="AF3796" s="385">
        <v>8.3333333333333329E-2</v>
      </c>
      <c r="AG3796" s="386">
        <v>7.7</v>
      </c>
      <c r="AH3796" s="387">
        <f t="shared" si="74"/>
        <v>8</v>
      </c>
    </row>
    <row r="3797" spans="11:34" ht="14.5" x14ac:dyDescent="0.35">
      <c r="K3797" s="4"/>
      <c r="AC3797" s="384">
        <v>2022</v>
      </c>
      <c r="AD3797" s="384">
        <v>6</v>
      </c>
      <c r="AE3797" s="384">
        <v>8</v>
      </c>
      <c r="AF3797" s="385">
        <v>0.125</v>
      </c>
      <c r="AG3797" s="386">
        <v>6.8</v>
      </c>
      <c r="AH3797" s="387">
        <f t="shared" si="74"/>
        <v>7</v>
      </c>
    </row>
    <row r="3798" spans="11:34" ht="14.5" x14ac:dyDescent="0.35">
      <c r="K3798" s="4"/>
      <c r="AC3798" s="384">
        <v>2022</v>
      </c>
      <c r="AD3798" s="384">
        <v>6</v>
      </c>
      <c r="AE3798" s="384">
        <v>8</v>
      </c>
      <c r="AF3798" s="385">
        <v>0.16666666666666666</v>
      </c>
      <c r="AG3798" s="386">
        <v>6.8</v>
      </c>
      <c r="AH3798" s="387">
        <f t="shared" si="74"/>
        <v>7</v>
      </c>
    </row>
    <row r="3799" spans="11:34" ht="14.5" x14ac:dyDescent="0.35">
      <c r="K3799" s="4"/>
      <c r="AC3799" s="384">
        <v>2022</v>
      </c>
      <c r="AD3799" s="384">
        <v>6</v>
      </c>
      <c r="AE3799" s="384">
        <v>8</v>
      </c>
      <c r="AF3799" s="385">
        <v>0.20833333333333334</v>
      </c>
      <c r="AG3799" s="386">
        <v>7.3</v>
      </c>
      <c r="AH3799" s="387">
        <f t="shared" si="74"/>
        <v>7</v>
      </c>
    </row>
    <row r="3800" spans="11:34" ht="14.5" x14ac:dyDescent="0.35">
      <c r="K3800" s="4"/>
      <c r="AC3800" s="384">
        <v>2022</v>
      </c>
      <c r="AD3800" s="384">
        <v>6</v>
      </c>
      <c r="AE3800" s="384">
        <v>8</v>
      </c>
      <c r="AF3800" s="385">
        <v>0.25</v>
      </c>
      <c r="AG3800" s="386">
        <v>8.8000000000000007</v>
      </c>
      <c r="AH3800" s="387">
        <f t="shared" si="74"/>
        <v>9</v>
      </c>
    </row>
    <row r="3801" spans="11:34" ht="14.5" x14ac:dyDescent="0.35">
      <c r="K3801" s="4"/>
      <c r="AC3801" s="384">
        <v>2022</v>
      </c>
      <c r="AD3801" s="384">
        <v>6</v>
      </c>
      <c r="AE3801" s="384">
        <v>8</v>
      </c>
      <c r="AF3801" s="385">
        <v>0.29166666666666669</v>
      </c>
      <c r="AG3801" s="386">
        <v>10.5</v>
      </c>
      <c r="AH3801" s="387">
        <f t="shared" si="74"/>
        <v>11</v>
      </c>
    </row>
    <row r="3802" spans="11:34" ht="14.5" x14ac:dyDescent="0.35">
      <c r="K3802" s="4"/>
      <c r="AC3802" s="384">
        <v>2022</v>
      </c>
      <c r="AD3802" s="384">
        <v>6</v>
      </c>
      <c r="AE3802" s="384">
        <v>8</v>
      </c>
      <c r="AF3802" s="385">
        <v>0.33333333333333331</v>
      </c>
      <c r="AG3802" s="386">
        <v>11.1</v>
      </c>
      <c r="AH3802" s="387">
        <f t="shared" si="74"/>
        <v>11</v>
      </c>
    </row>
    <row r="3803" spans="11:34" ht="14.5" x14ac:dyDescent="0.35">
      <c r="K3803" s="4"/>
      <c r="AC3803" s="384">
        <v>2022</v>
      </c>
      <c r="AD3803" s="384">
        <v>6</v>
      </c>
      <c r="AE3803" s="384">
        <v>8</v>
      </c>
      <c r="AF3803" s="385">
        <v>0.375</v>
      </c>
      <c r="AG3803" s="386">
        <v>13.8</v>
      </c>
      <c r="AH3803" s="387">
        <f t="shared" si="74"/>
        <v>14</v>
      </c>
    </row>
    <row r="3804" spans="11:34" ht="14.5" x14ac:dyDescent="0.35">
      <c r="K3804" s="4"/>
      <c r="AC3804" s="384">
        <v>2022</v>
      </c>
      <c r="AD3804" s="384">
        <v>6</v>
      </c>
      <c r="AE3804" s="384">
        <v>8</v>
      </c>
      <c r="AF3804" s="385">
        <v>0.41666666666666669</v>
      </c>
      <c r="AG3804" s="386">
        <v>15.5</v>
      </c>
      <c r="AH3804" s="387">
        <f t="shared" si="74"/>
        <v>16</v>
      </c>
    </row>
    <row r="3805" spans="11:34" ht="14.5" x14ac:dyDescent="0.35">
      <c r="K3805" s="4"/>
      <c r="AC3805" s="384">
        <v>2022</v>
      </c>
      <c r="AD3805" s="384">
        <v>6</v>
      </c>
      <c r="AE3805" s="384">
        <v>8</v>
      </c>
      <c r="AF3805" s="385">
        <v>0.45833333333333331</v>
      </c>
      <c r="AG3805" s="386">
        <v>18</v>
      </c>
      <c r="AH3805" s="387">
        <f t="shared" si="74"/>
        <v>18</v>
      </c>
    </row>
    <row r="3806" spans="11:34" ht="14.5" x14ac:dyDescent="0.35">
      <c r="K3806" s="4"/>
      <c r="AC3806" s="384">
        <v>2022</v>
      </c>
      <c r="AD3806" s="384">
        <v>6</v>
      </c>
      <c r="AE3806" s="384">
        <v>8</v>
      </c>
      <c r="AF3806" s="385">
        <v>0.5</v>
      </c>
      <c r="AG3806" s="386">
        <v>20.3</v>
      </c>
      <c r="AH3806" s="387">
        <f t="shared" si="74"/>
        <v>20</v>
      </c>
    </row>
    <row r="3807" spans="11:34" ht="14.5" x14ac:dyDescent="0.35">
      <c r="K3807" s="4"/>
      <c r="AC3807" s="384">
        <v>2022</v>
      </c>
      <c r="AD3807" s="384">
        <v>6</v>
      </c>
      <c r="AE3807" s="384">
        <v>8</v>
      </c>
      <c r="AF3807" s="385">
        <v>0.54166666666666663</v>
      </c>
      <c r="AG3807" s="386">
        <v>20.5</v>
      </c>
      <c r="AH3807" s="387">
        <f t="shared" si="74"/>
        <v>21</v>
      </c>
    </row>
    <row r="3808" spans="11:34" ht="14.5" x14ac:dyDescent="0.35">
      <c r="K3808" s="4"/>
      <c r="AC3808" s="384">
        <v>2022</v>
      </c>
      <c r="AD3808" s="384">
        <v>6</v>
      </c>
      <c r="AE3808" s="384">
        <v>8</v>
      </c>
      <c r="AF3808" s="385">
        <v>0.58333333333333337</v>
      </c>
      <c r="AG3808" s="386">
        <v>20.5</v>
      </c>
      <c r="AH3808" s="387">
        <f t="shared" si="74"/>
        <v>21</v>
      </c>
    </row>
    <row r="3809" spans="11:34" ht="14.5" x14ac:dyDescent="0.35">
      <c r="K3809" s="4"/>
      <c r="AC3809" s="384">
        <v>2022</v>
      </c>
      <c r="AD3809" s="384">
        <v>6</v>
      </c>
      <c r="AE3809" s="384">
        <v>8</v>
      </c>
      <c r="AF3809" s="385">
        <v>0.625</v>
      </c>
      <c r="AG3809" s="386">
        <v>21.4</v>
      </c>
      <c r="AH3809" s="387">
        <f t="shared" si="74"/>
        <v>21</v>
      </c>
    </row>
    <row r="3810" spans="11:34" ht="14.5" x14ac:dyDescent="0.35">
      <c r="K3810" s="4"/>
      <c r="AC3810" s="384">
        <v>2022</v>
      </c>
      <c r="AD3810" s="384">
        <v>6</v>
      </c>
      <c r="AE3810" s="384">
        <v>8</v>
      </c>
      <c r="AF3810" s="385">
        <v>0.66666666666666663</v>
      </c>
      <c r="AG3810" s="386">
        <v>21.2</v>
      </c>
      <c r="AH3810" s="387">
        <f t="shared" si="74"/>
        <v>21</v>
      </c>
    </row>
    <row r="3811" spans="11:34" ht="14.5" x14ac:dyDescent="0.35">
      <c r="K3811" s="4"/>
      <c r="AC3811" s="384">
        <v>2022</v>
      </c>
      <c r="AD3811" s="384">
        <v>6</v>
      </c>
      <c r="AE3811" s="384">
        <v>8</v>
      </c>
      <c r="AF3811" s="385">
        <v>0.70833333333333337</v>
      </c>
      <c r="AG3811" s="386">
        <v>20.2</v>
      </c>
      <c r="AH3811" s="387">
        <f t="shared" si="74"/>
        <v>20</v>
      </c>
    </row>
    <row r="3812" spans="11:34" ht="14.5" x14ac:dyDescent="0.35">
      <c r="K3812" s="4"/>
      <c r="AC3812" s="384">
        <v>2022</v>
      </c>
      <c r="AD3812" s="384">
        <v>6</v>
      </c>
      <c r="AE3812" s="384">
        <v>8</v>
      </c>
      <c r="AF3812" s="385">
        <v>0.75</v>
      </c>
      <c r="AG3812" s="386">
        <v>19.600000000000001</v>
      </c>
      <c r="AH3812" s="387">
        <f t="shared" si="74"/>
        <v>20</v>
      </c>
    </row>
    <row r="3813" spans="11:34" ht="14.5" x14ac:dyDescent="0.35">
      <c r="K3813" s="4"/>
      <c r="AC3813" s="384">
        <v>2022</v>
      </c>
      <c r="AD3813" s="384">
        <v>6</v>
      </c>
      <c r="AE3813" s="384">
        <v>8</v>
      </c>
      <c r="AF3813" s="385">
        <v>0.79166666666666663</v>
      </c>
      <c r="AG3813" s="386">
        <v>19</v>
      </c>
      <c r="AH3813" s="387">
        <f t="shared" si="74"/>
        <v>19</v>
      </c>
    </row>
    <row r="3814" spans="11:34" ht="14.5" x14ac:dyDescent="0.35">
      <c r="K3814" s="4"/>
      <c r="AC3814" s="384">
        <v>2022</v>
      </c>
      <c r="AD3814" s="384">
        <v>6</v>
      </c>
      <c r="AE3814" s="384">
        <v>8</v>
      </c>
      <c r="AF3814" s="385">
        <v>0.83333333333333337</v>
      </c>
      <c r="AG3814" s="386">
        <v>18</v>
      </c>
      <c r="AH3814" s="387">
        <f t="shared" si="74"/>
        <v>18</v>
      </c>
    </row>
    <row r="3815" spans="11:34" ht="14.5" x14ac:dyDescent="0.35">
      <c r="K3815" s="4"/>
      <c r="AC3815" s="384">
        <v>2022</v>
      </c>
      <c r="AD3815" s="384">
        <v>6</v>
      </c>
      <c r="AE3815" s="384">
        <v>8</v>
      </c>
      <c r="AF3815" s="385">
        <v>0.875</v>
      </c>
      <c r="AG3815" s="386">
        <v>16.100000000000001</v>
      </c>
      <c r="AH3815" s="387">
        <f t="shared" si="74"/>
        <v>16</v>
      </c>
    </row>
    <row r="3816" spans="11:34" ht="14.5" x14ac:dyDescent="0.35">
      <c r="K3816" s="4"/>
      <c r="AC3816" s="384">
        <v>2022</v>
      </c>
      <c r="AD3816" s="384">
        <v>6</v>
      </c>
      <c r="AE3816" s="384">
        <v>8</v>
      </c>
      <c r="AF3816" s="385">
        <v>0.91666666666666663</v>
      </c>
      <c r="AG3816" s="386">
        <v>13.3</v>
      </c>
      <c r="AH3816" s="387">
        <f t="shared" si="74"/>
        <v>13</v>
      </c>
    </row>
    <row r="3817" spans="11:34" ht="14.5" x14ac:dyDescent="0.35">
      <c r="K3817" s="4"/>
      <c r="AC3817" s="384">
        <v>2022</v>
      </c>
      <c r="AD3817" s="384">
        <v>6</v>
      </c>
      <c r="AE3817" s="384">
        <v>8</v>
      </c>
      <c r="AF3817" s="385">
        <v>0.95833333333333337</v>
      </c>
      <c r="AG3817" s="386">
        <v>11</v>
      </c>
      <c r="AH3817" s="387">
        <f t="shared" si="74"/>
        <v>11</v>
      </c>
    </row>
    <row r="3818" spans="11:34" ht="14.5" x14ac:dyDescent="0.35">
      <c r="K3818" s="4"/>
      <c r="AC3818" s="384">
        <v>2022</v>
      </c>
      <c r="AD3818" s="384">
        <v>6</v>
      </c>
      <c r="AE3818" s="384">
        <v>9</v>
      </c>
      <c r="AF3818" s="385">
        <v>0</v>
      </c>
      <c r="AG3818" s="386">
        <v>9.8000000000000007</v>
      </c>
      <c r="AH3818" s="387">
        <f t="shared" si="74"/>
        <v>10</v>
      </c>
    </row>
    <row r="3819" spans="11:34" ht="14.5" x14ac:dyDescent="0.35">
      <c r="K3819" s="4"/>
      <c r="AC3819" s="384">
        <v>2022</v>
      </c>
      <c r="AD3819" s="384">
        <v>6</v>
      </c>
      <c r="AE3819" s="384">
        <v>9</v>
      </c>
      <c r="AF3819" s="385">
        <v>4.1666666666666664E-2</v>
      </c>
      <c r="AG3819" s="386">
        <v>10.7</v>
      </c>
      <c r="AH3819" s="387">
        <f t="shared" si="74"/>
        <v>11</v>
      </c>
    </row>
    <row r="3820" spans="11:34" ht="14.5" x14ac:dyDescent="0.35">
      <c r="K3820" s="4"/>
      <c r="AC3820" s="384">
        <v>2022</v>
      </c>
      <c r="AD3820" s="384">
        <v>6</v>
      </c>
      <c r="AE3820" s="384">
        <v>9</v>
      </c>
      <c r="AF3820" s="385">
        <v>8.3333333333333329E-2</v>
      </c>
      <c r="AG3820" s="386">
        <v>9.8000000000000007</v>
      </c>
      <c r="AH3820" s="387">
        <f t="shared" si="74"/>
        <v>10</v>
      </c>
    </row>
    <row r="3821" spans="11:34" ht="14.5" x14ac:dyDescent="0.35">
      <c r="K3821" s="4"/>
      <c r="AC3821" s="384">
        <v>2022</v>
      </c>
      <c r="AD3821" s="384">
        <v>6</v>
      </c>
      <c r="AE3821" s="384">
        <v>9</v>
      </c>
      <c r="AF3821" s="385">
        <v>0.125</v>
      </c>
      <c r="AG3821" s="386">
        <v>8.6999999999999993</v>
      </c>
      <c r="AH3821" s="387">
        <f t="shared" si="74"/>
        <v>9</v>
      </c>
    </row>
    <row r="3822" spans="11:34" ht="14.5" x14ac:dyDescent="0.35">
      <c r="K3822" s="4"/>
      <c r="AC3822" s="384">
        <v>2022</v>
      </c>
      <c r="AD3822" s="384">
        <v>6</v>
      </c>
      <c r="AE3822" s="384">
        <v>9</v>
      </c>
      <c r="AF3822" s="385">
        <v>0.16666666666666666</v>
      </c>
      <c r="AG3822" s="386">
        <v>9.1999999999999993</v>
      </c>
      <c r="AH3822" s="387">
        <f t="shared" si="74"/>
        <v>9</v>
      </c>
    </row>
    <row r="3823" spans="11:34" ht="14.5" x14ac:dyDescent="0.35">
      <c r="K3823" s="4"/>
      <c r="AC3823" s="384">
        <v>2022</v>
      </c>
      <c r="AD3823" s="384">
        <v>6</v>
      </c>
      <c r="AE3823" s="384">
        <v>9</v>
      </c>
      <c r="AF3823" s="385">
        <v>0.20833333333333334</v>
      </c>
      <c r="AG3823" s="386">
        <v>7.5</v>
      </c>
      <c r="AH3823" s="387">
        <f t="shared" si="74"/>
        <v>8</v>
      </c>
    </row>
    <row r="3824" spans="11:34" ht="14.5" x14ac:dyDescent="0.35">
      <c r="K3824" s="4"/>
      <c r="AC3824" s="384">
        <v>2022</v>
      </c>
      <c r="AD3824" s="384">
        <v>6</v>
      </c>
      <c r="AE3824" s="384">
        <v>9</v>
      </c>
      <c r="AF3824" s="385">
        <v>0.25</v>
      </c>
      <c r="AG3824" s="386">
        <v>11.7</v>
      </c>
      <c r="AH3824" s="387">
        <f t="shared" si="74"/>
        <v>12</v>
      </c>
    </row>
    <row r="3825" spans="11:34" ht="14.5" x14ac:dyDescent="0.35">
      <c r="K3825" s="4"/>
      <c r="AC3825" s="384">
        <v>2022</v>
      </c>
      <c r="AD3825" s="384">
        <v>6</v>
      </c>
      <c r="AE3825" s="384">
        <v>9</v>
      </c>
      <c r="AF3825" s="385">
        <v>0.29166666666666669</v>
      </c>
      <c r="AG3825" s="386">
        <v>13.4</v>
      </c>
      <c r="AH3825" s="387">
        <f t="shared" si="74"/>
        <v>13</v>
      </c>
    </row>
    <row r="3826" spans="11:34" ht="14.5" x14ac:dyDescent="0.35">
      <c r="K3826" s="4"/>
      <c r="AC3826" s="384">
        <v>2022</v>
      </c>
      <c r="AD3826" s="384">
        <v>6</v>
      </c>
      <c r="AE3826" s="384">
        <v>9</v>
      </c>
      <c r="AF3826" s="385">
        <v>0.33333333333333331</v>
      </c>
      <c r="AG3826" s="386">
        <v>16.600000000000001</v>
      </c>
      <c r="AH3826" s="387">
        <f t="shared" si="74"/>
        <v>17</v>
      </c>
    </row>
    <row r="3827" spans="11:34" ht="14.5" x14ac:dyDescent="0.35">
      <c r="K3827" s="4"/>
      <c r="AC3827" s="384">
        <v>2022</v>
      </c>
      <c r="AD3827" s="384">
        <v>6</v>
      </c>
      <c r="AE3827" s="384">
        <v>9</v>
      </c>
      <c r="AF3827" s="385">
        <v>0.375</v>
      </c>
      <c r="AG3827" s="386">
        <v>17.8</v>
      </c>
      <c r="AH3827" s="387">
        <f t="shared" si="74"/>
        <v>18</v>
      </c>
    </row>
    <row r="3828" spans="11:34" ht="14.5" x14ac:dyDescent="0.35">
      <c r="K3828" s="4"/>
      <c r="AC3828" s="384">
        <v>2022</v>
      </c>
      <c r="AD3828" s="384">
        <v>6</v>
      </c>
      <c r="AE3828" s="384">
        <v>9</v>
      </c>
      <c r="AF3828" s="385">
        <v>0.41666666666666669</v>
      </c>
      <c r="AG3828" s="386">
        <v>18.5</v>
      </c>
      <c r="AH3828" s="387">
        <f t="shared" si="74"/>
        <v>19</v>
      </c>
    </row>
    <row r="3829" spans="11:34" ht="14.5" x14ac:dyDescent="0.35">
      <c r="K3829" s="4"/>
      <c r="AC3829" s="384">
        <v>2022</v>
      </c>
      <c r="AD3829" s="384">
        <v>6</v>
      </c>
      <c r="AE3829" s="384">
        <v>9</v>
      </c>
      <c r="AF3829" s="385">
        <v>0.45833333333333331</v>
      </c>
      <c r="AG3829" s="386">
        <v>19.399999999999999</v>
      </c>
      <c r="AH3829" s="387">
        <f t="shared" si="74"/>
        <v>19</v>
      </c>
    </row>
    <row r="3830" spans="11:34" ht="14.5" x14ac:dyDescent="0.35">
      <c r="K3830" s="4"/>
      <c r="AC3830" s="384">
        <v>2022</v>
      </c>
      <c r="AD3830" s="384">
        <v>6</v>
      </c>
      <c r="AE3830" s="384">
        <v>9</v>
      </c>
      <c r="AF3830" s="385">
        <v>0.5</v>
      </c>
      <c r="AG3830" s="386">
        <v>20.9</v>
      </c>
      <c r="AH3830" s="387">
        <f t="shared" si="74"/>
        <v>21</v>
      </c>
    </row>
    <row r="3831" spans="11:34" ht="14.5" x14ac:dyDescent="0.35">
      <c r="K3831" s="4"/>
      <c r="AC3831" s="384">
        <v>2022</v>
      </c>
      <c r="AD3831" s="384">
        <v>6</v>
      </c>
      <c r="AE3831" s="384">
        <v>9</v>
      </c>
      <c r="AF3831" s="385">
        <v>0.54166666666666663</v>
      </c>
      <c r="AG3831" s="386">
        <v>20.100000000000001</v>
      </c>
      <c r="AH3831" s="387">
        <f t="shared" si="74"/>
        <v>20</v>
      </c>
    </row>
    <row r="3832" spans="11:34" ht="14.5" x14ac:dyDescent="0.35">
      <c r="K3832" s="4"/>
      <c r="AC3832" s="384">
        <v>2022</v>
      </c>
      <c r="AD3832" s="384">
        <v>6</v>
      </c>
      <c r="AE3832" s="384">
        <v>9</v>
      </c>
      <c r="AF3832" s="385">
        <v>0.58333333333333337</v>
      </c>
      <c r="AG3832" s="386">
        <v>20.6</v>
      </c>
      <c r="AH3832" s="387">
        <f t="shared" si="74"/>
        <v>21</v>
      </c>
    </row>
    <row r="3833" spans="11:34" ht="14.5" x14ac:dyDescent="0.35">
      <c r="K3833" s="4"/>
      <c r="AC3833" s="384">
        <v>2022</v>
      </c>
      <c r="AD3833" s="384">
        <v>6</v>
      </c>
      <c r="AE3833" s="384">
        <v>9</v>
      </c>
      <c r="AF3833" s="385">
        <v>0.625</v>
      </c>
      <c r="AG3833" s="386">
        <v>22.2</v>
      </c>
      <c r="AH3833" s="387">
        <f t="shared" si="74"/>
        <v>22</v>
      </c>
    </row>
    <row r="3834" spans="11:34" ht="14.5" x14ac:dyDescent="0.35">
      <c r="K3834" s="4"/>
      <c r="AC3834" s="384">
        <v>2022</v>
      </c>
      <c r="AD3834" s="384">
        <v>6</v>
      </c>
      <c r="AE3834" s="384">
        <v>9</v>
      </c>
      <c r="AF3834" s="385">
        <v>0.66666666666666663</v>
      </c>
      <c r="AG3834" s="386">
        <v>22</v>
      </c>
      <c r="AH3834" s="387">
        <f t="shared" si="74"/>
        <v>22</v>
      </c>
    </row>
    <row r="3835" spans="11:34" ht="14.5" x14ac:dyDescent="0.35">
      <c r="K3835" s="4"/>
      <c r="AC3835" s="384">
        <v>2022</v>
      </c>
      <c r="AD3835" s="384">
        <v>6</v>
      </c>
      <c r="AE3835" s="384">
        <v>9</v>
      </c>
      <c r="AF3835" s="385">
        <v>0.70833333333333337</v>
      </c>
      <c r="AG3835" s="386">
        <v>21.1</v>
      </c>
      <c r="AH3835" s="387">
        <f t="shared" si="74"/>
        <v>21</v>
      </c>
    </row>
    <row r="3836" spans="11:34" ht="14.5" x14ac:dyDescent="0.35">
      <c r="K3836" s="4"/>
      <c r="AC3836" s="384">
        <v>2022</v>
      </c>
      <c r="AD3836" s="384">
        <v>6</v>
      </c>
      <c r="AE3836" s="384">
        <v>9</v>
      </c>
      <c r="AF3836" s="385">
        <v>0.75</v>
      </c>
      <c r="AG3836" s="386">
        <v>20.3</v>
      </c>
      <c r="AH3836" s="387">
        <f t="shared" si="74"/>
        <v>20</v>
      </c>
    </row>
    <row r="3837" spans="11:34" ht="14.5" x14ac:dyDescent="0.35">
      <c r="K3837" s="4"/>
      <c r="AC3837" s="384">
        <v>2022</v>
      </c>
      <c r="AD3837" s="384">
        <v>6</v>
      </c>
      <c r="AE3837" s="384">
        <v>9</v>
      </c>
      <c r="AF3837" s="385">
        <v>0.79166666666666663</v>
      </c>
      <c r="AG3837" s="386">
        <v>19.5</v>
      </c>
      <c r="AH3837" s="387">
        <f t="shared" si="74"/>
        <v>20</v>
      </c>
    </row>
    <row r="3838" spans="11:34" ht="14.5" x14ac:dyDescent="0.35">
      <c r="K3838" s="4"/>
      <c r="AC3838" s="384">
        <v>2022</v>
      </c>
      <c r="AD3838" s="384">
        <v>6</v>
      </c>
      <c r="AE3838" s="384">
        <v>9</v>
      </c>
      <c r="AF3838" s="385">
        <v>0.83333333333333337</v>
      </c>
      <c r="AG3838" s="386">
        <v>18.5</v>
      </c>
      <c r="AH3838" s="387">
        <f t="shared" si="74"/>
        <v>19</v>
      </c>
    </row>
    <row r="3839" spans="11:34" ht="14.5" x14ac:dyDescent="0.35">
      <c r="K3839" s="4"/>
      <c r="AC3839" s="384">
        <v>2022</v>
      </c>
      <c r="AD3839" s="384">
        <v>6</v>
      </c>
      <c r="AE3839" s="384">
        <v>9</v>
      </c>
      <c r="AF3839" s="385">
        <v>0.875</v>
      </c>
      <c r="AG3839" s="386">
        <v>17.3</v>
      </c>
      <c r="AH3839" s="387">
        <f t="shared" si="74"/>
        <v>17</v>
      </c>
    </row>
    <row r="3840" spans="11:34" ht="14.5" x14ac:dyDescent="0.35">
      <c r="K3840" s="4"/>
      <c r="AC3840" s="384">
        <v>2022</v>
      </c>
      <c r="AD3840" s="384">
        <v>6</v>
      </c>
      <c r="AE3840" s="384">
        <v>9</v>
      </c>
      <c r="AF3840" s="385">
        <v>0.91666666666666663</v>
      </c>
      <c r="AG3840" s="386">
        <v>15.8</v>
      </c>
      <c r="AH3840" s="387">
        <f t="shared" si="74"/>
        <v>16</v>
      </c>
    </row>
    <row r="3841" spans="11:34" ht="14.5" x14ac:dyDescent="0.35">
      <c r="K3841" s="4"/>
      <c r="AC3841" s="384">
        <v>2022</v>
      </c>
      <c r="AD3841" s="384">
        <v>6</v>
      </c>
      <c r="AE3841" s="384">
        <v>9</v>
      </c>
      <c r="AF3841" s="385">
        <v>0.95833333333333337</v>
      </c>
      <c r="AG3841" s="386">
        <v>14.8</v>
      </c>
      <c r="AH3841" s="387">
        <f t="shared" si="74"/>
        <v>15</v>
      </c>
    </row>
    <row r="3842" spans="11:34" ht="14.5" x14ac:dyDescent="0.35">
      <c r="K3842" s="4"/>
      <c r="AC3842" s="384">
        <v>2022</v>
      </c>
      <c r="AD3842" s="384">
        <v>6</v>
      </c>
      <c r="AE3842" s="384">
        <v>10</v>
      </c>
      <c r="AF3842" s="385">
        <v>0</v>
      </c>
      <c r="AG3842" s="386">
        <v>13.7</v>
      </c>
      <c r="AH3842" s="387">
        <f t="shared" si="74"/>
        <v>14</v>
      </c>
    </row>
    <row r="3843" spans="11:34" ht="14.5" x14ac:dyDescent="0.35">
      <c r="K3843" s="4"/>
      <c r="AC3843" s="384">
        <v>2022</v>
      </c>
      <c r="AD3843" s="384">
        <v>6</v>
      </c>
      <c r="AE3843" s="384">
        <v>10</v>
      </c>
      <c r="AF3843" s="385">
        <v>4.1666666666666664E-2</v>
      </c>
      <c r="AG3843" s="386">
        <v>12.8</v>
      </c>
      <c r="AH3843" s="387">
        <f t="shared" si="74"/>
        <v>13</v>
      </c>
    </row>
    <row r="3844" spans="11:34" ht="14.5" x14ac:dyDescent="0.35">
      <c r="K3844" s="4"/>
      <c r="AC3844" s="384">
        <v>2022</v>
      </c>
      <c r="AD3844" s="384">
        <v>6</v>
      </c>
      <c r="AE3844" s="384">
        <v>10</v>
      </c>
      <c r="AF3844" s="385">
        <v>8.3333333333333329E-2</v>
      </c>
      <c r="AG3844" s="386">
        <v>12.1</v>
      </c>
      <c r="AH3844" s="387">
        <f t="shared" si="74"/>
        <v>12</v>
      </c>
    </row>
    <row r="3845" spans="11:34" ht="14.5" x14ac:dyDescent="0.35">
      <c r="K3845" s="4"/>
      <c r="AC3845" s="384">
        <v>2022</v>
      </c>
      <c r="AD3845" s="384">
        <v>6</v>
      </c>
      <c r="AE3845" s="384">
        <v>10</v>
      </c>
      <c r="AF3845" s="385">
        <v>0.125</v>
      </c>
      <c r="AG3845" s="386">
        <v>12</v>
      </c>
      <c r="AH3845" s="387">
        <f t="shared" si="74"/>
        <v>12</v>
      </c>
    </row>
    <row r="3846" spans="11:34" ht="14.5" x14ac:dyDescent="0.35">
      <c r="K3846" s="4"/>
      <c r="AC3846" s="384">
        <v>2022</v>
      </c>
      <c r="AD3846" s="384">
        <v>6</v>
      </c>
      <c r="AE3846" s="384">
        <v>10</v>
      </c>
      <c r="AF3846" s="385">
        <v>0.16666666666666666</v>
      </c>
      <c r="AG3846" s="386">
        <v>8.3000000000000007</v>
      </c>
      <c r="AH3846" s="387">
        <f t="shared" si="74"/>
        <v>8</v>
      </c>
    </row>
    <row r="3847" spans="11:34" ht="14.5" x14ac:dyDescent="0.35">
      <c r="K3847" s="4"/>
      <c r="AC3847" s="384">
        <v>2022</v>
      </c>
      <c r="AD3847" s="384">
        <v>6</v>
      </c>
      <c r="AE3847" s="384">
        <v>10</v>
      </c>
      <c r="AF3847" s="385">
        <v>0.20833333333333334</v>
      </c>
      <c r="AG3847" s="386">
        <v>12.2</v>
      </c>
      <c r="AH3847" s="387">
        <f t="shared" si="74"/>
        <v>12</v>
      </c>
    </row>
    <row r="3848" spans="11:34" ht="14.5" x14ac:dyDescent="0.35">
      <c r="K3848" s="4"/>
      <c r="AC3848" s="384">
        <v>2022</v>
      </c>
      <c r="AD3848" s="384">
        <v>6</v>
      </c>
      <c r="AE3848" s="384">
        <v>10</v>
      </c>
      <c r="AF3848" s="385">
        <v>0.25</v>
      </c>
      <c r="AG3848" s="386">
        <v>15.7</v>
      </c>
      <c r="AH3848" s="387">
        <f t="shared" si="74"/>
        <v>16</v>
      </c>
    </row>
    <row r="3849" spans="11:34" ht="14.5" x14ac:dyDescent="0.35">
      <c r="K3849" s="4"/>
      <c r="AC3849" s="384">
        <v>2022</v>
      </c>
      <c r="AD3849" s="384">
        <v>6</v>
      </c>
      <c r="AE3849" s="384">
        <v>10</v>
      </c>
      <c r="AF3849" s="385">
        <v>0.29166666666666669</v>
      </c>
      <c r="AG3849" s="386">
        <v>16.8</v>
      </c>
      <c r="AH3849" s="387">
        <f t="shared" si="74"/>
        <v>17</v>
      </c>
    </row>
    <row r="3850" spans="11:34" ht="14.5" x14ac:dyDescent="0.35">
      <c r="K3850" s="4"/>
      <c r="AC3850" s="384">
        <v>2022</v>
      </c>
      <c r="AD3850" s="384">
        <v>6</v>
      </c>
      <c r="AE3850" s="384">
        <v>10</v>
      </c>
      <c r="AF3850" s="385">
        <v>0.33333333333333331</v>
      </c>
      <c r="AG3850" s="386">
        <v>18.600000000000001</v>
      </c>
      <c r="AH3850" s="387">
        <f t="shared" si="74"/>
        <v>19</v>
      </c>
    </row>
    <row r="3851" spans="11:34" ht="14.5" x14ac:dyDescent="0.35">
      <c r="K3851" s="4"/>
      <c r="AC3851" s="384">
        <v>2022</v>
      </c>
      <c r="AD3851" s="384">
        <v>6</v>
      </c>
      <c r="AE3851" s="384">
        <v>10</v>
      </c>
      <c r="AF3851" s="385">
        <v>0.375</v>
      </c>
      <c r="AG3851" s="386">
        <v>19.2</v>
      </c>
      <c r="AH3851" s="387">
        <f t="shared" ref="AH3851:AH3914" si="75">ROUND(AG3851,0)</f>
        <v>19</v>
      </c>
    </row>
    <row r="3852" spans="11:34" ht="14.5" x14ac:dyDescent="0.35">
      <c r="K3852" s="4"/>
      <c r="AC3852" s="384">
        <v>2022</v>
      </c>
      <c r="AD3852" s="384">
        <v>6</v>
      </c>
      <c r="AE3852" s="384">
        <v>10</v>
      </c>
      <c r="AF3852" s="385">
        <v>0.41666666666666669</v>
      </c>
      <c r="AG3852" s="386">
        <v>20.3</v>
      </c>
      <c r="AH3852" s="387">
        <f t="shared" si="75"/>
        <v>20</v>
      </c>
    </row>
    <row r="3853" spans="11:34" ht="14.5" x14ac:dyDescent="0.35">
      <c r="K3853" s="4"/>
      <c r="AC3853" s="384">
        <v>2022</v>
      </c>
      <c r="AD3853" s="384">
        <v>6</v>
      </c>
      <c r="AE3853" s="384">
        <v>10</v>
      </c>
      <c r="AF3853" s="385">
        <v>0.45833333333333331</v>
      </c>
      <c r="AG3853" s="386">
        <v>21.1</v>
      </c>
      <c r="AH3853" s="387">
        <f t="shared" si="75"/>
        <v>21</v>
      </c>
    </row>
    <row r="3854" spans="11:34" ht="14.5" x14ac:dyDescent="0.35">
      <c r="K3854" s="4"/>
      <c r="AC3854" s="384">
        <v>2022</v>
      </c>
      <c r="AD3854" s="384">
        <v>6</v>
      </c>
      <c r="AE3854" s="384">
        <v>10</v>
      </c>
      <c r="AF3854" s="385">
        <v>0.5</v>
      </c>
      <c r="AG3854" s="386">
        <v>22.3</v>
      </c>
      <c r="AH3854" s="387">
        <f t="shared" si="75"/>
        <v>22</v>
      </c>
    </row>
    <row r="3855" spans="11:34" ht="14.5" x14ac:dyDescent="0.35">
      <c r="K3855" s="4"/>
      <c r="AC3855" s="384">
        <v>2022</v>
      </c>
      <c r="AD3855" s="384">
        <v>6</v>
      </c>
      <c r="AE3855" s="384">
        <v>10</v>
      </c>
      <c r="AF3855" s="385">
        <v>0.54166666666666663</v>
      </c>
      <c r="AG3855" s="386">
        <v>22.9</v>
      </c>
      <c r="AH3855" s="387">
        <f t="shared" si="75"/>
        <v>23</v>
      </c>
    </row>
    <row r="3856" spans="11:34" ht="14.5" x14ac:dyDescent="0.35">
      <c r="K3856" s="4"/>
      <c r="AC3856" s="384">
        <v>2022</v>
      </c>
      <c r="AD3856" s="384">
        <v>6</v>
      </c>
      <c r="AE3856" s="384">
        <v>10</v>
      </c>
      <c r="AF3856" s="385">
        <v>0.58333333333333337</v>
      </c>
      <c r="AG3856" s="386">
        <v>22.9</v>
      </c>
      <c r="AH3856" s="387">
        <f t="shared" si="75"/>
        <v>23</v>
      </c>
    </row>
    <row r="3857" spans="11:34" ht="14.5" x14ac:dyDescent="0.35">
      <c r="K3857" s="4"/>
      <c r="AC3857" s="384">
        <v>2022</v>
      </c>
      <c r="AD3857" s="384">
        <v>6</v>
      </c>
      <c r="AE3857" s="384">
        <v>10</v>
      </c>
      <c r="AF3857" s="385">
        <v>0.625</v>
      </c>
      <c r="AG3857" s="386">
        <v>22.8</v>
      </c>
      <c r="AH3857" s="387">
        <f t="shared" si="75"/>
        <v>23</v>
      </c>
    </row>
    <row r="3858" spans="11:34" ht="14.5" x14ac:dyDescent="0.35">
      <c r="K3858" s="4"/>
      <c r="AC3858" s="384">
        <v>2022</v>
      </c>
      <c r="AD3858" s="384">
        <v>6</v>
      </c>
      <c r="AE3858" s="384">
        <v>10</v>
      </c>
      <c r="AF3858" s="385">
        <v>0.66666666666666663</v>
      </c>
      <c r="AG3858" s="386">
        <v>23</v>
      </c>
      <c r="AH3858" s="387">
        <f t="shared" si="75"/>
        <v>23</v>
      </c>
    </row>
    <row r="3859" spans="11:34" ht="14.5" x14ac:dyDescent="0.35">
      <c r="K3859" s="4"/>
      <c r="AC3859" s="384">
        <v>2022</v>
      </c>
      <c r="AD3859" s="384">
        <v>6</v>
      </c>
      <c r="AE3859" s="384">
        <v>10</v>
      </c>
      <c r="AF3859" s="385">
        <v>0.70833333333333337</v>
      </c>
      <c r="AG3859" s="386">
        <v>22.4</v>
      </c>
      <c r="AH3859" s="387">
        <f t="shared" si="75"/>
        <v>22</v>
      </c>
    </row>
    <row r="3860" spans="11:34" ht="14.5" x14ac:dyDescent="0.35">
      <c r="K3860" s="4"/>
      <c r="AC3860" s="384">
        <v>2022</v>
      </c>
      <c r="AD3860" s="384">
        <v>6</v>
      </c>
      <c r="AE3860" s="384">
        <v>10</v>
      </c>
      <c r="AF3860" s="385">
        <v>0.75</v>
      </c>
      <c r="AG3860" s="386">
        <v>21.8</v>
      </c>
      <c r="AH3860" s="387">
        <f t="shared" si="75"/>
        <v>22</v>
      </c>
    </row>
    <row r="3861" spans="11:34" ht="14.5" x14ac:dyDescent="0.35">
      <c r="K3861" s="4"/>
      <c r="AC3861" s="384">
        <v>2022</v>
      </c>
      <c r="AD3861" s="384">
        <v>6</v>
      </c>
      <c r="AE3861" s="384">
        <v>10</v>
      </c>
      <c r="AF3861" s="385">
        <v>0.79166666666666663</v>
      </c>
      <c r="AG3861" s="386">
        <v>21.2</v>
      </c>
      <c r="AH3861" s="387">
        <f t="shared" si="75"/>
        <v>21</v>
      </c>
    </row>
    <row r="3862" spans="11:34" ht="14.5" x14ac:dyDescent="0.35">
      <c r="K3862" s="4"/>
      <c r="AC3862" s="384">
        <v>2022</v>
      </c>
      <c r="AD3862" s="384">
        <v>6</v>
      </c>
      <c r="AE3862" s="384">
        <v>10</v>
      </c>
      <c r="AF3862" s="385">
        <v>0.83333333333333337</v>
      </c>
      <c r="AG3862" s="386">
        <v>19</v>
      </c>
      <c r="AH3862" s="387">
        <f t="shared" si="75"/>
        <v>19</v>
      </c>
    </row>
    <row r="3863" spans="11:34" ht="14.5" x14ac:dyDescent="0.35">
      <c r="K3863" s="4"/>
      <c r="AC3863" s="384">
        <v>2022</v>
      </c>
      <c r="AD3863" s="384">
        <v>6</v>
      </c>
      <c r="AE3863" s="384">
        <v>10</v>
      </c>
      <c r="AF3863" s="385">
        <v>0.875</v>
      </c>
      <c r="AG3863" s="386">
        <v>17.7</v>
      </c>
      <c r="AH3863" s="387">
        <f t="shared" si="75"/>
        <v>18</v>
      </c>
    </row>
    <row r="3864" spans="11:34" ht="14.5" x14ac:dyDescent="0.35">
      <c r="K3864" s="4"/>
      <c r="AC3864" s="384">
        <v>2022</v>
      </c>
      <c r="AD3864" s="384">
        <v>6</v>
      </c>
      <c r="AE3864" s="384">
        <v>10</v>
      </c>
      <c r="AF3864" s="385">
        <v>0.91666666666666663</v>
      </c>
      <c r="AG3864" s="386">
        <v>16.600000000000001</v>
      </c>
      <c r="AH3864" s="387">
        <f t="shared" si="75"/>
        <v>17</v>
      </c>
    </row>
    <row r="3865" spans="11:34" ht="14.5" x14ac:dyDescent="0.35">
      <c r="K3865" s="4"/>
      <c r="AC3865" s="384">
        <v>2022</v>
      </c>
      <c r="AD3865" s="384">
        <v>6</v>
      </c>
      <c r="AE3865" s="384">
        <v>10</v>
      </c>
      <c r="AF3865" s="385">
        <v>0.95833333333333337</v>
      </c>
      <c r="AG3865" s="386">
        <v>15.1</v>
      </c>
      <c r="AH3865" s="387">
        <f t="shared" si="75"/>
        <v>15</v>
      </c>
    </row>
    <row r="3866" spans="11:34" ht="14.5" x14ac:dyDescent="0.35">
      <c r="K3866" s="4"/>
      <c r="AC3866" s="384">
        <v>2022</v>
      </c>
      <c r="AD3866" s="384">
        <v>6</v>
      </c>
      <c r="AE3866" s="384">
        <v>11</v>
      </c>
      <c r="AF3866" s="385">
        <v>0</v>
      </c>
      <c r="AG3866" s="386">
        <v>14.7</v>
      </c>
      <c r="AH3866" s="387">
        <f t="shared" si="75"/>
        <v>15</v>
      </c>
    </row>
    <row r="3867" spans="11:34" ht="14.5" x14ac:dyDescent="0.35">
      <c r="K3867" s="4"/>
      <c r="AC3867" s="384">
        <v>2022</v>
      </c>
      <c r="AD3867" s="384">
        <v>6</v>
      </c>
      <c r="AE3867" s="384">
        <v>11</v>
      </c>
      <c r="AF3867" s="385">
        <v>4.1666666666666664E-2</v>
      </c>
      <c r="AG3867" s="386">
        <v>14</v>
      </c>
      <c r="AH3867" s="387">
        <f t="shared" si="75"/>
        <v>14</v>
      </c>
    </row>
    <row r="3868" spans="11:34" ht="14.5" x14ac:dyDescent="0.35">
      <c r="K3868" s="4"/>
      <c r="AC3868" s="384">
        <v>2022</v>
      </c>
      <c r="AD3868" s="384">
        <v>6</v>
      </c>
      <c r="AE3868" s="384">
        <v>11</v>
      </c>
      <c r="AF3868" s="385">
        <v>8.3333333333333329E-2</v>
      </c>
      <c r="AG3868" s="386">
        <v>11.6</v>
      </c>
      <c r="AH3868" s="387">
        <f t="shared" si="75"/>
        <v>12</v>
      </c>
    </row>
    <row r="3869" spans="11:34" ht="14.5" x14ac:dyDescent="0.35">
      <c r="K3869" s="4"/>
      <c r="AC3869" s="384">
        <v>2022</v>
      </c>
      <c r="AD3869" s="384">
        <v>6</v>
      </c>
      <c r="AE3869" s="384">
        <v>11</v>
      </c>
      <c r="AF3869" s="385">
        <v>0.125</v>
      </c>
      <c r="AG3869" s="386">
        <v>14.3</v>
      </c>
      <c r="AH3869" s="387">
        <f t="shared" si="75"/>
        <v>14</v>
      </c>
    </row>
    <row r="3870" spans="11:34" ht="14.5" x14ac:dyDescent="0.35">
      <c r="K3870" s="4"/>
      <c r="AC3870" s="384">
        <v>2022</v>
      </c>
      <c r="AD3870" s="384">
        <v>6</v>
      </c>
      <c r="AE3870" s="384">
        <v>11</v>
      </c>
      <c r="AF3870" s="385">
        <v>0.16666666666666666</v>
      </c>
      <c r="AG3870" s="386">
        <v>15.6</v>
      </c>
      <c r="AH3870" s="387">
        <f t="shared" si="75"/>
        <v>16</v>
      </c>
    </row>
    <row r="3871" spans="11:34" ht="14.5" x14ac:dyDescent="0.35">
      <c r="K3871" s="4"/>
      <c r="AC3871" s="384">
        <v>2022</v>
      </c>
      <c r="AD3871" s="384">
        <v>6</v>
      </c>
      <c r="AE3871" s="384">
        <v>11</v>
      </c>
      <c r="AF3871" s="385">
        <v>0.20833333333333334</v>
      </c>
      <c r="AG3871" s="386">
        <v>14.5</v>
      </c>
      <c r="AH3871" s="387">
        <f t="shared" si="75"/>
        <v>15</v>
      </c>
    </row>
    <row r="3872" spans="11:34" ht="14.5" x14ac:dyDescent="0.35">
      <c r="K3872" s="4"/>
      <c r="AC3872" s="384">
        <v>2022</v>
      </c>
      <c r="AD3872" s="384">
        <v>6</v>
      </c>
      <c r="AE3872" s="384">
        <v>11</v>
      </c>
      <c r="AF3872" s="385">
        <v>0.25</v>
      </c>
      <c r="AG3872" s="386">
        <v>14.4</v>
      </c>
      <c r="AH3872" s="387">
        <f t="shared" si="75"/>
        <v>14</v>
      </c>
    </row>
    <row r="3873" spans="11:34" ht="14.5" x14ac:dyDescent="0.35">
      <c r="K3873" s="4"/>
      <c r="AC3873" s="384">
        <v>2022</v>
      </c>
      <c r="AD3873" s="384">
        <v>6</v>
      </c>
      <c r="AE3873" s="384">
        <v>11</v>
      </c>
      <c r="AF3873" s="385">
        <v>0.29166666666666669</v>
      </c>
      <c r="AG3873" s="386">
        <v>15.7</v>
      </c>
      <c r="AH3873" s="387">
        <f t="shared" si="75"/>
        <v>16</v>
      </c>
    </row>
    <row r="3874" spans="11:34" ht="14.5" x14ac:dyDescent="0.35">
      <c r="K3874" s="4"/>
      <c r="AC3874" s="384">
        <v>2022</v>
      </c>
      <c r="AD3874" s="384">
        <v>6</v>
      </c>
      <c r="AE3874" s="384">
        <v>11</v>
      </c>
      <c r="AF3874" s="385">
        <v>0.33333333333333331</v>
      </c>
      <c r="AG3874" s="386">
        <v>17.3</v>
      </c>
      <c r="AH3874" s="387">
        <f t="shared" si="75"/>
        <v>17</v>
      </c>
    </row>
    <row r="3875" spans="11:34" ht="14.5" x14ac:dyDescent="0.35">
      <c r="K3875" s="4"/>
      <c r="AC3875" s="384">
        <v>2022</v>
      </c>
      <c r="AD3875" s="384">
        <v>6</v>
      </c>
      <c r="AE3875" s="384">
        <v>11</v>
      </c>
      <c r="AF3875" s="385">
        <v>0.375</v>
      </c>
      <c r="AG3875" s="386">
        <v>18.600000000000001</v>
      </c>
      <c r="AH3875" s="387">
        <f t="shared" si="75"/>
        <v>19</v>
      </c>
    </row>
    <row r="3876" spans="11:34" ht="14.5" x14ac:dyDescent="0.35">
      <c r="K3876" s="4"/>
      <c r="AC3876" s="384">
        <v>2022</v>
      </c>
      <c r="AD3876" s="384">
        <v>6</v>
      </c>
      <c r="AE3876" s="384">
        <v>11</v>
      </c>
      <c r="AF3876" s="385">
        <v>0.41666666666666669</v>
      </c>
      <c r="AG3876" s="386">
        <v>19.3</v>
      </c>
      <c r="AH3876" s="387">
        <f t="shared" si="75"/>
        <v>19</v>
      </c>
    </row>
    <row r="3877" spans="11:34" ht="14.5" x14ac:dyDescent="0.35">
      <c r="K3877" s="4"/>
      <c r="AC3877" s="384">
        <v>2022</v>
      </c>
      <c r="AD3877" s="384">
        <v>6</v>
      </c>
      <c r="AE3877" s="384">
        <v>11</v>
      </c>
      <c r="AF3877" s="385">
        <v>0.45833333333333331</v>
      </c>
      <c r="AG3877" s="386">
        <v>18</v>
      </c>
      <c r="AH3877" s="387">
        <f t="shared" si="75"/>
        <v>18</v>
      </c>
    </row>
    <row r="3878" spans="11:34" ht="14.5" x14ac:dyDescent="0.35">
      <c r="K3878" s="4"/>
      <c r="AC3878" s="384">
        <v>2022</v>
      </c>
      <c r="AD3878" s="384">
        <v>6</v>
      </c>
      <c r="AE3878" s="384">
        <v>11</v>
      </c>
      <c r="AF3878" s="385">
        <v>0.5</v>
      </c>
      <c r="AG3878" s="386">
        <v>16.600000000000001</v>
      </c>
      <c r="AH3878" s="387">
        <f t="shared" si="75"/>
        <v>17</v>
      </c>
    </row>
    <row r="3879" spans="11:34" ht="14.5" x14ac:dyDescent="0.35">
      <c r="K3879" s="4"/>
      <c r="AC3879" s="384">
        <v>2022</v>
      </c>
      <c r="AD3879" s="384">
        <v>6</v>
      </c>
      <c r="AE3879" s="384">
        <v>11</v>
      </c>
      <c r="AF3879" s="385">
        <v>0.54166666666666663</v>
      </c>
      <c r="AG3879" s="386">
        <v>19.3</v>
      </c>
      <c r="AH3879" s="387">
        <f t="shared" si="75"/>
        <v>19</v>
      </c>
    </row>
    <row r="3880" spans="11:34" ht="14.5" x14ac:dyDescent="0.35">
      <c r="K3880" s="4"/>
      <c r="AC3880" s="384">
        <v>2022</v>
      </c>
      <c r="AD3880" s="384">
        <v>6</v>
      </c>
      <c r="AE3880" s="384">
        <v>11</v>
      </c>
      <c r="AF3880" s="385">
        <v>0.58333333333333337</v>
      </c>
      <c r="AG3880" s="386">
        <v>20.2</v>
      </c>
      <c r="AH3880" s="387">
        <f t="shared" si="75"/>
        <v>20</v>
      </c>
    </row>
    <row r="3881" spans="11:34" ht="14.5" x14ac:dyDescent="0.35">
      <c r="K3881" s="4"/>
      <c r="AC3881" s="384">
        <v>2022</v>
      </c>
      <c r="AD3881" s="384">
        <v>6</v>
      </c>
      <c r="AE3881" s="384">
        <v>11</v>
      </c>
      <c r="AF3881" s="385">
        <v>0.625</v>
      </c>
      <c r="AG3881" s="386">
        <v>20.7</v>
      </c>
      <c r="AH3881" s="387">
        <f t="shared" si="75"/>
        <v>21</v>
      </c>
    </row>
    <row r="3882" spans="11:34" ht="14.5" x14ac:dyDescent="0.35">
      <c r="K3882" s="4"/>
      <c r="AC3882" s="384">
        <v>2022</v>
      </c>
      <c r="AD3882" s="384">
        <v>6</v>
      </c>
      <c r="AE3882" s="384">
        <v>11</v>
      </c>
      <c r="AF3882" s="385">
        <v>0.66666666666666663</v>
      </c>
      <c r="AG3882" s="386">
        <v>20.5</v>
      </c>
      <c r="AH3882" s="387">
        <f t="shared" si="75"/>
        <v>21</v>
      </c>
    </row>
    <row r="3883" spans="11:34" ht="14.5" x14ac:dyDescent="0.35">
      <c r="K3883" s="4"/>
      <c r="AC3883" s="384">
        <v>2022</v>
      </c>
      <c r="AD3883" s="384">
        <v>6</v>
      </c>
      <c r="AE3883" s="384">
        <v>11</v>
      </c>
      <c r="AF3883" s="385">
        <v>0.70833333333333337</v>
      </c>
      <c r="AG3883" s="386">
        <v>19.7</v>
      </c>
      <c r="AH3883" s="387">
        <f t="shared" si="75"/>
        <v>20</v>
      </c>
    </row>
    <row r="3884" spans="11:34" ht="14.5" x14ac:dyDescent="0.35">
      <c r="K3884" s="4"/>
      <c r="AC3884" s="384">
        <v>2022</v>
      </c>
      <c r="AD3884" s="384">
        <v>6</v>
      </c>
      <c r="AE3884" s="384">
        <v>11</v>
      </c>
      <c r="AF3884" s="385">
        <v>0.75</v>
      </c>
      <c r="AG3884" s="386">
        <v>18.8</v>
      </c>
      <c r="AH3884" s="387">
        <f t="shared" si="75"/>
        <v>19</v>
      </c>
    </row>
    <row r="3885" spans="11:34" ht="14.5" x14ac:dyDescent="0.35">
      <c r="K3885" s="4"/>
      <c r="AC3885" s="384">
        <v>2022</v>
      </c>
      <c r="AD3885" s="384">
        <v>6</v>
      </c>
      <c r="AE3885" s="384">
        <v>11</v>
      </c>
      <c r="AF3885" s="385">
        <v>0.79166666666666663</v>
      </c>
      <c r="AG3885" s="386">
        <v>17.5</v>
      </c>
      <c r="AH3885" s="387">
        <f t="shared" si="75"/>
        <v>18</v>
      </c>
    </row>
    <row r="3886" spans="11:34" ht="14.5" x14ac:dyDescent="0.35">
      <c r="K3886" s="4"/>
      <c r="AC3886" s="384">
        <v>2022</v>
      </c>
      <c r="AD3886" s="384">
        <v>6</v>
      </c>
      <c r="AE3886" s="384">
        <v>11</v>
      </c>
      <c r="AF3886" s="385">
        <v>0.83333333333333337</v>
      </c>
      <c r="AG3886" s="386">
        <v>16</v>
      </c>
      <c r="AH3886" s="387">
        <f t="shared" si="75"/>
        <v>16</v>
      </c>
    </row>
    <row r="3887" spans="11:34" ht="14.5" x14ac:dyDescent="0.35">
      <c r="K3887" s="4"/>
      <c r="AC3887" s="384">
        <v>2022</v>
      </c>
      <c r="AD3887" s="384">
        <v>6</v>
      </c>
      <c r="AE3887" s="384">
        <v>11</v>
      </c>
      <c r="AF3887" s="385">
        <v>0.875</v>
      </c>
      <c r="AG3887" s="386">
        <v>13.3</v>
      </c>
      <c r="AH3887" s="387">
        <f t="shared" si="75"/>
        <v>13</v>
      </c>
    </row>
    <row r="3888" spans="11:34" ht="14.5" x14ac:dyDescent="0.35">
      <c r="K3888" s="4"/>
      <c r="AC3888" s="384">
        <v>2022</v>
      </c>
      <c r="AD3888" s="384">
        <v>6</v>
      </c>
      <c r="AE3888" s="384">
        <v>11</v>
      </c>
      <c r="AF3888" s="385">
        <v>0.91666666666666663</v>
      </c>
      <c r="AG3888" s="386">
        <v>11.8</v>
      </c>
      <c r="AH3888" s="387">
        <f t="shared" si="75"/>
        <v>12</v>
      </c>
    </row>
    <row r="3889" spans="11:34" ht="14.5" x14ac:dyDescent="0.35">
      <c r="K3889" s="4"/>
      <c r="AC3889" s="384">
        <v>2022</v>
      </c>
      <c r="AD3889" s="384">
        <v>6</v>
      </c>
      <c r="AE3889" s="384">
        <v>11</v>
      </c>
      <c r="AF3889" s="385">
        <v>0.95833333333333337</v>
      </c>
      <c r="AG3889" s="386">
        <v>12</v>
      </c>
      <c r="AH3889" s="387">
        <f t="shared" si="75"/>
        <v>12</v>
      </c>
    </row>
    <row r="3890" spans="11:34" ht="14.5" x14ac:dyDescent="0.35">
      <c r="K3890" s="4"/>
      <c r="AC3890" s="384">
        <v>2022</v>
      </c>
      <c r="AD3890" s="384">
        <v>6</v>
      </c>
      <c r="AE3890" s="384">
        <v>12</v>
      </c>
      <c r="AF3890" s="385">
        <v>0</v>
      </c>
      <c r="AG3890" s="386">
        <v>10.9</v>
      </c>
      <c r="AH3890" s="387">
        <f t="shared" si="75"/>
        <v>11</v>
      </c>
    </row>
    <row r="3891" spans="11:34" ht="14.5" x14ac:dyDescent="0.35">
      <c r="K3891" s="4"/>
      <c r="AC3891" s="384">
        <v>2022</v>
      </c>
      <c r="AD3891" s="384">
        <v>6</v>
      </c>
      <c r="AE3891" s="384">
        <v>12</v>
      </c>
      <c r="AF3891" s="385">
        <v>4.1666666666666664E-2</v>
      </c>
      <c r="AG3891" s="386">
        <v>10</v>
      </c>
      <c r="AH3891" s="387">
        <f t="shared" si="75"/>
        <v>10</v>
      </c>
    </row>
    <row r="3892" spans="11:34" ht="14.5" x14ac:dyDescent="0.35">
      <c r="K3892" s="4"/>
      <c r="AC3892" s="384">
        <v>2022</v>
      </c>
      <c r="AD3892" s="384">
        <v>6</v>
      </c>
      <c r="AE3892" s="384">
        <v>12</v>
      </c>
      <c r="AF3892" s="385">
        <v>8.3333333333333329E-2</v>
      </c>
      <c r="AG3892" s="386">
        <v>7.9</v>
      </c>
      <c r="AH3892" s="387">
        <f t="shared" si="75"/>
        <v>8</v>
      </c>
    </row>
    <row r="3893" spans="11:34" ht="14.5" x14ac:dyDescent="0.35">
      <c r="K3893" s="4"/>
      <c r="AC3893" s="384">
        <v>2022</v>
      </c>
      <c r="AD3893" s="384">
        <v>6</v>
      </c>
      <c r="AE3893" s="384">
        <v>12</v>
      </c>
      <c r="AF3893" s="385">
        <v>0.125</v>
      </c>
      <c r="AG3893" s="386">
        <v>8.3000000000000007</v>
      </c>
      <c r="AH3893" s="387">
        <f t="shared" si="75"/>
        <v>8</v>
      </c>
    </row>
    <row r="3894" spans="11:34" ht="14.5" x14ac:dyDescent="0.35">
      <c r="K3894" s="4"/>
      <c r="AC3894" s="384">
        <v>2022</v>
      </c>
      <c r="AD3894" s="384">
        <v>6</v>
      </c>
      <c r="AE3894" s="384">
        <v>12</v>
      </c>
      <c r="AF3894" s="385">
        <v>0.16666666666666666</v>
      </c>
      <c r="AG3894" s="386">
        <v>7.6</v>
      </c>
      <c r="AH3894" s="387">
        <f t="shared" si="75"/>
        <v>8</v>
      </c>
    </row>
    <row r="3895" spans="11:34" ht="14.5" x14ac:dyDescent="0.35">
      <c r="K3895" s="4"/>
      <c r="AC3895" s="384">
        <v>2022</v>
      </c>
      <c r="AD3895" s="384">
        <v>6</v>
      </c>
      <c r="AE3895" s="384">
        <v>12</v>
      </c>
      <c r="AF3895" s="385">
        <v>0.20833333333333334</v>
      </c>
      <c r="AG3895" s="386">
        <v>8.3000000000000007</v>
      </c>
      <c r="AH3895" s="387">
        <f t="shared" si="75"/>
        <v>8</v>
      </c>
    </row>
    <row r="3896" spans="11:34" ht="14.5" x14ac:dyDescent="0.35">
      <c r="K3896" s="4"/>
      <c r="AC3896" s="384">
        <v>2022</v>
      </c>
      <c r="AD3896" s="384">
        <v>6</v>
      </c>
      <c r="AE3896" s="384">
        <v>12</v>
      </c>
      <c r="AF3896" s="385">
        <v>0.25</v>
      </c>
      <c r="AG3896" s="386">
        <v>10.5</v>
      </c>
      <c r="AH3896" s="387">
        <f t="shared" si="75"/>
        <v>11</v>
      </c>
    </row>
    <row r="3897" spans="11:34" ht="14.5" x14ac:dyDescent="0.35">
      <c r="K3897" s="4"/>
      <c r="AC3897" s="384">
        <v>2022</v>
      </c>
      <c r="AD3897" s="384">
        <v>6</v>
      </c>
      <c r="AE3897" s="384">
        <v>12</v>
      </c>
      <c r="AF3897" s="385">
        <v>0.29166666666666669</v>
      </c>
      <c r="AG3897" s="386">
        <v>12.8</v>
      </c>
      <c r="AH3897" s="387">
        <f t="shared" si="75"/>
        <v>13</v>
      </c>
    </row>
    <row r="3898" spans="11:34" ht="14.5" x14ac:dyDescent="0.35">
      <c r="K3898" s="4"/>
      <c r="AC3898" s="384">
        <v>2022</v>
      </c>
      <c r="AD3898" s="384">
        <v>6</v>
      </c>
      <c r="AE3898" s="384">
        <v>12</v>
      </c>
      <c r="AF3898" s="385">
        <v>0.33333333333333331</v>
      </c>
      <c r="AG3898" s="386">
        <v>13</v>
      </c>
      <c r="AH3898" s="387">
        <f t="shared" si="75"/>
        <v>13</v>
      </c>
    </row>
    <row r="3899" spans="11:34" ht="14.5" x14ac:dyDescent="0.35">
      <c r="K3899" s="4"/>
      <c r="AC3899" s="384">
        <v>2022</v>
      </c>
      <c r="AD3899" s="384">
        <v>6</v>
      </c>
      <c r="AE3899" s="384">
        <v>12</v>
      </c>
      <c r="AF3899" s="385">
        <v>0.375</v>
      </c>
      <c r="AG3899" s="386">
        <v>13.9</v>
      </c>
      <c r="AH3899" s="387">
        <f t="shared" si="75"/>
        <v>14</v>
      </c>
    </row>
    <row r="3900" spans="11:34" ht="14.5" x14ac:dyDescent="0.35">
      <c r="K3900" s="4"/>
      <c r="AC3900" s="384">
        <v>2022</v>
      </c>
      <c r="AD3900" s="384">
        <v>6</v>
      </c>
      <c r="AE3900" s="384">
        <v>12</v>
      </c>
      <c r="AF3900" s="385">
        <v>0.41666666666666669</v>
      </c>
      <c r="AG3900" s="386">
        <v>13.9</v>
      </c>
      <c r="AH3900" s="387">
        <f t="shared" si="75"/>
        <v>14</v>
      </c>
    </row>
    <row r="3901" spans="11:34" ht="14.5" x14ac:dyDescent="0.35">
      <c r="K3901" s="4"/>
      <c r="AC3901" s="384">
        <v>2022</v>
      </c>
      <c r="AD3901" s="384">
        <v>6</v>
      </c>
      <c r="AE3901" s="384">
        <v>12</v>
      </c>
      <c r="AF3901" s="385">
        <v>0.45833333333333331</v>
      </c>
      <c r="AG3901" s="386">
        <v>14.6</v>
      </c>
      <c r="AH3901" s="387">
        <f t="shared" si="75"/>
        <v>15</v>
      </c>
    </row>
    <row r="3902" spans="11:34" ht="14.5" x14ac:dyDescent="0.35">
      <c r="K3902" s="4"/>
      <c r="AC3902" s="384">
        <v>2022</v>
      </c>
      <c r="AD3902" s="384">
        <v>6</v>
      </c>
      <c r="AE3902" s="384">
        <v>12</v>
      </c>
      <c r="AF3902" s="385">
        <v>0.5</v>
      </c>
      <c r="AG3902" s="386">
        <v>16.899999999999999</v>
      </c>
      <c r="AH3902" s="387">
        <f t="shared" si="75"/>
        <v>17</v>
      </c>
    </row>
    <row r="3903" spans="11:34" ht="14.5" x14ac:dyDescent="0.35">
      <c r="K3903" s="4"/>
      <c r="AC3903" s="384">
        <v>2022</v>
      </c>
      <c r="AD3903" s="384">
        <v>6</v>
      </c>
      <c r="AE3903" s="384">
        <v>12</v>
      </c>
      <c r="AF3903" s="385">
        <v>0.54166666666666663</v>
      </c>
      <c r="AG3903" s="386">
        <v>16.3</v>
      </c>
      <c r="AH3903" s="387">
        <f t="shared" si="75"/>
        <v>16</v>
      </c>
    </row>
    <row r="3904" spans="11:34" ht="14.5" x14ac:dyDescent="0.35">
      <c r="K3904" s="4"/>
      <c r="AC3904" s="384">
        <v>2022</v>
      </c>
      <c r="AD3904" s="384">
        <v>6</v>
      </c>
      <c r="AE3904" s="384">
        <v>12</v>
      </c>
      <c r="AF3904" s="385">
        <v>0.58333333333333337</v>
      </c>
      <c r="AG3904" s="386">
        <v>18</v>
      </c>
      <c r="AH3904" s="387">
        <f t="shared" si="75"/>
        <v>18</v>
      </c>
    </row>
    <row r="3905" spans="11:34" ht="14.5" x14ac:dyDescent="0.35">
      <c r="K3905" s="4"/>
      <c r="AC3905" s="384">
        <v>2022</v>
      </c>
      <c r="AD3905" s="384">
        <v>6</v>
      </c>
      <c r="AE3905" s="384">
        <v>12</v>
      </c>
      <c r="AF3905" s="385">
        <v>0.625</v>
      </c>
      <c r="AG3905" s="386">
        <v>15.8</v>
      </c>
      <c r="AH3905" s="387">
        <f t="shared" si="75"/>
        <v>16</v>
      </c>
    </row>
    <row r="3906" spans="11:34" ht="14.5" x14ac:dyDescent="0.35">
      <c r="K3906" s="4"/>
      <c r="AC3906" s="384">
        <v>2022</v>
      </c>
      <c r="AD3906" s="384">
        <v>6</v>
      </c>
      <c r="AE3906" s="384">
        <v>12</v>
      </c>
      <c r="AF3906" s="385">
        <v>0.66666666666666663</v>
      </c>
      <c r="AG3906" s="386">
        <v>13.9</v>
      </c>
      <c r="AH3906" s="387">
        <f t="shared" si="75"/>
        <v>14</v>
      </c>
    </row>
    <row r="3907" spans="11:34" ht="14.5" x14ac:dyDescent="0.35">
      <c r="K3907" s="4"/>
      <c r="AC3907" s="384">
        <v>2022</v>
      </c>
      <c r="AD3907" s="384">
        <v>6</v>
      </c>
      <c r="AE3907" s="384">
        <v>12</v>
      </c>
      <c r="AF3907" s="385">
        <v>0.70833333333333337</v>
      </c>
      <c r="AG3907" s="386">
        <v>16</v>
      </c>
      <c r="AH3907" s="387">
        <f t="shared" si="75"/>
        <v>16</v>
      </c>
    </row>
    <row r="3908" spans="11:34" ht="14.5" x14ac:dyDescent="0.35">
      <c r="K3908" s="4"/>
      <c r="AC3908" s="384">
        <v>2022</v>
      </c>
      <c r="AD3908" s="384">
        <v>6</v>
      </c>
      <c r="AE3908" s="384">
        <v>12</v>
      </c>
      <c r="AF3908" s="385">
        <v>0.75</v>
      </c>
      <c r="AG3908" s="386">
        <v>14.8</v>
      </c>
      <c r="AH3908" s="387">
        <f t="shared" si="75"/>
        <v>15</v>
      </c>
    </row>
    <row r="3909" spans="11:34" ht="14.5" x14ac:dyDescent="0.35">
      <c r="K3909" s="4"/>
      <c r="AC3909" s="384">
        <v>2022</v>
      </c>
      <c r="AD3909" s="384">
        <v>6</v>
      </c>
      <c r="AE3909" s="384">
        <v>12</v>
      </c>
      <c r="AF3909" s="385">
        <v>0.79166666666666663</v>
      </c>
      <c r="AG3909" s="386">
        <v>12.6</v>
      </c>
      <c r="AH3909" s="387">
        <f t="shared" si="75"/>
        <v>13</v>
      </c>
    </row>
    <row r="3910" spans="11:34" ht="14.5" x14ac:dyDescent="0.35">
      <c r="K3910" s="4"/>
      <c r="AC3910" s="384">
        <v>2022</v>
      </c>
      <c r="AD3910" s="384">
        <v>6</v>
      </c>
      <c r="AE3910" s="384">
        <v>12</v>
      </c>
      <c r="AF3910" s="385">
        <v>0.83333333333333337</v>
      </c>
      <c r="AG3910" s="386">
        <v>11.7</v>
      </c>
      <c r="AH3910" s="387">
        <f t="shared" si="75"/>
        <v>12</v>
      </c>
    </row>
    <row r="3911" spans="11:34" ht="14.5" x14ac:dyDescent="0.35">
      <c r="K3911" s="4"/>
      <c r="AC3911" s="384">
        <v>2022</v>
      </c>
      <c r="AD3911" s="384">
        <v>6</v>
      </c>
      <c r="AE3911" s="384">
        <v>12</v>
      </c>
      <c r="AF3911" s="385">
        <v>0.875</v>
      </c>
      <c r="AG3911" s="386">
        <v>10.8</v>
      </c>
      <c r="AH3911" s="387">
        <f t="shared" si="75"/>
        <v>11</v>
      </c>
    </row>
    <row r="3912" spans="11:34" ht="14.5" x14ac:dyDescent="0.35">
      <c r="K3912" s="4"/>
      <c r="AC3912" s="384">
        <v>2022</v>
      </c>
      <c r="AD3912" s="384">
        <v>6</v>
      </c>
      <c r="AE3912" s="384">
        <v>12</v>
      </c>
      <c r="AF3912" s="385">
        <v>0.91666666666666663</v>
      </c>
      <c r="AG3912" s="386">
        <v>11</v>
      </c>
      <c r="AH3912" s="387">
        <f t="shared" si="75"/>
        <v>11</v>
      </c>
    </row>
    <row r="3913" spans="11:34" ht="14.5" x14ac:dyDescent="0.35">
      <c r="K3913" s="4"/>
      <c r="AC3913" s="384">
        <v>2022</v>
      </c>
      <c r="AD3913" s="384">
        <v>6</v>
      </c>
      <c r="AE3913" s="384">
        <v>12</v>
      </c>
      <c r="AF3913" s="385">
        <v>0.95833333333333337</v>
      </c>
      <c r="AG3913" s="386">
        <v>11.1</v>
      </c>
      <c r="AH3913" s="387">
        <f t="shared" si="75"/>
        <v>11</v>
      </c>
    </row>
    <row r="3914" spans="11:34" ht="14.5" x14ac:dyDescent="0.35">
      <c r="K3914" s="4"/>
      <c r="AC3914" s="384">
        <v>2022</v>
      </c>
      <c r="AD3914" s="384">
        <v>6</v>
      </c>
      <c r="AE3914" s="384">
        <v>13</v>
      </c>
      <c r="AF3914" s="385">
        <v>0</v>
      </c>
      <c r="AG3914" s="386">
        <v>10.7</v>
      </c>
      <c r="AH3914" s="387">
        <f t="shared" si="75"/>
        <v>11</v>
      </c>
    </row>
    <row r="3915" spans="11:34" ht="14.5" x14ac:dyDescent="0.35">
      <c r="K3915" s="4"/>
      <c r="AC3915" s="384">
        <v>2022</v>
      </c>
      <c r="AD3915" s="384">
        <v>6</v>
      </c>
      <c r="AE3915" s="384">
        <v>13</v>
      </c>
      <c r="AF3915" s="385">
        <v>4.1666666666666664E-2</v>
      </c>
      <c r="AG3915" s="386">
        <v>10.5</v>
      </c>
      <c r="AH3915" s="387">
        <f t="shared" ref="AH3915:AH3978" si="76">ROUND(AG3915,0)</f>
        <v>11</v>
      </c>
    </row>
    <row r="3916" spans="11:34" ht="14.5" x14ac:dyDescent="0.35">
      <c r="K3916" s="4"/>
      <c r="AC3916" s="384">
        <v>2022</v>
      </c>
      <c r="AD3916" s="384">
        <v>6</v>
      </c>
      <c r="AE3916" s="384">
        <v>13</v>
      </c>
      <c r="AF3916" s="385">
        <v>8.3333333333333329E-2</v>
      </c>
      <c r="AG3916" s="386">
        <v>10.4</v>
      </c>
      <c r="AH3916" s="387">
        <f t="shared" si="76"/>
        <v>10</v>
      </c>
    </row>
    <row r="3917" spans="11:34" ht="14.5" x14ac:dyDescent="0.35">
      <c r="K3917" s="4"/>
      <c r="AC3917" s="384">
        <v>2022</v>
      </c>
      <c r="AD3917" s="384">
        <v>6</v>
      </c>
      <c r="AE3917" s="384">
        <v>13</v>
      </c>
      <c r="AF3917" s="385">
        <v>0.125</v>
      </c>
      <c r="AG3917" s="386">
        <v>9.9</v>
      </c>
      <c r="AH3917" s="387">
        <f t="shared" si="76"/>
        <v>10</v>
      </c>
    </row>
    <row r="3918" spans="11:34" ht="14.5" x14ac:dyDescent="0.35">
      <c r="K3918" s="4"/>
      <c r="AC3918" s="384">
        <v>2022</v>
      </c>
      <c r="AD3918" s="384">
        <v>6</v>
      </c>
      <c r="AE3918" s="384">
        <v>13</v>
      </c>
      <c r="AF3918" s="385">
        <v>0.16666666666666666</v>
      </c>
      <c r="AG3918" s="386">
        <v>9.5</v>
      </c>
      <c r="AH3918" s="387">
        <f t="shared" si="76"/>
        <v>10</v>
      </c>
    </row>
    <row r="3919" spans="11:34" ht="14.5" x14ac:dyDescent="0.35">
      <c r="K3919" s="4"/>
      <c r="AC3919" s="384">
        <v>2022</v>
      </c>
      <c r="AD3919" s="384">
        <v>6</v>
      </c>
      <c r="AE3919" s="384">
        <v>13</v>
      </c>
      <c r="AF3919" s="385">
        <v>0.20833333333333334</v>
      </c>
      <c r="AG3919" s="386">
        <v>9.6999999999999993</v>
      </c>
      <c r="AH3919" s="387">
        <f t="shared" si="76"/>
        <v>10</v>
      </c>
    </row>
    <row r="3920" spans="11:34" ht="14.5" x14ac:dyDescent="0.35">
      <c r="K3920" s="4"/>
      <c r="AC3920" s="384">
        <v>2022</v>
      </c>
      <c r="AD3920" s="384">
        <v>6</v>
      </c>
      <c r="AE3920" s="384">
        <v>13</v>
      </c>
      <c r="AF3920" s="385">
        <v>0.25</v>
      </c>
      <c r="AG3920" s="386">
        <v>9.4</v>
      </c>
      <c r="AH3920" s="387">
        <f t="shared" si="76"/>
        <v>9</v>
      </c>
    </row>
    <row r="3921" spans="11:34" ht="14.5" x14ac:dyDescent="0.35">
      <c r="K3921" s="4"/>
      <c r="AC3921" s="384">
        <v>2022</v>
      </c>
      <c r="AD3921" s="384">
        <v>6</v>
      </c>
      <c r="AE3921" s="384">
        <v>13</v>
      </c>
      <c r="AF3921" s="385">
        <v>0.29166666666666669</v>
      </c>
      <c r="AG3921" s="386">
        <v>9.6</v>
      </c>
      <c r="AH3921" s="387">
        <f t="shared" si="76"/>
        <v>10</v>
      </c>
    </row>
    <row r="3922" spans="11:34" ht="14.5" x14ac:dyDescent="0.35">
      <c r="K3922" s="4"/>
      <c r="AC3922" s="384">
        <v>2022</v>
      </c>
      <c r="AD3922" s="384">
        <v>6</v>
      </c>
      <c r="AE3922" s="384">
        <v>13</v>
      </c>
      <c r="AF3922" s="385">
        <v>0.33333333333333331</v>
      </c>
      <c r="AG3922" s="386">
        <v>10.3</v>
      </c>
      <c r="AH3922" s="387">
        <f t="shared" si="76"/>
        <v>10</v>
      </c>
    </row>
    <row r="3923" spans="11:34" ht="14.5" x14ac:dyDescent="0.35">
      <c r="K3923" s="4"/>
      <c r="AC3923" s="384">
        <v>2022</v>
      </c>
      <c r="AD3923" s="384">
        <v>6</v>
      </c>
      <c r="AE3923" s="384">
        <v>13</v>
      </c>
      <c r="AF3923" s="385">
        <v>0.375</v>
      </c>
      <c r="AG3923" s="386">
        <v>11.3</v>
      </c>
      <c r="AH3923" s="387">
        <f t="shared" si="76"/>
        <v>11</v>
      </c>
    </row>
    <row r="3924" spans="11:34" ht="14.5" x14ac:dyDescent="0.35">
      <c r="K3924" s="4"/>
      <c r="AC3924" s="384">
        <v>2022</v>
      </c>
      <c r="AD3924" s="384">
        <v>6</v>
      </c>
      <c r="AE3924" s="384">
        <v>13</v>
      </c>
      <c r="AF3924" s="385">
        <v>0.41666666666666669</v>
      </c>
      <c r="AG3924" s="386">
        <v>12.2</v>
      </c>
      <c r="AH3924" s="387">
        <f t="shared" si="76"/>
        <v>12</v>
      </c>
    </row>
    <row r="3925" spans="11:34" ht="14.5" x14ac:dyDescent="0.35">
      <c r="K3925" s="4"/>
      <c r="AC3925" s="384">
        <v>2022</v>
      </c>
      <c r="AD3925" s="384">
        <v>6</v>
      </c>
      <c r="AE3925" s="384">
        <v>13</v>
      </c>
      <c r="AF3925" s="385">
        <v>0.45833333333333331</v>
      </c>
      <c r="AG3925" s="386">
        <v>13.3</v>
      </c>
      <c r="AH3925" s="387">
        <f t="shared" si="76"/>
        <v>13</v>
      </c>
    </row>
    <row r="3926" spans="11:34" ht="14.5" x14ac:dyDescent="0.35">
      <c r="K3926" s="4"/>
      <c r="AC3926" s="384">
        <v>2022</v>
      </c>
      <c r="AD3926" s="384">
        <v>6</v>
      </c>
      <c r="AE3926" s="384">
        <v>13</v>
      </c>
      <c r="AF3926" s="385">
        <v>0.5</v>
      </c>
      <c r="AG3926" s="386">
        <v>14.5</v>
      </c>
      <c r="AH3926" s="387">
        <f t="shared" si="76"/>
        <v>15</v>
      </c>
    </row>
    <row r="3927" spans="11:34" ht="14.5" x14ac:dyDescent="0.35">
      <c r="K3927" s="4"/>
      <c r="AC3927" s="384">
        <v>2022</v>
      </c>
      <c r="AD3927" s="384">
        <v>6</v>
      </c>
      <c r="AE3927" s="384">
        <v>13</v>
      </c>
      <c r="AF3927" s="385">
        <v>0.54166666666666663</v>
      </c>
      <c r="AG3927" s="386">
        <v>13.1</v>
      </c>
      <c r="AH3927" s="387">
        <f t="shared" si="76"/>
        <v>13</v>
      </c>
    </row>
    <row r="3928" spans="11:34" ht="14.5" x14ac:dyDescent="0.35">
      <c r="K3928" s="4"/>
      <c r="AC3928" s="384">
        <v>2022</v>
      </c>
      <c r="AD3928" s="384">
        <v>6</v>
      </c>
      <c r="AE3928" s="384">
        <v>13</v>
      </c>
      <c r="AF3928" s="385">
        <v>0.58333333333333337</v>
      </c>
      <c r="AG3928" s="386">
        <v>9.9</v>
      </c>
      <c r="AH3928" s="387">
        <f t="shared" si="76"/>
        <v>10</v>
      </c>
    </row>
    <row r="3929" spans="11:34" ht="14.5" x14ac:dyDescent="0.35">
      <c r="K3929" s="4"/>
      <c r="AC3929" s="384">
        <v>2022</v>
      </c>
      <c r="AD3929" s="384">
        <v>6</v>
      </c>
      <c r="AE3929" s="384">
        <v>13</v>
      </c>
      <c r="AF3929" s="385">
        <v>0.625</v>
      </c>
      <c r="AG3929" s="386">
        <v>10.7</v>
      </c>
      <c r="AH3929" s="387">
        <f t="shared" si="76"/>
        <v>11</v>
      </c>
    </row>
    <row r="3930" spans="11:34" ht="14.5" x14ac:dyDescent="0.35">
      <c r="K3930" s="4"/>
      <c r="AC3930" s="384">
        <v>2022</v>
      </c>
      <c r="AD3930" s="384">
        <v>6</v>
      </c>
      <c r="AE3930" s="384">
        <v>13</v>
      </c>
      <c r="AF3930" s="385">
        <v>0.66666666666666663</v>
      </c>
      <c r="AG3930" s="386">
        <v>10</v>
      </c>
      <c r="AH3930" s="387">
        <f t="shared" si="76"/>
        <v>10</v>
      </c>
    </row>
    <row r="3931" spans="11:34" ht="14.5" x14ac:dyDescent="0.35">
      <c r="K3931" s="4"/>
      <c r="AC3931" s="384">
        <v>2022</v>
      </c>
      <c r="AD3931" s="384">
        <v>6</v>
      </c>
      <c r="AE3931" s="384">
        <v>13</v>
      </c>
      <c r="AF3931" s="385">
        <v>0.70833333333333337</v>
      </c>
      <c r="AG3931" s="386">
        <v>9.6</v>
      </c>
      <c r="AH3931" s="387">
        <f t="shared" si="76"/>
        <v>10</v>
      </c>
    </row>
    <row r="3932" spans="11:34" ht="14.5" x14ac:dyDescent="0.35">
      <c r="K3932" s="4"/>
      <c r="AC3932" s="384">
        <v>2022</v>
      </c>
      <c r="AD3932" s="384">
        <v>6</v>
      </c>
      <c r="AE3932" s="384">
        <v>13</v>
      </c>
      <c r="AF3932" s="385">
        <v>0.75</v>
      </c>
      <c r="AG3932" s="386">
        <v>9.1999999999999993</v>
      </c>
      <c r="AH3932" s="387">
        <f t="shared" si="76"/>
        <v>9</v>
      </c>
    </row>
    <row r="3933" spans="11:34" ht="14.5" x14ac:dyDescent="0.35">
      <c r="K3933" s="4"/>
      <c r="AC3933" s="384">
        <v>2022</v>
      </c>
      <c r="AD3933" s="384">
        <v>6</v>
      </c>
      <c r="AE3933" s="384">
        <v>13</v>
      </c>
      <c r="AF3933" s="385">
        <v>0.79166666666666663</v>
      </c>
      <c r="AG3933" s="386">
        <v>9.3000000000000007</v>
      </c>
      <c r="AH3933" s="387">
        <f t="shared" si="76"/>
        <v>9</v>
      </c>
    </row>
    <row r="3934" spans="11:34" ht="14.5" x14ac:dyDescent="0.35">
      <c r="K3934" s="4"/>
      <c r="AC3934" s="384">
        <v>2022</v>
      </c>
      <c r="AD3934" s="384">
        <v>6</v>
      </c>
      <c r="AE3934" s="384">
        <v>13</v>
      </c>
      <c r="AF3934" s="385">
        <v>0.83333333333333337</v>
      </c>
      <c r="AG3934" s="386">
        <v>9.3000000000000007</v>
      </c>
      <c r="AH3934" s="387">
        <f t="shared" si="76"/>
        <v>9</v>
      </c>
    </row>
    <row r="3935" spans="11:34" ht="14.5" x14ac:dyDescent="0.35">
      <c r="K3935" s="4"/>
      <c r="AC3935" s="384">
        <v>2022</v>
      </c>
      <c r="AD3935" s="384">
        <v>6</v>
      </c>
      <c r="AE3935" s="384">
        <v>13</v>
      </c>
      <c r="AF3935" s="385">
        <v>0.875</v>
      </c>
      <c r="AG3935" s="386">
        <v>9.1999999999999993</v>
      </c>
      <c r="AH3935" s="387">
        <f t="shared" si="76"/>
        <v>9</v>
      </c>
    </row>
    <row r="3936" spans="11:34" ht="14.5" x14ac:dyDescent="0.35">
      <c r="K3936" s="4"/>
      <c r="AC3936" s="384">
        <v>2022</v>
      </c>
      <c r="AD3936" s="384">
        <v>6</v>
      </c>
      <c r="AE3936" s="384">
        <v>13</v>
      </c>
      <c r="AF3936" s="385">
        <v>0.91666666666666663</v>
      </c>
      <c r="AG3936" s="386">
        <v>9.6</v>
      </c>
      <c r="AH3936" s="387">
        <f t="shared" si="76"/>
        <v>10</v>
      </c>
    </row>
    <row r="3937" spans="11:34" ht="14.5" x14ac:dyDescent="0.35">
      <c r="K3937" s="4"/>
      <c r="AC3937" s="384">
        <v>2022</v>
      </c>
      <c r="AD3937" s="384">
        <v>6</v>
      </c>
      <c r="AE3937" s="384">
        <v>13</v>
      </c>
      <c r="AF3937" s="385">
        <v>0.95833333333333337</v>
      </c>
      <c r="AG3937" s="386">
        <v>9.4</v>
      </c>
      <c r="AH3937" s="387">
        <f t="shared" si="76"/>
        <v>9</v>
      </c>
    </row>
    <row r="3938" spans="11:34" ht="14.5" x14ac:dyDescent="0.35">
      <c r="K3938" s="4"/>
      <c r="AC3938" s="384">
        <v>2022</v>
      </c>
      <c r="AD3938" s="384">
        <v>6</v>
      </c>
      <c r="AE3938" s="384">
        <v>14</v>
      </c>
      <c r="AF3938" s="385">
        <v>0</v>
      </c>
      <c r="AG3938" s="386">
        <v>9.1999999999999993</v>
      </c>
      <c r="AH3938" s="387">
        <f t="shared" si="76"/>
        <v>9</v>
      </c>
    </row>
    <row r="3939" spans="11:34" ht="14.5" x14ac:dyDescent="0.35">
      <c r="K3939" s="4"/>
      <c r="AC3939" s="384">
        <v>2022</v>
      </c>
      <c r="AD3939" s="384">
        <v>6</v>
      </c>
      <c r="AE3939" s="384">
        <v>14</v>
      </c>
      <c r="AF3939" s="385">
        <v>4.1666666666666664E-2</v>
      </c>
      <c r="AG3939" s="386">
        <v>9.3000000000000007</v>
      </c>
      <c r="AH3939" s="387">
        <f t="shared" si="76"/>
        <v>9</v>
      </c>
    </row>
    <row r="3940" spans="11:34" ht="14.5" x14ac:dyDescent="0.35">
      <c r="K3940" s="4"/>
      <c r="AC3940" s="384">
        <v>2022</v>
      </c>
      <c r="AD3940" s="384">
        <v>6</v>
      </c>
      <c r="AE3940" s="384">
        <v>14</v>
      </c>
      <c r="AF3940" s="385">
        <v>8.3333333333333329E-2</v>
      </c>
      <c r="AG3940" s="386">
        <v>9.3000000000000007</v>
      </c>
      <c r="AH3940" s="387">
        <f t="shared" si="76"/>
        <v>9</v>
      </c>
    </row>
    <row r="3941" spans="11:34" ht="14.5" x14ac:dyDescent="0.35">
      <c r="K3941" s="4"/>
      <c r="AC3941" s="384">
        <v>2022</v>
      </c>
      <c r="AD3941" s="384">
        <v>6</v>
      </c>
      <c r="AE3941" s="384">
        <v>14</v>
      </c>
      <c r="AF3941" s="385">
        <v>0.125</v>
      </c>
      <c r="AG3941" s="386">
        <v>9.4</v>
      </c>
      <c r="AH3941" s="387">
        <f t="shared" si="76"/>
        <v>9</v>
      </c>
    </row>
    <row r="3942" spans="11:34" ht="14.5" x14ac:dyDescent="0.35">
      <c r="K3942" s="4"/>
      <c r="AC3942" s="384">
        <v>2022</v>
      </c>
      <c r="AD3942" s="384">
        <v>6</v>
      </c>
      <c r="AE3942" s="384">
        <v>14</v>
      </c>
      <c r="AF3942" s="385">
        <v>0.16666666666666666</v>
      </c>
      <c r="AG3942" s="386">
        <v>9.1</v>
      </c>
      <c r="AH3942" s="387">
        <f t="shared" si="76"/>
        <v>9</v>
      </c>
    </row>
    <row r="3943" spans="11:34" ht="14.5" x14ac:dyDescent="0.35">
      <c r="K3943" s="4"/>
      <c r="AC3943" s="384">
        <v>2022</v>
      </c>
      <c r="AD3943" s="384">
        <v>6</v>
      </c>
      <c r="AE3943" s="384">
        <v>14</v>
      </c>
      <c r="AF3943" s="385">
        <v>0.20833333333333334</v>
      </c>
      <c r="AG3943" s="386">
        <v>9.3000000000000007</v>
      </c>
      <c r="AH3943" s="387">
        <f t="shared" si="76"/>
        <v>9</v>
      </c>
    </row>
    <row r="3944" spans="11:34" ht="14.5" x14ac:dyDescent="0.35">
      <c r="K3944" s="4"/>
      <c r="AC3944" s="384">
        <v>2022</v>
      </c>
      <c r="AD3944" s="384">
        <v>6</v>
      </c>
      <c r="AE3944" s="384">
        <v>14</v>
      </c>
      <c r="AF3944" s="385">
        <v>0.25</v>
      </c>
      <c r="AG3944" s="386">
        <v>9</v>
      </c>
      <c r="AH3944" s="387">
        <f t="shared" si="76"/>
        <v>9</v>
      </c>
    </row>
    <row r="3945" spans="11:34" ht="14.5" x14ac:dyDescent="0.35">
      <c r="K3945" s="4"/>
      <c r="AC3945" s="384">
        <v>2022</v>
      </c>
      <c r="AD3945" s="384">
        <v>6</v>
      </c>
      <c r="AE3945" s="384">
        <v>14</v>
      </c>
      <c r="AF3945" s="385">
        <v>0.29166666666666669</v>
      </c>
      <c r="AG3945" s="386">
        <v>8.6</v>
      </c>
      <c r="AH3945" s="387">
        <f t="shared" si="76"/>
        <v>9</v>
      </c>
    </row>
    <row r="3946" spans="11:34" ht="14.5" x14ac:dyDescent="0.35">
      <c r="K3946" s="4"/>
      <c r="AC3946" s="384">
        <v>2022</v>
      </c>
      <c r="AD3946" s="384">
        <v>6</v>
      </c>
      <c r="AE3946" s="384">
        <v>14</v>
      </c>
      <c r="AF3946" s="385">
        <v>0.33333333333333331</v>
      </c>
      <c r="AG3946" s="386">
        <v>8.6</v>
      </c>
      <c r="AH3946" s="387">
        <f t="shared" si="76"/>
        <v>9</v>
      </c>
    </row>
    <row r="3947" spans="11:34" ht="14.5" x14ac:dyDescent="0.35">
      <c r="K3947" s="4"/>
      <c r="AC3947" s="384">
        <v>2022</v>
      </c>
      <c r="AD3947" s="384">
        <v>6</v>
      </c>
      <c r="AE3947" s="384">
        <v>14</v>
      </c>
      <c r="AF3947" s="385">
        <v>0.375</v>
      </c>
      <c r="AG3947" s="386">
        <v>8.9</v>
      </c>
      <c r="AH3947" s="387">
        <f t="shared" si="76"/>
        <v>9</v>
      </c>
    </row>
    <row r="3948" spans="11:34" ht="14.5" x14ac:dyDescent="0.35">
      <c r="K3948" s="4"/>
      <c r="AC3948" s="384">
        <v>2022</v>
      </c>
      <c r="AD3948" s="384">
        <v>6</v>
      </c>
      <c r="AE3948" s="384">
        <v>14</v>
      </c>
      <c r="AF3948" s="385">
        <v>0.41666666666666669</v>
      </c>
      <c r="AG3948" s="386">
        <v>9.3000000000000007</v>
      </c>
      <c r="AH3948" s="387">
        <f t="shared" si="76"/>
        <v>9</v>
      </c>
    </row>
    <row r="3949" spans="11:34" ht="14.5" x14ac:dyDescent="0.35">
      <c r="K3949" s="4"/>
      <c r="AC3949" s="384">
        <v>2022</v>
      </c>
      <c r="AD3949" s="384">
        <v>6</v>
      </c>
      <c r="AE3949" s="384">
        <v>14</v>
      </c>
      <c r="AF3949" s="385">
        <v>0.45833333333333331</v>
      </c>
      <c r="AG3949" s="386">
        <v>8.9</v>
      </c>
      <c r="AH3949" s="387">
        <f t="shared" si="76"/>
        <v>9</v>
      </c>
    </row>
    <row r="3950" spans="11:34" ht="14.5" x14ac:dyDescent="0.35">
      <c r="K3950" s="4"/>
      <c r="AC3950" s="384">
        <v>2022</v>
      </c>
      <c r="AD3950" s="384">
        <v>6</v>
      </c>
      <c r="AE3950" s="384">
        <v>14</v>
      </c>
      <c r="AF3950" s="385">
        <v>0.5</v>
      </c>
      <c r="AG3950" s="386">
        <v>8.6999999999999993</v>
      </c>
      <c r="AH3950" s="387">
        <f t="shared" si="76"/>
        <v>9</v>
      </c>
    </row>
    <row r="3951" spans="11:34" ht="14.5" x14ac:dyDescent="0.35">
      <c r="K3951" s="4"/>
      <c r="AC3951" s="384">
        <v>2022</v>
      </c>
      <c r="AD3951" s="384">
        <v>6</v>
      </c>
      <c r="AE3951" s="384">
        <v>14</v>
      </c>
      <c r="AF3951" s="385">
        <v>0.54166666666666663</v>
      </c>
      <c r="AG3951" s="386">
        <v>9.6</v>
      </c>
      <c r="AH3951" s="387">
        <f t="shared" si="76"/>
        <v>10</v>
      </c>
    </row>
    <row r="3952" spans="11:34" ht="14.5" x14ac:dyDescent="0.35">
      <c r="K3952" s="4"/>
      <c r="AC3952" s="384">
        <v>2022</v>
      </c>
      <c r="AD3952" s="384">
        <v>6</v>
      </c>
      <c r="AE3952" s="384">
        <v>14</v>
      </c>
      <c r="AF3952" s="385">
        <v>0.58333333333333337</v>
      </c>
      <c r="AG3952" s="386">
        <v>10.1</v>
      </c>
      <c r="AH3952" s="387">
        <f t="shared" si="76"/>
        <v>10</v>
      </c>
    </row>
    <row r="3953" spans="11:34" ht="14.5" x14ac:dyDescent="0.35">
      <c r="K3953" s="4"/>
      <c r="AC3953" s="384">
        <v>2022</v>
      </c>
      <c r="AD3953" s="384">
        <v>6</v>
      </c>
      <c r="AE3953" s="384">
        <v>14</v>
      </c>
      <c r="AF3953" s="385">
        <v>0.625</v>
      </c>
      <c r="AG3953" s="386">
        <v>11</v>
      </c>
      <c r="AH3953" s="387">
        <f t="shared" si="76"/>
        <v>11</v>
      </c>
    </row>
    <row r="3954" spans="11:34" ht="14.5" x14ac:dyDescent="0.35">
      <c r="K3954" s="4"/>
      <c r="AC3954" s="384">
        <v>2022</v>
      </c>
      <c r="AD3954" s="384">
        <v>6</v>
      </c>
      <c r="AE3954" s="384">
        <v>14</v>
      </c>
      <c r="AF3954" s="385">
        <v>0.66666666666666663</v>
      </c>
      <c r="AG3954" s="386">
        <v>9.9</v>
      </c>
      <c r="AH3954" s="387">
        <f t="shared" si="76"/>
        <v>10</v>
      </c>
    </row>
    <row r="3955" spans="11:34" ht="14.5" x14ac:dyDescent="0.35">
      <c r="K3955" s="4"/>
      <c r="AC3955" s="384">
        <v>2022</v>
      </c>
      <c r="AD3955" s="384">
        <v>6</v>
      </c>
      <c r="AE3955" s="384">
        <v>14</v>
      </c>
      <c r="AF3955" s="385">
        <v>0.70833333333333337</v>
      </c>
      <c r="AG3955" s="386">
        <v>9.6</v>
      </c>
      <c r="AH3955" s="387">
        <f t="shared" si="76"/>
        <v>10</v>
      </c>
    </row>
    <row r="3956" spans="11:34" ht="14.5" x14ac:dyDescent="0.35">
      <c r="K3956" s="4"/>
      <c r="AC3956" s="384">
        <v>2022</v>
      </c>
      <c r="AD3956" s="384">
        <v>6</v>
      </c>
      <c r="AE3956" s="384">
        <v>14</v>
      </c>
      <c r="AF3956" s="385">
        <v>0.75</v>
      </c>
      <c r="AG3956" s="386">
        <v>9</v>
      </c>
      <c r="AH3956" s="387">
        <f t="shared" si="76"/>
        <v>9</v>
      </c>
    </row>
    <row r="3957" spans="11:34" ht="14.5" x14ac:dyDescent="0.35">
      <c r="K3957" s="4"/>
      <c r="AC3957" s="384">
        <v>2022</v>
      </c>
      <c r="AD3957" s="384">
        <v>6</v>
      </c>
      <c r="AE3957" s="384">
        <v>14</v>
      </c>
      <c r="AF3957" s="385">
        <v>0.79166666666666663</v>
      </c>
      <c r="AG3957" s="386">
        <v>8.5</v>
      </c>
      <c r="AH3957" s="387">
        <f t="shared" si="76"/>
        <v>9</v>
      </c>
    </row>
    <row r="3958" spans="11:34" ht="14.5" x14ac:dyDescent="0.35">
      <c r="K3958" s="4"/>
      <c r="AC3958" s="384">
        <v>2022</v>
      </c>
      <c r="AD3958" s="384">
        <v>6</v>
      </c>
      <c r="AE3958" s="384">
        <v>14</v>
      </c>
      <c r="AF3958" s="385">
        <v>0.83333333333333337</v>
      </c>
      <c r="AG3958" s="386">
        <v>8.6</v>
      </c>
      <c r="AH3958" s="387">
        <f t="shared" si="76"/>
        <v>9</v>
      </c>
    </row>
    <row r="3959" spans="11:34" ht="14.5" x14ac:dyDescent="0.35">
      <c r="K3959" s="4"/>
      <c r="AC3959" s="384">
        <v>2022</v>
      </c>
      <c r="AD3959" s="384">
        <v>6</v>
      </c>
      <c r="AE3959" s="384">
        <v>14</v>
      </c>
      <c r="AF3959" s="385">
        <v>0.875</v>
      </c>
      <c r="AG3959" s="386">
        <v>9</v>
      </c>
      <c r="AH3959" s="387">
        <f t="shared" si="76"/>
        <v>9</v>
      </c>
    </row>
    <row r="3960" spans="11:34" ht="14.5" x14ac:dyDescent="0.35">
      <c r="K3960" s="4"/>
      <c r="AC3960" s="384">
        <v>2022</v>
      </c>
      <c r="AD3960" s="384">
        <v>6</v>
      </c>
      <c r="AE3960" s="384">
        <v>14</v>
      </c>
      <c r="AF3960" s="385">
        <v>0.91666666666666663</v>
      </c>
      <c r="AG3960" s="386">
        <v>9.3000000000000007</v>
      </c>
      <c r="AH3960" s="387">
        <f t="shared" si="76"/>
        <v>9</v>
      </c>
    </row>
    <row r="3961" spans="11:34" ht="14.5" x14ac:dyDescent="0.35">
      <c r="K3961" s="4"/>
      <c r="AC3961" s="384">
        <v>2022</v>
      </c>
      <c r="AD3961" s="384">
        <v>6</v>
      </c>
      <c r="AE3961" s="384">
        <v>14</v>
      </c>
      <c r="AF3961" s="385">
        <v>0.95833333333333337</v>
      </c>
      <c r="AG3961" s="386">
        <v>9.6</v>
      </c>
      <c r="AH3961" s="387">
        <f t="shared" si="76"/>
        <v>10</v>
      </c>
    </row>
    <row r="3962" spans="11:34" ht="14.5" x14ac:dyDescent="0.35">
      <c r="K3962" s="4"/>
      <c r="AC3962" s="384">
        <v>2022</v>
      </c>
      <c r="AD3962" s="384">
        <v>6</v>
      </c>
      <c r="AE3962" s="384">
        <v>15</v>
      </c>
      <c r="AF3962" s="385">
        <v>0</v>
      </c>
      <c r="AG3962" s="386">
        <v>9.4</v>
      </c>
      <c r="AH3962" s="387">
        <f t="shared" si="76"/>
        <v>9</v>
      </c>
    </row>
    <row r="3963" spans="11:34" ht="14.5" x14ac:dyDescent="0.35">
      <c r="K3963" s="4"/>
      <c r="AC3963" s="384">
        <v>2022</v>
      </c>
      <c r="AD3963" s="384">
        <v>6</v>
      </c>
      <c r="AE3963" s="384">
        <v>15</v>
      </c>
      <c r="AF3963" s="385">
        <v>4.1666666666666664E-2</v>
      </c>
      <c r="AG3963" s="386">
        <v>9.4</v>
      </c>
      <c r="AH3963" s="387">
        <f t="shared" si="76"/>
        <v>9</v>
      </c>
    </row>
    <row r="3964" spans="11:34" ht="14.5" x14ac:dyDescent="0.35">
      <c r="K3964" s="4"/>
      <c r="AC3964" s="384">
        <v>2022</v>
      </c>
      <c r="AD3964" s="384">
        <v>6</v>
      </c>
      <c r="AE3964" s="384">
        <v>15</v>
      </c>
      <c r="AF3964" s="385">
        <v>8.3333333333333329E-2</v>
      </c>
      <c r="AG3964" s="386">
        <v>9.1999999999999993</v>
      </c>
      <c r="AH3964" s="387">
        <f t="shared" si="76"/>
        <v>9</v>
      </c>
    </row>
    <row r="3965" spans="11:34" ht="14.5" x14ac:dyDescent="0.35">
      <c r="K3965" s="4"/>
      <c r="AC3965" s="384">
        <v>2022</v>
      </c>
      <c r="AD3965" s="384">
        <v>6</v>
      </c>
      <c r="AE3965" s="384">
        <v>15</v>
      </c>
      <c r="AF3965" s="385">
        <v>0.125</v>
      </c>
      <c r="AG3965" s="386">
        <v>9.1</v>
      </c>
      <c r="AH3965" s="387">
        <f t="shared" si="76"/>
        <v>9</v>
      </c>
    </row>
    <row r="3966" spans="11:34" ht="14.5" x14ac:dyDescent="0.35">
      <c r="K3966" s="4"/>
      <c r="AC3966" s="384">
        <v>2022</v>
      </c>
      <c r="AD3966" s="384">
        <v>6</v>
      </c>
      <c r="AE3966" s="384">
        <v>15</v>
      </c>
      <c r="AF3966" s="385">
        <v>0.16666666666666666</v>
      </c>
      <c r="AG3966" s="386">
        <v>9.6</v>
      </c>
      <c r="AH3966" s="387">
        <f t="shared" si="76"/>
        <v>10</v>
      </c>
    </row>
    <row r="3967" spans="11:34" ht="14.5" x14ac:dyDescent="0.35">
      <c r="K3967" s="4"/>
      <c r="AC3967" s="384">
        <v>2022</v>
      </c>
      <c r="AD3967" s="384">
        <v>6</v>
      </c>
      <c r="AE3967" s="384">
        <v>15</v>
      </c>
      <c r="AF3967" s="385">
        <v>0.20833333333333334</v>
      </c>
      <c r="AG3967" s="386">
        <v>9.6999999999999993</v>
      </c>
      <c r="AH3967" s="387">
        <f t="shared" si="76"/>
        <v>10</v>
      </c>
    </row>
    <row r="3968" spans="11:34" ht="14.5" x14ac:dyDescent="0.35">
      <c r="K3968" s="4"/>
      <c r="AC3968" s="384">
        <v>2022</v>
      </c>
      <c r="AD3968" s="384">
        <v>6</v>
      </c>
      <c r="AE3968" s="384">
        <v>15</v>
      </c>
      <c r="AF3968" s="385">
        <v>0.25</v>
      </c>
      <c r="AG3968" s="386">
        <v>10.1</v>
      </c>
      <c r="AH3968" s="387">
        <f t="shared" si="76"/>
        <v>10</v>
      </c>
    </row>
    <row r="3969" spans="11:34" ht="14.5" x14ac:dyDescent="0.35">
      <c r="K3969" s="4"/>
      <c r="AC3969" s="384">
        <v>2022</v>
      </c>
      <c r="AD3969" s="384">
        <v>6</v>
      </c>
      <c r="AE3969" s="384">
        <v>15</v>
      </c>
      <c r="AF3969" s="385">
        <v>0.29166666666666669</v>
      </c>
      <c r="AG3969" s="386">
        <v>10.8</v>
      </c>
      <c r="AH3969" s="387">
        <f t="shared" si="76"/>
        <v>11</v>
      </c>
    </row>
    <row r="3970" spans="11:34" ht="14.5" x14ac:dyDescent="0.35">
      <c r="K3970" s="4"/>
      <c r="AC3970" s="384">
        <v>2022</v>
      </c>
      <c r="AD3970" s="384">
        <v>6</v>
      </c>
      <c r="AE3970" s="384">
        <v>15</v>
      </c>
      <c r="AF3970" s="385">
        <v>0.33333333333333331</v>
      </c>
      <c r="AG3970" s="386">
        <v>11.4</v>
      </c>
      <c r="AH3970" s="387">
        <f t="shared" si="76"/>
        <v>11</v>
      </c>
    </row>
    <row r="3971" spans="11:34" ht="14.5" x14ac:dyDescent="0.35">
      <c r="K3971" s="4"/>
      <c r="AC3971" s="384">
        <v>2022</v>
      </c>
      <c r="AD3971" s="384">
        <v>6</v>
      </c>
      <c r="AE3971" s="384">
        <v>15</v>
      </c>
      <c r="AF3971" s="385">
        <v>0.375</v>
      </c>
      <c r="AG3971" s="386">
        <v>11.4</v>
      </c>
      <c r="AH3971" s="387">
        <f t="shared" si="76"/>
        <v>11</v>
      </c>
    </row>
    <row r="3972" spans="11:34" ht="14.5" x14ac:dyDescent="0.35">
      <c r="K3972" s="4"/>
      <c r="AC3972" s="384">
        <v>2022</v>
      </c>
      <c r="AD3972" s="384">
        <v>6</v>
      </c>
      <c r="AE3972" s="384">
        <v>15</v>
      </c>
      <c r="AF3972" s="385">
        <v>0.41666666666666669</v>
      </c>
      <c r="AG3972" s="386">
        <v>12.4</v>
      </c>
      <c r="AH3972" s="387">
        <f t="shared" si="76"/>
        <v>12</v>
      </c>
    </row>
    <row r="3973" spans="11:34" ht="14.5" x14ac:dyDescent="0.35">
      <c r="K3973" s="4"/>
      <c r="AC3973" s="384">
        <v>2022</v>
      </c>
      <c r="AD3973" s="384">
        <v>6</v>
      </c>
      <c r="AE3973" s="384">
        <v>15</v>
      </c>
      <c r="AF3973" s="385">
        <v>0.45833333333333331</v>
      </c>
      <c r="AG3973" s="386">
        <v>12.6</v>
      </c>
      <c r="AH3973" s="387">
        <f t="shared" si="76"/>
        <v>13</v>
      </c>
    </row>
    <row r="3974" spans="11:34" ht="14.5" x14ac:dyDescent="0.35">
      <c r="K3974" s="4"/>
      <c r="AC3974" s="384">
        <v>2022</v>
      </c>
      <c r="AD3974" s="384">
        <v>6</v>
      </c>
      <c r="AE3974" s="384">
        <v>15</v>
      </c>
      <c r="AF3974" s="385">
        <v>0.5</v>
      </c>
      <c r="AG3974" s="386">
        <v>13.1</v>
      </c>
      <c r="AH3974" s="387">
        <f t="shared" si="76"/>
        <v>13</v>
      </c>
    </row>
    <row r="3975" spans="11:34" ht="14.5" x14ac:dyDescent="0.35">
      <c r="K3975" s="4"/>
      <c r="AC3975" s="384">
        <v>2022</v>
      </c>
      <c r="AD3975" s="384">
        <v>6</v>
      </c>
      <c r="AE3975" s="384">
        <v>15</v>
      </c>
      <c r="AF3975" s="385">
        <v>0.54166666666666663</v>
      </c>
      <c r="AG3975" s="386">
        <v>14</v>
      </c>
      <c r="AH3975" s="387">
        <f t="shared" si="76"/>
        <v>14</v>
      </c>
    </row>
    <row r="3976" spans="11:34" ht="14.5" x14ac:dyDescent="0.35">
      <c r="K3976" s="4"/>
      <c r="AC3976" s="384">
        <v>2022</v>
      </c>
      <c r="AD3976" s="384">
        <v>6</v>
      </c>
      <c r="AE3976" s="384">
        <v>15</v>
      </c>
      <c r="AF3976" s="385">
        <v>0.58333333333333337</v>
      </c>
      <c r="AG3976" s="386">
        <v>14.6</v>
      </c>
      <c r="AH3976" s="387">
        <f t="shared" si="76"/>
        <v>15</v>
      </c>
    </row>
    <row r="3977" spans="11:34" ht="14.5" x14ac:dyDescent="0.35">
      <c r="K3977" s="4"/>
      <c r="AC3977" s="384">
        <v>2022</v>
      </c>
      <c r="AD3977" s="384">
        <v>6</v>
      </c>
      <c r="AE3977" s="384">
        <v>15</v>
      </c>
      <c r="AF3977" s="385">
        <v>0.625</v>
      </c>
      <c r="AG3977" s="386">
        <v>15.1</v>
      </c>
      <c r="AH3977" s="387">
        <f t="shared" si="76"/>
        <v>15</v>
      </c>
    </row>
    <row r="3978" spans="11:34" ht="14.5" x14ac:dyDescent="0.35">
      <c r="K3978" s="4"/>
      <c r="AC3978" s="384">
        <v>2022</v>
      </c>
      <c r="AD3978" s="384">
        <v>6</v>
      </c>
      <c r="AE3978" s="384">
        <v>15</v>
      </c>
      <c r="AF3978" s="385">
        <v>0.66666666666666663</v>
      </c>
      <c r="AG3978" s="386">
        <v>14.2</v>
      </c>
      <c r="AH3978" s="387">
        <f t="shared" si="76"/>
        <v>14</v>
      </c>
    </row>
    <row r="3979" spans="11:34" ht="14.5" x14ac:dyDescent="0.35">
      <c r="K3979" s="4"/>
      <c r="AC3979" s="384">
        <v>2022</v>
      </c>
      <c r="AD3979" s="384">
        <v>6</v>
      </c>
      <c r="AE3979" s="384">
        <v>15</v>
      </c>
      <c r="AF3979" s="385">
        <v>0.70833333333333337</v>
      </c>
      <c r="AG3979" s="386">
        <v>14.3</v>
      </c>
      <c r="AH3979" s="387">
        <f t="shared" ref="AH3979:AH4042" si="77">ROUND(AG3979,0)</f>
        <v>14</v>
      </c>
    </row>
    <row r="3980" spans="11:34" ht="14.5" x14ac:dyDescent="0.35">
      <c r="K3980" s="4"/>
      <c r="AC3980" s="384">
        <v>2022</v>
      </c>
      <c r="AD3980" s="384">
        <v>6</v>
      </c>
      <c r="AE3980" s="384">
        <v>15</v>
      </c>
      <c r="AF3980" s="385">
        <v>0.75</v>
      </c>
      <c r="AG3980" s="386">
        <v>14.4</v>
      </c>
      <c r="AH3980" s="387">
        <f t="shared" si="77"/>
        <v>14</v>
      </c>
    </row>
    <row r="3981" spans="11:34" ht="14.5" x14ac:dyDescent="0.35">
      <c r="K3981" s="4"/>
      <c r="AC3981" s="384">
        <v>2022</v>
      </c>
      <c r="AD3981" s="384">
        <v>6</v>
      </c>
      <c r="AE3981" s="384">
        <v>15</v>
      </c>
      <c r="AF3981" s="385">
        <v>0.79166666666666663</v>
      </c>
      <c r="AG3981" s="386">
        <v>14</v>
      </c>
      <c r="AH3981" s="387">
        <f t="shared" si="77"/>
        <v>14</v>
      </c>
    </row>
    <row r="3982" spans="11:34" ht="14.5" x14ac:dyDescent="0.35">
      <c r="K3982" s="4"/>
      <c r="AC3982" s="384">
        <v>2022</v>
      </c>
      <c r="AD3982" s="384">
        <v>6</v>
      </c>
      <c r="AE3982" s="384">
        <v>15</v>
      </c>
      <c r="AF3982" s="385">
        <v>0.83333333333333337</v>
      </c>
      <c r="AG3982" s="386">
        <v>13.3</v>
      </c>
      <c r="AH3982" s="387">
        <f t="shared" si="77"/>
        <v>13</v>
      </c>
    </row>
    <row r="3983" spans="11:34" ht="14.5" x14ac:dyDescent="0.35">
      <c r="K3983" s="4"/>
      <c r="AC3983" s="384">
        <v>2022</v>
      </c>
      <c r="AD3983" s="384">
        <v>6</v>
      </c>
      <c r="AE3983" s="384">
        <v>15</v>
      </c>
      <c r="AF3983" s="385">
        <v>0.875</v>
      </c>
      <c r="AG3983" s="386">
        <v>11.6</v>
      </c>
      <c r="AH3983" s="387">
        <f t="shared" si="77"/>
        <v>12</v>
      </c>
    </row>
    <row r="3984" spans="11:34" ht="14.5" x14ac:dyDescent="0.35">
      <c r="K3984" s="4"/>
      <c r="AC3984" s="384">
        <v>2022</v>
      </c>
      <c r="AD3984" s="384">
        <v>6</v>
      </c>
      <c r="AE3984" s="384">
        <v>15</v>
      </c>
      <c r="AF3984" s="385">
        <v>0.91666666666666663</v>
      </c>
      <c r="AG3984" s="386">
        <v>10.6</v>
      </c>
      <c r="AH3984" s="387">
        <f t="shared" si="77"/>
        <v>11</v>
      </c>
    </row>
    <row r="3985" spans="11:34" ht="14.5" x14ac:dyDescent="0.35">
      <c r="K3985" s="4"/>
      <c r="AC3985" s="384">
        <v>2022</v>
      </c>
      <c r="AD3985" s="384">
        <v>6</v>
      </c>
      <c r="AE3985" s="384">
        <v>15</v>
      </c>
      <c r="AF3985" s="385">
        <v>0.95833333333333337</v>
      </c>
      <c r="AG3985" s="386">
        <v>9.6</v>
      </c>
      <c r="AH3985" s="387">
        <f t="shared" si="77"/>
        <v>10</v>
      </c>
    </row>
    <row r="3986" spans="11:34" ht="14.5" x14ac:dyDescent="0.35">
      <c r="K3986" s="4"/>
      <c r="AC3986" s="384">
        <v>2022</v>
      </c>
      <c r="AD3986" s="384">
        <v>6</v>
      </c>
      <c r="AE3986" s="384">
        <v>16</v>
      </c>
      <c r="AF3986" s="385">
        <v>0</v>
      </c>
      <c r="AG3986" s="386">
        <v>10.199999999999999</v>
      </c>
      <c r="AH3986" s="387">
        <f t="shared" si="77"/>
        <v>10</v>
      </c>
    </row>
    <row r="3987" spans="11:34" ht="14.5" x14ac:dyDescent="0.35">
      <c r="K3987" s="4"/>
      <c r="AC3987" s="384">
        <v>2022</v>
      </c>
      <c r="AD3987" s="384">
        <v>6</v>
      </c>
      <c r="AE3987" s="384">
        <v>16</v>
      </c>
      <c r="AF3987" s="385">
        <v>4.1666666666666664E-2</v>
      </c>
      <c r="AG3987" s="386">
        <v>9.4</v>
      </c>
      <c r="AH3987" s="387">
        <f t="shared" si="77"/>
        <v>9</v>
      </c>
    </row>
    <row r="3988" spans="11:34" ht="14.5" x14ac:dyDescent="0.35">
      <c r="K3988" s="4"/>
      <c r="AC3988" s="384">
        <v>2022</v>
      </c>
      <c r="AD3988" s="384">
        <v>6</v>
      </c>
      <c r="AE3988" s="384">
        <v>16</v>
      </c>
      <c r="AF3988" s="385">
        <v>8.3333333333333329E-2</v>
      </c>
      <c r="AG3988" s="386">
        <v>9.1999999999999993</v>
      </c>
      <c r="AH3988" s="387">
        <f t="shared" si="77"/>
        <v>9</v>
      </c>
    </row>
    <row r="3989" spans="11:34" ht="14.5" x14ac:dyDescent="0.35">
      <c r="K3989" s="4"/>
      <c r="AC3989" s="384">
        <v>2022</v>
      </c>
      <c r="AD3989" s="384">
        <v>6</v>
      </c>
      <c r="AE3989" s="384">
        <v>16</v>
      </c>
      <c r="AF3989" s="385">
        <v>0.125</v>
      </c>
      <c r="AG3989" s="386">
        <v>8.8000000000000007</v>
      </c>
      <c r="AH3989" s="387">
        <f t="shared" si="77"/>
        <v>9</v>
      </c>
    </row>
    <row r="3990" spans="11:34" ht="14.5" x14ac:dyDescent="0.35">
      <c r="K3990" s="4"/>
      <c r="AC3990" s="384">
        <v>2022</v>
      </c>
      <c r="AD3990" s="384">
        <v>6</v>
      </c>
      <c r="AE3990" s="384">
        <v>16</v>
      </c>
      <c r="AF3990" s="385">
        <v>0.16666666666666666</v>
      </c>
      <c r="AG3990" s="386">
        <v>8.6</v>
      </c>
      <c r="AH3990" s="387">
        <f t="shared" si="77"/>
        <v>9</v>
      </c>
    </row>
    <row r="3991" spans="11:34" ht="14.5" x14ac:dyDescent="0.35">
      <c r="K3991" s="4"/>
      <c r="AC3991" s="384">
        <v>2022</v>
      </c>
      <c r="AD3991" s="384">
        <v>6</v>
      </c>
      <c r="AE3991" s="384">
        <v>16</v>
      </c>
      <c r="AF3991" s="385">
        <v>0.20833333333333334</v>
      </c>
      <c r="AG3991" s="386">
        <v>9.6</v>
      </c>
      <c r="AH3991" s="387">
        <f t="shared" si="77"/>
        <v>10</v>
      </c>
    </row>
    <row r="3992" spans="11:34" ht="14.5" x14ac:dyDescent="0.35">
      <c r="K3992" s="4"/>
      <c r="AC3992" s="384">
        <v>2022</v>
      </c>
      <c r="AD3992" s="384">
        <v>6</v>
      </c>
      <c r="AE3992" s="384">
        <v>16</v>
      </c>
      <c r="AF3992" s="385">
        <v>0.25</v>
      </c>
      <c r="AG3992" s="386">
        <v>10.6</v>
      </c>
      <c r="AH3992" s="387">
        <f t="shared" si="77"/>
        <v>11</v>
      </c>
    </row>
    <row r="3993" spans="11:34" ht="14.5" x14ac:dyDescent="0.35">
      <c r="K3993" s="4"/>
      <c r="AC3993" s="384">
        <v>2022</v>
      </c>
      <c r="AD3993" s="384">
        <v>6</v>
      </c>
      <c r="AE3993" s="384">
        <v>16</v>
      </c>
      <c r="AF3993" s="385">
        <v>0.29166666666666669</v>
      </c>
      <c r="AG3993" s="386">
        <v>12</v>
      </c>
      <c r="AH3993" s="387">
        <f t="shared" si="77"/>
        <v>12</v>
      </c>
    </row>
    <row r="3994" spans="11:34" ht="14.5" x14ac:dyDescent="0.35">
      <c r="K3994" s="4"/>
      <c r="AC3994" s="384">
        <v>2022</v>
      </c>
      <c r="AD3994" s="384">
        <v>6</v>
      </c>
      <c r="AE3994" s="384">
        <v>16</v>
      </c>
      <c r="AF3994" s="385">
        <v>0.33333333333333331</v>
      </c>
      <c r="AG3994" s="386">
        <v>13.1</v>
      </c>
      <c r="AH3994" s="387">
        <f t="shared" si="77"/>
        <v>13</v>
      </c>
    </row>
    <row r="3995" spans="11:34" ht="14.5" x14ac:dyDescent="0.35">
      <c r="K3995" s="4"/>
      <c r="AC3995" s="384">
        <v>2022</v>
      </c>
      <c r="AD3995" s="384">
        <v>6</v>
      </c>
      <c r="AE3995" s="384">
        <v>16</v>
      </c>
      <c r="AF3995" s="385">
        <v>0.375</v>
      </c>
      <c r="AG3995" s="386">
        <v>15.3</v>
      </c>
      <c r="AH3995" s="387">
        <f t="shared" si="77"/>
        <v>15</v>
      </c>
    </row>
    <row r="3996" spans="11:34" ht="14.5" x14ac:dyDescent="0.35">
      <c r="K3996" s="4"/>
      <c r="AC3996" s="384">
        <v>2022</v>
      </c>
      <c r="AD3996" s="384">
        <v>6</v>
      </c>
      <c r="AE3996" s="384">
        <v>16</v>
      </c>
      <c r="AF3996" s="385">
        <v>0.41666666666666669</v>
      </c>
      <c r="AG3996" s="386">
        <v>15.8</v>
      </c>
      <c r="AH3996" s="387">
        <f t="shared" si="77"/>
        <v>16</v>
      </c>
    </row>
    <row r="3997" spans="11:34" ht="14.5" x14ac:dyDescent="0.35">
      <c r="K3997" s="4"/>
      <c r="AC3997" s="384">
        <v>2022</v>
      </c>
      <c r="AD3997" s="384">
        <v>6</v>
      </c>
      <c r="AE3997" s="384">
        <v>16</v>
      </c>
      <c r="AF3997" s="385">
        <v>0.45833333333333331</v>
      </c>
      <c r="AG3997" s="386">
        <v>16.100000000000001</v>
      </c>
      <c r="AH3997" s="387">
        <f t="shared" si="77"/>
        <v>16</v>
      </c>
    </row>
    <row r="3998" spans="11:34" ht="14.5" x14ac:dyDescent="0.35">
      <c r="K3998" s="4"/>
      <c r="AC3998" s="384">
        <v>2022</v>
      </c>
      <c r="AD3998" s="384">
        <v>6</v>
      </c>
      <c r="AE3998" s="384">
        <v>16</v>
      </c>
      <c r="AF3998" s="385">
        <v>0.5</v>
      </c>
      <c r="AG3998" s="386">
        <v>16.399999999999999</v>
      </c>
      <c r="AH3998" s="387">
        <f t="shared" si="77"/>
        <v>16</v>
      </c>
    </row>
    <row r="3999" spans="11:34" ht="14.5" x14ac:dyDescent="0.35">
      <c r="K3999" s="4"/>
      <c r="AC3999" s="384">
        <v>2022</v>
      </c>
      <c r="AD3999" s="384">
        <v>6</v>
      </c>
      <c r="AE3999" s="384">
        <v>16</v>
      </c>
      <c r="AF3999" s="385">
        <v>0.54166666666666663</v>
      </c>
      <c r="AG3999" s="386">
        <v>16.7</v>
      </c>
      <c r="AH3999" s="387">
        <f t="shared" si="77"/>
        <v>17</v>
      </c>
    </row>
    <row r="4000" spans="11:34" ht="14.5" x14ac:dyDescent="0.35">
      <c r="K4000" s="4"/>
      <c r="AC4000" s="384">
        <v>2022</v>
      </c>
      <c r="AD4000" s="384">
        <v>6</v>
      </c>
      <c r="AE4000" s="384">
        <v>16</v>
      </c>
      <c r="AF4000" s="385">
        <v>0.58333333333333337</v>
      </c>
      <c r="AG4000" s="386">
        <v>16.8</v>
      </c>
      <c r="AH4000" s="387">
        <f t="shared" si="77"/>
        <v>17</v>
      </c>
    </row>
    <row r="4001" spans="11:34" ht="14.5" x14ac:dyDescent="0.35">
      <c r="K4001" s="4"/>
      <c r="AC4001" s="384">
        <v>2022</v>
      </c>
      <c r="AD4001" s="384">
        <v>6</v>
      </c>
      <c r="AE4001" s="384">
        <v>16</v>
      </c>
      <c r="AF4001" s="385">
        <v>0.625</v>
      </c>
      <c r="AG4001" s="386">
        <v>17.100000000000001</v>
      </c>
      <c r="AH4001" s="387">
        <f t="shared" si="77"/>
        <v>17</v>
      </c>
    </row>
    <row r="4002" spans="11:34" ht="14.5" x14ac:dyDescent="0.35">
      <c r="K4002" s="4"/>
      <c r="AC4002" s="384">
        <v>2022</v>
      </c>
      <c r="AD4002" s="384">
        <v>6</v>
      </c>
      <c r="AE4002" s="384">
        <v>16</v>
      </c>
      <c r="AF4002" s="385">
        <v>0.66666666666666663</v>
      </c>
      <c r="AG4002" s="386">
        <v>17.3</v>
      </c>
      <c r="AH4002" s="387">
        <f t="shared" si="77"/>
        <v>17</v>
      </c>
    </row>
    <row r="4003" spans="11:34" ht="14.5" x14ac:dyDescent="0.35">
      <c r="K4003" s="4"/>
      <c r="AC4003" s="384">
        <v>2022</v>
      </c>
      <c r="AD4003" s="384">
        <v>6</v>
      </c>
      <c r="AE4003" s="384">
        <v>16</v>
      </c>
      <c r="AF4003" s="385">
        <v>0.70833333333333337</v>
      </c>
      <c r="AG4003" s="386">
        <v>17.399999999999999</v>
      </c>
      <c r="AH4003" s="387">
        <f t="shared" si="77"/>
        <v>17</v>
      </c>
    </row>
    <row r="4004" spans="11:34" ht="14.5" x14ac:dyDescent="0.35">
      <c r="K4004" s="4"/>
      <c r="AC4004" s="384">
        <v>2022</v>
      </c>
      <c r="AD4004" s="384">
        <v>6</v>
      </c>
      <c r="AE4004" s="384">
        <v>16</v>
      </c>
      <c r="AF4004" s="385">
        <v>0.75</v>
      </c>
      <c r="AG4004" s="386">
        <v>17.899999999999999</v>
      </c>
      <c r="AH4004" s="387">
        <f t="shared" si="77"/>
        <v>18</v>
      </c>
    </row>
    <row r="4005" spans="11:34" ht="14.5" x14ac:dyDescent="0.35">
      <c r="K4005" s="4"/>
      <c r="AC4005" s="384">
        <v>2022</v>
      </c>
      <c r="AD4005" s="384">
        <v>6</v>
      </c>
      <c r="AE4005" s="384">
        <v>16</v>
      </c>
      <c r="AF4005" s="385">
        <v>0.79166666666666663</v>
      </c>
      <c r="AG4005" s="386">
        <v>17.399999999999999</v>
      </c>
      <c r="AH4005" s="387">
        <f t="shared" si="77"/>
        <v>17</v>
      </c>
    </row>
    <row r="4006" spans="11:34" ht="14.5" x14ac:dyDescent="0.35">
      <c r="K4006" s="4"/>
      <c r="AC4006" s="384">
        <v>2022</v>
      </c>
      <c r="AD4006" s="384">
        <v>6</v>
      </c>
      <c r="AE4006" s="384">
        <v>16</v>
      </c>
      <c r="AF4006" s="385">
        <v>0.83333333333333337</v>
      </c>
      <c r="AG4006" s="386">
        <v>16.600000000000001</v>
      </c>
      <c r="AH4006" s="387">
        <f t="shared" si="77"/>
        <v>17</v>
      </c>
    </row>
    <row r="4007" spans="11:34" ht="14.5" x14ac:dyDescent="0.35">
      <c r="K4007" s="4"/>
      <c r="AC4007" s="384">
        <v>2022</v>
      </c>
      <c r="AD4007" s="384">
        <v>6</v>
      </c>
      <c r="AE4007" s="384">
        <v>16</v>
      </c>
      <c r="AF4007" s="385">
        <v>0.875</v>
      </c>
      <c r="AG4007" s="386">
        <v>15.9</v>
      </c>
      <c r="AH4007" s="387">
        <f t="shared" si="77"/>
        <v>16</v>
      </c>
    </row>
    <row r="4008" spans="11:34" ht="14.5" x14ac:dyDescent="0.35">
      <c r="K4008" s="4"/>
      <c r="AC4008" s="384">
        <v>2022</v>
      </c>
      <c r="AD4008" s="384">
        <v>6</v>
      </c>
      <c r="AE4008" s="384">
        <v>16</v>
      </c>
      <c r="AF4008" s="385">
        <v>0.91666666666666663</v>
      </c>
      <c r="AG4008" s="386">
        <v>15</v>
      </c>
      <c r="AH4008" s="387">
        <f t="shared" si="77"/>
        <v>15</v>
      </c>
    </row>
    <row r="4009" spans="11:34" ht="14.5" x14ac:dyDescent="0.35">
      <c r="K4009" s="4"/>
      <c r="AC4009" s="384">
        <v>2022</v>
      </c>
      <c r="AD4009" s="384">
        <v>6</v>
      </c>
      <c r="AE4009" s="384">
        <v>16</v>
      </c>
      <c r="AF4009" s="385">
        <v>0.95833333333333337</v>
      </c>
      <c r="AG4009" s="386">
        <v>13</v>
      </c>
      <c r="AH4009" s="387">
        <f t="shared" si="77"/>
        <v>13</v>
      </c>
    </row>
    <row r="4010" spans="11:34" ht="14.5" x14ac:dyDescent="0.35">
      <c r="K4010" s="4"/>
      <c r="AC4010" s="384">
        <v>2022</v>
      </c>
      <c r="AD4010" s="384">
        <v>6</v>
      </c>
      <c r="AE4010" s="384">
        <v>17</v>
      </c>
      <c r="AF4010" s="385">
        <v>0</v>
      </c>
      <c r="AG4010" s="386">
        <v>13.1</v>
      </c>
      <c r="AH4010" s="387">
        <f t="shared" si="77"/>
        <v>13</v>
      </c>
    </row>
    <row r="4011" spans="11:34" ht="14.5" x14ac:dyDescent="0.35">
      <c r="K4011" s="4"/>
      <c r="AC4011" s="384">
        <v>2022</v>
      </c>
      <c r="AD4011" s="384">
        <v>6</v>
      </c>
      <c r="AE4011" s="384">
        <v>17</v>
      </c>
      <c r="AF4011" s="385">
        <v>4.1666666666666664E-2</v>
      </c>
      <c r="AG4011" s="386">
        <v>13.8</v>
      </c>
      <c r="AH4011" s="387">
        <f t="shared" si="77"/>
        <v>14</v>
      </c>
    </row>
    <row r="4012" spans="11:34" ht="14.5" x14ac:dyDescent="0.35">
      <c r="K4012" s="4"/>
      <c r="AC4012" s="384">
        <v>2022</v>
      </c>
      <c r="AD4012" s="384">
        <v>6</v>
      </c>
      <c r="AE4012" s="384">
        <v>17</v>
      </c>
      <c r="AF4012" s="385">
        <v>8.3333333333333329E-2</v>
      </c>
      <c r="AG4012" s="386">
        <v>12.9</v>
      </c>
      <c r="AH4012" s="387">
        <f t="shared" si="77"/>
        <v>13</v>
      </c>
    </row>
    <row r="4013" spans="11:34" ht="14.5" x14ac:dyDescent="0.35">
      <c r="K4013" s="4"/>
      <c r="AC4013" s="384">
        <v>2022</v>
      </c>
      <c r="AD4013" s="384">
        <v>6</v>
      </c>
      <c r="AE4013" s="384">
        <v>17</v>
      </c>
      <c r="AF4013" s="385">
        <v>0.125</v>
      </c>
      <c r="AG4013" s="386">
        <v>12.2</v>
      </c>
      <c r="AH4013" s="387">
        <f t="shared" si="77"/>
        <v>12</v>
      </c>
    </row>
    <row r="4014" spans="11:34" ht="14.5" x14ac:dyDescent="0.35">
      <c r="K4014" s="4"/>
      <c r="AC4014" s="384">
        <v>2022</v>
      </c>
      <c r="AD4014" s="384">
        <v>6</v>
      </c>
      <c r="AE4014" s="384">
        <v>17</v>
      </c>
      <c r="AF4014" s="385">
        <v>0.16666666666666666</v>
      </c>
      <c r="AG4014" s="386">
        <v>11.9</v>
      </c>
      <c r="AH4014" s="387">
        <f t="shared" si="77"/>
        <v>12</v>
      </c>
    </row>
    <row r="4015" spans="11:34" ht="14.5" x14ac:dyDescent="0.35">
      <c r="K4015" s="4"/>
      <c r="AC4015" s="384">
        <v>2022</v>
      </c>
      <c r="AD4015" s="384">
        <v>6</v>
      </c>
      <c r="AE4015" s="384">
        <v>17</v>
      </c>
      <c r="AF4015" s="385">
        <v>0.20833333333333334</v>
      </c>
      <c r="AG4015" s="386">
        <v>11.7</v>
      </c>
      <c r="AH4015" s="387">
        <f t="shared" si="77"/>
        <v>12</v>
      </c>
    </row>
    <row r="4016" spans="11:34" ht="14.5" x14ac:dyDescent="0.35">
      <c r="K4016" s="4"/>
      <c r="AC4016" s="384">
        <v>2022</v>
      </c>
      <c r="AD4016" s="384">
        <v>6</v>
      </c>
      <c r="AE4016" s="384">
        <v>17</v>
      </c>
      <c r="AF4016" s="385">
        <v>0.25</v>
      </c>
      <c r="AG4016" s="386">
        <v>12.1</v>
      </c>
      <c r="AH4016" s="387">
        <f t="shared" si="77"/>
        <v>12</v>
      </c>
    </row>
    <row r="4017" spans="11:34" ht="14.5" x14ac:dyDescent="0.35">
      <c r="K4017" s="4"/>
      <c r="AC4017" s="384">
        <v>2022</v>
      </c>
      <c r="AD4017" s="384">
        <v>6</v>
      </c>
      <c r="AE4017" s="384">
        <v>17</v>
      </c>
      <c r="AF4017" s="385">
        <v>0.29166666666666669</v>
      </c>
      <c r="AG4017" s="386">
        <v>12.3</v>
      </c>
      <c r="AH4017" s="387">
        <f t="shared" si="77"/>
        <v>12</v>
      </c>
    </row>
    <row r="4018" spans="11:34" ht="14.5" x14ac:dyDescent="0.35">
      <c r="K4018" s="4"/>
      <c r="AC4018" s="384">
        <v>2022</v>
      </c>
      <c r="AD4018" s="384">
        <v>6</v>
      </c>
      <c r="AE4018" s="384">
        <v>17</v>
      </c>
      <c r="AF4018" s="385">
        <v>0.33333333333333331</v>
      </c>
      <c r="AG4018" s="386">
        <v>13.6</v>
      </c>
      <c r="AH4018" s="387">
        <f t="shared" si="77"/>
        <v>14</v>
      </c>
    </row>
    <row r="4019" spans="11:34" ht="14.5" x14ac:dyDescent="0.35">
      <c r="K4019" s="4"/>
      <c r="AC4019" s="384">
        <v>2022</v>
      </c>
      <c r="AD4019" s="384">
        <v>6</v>
      </c>
      <c r="AE4019" s="384">
        <v>17</v>
      </c>
      <c r="AF4019" s="385">
        <v>0.375</v>
      </c>
      <c r="AG4019" s="386">
        <v>16.899999999999999</v>
      </c>
      <c r="AH4019" s="387">
        <f t="shared" si="77"/>
        <v>17</v>
      </c>
    </row>
    <row r="4020" spans="11:34" ht="14.5" x14ac:dyDescent="0.35">
      <c r="K4020" s="4"/>
      <c r="AC4020" s="384">
        <v>2022</v>
      </c>
      <c r="AD4020" s="384">
        <v>6</v>
      </c>
      <c r="AE4020" s="384">
        <v>17</v>
      </c>
      <c r="AF4020" s="385">
        <v>0.41666666666666669</v>
      </c>
      <c r="AG4020" s="386">
        <v>17.100000000000001</v>
      </c>
      <c r="AH4020" s="387">
        <f t="shared" si="77"/>
        <v>17</v>
      </c>
    </row>
    <row r="4021" spans="11:34" ht="14.5" x14ac:dyDescent="0.35">
      <c r="K4021" s="4"/>
      <c r="AC4021" s="384">
        <v>2022</v>
      </c>
      <c r="AD4021" s="384">
        <v>6</v>
      </c>
      <c r="AE4021" s="384">
        <v>17</v>
      </c>
      <c r="AF4021" s="385">
        <v>0.45833333333333331</v>
      </c>
      <c r="AG4021" s="386">
        <v>18.3</v>
      </c>
      <c r="AH4021" s="387">
        <f t="shared" si="77"/>
        <v>18</v>
      </c>
    </row>
    <row r="4022" spans="11:34" ht="14.5" x14ac:dyDescent="0.35">
      <c r="K4022" s="4"/>
      <c r="AC4022" s="384">
        <v>2022</v>
      </c>
      <c r="AD4022" s="384">
        <v>6</v>
      </c>
      <c r="AE4022" s="384">
        <v>17</v>
      </c>
      <c r="AF4022" s="385">
        <v>0.5</v>
      </c>
      <c r="AG4022" s="386">
        <v>18.5</v>
      </c>
      <c r="AH4022" s="387">
        <f t="shared" si="77"/>
        <v>19</v>
      </c>
    </row>
    <row r="4023" spans="11:34" ht="14.5" x14ac:dyDescent="0.35">
      <c r="K4023" s="4"/>
      <c r="AC4023" s="384">
        <v>2022</v>
      </c>
      <c r="AD4023" s="384">
        <v>6</v>
      </c>
      <c r="AE4023" s="384">
        <v>17</v>
      </c>
      <c r="AF4023" s="385">
        <v>0.54166666666666663</v>
      </c>
      <c r="AG4023" s="386">
        <v>18.5</v>
      </c>
      <c r="AH4023" s="387">
        <f t="shared" si="77"/>
        <v>19</v>
      </c>
    </row>
    <row r="4024" spans="11:34" ht="14.5" x14ac:dyDescent="0.35">
      <c r="K4024" s="4"/>
      <c r="AC4024" s="384">
        <v>2022</v>
      </c>
      <c r="AD4024" s="384">
        <v>6</v>
      </c>
      <c r="AE4024" s="384">
        <v>17</v>
      </c>
      <c r="AF4024" s="385">
        <v>0.58333333333333337</v>
      </c>
      <c r="AG4024" s="386">
        <v>18.600000000000001</v>
      </c>
      <c r="AH4024" s="387">
        <f t="shared" si="77"/>
        <v>19</v>
      </c>
    </row>
    <row r="4025" spans="11:34" ht="14.5" x14ac:dyDescent="0.35">
      <c r="K4025" s="4"/>
      <c r="AC4025" s="384">
        <v>2022</v>
      </c>
      <c r="AD4025" s="384">
        <v>6</v>
      </c>
      <c r="AE4025" s="384">
        <v>17</v>
      </c>
      <c r="AF4025" s="385">
        <v>0.625</v>
      </c>
      <c r="AG4025" s="386">
        <v>18</v>
      </c>
      <c r="AH4025" s="387">
        <f t="shared" si="77"/>
        <v>18</v>
      </c>
    </row>
    <row r="4026" spans="11:34" ht="14.5" x14ac:dyDescent="0.35">
      <c r="K4026" s="4"/>
      <c r="AC4026" s="384">
        <v>2022</v>
      </c>
      <c r="AD4026" s="384">
        <v>6</v>
      </c>
      <c r="AE4026" s="384">
        <v>17</v>
      </c>
      <c r="AF4026" s="385">
        <v>0.66666666666666663</v>
      </c>
      <c r="AG4026" s="386">
        <v>19.100000000000001</v>
      </c>
      <c r="AH4026" s="387">
        <f t="shared" si="77"/>
        <v>19</v>
      </c>
    </row>
    <row r="4027" spans="11:34" ht="14.5" x14ac:dyDescent="0.35">
      <c r="K4027" s="4"/>
      <c r="AC4027" s="384">
        <v>2022</v>
      </c>
      <c r="AD4027" s="384">
        <v>6</v>
      </c>
      <c r="AE4027" s="384">
        <v>17</v>
      </c>
      <c r="AF4027" s="385">
        <v>0.70833333333333337</v>
      </c>
      <c r="AG4027" s="386">
        <v>19.100000000000001</v>
      </c>
      <c r="AH4027" s="387">
        <f t="shared" si="77"/>
        <v>19</v>
      </c>
    </row>
    <row r="4028" spans="11:34" ht="14.5" x14ac:dyDescent="0.35">
      <c r="K4028" s="4"/>
      <c r="AC4028" s="384">
        <v>2022</v>
      </c>
      <c r="AD4028" s="384">
        <v>6</v>
      </c>
      <c r="AE4028" s="384">
        <v>17</v>
      </c>
      <c r="AF4028" s="385">
        <v>0.75</v>
      </c>
      <c r="AG4028" s="386">
        <v>18.899999999999999</v>
      </c>
      <c r="AH4028" s="387">
        <f t="shared" si="77"/>
        <v>19</v>
      </c>
    </row>
    <row r="4029" spans="11:34" ht="14.5" x14ac:dyDescent="0.35">
      <c r="K4029" s="4"/>
      <c r="AC4029" s="384">
        <v>2022</v>
      </c>
      <c r="AD4029" s="384">
        <v>6</v>
      </c>
      <c r="AE4029" s="384">
        <v>17</v>
      </c>
      <c r="AF4029" s="385">
        <v>0.79166666666666663</v>
      </c>
      <c r="AG4029" s="386">
        <v>17.600000000000001</v>
      </c>
      <c r="AH4029" s="387">
        <f t="shared" si="77"/>
        <v>18</v>
      </c>
    </row>
    <row r="4030" spans="11:34" ht="14.5" x14ac:dyDescent="0.35">
      <c r="K4030" s="4"/>
      <c r="AC4030" s="384">
        <v>2022</v>
      </c>
      <c r="AD4030" s="384">
        <v>6</v>
      </c>
      <c r="AE4030" s="384">
        <v>17</v>
      </c>
      <c r="AF4030" s="385">
        <v>0.83333333333333337</v>
      </c>
      <c r="AG4030" s="386">
        <v>16.100000000000001</v>
      </c>
      <c r="AH4030" s="387">
        <f t="shared" si="77"/>
        <v>16</v>
      </c>
    </row>
    <row r="4031" spans="11:34" ht="14.5" x14ac:dyDescent="0.35">
      <c r="K4031" s="4"/>
      <c r="AC4031" s="384">
        <v>2022</v>
      </c>
      <c r="AD4031" s="384">
        <v>6</v>
      </c>
      <c r="AE4031" s="384">
        <v>17</v>
      </c>
      <c r="AF4031" s="385">
        <v>0.875</v>
      </c>
      <c r="AG4031" s="386">
        <v>15.7</v>
      </c>
      <c r="AH4031" s="387">
        <f t="shared" si="77"/>
        <v>16</v>
      </c>
    </row>
    <row r="4032" spans="11:34" ht="14.5" x14ac:dyDescent="0.35">
      <c r="K4032" s="4"/>
      <c r="AC4032" s="384">
        <v>2022</v>
      </c>
      <c r="AD4032" s="384">
        <v>6</v>
      </c>
      <c r="AE4032" s="384">
        <v>17</v>
      </c>
      <c r="AF4032" s="385">
        <v>0.91666666666666663</v>
      </c>
      <c r="AG4032" s="386">
        <v>15.1</v>
      </c>
      <c r="AH4032" s="387">
        <f t="shared" si="77"/>
        <v>15</v>
      </c>
    </row>
    <row r="4033" spans="11:34" ht="14.5" x14ac:dyDescent="0.35">
      <c r="K4033" s="4"/>
      <c r="AC4033" s="384">
        <v>2022</v>
      </c>
      <c r="AD4033" s="384">
        <v>6</v>
      </c>
      <c r="AE4033" s="384">
        <v>17</v>
      </c>
      <c r="AF4033" s="385">
        <v>0.95833333333333337</v>
      </c>
      <c r="AG4033" s="386">
        <v>14.4</v>
      </c>
      <c r="AH4033" s="387">
        <f t="shared" si="77"/>
        <v>14</v>
      </c>
    </row>
    <row r="4034" spans="11:34" ht="14.5" x14ac:dyDescent="0.35">
      <c r="K4034" s="4"/>
      <c r="AC4034" s="384">
        <v>2022</v>
      </c>
      <c r="AD4034" s="384">
        <v>6</v>
      </c>
      <c r="AE4034" s="384">
        <v>18</v>
      </c>
      <c r="AF4034" s="385">
        <v>0</v>
      </c>
      <c r="AG4034" s="386">
        <v>14.1</v>
      </c>
      <c r="AH4034" s="387">
        <f t="shared" si="77"/>
        <v>14</v>
      </c>
    </row>
    <row r="4035" spans="11:34" ht="14.5" x14ac:dyDescent="0.35">
      <c r="K4035" s="4"/>
      <c r="AC4035" s="384">
        <v>2022</v>
      </c>
      <c r="AD4035" s="384">
        <v>6</v>
      </c>
      <c r="AE4035" s="384">
        <v>18</v>
      </c>
      <c r="AF4035" s="385">
        <v>4.1666666666666664E-2</v>
      </c>
      <c r="AG4035" s="386">
        <v>14.2</v>
      </c>
      <c r="AH4035" s="387">
        <f t="shared" si="77"/>
        <v>14</v>
      </c>
    </row>
    <row r="4036" spans="11:34" ht="14.5" x14ac:dyDescent="0.35">
      <c r="K4036" s="4"/>
      <c r="AC4036" s="384">
        <v>2022</v>
      </c>
      <c r="AD4036" s="384">
        <v>6</v>
      </c>
      <c r="AE4036" s="384">
        <v>18</v>
      </c>
      <c r="AF4036" s="385">
        <v>8.3333333333333329E-2</v>
      </c>
      <c r="AG4036" s="386">
        <v>13.9</v>
      </c>
      <c r="AH4036" s="387">
        <f t="shared" si="77"/>
        <v>14</v>
      </c>
    </row>
    <row r="4037" spans="11:34" ht="14.5" x14ac:dyDescent="0.35">
      <c r="K4037" s="4"/>
      <c r="AC4037" s="384">
        <v>2022</v>
      </c>
      <c r="AD4037" s="384">
        <v>6</v>
      </c>
      <c r="AE4037" s="384">
        <v>18</v>
      </c>
      <c r="AF4037" s="385">
        <v>0.125</v>
      </c>
      <c r="AG4037" s="386">
        <v>13.1</v>
      </c>
      <c r="AH4037" s="387">
        <f t="shared" si="77"/>
        <v>13</v>
      </c>
    </row>
    <row r="4038" spans="11:34" ht="14.5" x14ac:dyDescent="0.35">
      <c r="K4038" s="4"/>
      <c r="AC4038" s="384">
        <v>2022</v>
      </c>
      <c r="AD4038" s="384">
        <v>6</v>
      </c>
      <c r="AE4038" s="384">
        <v>18</v>
      </c>
      <c r="AF4038" s="385">
        <v>0.16666666666666666</v>
      </c>
      <c r="AG4038" s="386">
        <v>13.3</v>
      </c>
      <c r="AH4038" s="387">
        <f t="shared" si="77"/>
        <v>13</v>
      </c>
    </row>
    <row r="4039" spans="11:34" ht="14.5" x14ac:dyDescent="0.35">
      <c r="K4039" s="4"/>
      <c r="AC4039" s="384">
        <v>2022</v>
      </c>
      <c r="AD4039" s="384">
        <v>6</v>
      </c>
      <c r="AE4039" s="384">
        <v>18</v>
      </c>
      <c r="AF4039" s="385">
        <v>0.20833333333333334</v>
      </c>
      <c r="AG4039" s="386">
        <v>13</v>
      </c>
      <c r="AH4039" s="387">
        <f t="shared" si="77"/>
        <v>13</v>
      </c>
    </row>
    <row r="4040" spans="11:34" ht="14.5" x14ac:dyDescent="0.35">
      <c r="K4040" s="4"/>
      <c r="AC4040" s="384">
        <v>2022</v>
      </c>
      <c r="AD4040" s="384">
        <v>6</v>
      </c>
      <c r="AE4040" s="384">
        <v>18</v>
      </c>
      <c r="AF4040" s="385">
        <v>0.25</v>
      </c>
      <c r="AG4040" s="386">
        <v>13.1</v>
      </c>
      <c r="AH4040" s="387">
        <f t="shared" si="77"/>
        <v>13</v>
      </c>
    </row>
    <row r="4041" spans="11:34" ht="14.5" x14ac:dyDescent="0.35">
      <c r="K4041" s="4"/>
      <c r="AC4041" s="384">
        <v>2022</v>
      </c>
      <c r="AD4041" s="384">
        <v>6</v>
      </c>
      <c r="AE4041" s="384">
        <v>18</v>
      </c>
      <c r="AF4041" s="385">
        <v>0.29166666666666669</v>
      </c>
      <c r="AG4041" s="386">
        <v>12.9</v>
      </c>
      <c r="AH4041" s="387">
        <f t="shared" si="77"/>
        <v>13</v>
      </c>
    </row>
    <row r="4042" spans="11:34" ht="14.5" x14ac:dyDescent="0.35">
      <c r="K4042" s="4"/>
      <c r="AC4042" s="384">
        <v>2022</v>
      </c>
      <c r="AD4042" s="384">
        <v>6</v>
      </c>
      <c r="AE4042" s="384">
        <v>18</v>
      </c>
      <c r="AF4042" s="385">
        <v>0.33333333333333331</v>
      </c>
      <c r="AG4042" s="386">
        <v>13.3</v>
      </c>
      <c r="AH4042" s="387">
        <f t="shared" si="77"/>
        <v>13</v>
      </c>
    </row>
    <row r="4043" spans="11:34" ht="14.5" x14ac:dyDescent="0.35">
      <c r="K4043" s="4"/>
      <c r="AC4043" s="384">
        <v>2022</v>
      </c>
      <c r="AD4043" s="384">
        <v>6</v>
      </c>
      <c r="AE4043" s="384">
        <v>18</v>
      </c>
      <c r="AF4043" s="385">
        <v>0.375</v>
      </c>
      <c r="AG4043" s="386">
        <v>13.9</v>
      </c>
      <c r="AH4043" s="387">
        <f t="shared" ref="AH4043:AH4106" si="78">ROUND(AG4043,0)</f>
        <v>14</v>
      </c>
    </row>
    <row r="4044" spans="11:34" ht="14.5" x14ac:dyDescent="0.35">
      <c r="K4044" s="4"/>
      <c r="AC4044" s="384">
        <v>2022</v>
      </c>
      <c r="AD4044" s="384">
        <v>6</v>
      </c>
      <c r="AE4044" s="384">
        <v>18</v>
      </c>
      <c r="AF4044" s="385">
        <v>0.41666666666666669</v>
      </c>
      <c r="AG4044" s="386">
        <v>14.7</v>
      </c>
      <c r="AH4044" s="387">
        <f t="shared" si="78"/>
        <v>15</v>
      </c>
    </row>
    <row r="4045" spans="11:34" ht="14.5" x14ac:dyDescent="0.35">
      <c r="K4045" s="4"/>
      <c r="AC4045" s="384">
        <v>2022</v>
      </c>
      <c r="AD4045" s="384">
        <v>6</v>
      </c>
      <c r="AE4045" s="384">
        <v>18</v>
      </c>
      <c r="AF4045" s="385">
        <v>0.45833333333333331</v>
      </c>
      <c r="AG4045" s="386">
        <v>16.7</v>
      </c>
      <c r="AH4045" s="387">
        <f t="shared" si="78"/>
        <v>17</v>
      </c>
    </row>
    <row r="4046" spans="11:34" ht="14.5" x14ac:dyDescent="0.35">
      <c r="K4046" s="4"/>
      <c r="AC4046" s="384">
        <v>2022</v>
      </c>
      <c r="AD4046" s="384">
        <v>6</v>
      </c>
      <c r="AE4046" s="384">
        <v>18</v>
      </c>
      <c r="AF4046" s="385">
        <v>0.5</v>
      </c>
      <c r="AG4046" s="386">
        <v>18</v>
      </c>
      <c r="AH4046" s="387">
        <f t="shared" si="78"/>
        <v>18</v>
      </c>
    </row>
    <row r="4047" spans="11:34" ht="14.5" x14ac:dyDescent="0.35">
      <c r="K4047" s="4"/>
      <c r="AC4047" s="384">
        <v>2022</v>
      </c>
      <c r="AD4047" s="384">
        <v>6</v>
      </c>
      <c r="AE4047" s="384">
        <v>18</v>
      </c>
      <c r="AF4047" s="385">
        <v>0.54166666666666663</v>
      </c>
      <c r="AG4047" s="386">
        <v>19</v>
      </c>
      <c r="AH4047" s="387">
        <f t="shared" si="78"/>
        <v>19</v>
      </c>
    </row>
    <row r="4048" spans="11:34" ht="14.5" x14ac:dyDescent="0.35">
      <c r="K4048" s="4"/>
      <c r="AC4048" s="384">
        <v>2022</v>
      </c>
      <c r="AD4048" s="384">
        <v>6</v>
      </c>
      <c r="AE4048" s="384">
        <v>18</v>
      </c>
      <c r="AF4048" s="385">
        <v>0.58333333333333337</v>
      </c>
      <c r="AG4048" s="386">
        <v>19.7</v>
      </c>
      <c r="AH4048" s="387">
        <f t="shared" si="78"/>
        <v>20</v>
      </c>
    </row>
    <row r="4049" spans="11:34" ht="14.5" x14ac:dyDescent="0.35">
      <c r="K4049" s="4"/>
      <c r="AC4049" s="384">
        <v>2022</v>
      </c>
      <c r="AD4049" s="384">
        <v>6</v>
      </c>
      <c r="AE4049" s="384">
        <v>18</v>
      </c>
      <c r="AF4049" s="385">
        <v>0.625</v>
      </c>
      <c r="AG4049" s="386">
        <v>14.8</v>
      </c>
      <c r="AH4049" s="387">
        <f t="shared" si="78"/>
        <v>15</v>
      </c>
    </row>
    <row r="4050" spans="11:34" ht="14.5" x14ac:dyDescent="0.35">
      <c r="K4050" s="4"/>
      <c r="AC4050" s="384">
        <v>2022</v>
      </c>
      <c r="AD4050" s="384">
        <v>6</v>
      </c>
      <c r="AE4050" s="384">
        <v>18</v>
      </c>
      <c r="AF4050" s="385">
        <v>0.66666666666666663</v>
      </c>
      <c r="AG4050" s="386">
        <v>18.600000000000001</v>
      </c>
      <c r="AH4050" s="387">
        <f t="shared" si="78"/>
        <v>19</v>
      </c>
    </row>
    <row r="4051" spans="11:34" ht="14.5" x14ac:dyDescent="0.35">
      <c r="K4051" s="4"/>
      <c r="AC4051" s="384">
        <v>2022</v>
      </c>
      <c r="AD4051" s="384">
        <v>6</v>
      </c>
      <c r="AE4051" s="384">
        <v>18</v>
      </c>
      <c r="AF4051" s="385">
        <v>0.70833333333333337</v>
      </c>
      <c r="AG4051" s="386">
        <v>18.7</v>
      </c>
      <c r="AH4051" s="387">
        <f t="shared" si="78"/>
        <v>19</v>
      </c>
    </row>
    <row r="4052" spans="11:34" ht="14.5" x14ac:dyDescent="0.35">
      <c r="K4052" s="4"/>
      <c r="AC4052" s="384">
        <v>2022</v>
      </c>
      <c r="AD4052" s="384">
        <v>6</v>
      </c>
      <c r="AE4052" s="384">
        <v>18</v>
      </c>
      <c r="AF4052" s="385">
        <v>0.75</v>
      </c>
      <c r="AG4052" s="386">
        <v>18.399999999999999</v>
      </c>
      <c r="AH4052" s="387">
        <f t="shared" si="78"/>
        <v>18</v>
      </c>
    </row>
    <row r="4053" spans="11:34" ht="14.5" x14ac:dyDescent="0.35">
      <c r="K4053" s="4"/>
      <c r="AC4053" s="384">
        <v>2022</v>
      </c>
      <c r="AD4053" s="384">
        <v>6</v>
      </c>
      <c r="AE4053" s="384">
        <v>18</v>
      </c>
      <c r="AF4053" s="385">
        <v>0.79166666666666663</v>
      </c>
      <c r="AG4053" s="386">
        <v>16.399999999999999</v>
      </c>
      <c r="AH4053" s="387">
        <f t="shared" si="78"/>
        <v>16</v>
      </c>
    </row>
    <row r="4054" spans="11:34" ht="14.5" x14ac:dyDescent="0.35">
      <c r="K4054" s="4"/>
      <c r="AC4054" s="384">
        <v>2022</v>
      </c>
      <c r="AD4054" s="384">
        <v>6</v>
      </c>
      <c r="AE4054" s="384">
        <v>18</v>
      </c>
      <c r="AF4054" s="385">
        <v>0.83333333333333337</v>
      </c>
      <c r="AG4054" s="386">
        <v>14.9</v>
      </c>
      <c r="AH4054" s="387">
        <f t="shared" si="78"/>
        <v>15</v>
      </c>
    </row>
    <row r="4055" spans="11:34" ht="14.5" x14ac:dyDescent="0.35">
      <c r="K4055" s="4"/>
      <c r="AC4055" s="384">
        <v>2022</v>
      </c>
      <c r="AD4055" s="384">
        <v>6</v>
      </c>
      <c r="AE4055" s="384">
        <v>18</v>
      </c>
      <c r="AF4055" s="385">
        <v>0.875</v>
      </c>
      <c r="AG4055" s="386">
        <v>14.3</v>
      </c>
      <c r="AH4055" s="387">
        <f t="shared" si="78"/>
        <v>14</v>
      </c>
    </row>
    <row r="4056" spans="11:34" ht="14.5" x14ac:dyDescent="0.35">
      <c r="K4056" s="4"/>
      <c r="AC4056" s="384">
        <v>2022</v>
      </c>
      <c r="AD4056" s="384">
        <v>6</v>
      </c>
      <c r="AE4056" s="384">
        <v>18</v>
      </c>
      <c r="AF4056" s="385">
        <v>0.91666666666666663</v>
      </c>
      <c r="AG4056" s="386">
        <v>13.4</v>
      </c>
      <c r="AH4056" s="387">
        <f t="shared" si="78"/>
        <v>13</v>
      </c>
    </row>
    <row r="4057" spans="11:34" ht="14.5" x14ac:dyDescent="0.35">
      <c r="K4057" s="4"/>
      <c r="AC4057" s="384">
        <v>2022</v>
      </c>
      <c r="AD4057" s="384">
        <v>6</v>
      </c>
      <c r="AE4057" s="384">
        <v>18</v>
      </c>
      <c r="AF4057" s="385">
        <v>0.95833333333333337</v>
      </c>
      <c r="AG4057" s="386">
        <v>13</v>
      </c>
      <c r="AH4057" s="387">
        <f t="shared" si="78"/>
        <v>13</v>
      </c>
    </row>
    <row r="4058" spans="11:34" ht="14.5" x14ac:dyDescent="0.35">
      <c r="K4058" s="4"/>
      <c r="AC4058" s="384">
        <v>2022</v>
      </c>
      <c r="AD4058" s="384">
        <v>6</v>
      </c>
      <c r="AE4058" s="384">
        <v>19</v>
      </c>
      <c r="AF4058" s="385">
        <v>0</v>
      </c>
      <c r="AG4058" s="386">
        <v>12.2</v>
      </c>
      <c r="AH4058" s="387">
        <f t="shared" si="78"/>
        <v>12</v>
      </c>
    </row>
    <row r="4059" spans="11:34" ht="14.5" x14ac:dyDescent="0.35">
      <c r="K4059" s="4"/>
      <c r="AC4059" s="384">
        <v>2022</v>
      </c>
      <c r="AD4059" s="384">
        <v>6</v>
      </c>
      <c r="AE4059" s="384">
        <v>19</v>
      </c>
      <c r="AF4059" s="385">
        <v>4.1666666666666664E-2</v>
      </c>
      <c r="AG4059" s="386">
        <v>11.4</v>
      </c>
      <c r="AH4059" s="387">
        <f t="shared" si="78"/>
        <v>11</v>
      </c>
    </row>
    <row r="4060" spans="11:34" ht="14.5" x14ac:dyDescent="0.35">
      <c r="K4060" s="4"/>
      <c r="AC4060" s="384">
        <v>2022</v>
      </c>
      <c r="AD4060" s="384">
        <v>6</v>
      </c>
      <c r="AE4060" s="384">
        <v>19</v>
      </c>
      <c r="AF4060" s="385">
        <v>8.3333333333333329E-2</v>
      </c>
      <c r="AG4060" s="386">
        <v>11.2</v>
      </c>
      <c r="AH4060" s="387">
        <f t="shared" si="78"/>
        <v>11</v>
      </c>
    </row>
    <row r="4061" spans="11:34" ht="14.5" x14ac:dyDescent="0.35">
      <c r="K4061" s="4"/>
      <c r="AC4061" s="384">
        <v>2022</v>
      </c>
      <c r="AD4061" s="384">
        <v>6</v>
      </c>
      <c r="AE4061" s="384">
        <v>19</v>
      </c>
      <c r="AF4061" s="385">
        <v>0.125</v>
      </c>
      <c r="AG4061" s="386">
        <v>11.3</v>
      </c>
      <c r="AH4061" s="387">
        <f t="shared" si="78"/>
        <v>11</v>
      </c>
    </row>
    <row r="4062" spans="11:34" ht="14.5" x14ac:dyDescent="0.35">
      <c r="K4062" s="4"/>
      <c r="AC4062" s="384">
        <v>2022</v>
      </c>
      <c r="AD4062" s="384">
        <v>6</v>
      </c>
      <c r="AE4062" s="384">
        <v>19</v>
      </c>
      <c r="AF4062" s="385">
        <v>0.16666666666666666</v>
      </c>
      <c r="AG4062" s="386">
        <v>11.6</v>
      </c>
      <c r="AH4062" s="387">
        <f t="shared" si="78"/>
        <v>12</v>
      </c>
    </row>
    <row r="4063" spans="11:34" ht="14.5" x14ac:dyDescent="0.35">
      <c r="K4063" s="4"/>
      <c r="AC4063" s="384">
        <v>2022</v>
      </c>
      <c r="AD4063" s="384">
        <v>6</v>
      </c>
      <c r="AE4063" s="384">
        <v>19</v>
      </c>
      <c r="AF4063" s="385">
        <v>0.20833333333333334</v>
      </c>
      <c r="AG4063" s="386">
        <v>11.4</v>
      </c>
      <c r="AH4063" s="387">
        <f t="shared" si="78"/>
        <v>11</v>
      </c>
    </row>
    <row r="4064" spans="11:34" ht="14.5" x14ac:dyDescent="0.35">
      <c r="K4064" s="4"/>
      <c r="AC4064" s="384">
        <v>2022</v>
      </c>
      <c r="AD4064" s="384">
        <v>6</v>
      </c>
      <c r="AE4064" s="384">
        <v>19</v>
      </c>
      <c r="AF4064" s="385">
        <v>0.25</v>
      </c>
      <c r="AG4064" s="386">
        <v>12.3</v>
      </c>
      <c r="AH4064" s="387">
        <f t="shared" si="78"/>
        <v>12</v>
      </c>
    </row>
    <row r="4065" spans="11:34" ht="14.5" x14ac:dyDescent="0.35">
      <c r="K4065" s="4"/>
      <c r="AC4065" s="384">
        <v>2022</v>
      </c>
      <c r="AD4065" s="384">
        <v>6</v>
      </c>
      <c r="AE4065" s="384">
        <v>19</v>
      </c>
      <c r="AF4065" s="385">
        <v>0.29166666666666669</v>
      </c>
      <c r="AG4065" s="386">
        <v>13.3</v>
      </c>
      <c r="AH4065" s="387">
        <f t="shared" si="78"/>
        <v>13</v>
      </c>
    </row>
    <row r="4066" spans="11:34" ht="14.5" x14ac:dyDescent="0.35">
      <c r="K4066" s="4"/>
      <c r="AC4066" s="384">
        <v>2022</v>
      </c>
      <c r="AD4066" s="384">
        <v>6</v>
      </c>
      <c r="AE4066" s="384">
        <v>19</v>
      </c>
      <c r="AF4066" s="385">
        <v>0.33333333333333331</v>
      </c>
      <c r="AG4066" s="386">
        <v>13.5</v>
      </c>
      <c r="AH4066" s="387">
        <f t="shared" si="78"/>
        <v>14</v>
      </c>
    </row>
    <row r="4067" spans="11:34" ht="14.5" x14ac:dyDescent="0.35">
      <c r="K4067" s="4"/>
      <c r="AC4067" s="384">
        <v>2022</v>
      </c>
      <c r="AD4067" s="384">
        <v>6</v>
      </c>
      <c r="AE4067" s="384">
        <v>19</v>
      </c>
      <c r="AF4067" s="385">
        <v>0.375</v>
      </c>
      <c r="AG4067" s="386">
        <v>14.7</v>
      </c>
      <c r="AH4067" s="387">
        <f t="shared" si="78"/>
        <v>15</v>
      </c>
    </row>
    <row r="4068" spans="11:34" ht="14.5" x14ac:dyDescent="0.35">
      <c r="K4068" s="4"/>
      <c r="AC4068" s="384">
        <v>2022</v>
      </c>
      <c r="AD4068" s="384">
        <v>6</v>
      </c>
      <c r="AE4068" s="384">
        <v>19</v>
      </c>
      <c r="AF4068" s="385">
        <v>0.41666666666666669</v>
      </c>
      <c r="AG4068" s="386">
        <v>15.9</v>
      </c>
      <c r="AH4068" s="387">
        <f t="shared" si="78"/>
        <v>16</v>
      </c>
    </row>
    <row r="4069" spans="11:34" ht="14.5" x14ac:dyDescent="0.35">
      <c r="K4069" s="4"/>
      <c r="AC4069" s="384">
        <v>2022</v>
      </c>
      <c r="AD4069" s="384">
        <v>6</v>
      </c>
      <c r="AE4069" s="384">
        <v>19</v>
      </c>
      <c r="AF4069" s="385">
        <v>0.45833333333333331</v>
      </c>
      <c r="AG4069" s="386">
        <v>16.8</v>
      </c>
      <c r="AH4069" s="387">
        <f t="shared" si="78"/>
        <v>17</v>
      </c>
    </row>
    <row r="4070" spans="11:34" ht="14.5" x14ac:dyDescent="0.35">
      <c r="K4070" s="4"/>
      <c r="AC4070" s="384">
        <v>2022</v>
      </c>
      <c r="AD4070" s="384">
        <v>6</v>
      </c>
      <c r="AE4070" s="384">
        <v>19</v>
      </c>
      <c r="AF4070" s="385">
        <v>0.5</v>
      </c>
      <c r="AG4070" s="386">
        <v>17.5</v>
      </c>
      <c r="AH4070" s="387">
        <f t="shared" si="78"/>
        <v>18</v>
      </c>
    </row>
    <row r="4071" spans="11:34" ht="14.5" x14ac:dyDescent="0.35">
      <c r="K4071" s="4"/>
      <c r="AC4071" s="384">
        <v>2022</v>
      </c>
      <c r="AD4071" s="384">
        <v>6</v>
      </c>
      <c r="AE4071" s="384">
        <v>19</v>
      </c>
      <c r="AF4071" s="385">
        <v>0.54166666666666663</v>
      </c>
      <c r="AG4071" s="386">
        <v>17.8</v>
      </c>
      <c r="AH4071" s="387">
        <f t="shared" si="78"/>
        <v>18</v>
      </c>
    </row>
    <row r="4072" spans="11:34" ht="14.5" x14ac:dyDescent="0.35">
      <c r="K4072" s="4"/>
      <c r="AC4072" s="384">
        <v>2022</v>
      </c>
      <c r="AD4072" s="384">
        <v>6</v>
      </c>
      <c r="AE4072" s="384">
        <v>19</v>
      </c>
      <c r="AF4072" s="385">
        <v>0.58333333333333337</v>
      </c>
      <c r="AG4072" s="386">
        <v>17.600000000000001</v>
      </c>
      <c r="AH4072" s="387">
        <f t="shared" si="78"/>
        <v>18</v>
      </c>
    </row>
    <row r="4073" spans="11:34" ht="14.5" x14ac:dyDescent="0.35">
      <c r="K4073" s="4"/>
      <c r="AC4073" s="384">
        <v>2022</v>
      </c>
      <c r="AD4073" s="384">
        <v>6</v>
      </c>
      <c r="AE4073" s="384">
        <v>19</v>
      </c>
      <c r="AF4073" s="385">
        <v>0.625</v>
      </c>
      <c r="AG4073" s="386">
        <v>17</v>
      </c>
      <c r="AH4073" s="387">
        <f t="shared" si="78"/>
        <v>17</v>
      </c>
    </row>
    <row r="4074" spans="11:34" ht="14.5" x14ac:dyDescent="0.35">
      <c r="K4074" s="4"/>
      <c r="AC4074" s="384">
        <v>2022</v>
      </c>
      <c r="AD4074" s="384">
        <v>6</v>
      </c>
      <c r="AE4074" s="384">
        <v>19</v>
      </c>
      <c r="AF4074" s="385">
        <v>0.66666666666666663</v>
      </c>
      <c r="AG4074" s="386">
        <v>17.600000000000001</v>
      </c>
      <c r="AH4074" s="387">
        <f t="shared" si="78"/>
        <v>18</v>
      </c>
    </row>
    <row r="4075" spans="11:34" ht="14.5" x14ac:dyDescent="0.35">
      <c r="K4075" s="4"/>
      <c r="AC4075" s="384">
        <v>2022</v>
      </c>
      <c r="AD4075" s="384">
        <v>6</v>
      </c>
      <c r="AE4075" s="384">
        <v>19</v>
      </c>
      <c r="AF4075" s="385">
        <v>0.70833333333333337</v>
      </c>
      <c r="AG4075" s="386">
        <v>17.8</v>
      </c>
      <c r="AH4075" s="387">
        <f t="shared" si="78"/>
        <v>18</v>
      </c>
    </row>
    <row r="4076" spans="11:34" ht="14.5" x14ac:dyDescent="0.35">
      <c r="K4076" s="4"/>
      <c r="AC4076" s="384">
        <v>2022</v>
      </c>
      <c r="AD4076" s="384">
        <v>6</v>
      </c>
      <c r="AE4076" s="384">
        <v>19</v>
      </c>
      <c r="AF4076" s="385">
        <v>0.75</v>
      </c>
      <c r="AG4076" s="386">
        <v>17</v>
      </c>
      <c r="AH4076" s="387">
        <f t="shared" si="78"/>
        <v>17</v>
      </c>
    </row>
    <row r="4077" spans="11:34" ht="14.5" x14ac:dyDescent="0.35">
      <c r="K4077" s="4"/>
      <c r="AC4077" s="384">
        <v>2022</v>
      </c>
      <c r="AD4077" s="384">
        <v>6</v>
      </c>
      <c r="AE4077" s="384">
        <v>19</v>
      </c>
      <c r="AF4077" s="385">
        <v>0.79166666666666663</v>
      </c>
      <c r="AG4077" s="386">
        <v>15.1</v>
      </c>
      <c r="AH4077" s="387">
        <f t="shared" si="78"/>
        <v>15</v>
      </c>
    </row>
    <row r="4078" spans="11:34" ht="14.5" x14ac:dyDescent="0.35">
      <c r="K4078" s="4"/>
      <c r="AC4078" s="384">
        <v>2022</v>
      </c>
      <c r="AD4078" s="384">
        <v>6</v>
      </c>
      <c r="AE4078" s="384">
        <v>19</v>
      </c>
      <c r="AF4078" s="385">
        <v>0.83333333333333337</v>
      </c>
      <c r="AG4078" s="386">
        <v>13</v>
      </c>
      <c r="AH4078" s="387">
        <f t="shared" si="78"/>
        <v>13</v>
      </c>
    </row>
    <row r="4079" spans="11:34" ht="14.5" x14ac:dyDescent="0.35">
      <c r="K4079" s="4"/>
      <c r="AC4079" s="384">
        <v>2022</v>
      </c>
      <c r="AD4079" s="384">
        <v>6</v>
      </c>
      <c r="AE4079" s="384">
        <v>19</v>
      </c>
      <c r="AF4079" s="385">
        <v>0.875</v>
      </c>
      <c r="AG4079" s="386">
        <v>11.9</v>
      </c>
      <c r="AH4079" s="387">
        <f t="shared" si="78"/>
        <v>12</v>
      </c>
    </row>
    <row r="4080" spans="11:34" ht="14.5" x14ac:dyDescent="0.35">
      <c r="K4080" s="4"/>
      <c r="AC4080" s="384">
        <v>2022</v>
      </c>
      <c r="AD4080" s="384">
        <v>6</v>
      </c>
      <c r="AE4080" s="384">
        <v>19</v>
      </c>
      <c r="AF4080" s="385">
        <v>0.91666666666666663</v>
      </c>
      <c r="AG4080" s="386">
        <v>12.5</v>
      </c>
      <c r="AH4080" s="387">
        <f t="shared" si="78"/>
        <v>13</v>
      </c>
    </row>
    <row r="4081" spans="11:34" ht="14.5" x14ac:dyDescent="0.35">
      <c r="K4081" s="4"/>
      <c r="AC4081" s="384">
        <v>2022</v>
      </c>
      <c r="AD4081" s="384">
        <v>6</v>
      </c>
      <c r="AE4081" s="384">
        <v>19</v>
      </c>
      <c r="AF4081" s="385">
        <v>0.95833333333333337</v>
      </c>
      <c r="AG4081" s="386">
        <v>13</v>
      </c>
      <c r="AH4081" s="387">
        <f t="shared" si="78"/>
        <v>13</v>
      </c>
    </row>
    <row r="4082" spans="11:34" ht="14.5" x14ac:dyDescent="0.35">
      <c r="K4082" s="4"/>
      <c r="AC4082" s="384">
        <v>2022</v>
      </c>
      <c r="AD4082" s="384">
        <v>6</v>
      </c>
      <c r="AE4082" s="384">
        <v>20</v>
      </c>
      <c r="AF4082" s="385">
        <v>0</v>
      </c>
      <c r="AG4082" s="386">
        <v>11.2</v>
      </c>
      <c r="AH4082" s="387">
        <f t="shared" si="78"/>
        <v>11</v>
      </c>
    </row>
    <row r="4083" spans="11:34" ht="14.5" x14ac:dyDescent="0.35">
      <c r="K4083" s="4"/>
      <c r="AC4083" s="384">
        <v>2022</v>
      </c>
      <c r="AD4083" s="384">
        <v>6</v>
      </c>
      <c r="AE4083" s="384">
        <v>20</v>
      </c>
      <c r="AF4083" s="385">
        <v>4.1666666666666664E-2</v>
      </c>
      <c r="AG4083" s="386">
        <v>10.9</v>
      </c>
      <c r="AH4083" s="387">
        <f t="shared" si="78"/>
        <v>11</v>
      </c>
    </row>
    <row r="4084" spans="11:34" ht="14.5" x14ac:dyDescent="0.35">
      <c r="K4084" s="4"/>
      <c r="AC4084" s="384">
        <v>2022</v>
      </c>
      <c r="AD4084" s="384">
        <v>6</v>
      </c>
      <c r="AE4084" s="384">
        <v>20</v>
      </c>
      <c r="AF4084" s="385">
        <v>8.3333333333333329E-2</v>
      </c>
      <c r="AG4084" s="386">
        <v>10.199999999999999</v>
      </c>
      <c r="AH4084" s="387">
        <f t="shared" si="78"/>
        <v>10</v>
      </c>
    </row>
    <row r="4085" spans="11:34" ht="14.5" x14ac:dyDescent="0.35">
      <c r="K4085" s="4"/>
      <c r="AC4085" s="384">
        <v>2022</v>
      </c>
      <c r="AD4085" s="384">
        <v>6</v>
      </c>
      <c r="AE4085" s="384">
        <v>20</v>
      </c>
      <c r="AF4085" s="385">
        <v>0.125</v>
      </c>
      <c r="AG4085" s="386">
        <v>9.9</v>
      </c>
      <c r="AH4085" s="387">
        <f t="shared" si="78"/>
        <v>10</v>
      </c>
    </row>
    <row r="4086" spans="11:34" ht="14.5" x14ac:dyDescent="0.35">
      <c r="K4086" s="4"/>
      <c r="AC4086" s="384">
        <v>2022</v>
      </c>
      <c r="AD4086" s="384">
        <v>6</v>
      </c>
      <c r="AE4086" s="384">
        <v>20</v>
      </c>
      <c r="AF4086" s="385">
        <v>0.16666666666666666</v>
      </c>
      <c r="AG4086" s="386">
        <v>9.6999999999999993</v>
      </c>
      <c r="AH4086" s="387">
        <f t="shared" si="78"/>
        <v>10</v>
      </c>
    </row>
    <row r="4087" spans="11:34" ht="14.5" x14ac:dyDescent="0.35">
      <c r="K4087" s="4"/>
      <c r="AC4087" s="384">
        <v>2022</v>
      </c>
      <c r="AD4087" s="384">
        <v>6</v>
      </c>
      <c r="AE4087" s="384">
        <v>20</v>
      </c>
      <c r="AF4087" s="385">
        <v>0.20833333333333334</v>
      </c>
      <c r="AG4087" s="386">
        <v>9.9</v>
      </c>
      <c r="AH4087" s="387">
        <f t="shared" si="78"/>
        <v>10</v>
      </c>
    </row>
    <row r="4088" spans="11:34" ht="14.5" x14ac:dyDescent="0.35">
      <c r="K4088" s="4"/>
      <c r="AC4088" s="384">
        <v>2022</v>
      </c>
      <c r="AD4088" s="384">
        <v>6</v>
      </c>
      <c r="AE4088" s="384">
        <v>20</v>
      </c>
      <c r="AF4088" s="385">
        <v>0.25</v>
      </c>
      <c r="AG4088" s="386">
        <v>11.9</v>
      </c>
      <c r="AH4088" s="387">
        <f t="shared" si="78"/>
        <v>12</v>
      </c>
    </row>
    <row r="4089" spans="11:34" ht="14.5" x14ac:dyDescent="0.35">
      <c r="K4089" s="4"/>
      <c r="AC4089" s="384">
        <v>2022</v>
      </c>
      <c r="AD4089" s="384">
        <v>6</v>
      </c>
      <c r="AE4089" s="384">
        <v>20</v>
      </c>
      <c r="AF4089" s="385">
        <v>0.29166666666666669</v>
      </c>
      <c r="AG4089" s="386">
        <v>13.2</v>
      </c>
      <c r="AH4089" s="387">
        <f t="shared" si="78"/>
        <v>13</v>
      </c>
    </row>
    <row r="4090" spans="11:34" ht="14.5" x14ac:dyDescent="0.35">
      <c r="K4090" s="4"/>
      <c r="AC4090" s="384">
        <v>2022</v>
      </c>
      <c r="AD4090" s="384">
        <v>6</v>
      </c>
      <c r="AE4090" s="384">
        <v>20</v>
      </c>
      <c r="AF4090" s="385">
        <v>0.33333333333333331</v>
      </c>
      <c r="AG4090" s="386">
        <v>13.2</v>
      </c>
      <c r="AH4090" s="387">
        <f t="shared" si="78"/>
        <v>13</v>
      </c>
    </row>
    <row r="4091" spans="11:34" ht="14.5" x14ac:dyDescent="0.35">
      <c r="K4091" s="4"/>
      <c r="AC4091" s="384">
        <v>2022</v>
      </c>
      <c r="AD4091" s="384">
        <v>6</v>
      </c>
      <c r="AE4091" s="384">
        <v>20</v>
      </c>
      <c r="AF4091" s="385">
        <v>0.375</v>
      </c>
      <c r="AG4091" s="386">
        <v>14</v>
      </c>
      <c r="AH4091" s="387">
        <f t="shared" si="78"/>
        <v>14</v>
      </c>
    </row>
    <row r="4092" spans="11:34" ht="14.5" x14ac:dyDescent="0.35">
      <c r="K4092" s="4"/>
      <c r="AC4092" s="384">
        <v>2022</v>
      </c>
      <c r="AD4092" s="384">
        <v>6</v>
      </c>
      <c r="AE4092" s="384">
        <v>20</v>
      </c>
      <c r="AF4092" s="385">
        <v>0.41666666666666669</v>
      </c>
      <c r="AG4092" s="386">
        <v>14.9</v>
      </c>
      <c r="AH4092" s="387">
        <f t="shared" si="78"/>
        <v>15</v>
      </c>
    </row>
    <row r="4093" spans="11:34" ht="14.5" x14ac:dyDescent="0.35">
      <c r="K4093" s="4"/>
      <c r="AC4093" s="384">
        <v>2022</v>
      </c>
      <c r="AD4093" s="384">
        <v>6</v>
      </c>
      <c r="AE4093" s="384">
        <v>20</v>
      </c>
      <c r="AF4093" s="385">
        <v>0.45833333333333331</v>
      </c>
      <c r="AG4093" s="386">
        <v>15.2</v>
      </c>
      <c r="AH4093" s="387">
        <f t="shared" si="78"/>
        <v>15</v>
      </c>
    </row>
    <row r="4094" spans="11:34" ht="14.5" x14ac:dyDescent="0.35">
      <c r="K4094" s="4"/>
      <c r="AC4094" s="384">
        <v>2022</v>
      </c>
      <c r="AD4094" s="384">
        <v>6</v>
      </c>
      <c r="AE4094" s="384">
        <v>20</v>
      </c>
      <c r="AF4094" s="385">
        <v>0.5</v>
      </c>
      <c r="AG4094" s="386">
        <v>16.2</v>
      </c>
      <c r="AH4094" s="387">
        <f t="shared" si="78"/>
        <v>16</v>
      </c>
    </row>
    <row r="4095" spans="11:34" ht="14.5" x14ac:dyDescent="0.35">
      <c r="K4095" s="4"/>
      <c r="AC4095" s="384">
        <v>2022</v>
      </c>
      <c r="AD4095" s="384">
        <v>6</v>
      </c>
      <c r="AE4095" s="384">
        <v>20</v>
      </c>
      <c r="AF4095" s="385">
        <v>0.54166666666666663</v>
      </c>
      <c r="AG4095" s="386">
        <v>13.8</v>
      </c>
      <c r="AH4095" s="387">
        <f t="shared" si="78"/>
        <v>14</v>
      </c>
    </row>
    <row r="4096" spans="11:34" ht="14.5" x14ac:dyDescent="0.35">
      <c r="K4096" s="4"/>
      <c r="AC4096" s="384">
        <v>2022</v>
      </c>
      <c r="AD4096" s="384">
        <v>6</v>
      </c>
      <c r="AE4096" s="384">
        <v>20</v>
      </c>
      <c r="AF4096" s="385">
        <v>0.58333333333333337</v>
      </c>
      <c r="AG4096" s="386">
        <v>16.399999999999999</v>
      </c>
      <c r="AH4096" s="387">
        <f t="shared" si="78"/>
        <v>16</v>
      </c>
    </row>
    <row r="4097" spans="11:34" ht="14.5" x14ac:dyDescent="0.35">
      <c r="K4097" s="4"/>
      <c r="AC4097" s="384">
        <v>2022</v>
      </c>
      <c r="AD4097" s="384">
        <v>6</v>
      </c>
      <c r="AE4097" s="384">
        <v>20</v>
      </c>
      <c r="AF4097" s="385">
        <v>0.625</v>
      </c>
      <c r="AG4097" s="386">
        <v>16.5</v>
      </c>
      <c r="AH4097" s="387">
        <f t="shared" si="78"/>
        <v>17</v>
      </c>
    </row>
    <row r="4098" spans="11:34" ht="14.5" x14ac:dyDescent="0.35">
      <c r="K4098" s="4"/>
      <c r="AC4098" s="384">
        <v>2022</v>
      </c>
      <c r="AD4098" s="384">
        <v>6</v>
      </c>
      <c r="AE4098" s="384">
        <v>20</v>
      </c>
      <c r="AF4098" s="385">
        <v>0.66666666666666663</v>
      </c>
      <c r="AG4098" s="386">
        <v>16.5</v>
      </c>
      <c r="AH4098" s="387">
        <f t="shared" si="78"/>
        <v>17</v>
      </c>
    </row>
    <row r="4099" spans="11:34" ht="14.5" x14ac:dyDescent="0.35">
      <c r="K4099" s="4"/>
      <c r="AC4099" s="384">
        <v>2022</v>
      </c>
      <c r="AD4099" s="384">
        <v>6</v>
      </c>
      <c r="AE4099" s="384">
        <v>20</v>
      </c>
      <c r="AF4099" s="385">
        <v>0.70833333333333337</v>
      </c>
      <c r="AG4099" s="386">
        <v>18.399999999999999</v>
      </c>
      <c r="AH4099" s="387">
        <f t="shared" si="78"/>
        <v>18</v>
      </c>
    </row>
    <row r="4100" spans="11:34" ht="14.5" x14ac:dyDescent="0.35">
      <c r="K4100" s="4"/>
      <c r="AC4100" s="384">
        <v>2022</v>
      </c>
      <c r="AD4100" s="384">
        <v>6</v>
      </c>
      <c r="AE4100" s="384">
        <v>20</v>
      </c>
      <c r="AF4100" s="385">
        <v>0.75</v>
      </c>
      <c r="AG4100" s="386">
        <v>16.899999999999999</v>
      </c>
      <c r="AH4100" s="387">
        <f t="shared" si="78"/>
        <v>17</v>
      </c>
    </row>
    <row r="4101" spans="11:34" ht="14.5" x14ac:dyDescent="0.35">
      <c r="K4101" s="4"/>
      <c r="AC4101" s="384">
        <v>2022</v>
      </c>
      <c r="AD4101" s="384">
        <v>6</v>
      </c>
      <c r="AE4101" s="384">
        <v>20</v>
      </c>
      <c r="AF4101" s="385">
        <v>0.79166666666666663</v>
      </c>
      <c r="AG4101" s="386">
        <v>15.9</v>
      </c>
      <c r="AH4101" s="387">
        <f t="shared" si="78"/>
        <v>16</v>
      </c>
    </row>
    <row r="4102" spans="11:34" ht="14.5" x14ac:dyDescent="0.35">
      <c r="K4102" s="4"/>
      <c r="AC4102" s="384">
        <v>2022</v>
      </c>
      <c r="AD4102" s="384">
        <v>6</v>
      </c>
      <c r="AE4102" s="384">
        <v>20</v>
      </c>
      <c r="AF4102" s="385">
        <v>0.83333333333333337</v>
      </c>
      <c r="AG4102" s="386">
        <v>13.9</v>
      </c>
      <c r="AH4102" s="387">
        <f t="shared" si="78"/>
        <v>14</v>
      </c>
    </row>
    <row r="4103" spans="11:34" ht="14.5" x14ac:dyDescent="0.35">
      <c r="K4103" s="4"/>
      <c r="AC4103" s="384">
        <v>2022</v>
      </c>
      <c r="AD4103" s="384">
        <v>6</v>
      </c>
      <c r="AE4103" s="384">
        <v>20</v>
      </c>
      <c r="AF4103" s="385">
        <v>0.875</v>
      </c>
      <c r="AG4103" s="386">
        <v>12.4</v>
      </c>
      <c r="AH4103" s="387">
        <f t="shared" si="78"/>
        <v>12</v>
      </c>
    </row>
    <row r="4104" spans="11:34" ht="14.5" x14ac:dyDescent="0.35">
      <c r="K4104" s="4"/>
      <c r="AC4104" s="384">
        <v>2022</v>
      </c>
      <c r="AD4104" s="384">
        <v>6</v>
      </c>
      <c r="AE4104" s="384">
        <v>20</v>
      </c>
      <c r="AF4104" s="385">
        <v>0.91666666666666663</v>
      </c>
      <c r="AG4104" s="386">
        <v>11.7</v>
      </c>
      <c r="AH4104" s="387">
        <f t="shared" si="78"/>
        <v>12</v>
      </c>
    </row>
    <row r="4105" spans="11:34" ht="14.5" x14ac:dyDescent="0.35">
      <c r="K4105" s="4"/>
      <c r="AC4105" s="384">
        <v>2022</v>
      </c>
      <c r="AD4105" s="384">
        <v>6</v>
      </c>
      <c r="AE4105" s="384">
        <v>20</v>
      </c>
      <c r="AF4105" s="385">
        <v>0.95833333333333337</v>
      </c>
      <c r="AG4105" s="386">
        <v>10.5</v>
      </c>
      <c r="AH4105" s="387">
        <f t="shared" si="78"/>
        <v>11</v>
      </c>
    </row>
    <row r="4106" spans="11:34" ht="14.5" x14ac:dyDescent="0.35">
      <c r="K4106" s="4"/>
      <c r="AC4106" s="384">
        <v>2022</v>
      </c>
      <c r="AD4106" s="384">
        <v>6</v>
      </c>
      <c r="AE4106" s="384">
        <v>21</v>
      </c>
      <c r="AF4106" s="385">
        <v>0</v>
      </c>
      <c r="AG4106" s="386">
        <v>9.8000000000000007</v>
      </c>
      <c r="AH4106" s="387">
        <f t="shared" si="78"/>
        <v>10</v>
      </c>
    </row>
    <row r="4107" spans="11:34" ht="14.5" x14ac:dyDescent="0.35">
      <c r="K4107" s="4"/>
      <c r="AC4107" s="384">
        <v>2022</v>
      </c>
      <c r="AD4107" s="384">
        <v>6</v>
      </c>
      <c r="AE4107" s="384">
        <v>21</v>
      </c>
      <c r="AF4107" s="385">
        <v>4.1666666666666664E-2</v>
      </c>
      <c r="AG4107" s="386">
        <v>8.6999999999999993</v>
      </c>
      <c r="AH4107" s="387">
        <f t="shared" ref="AH4107:AH4170" si="79">ROUND(AG4107,0)</f>
        <v>9</v>
      </c>
    </row>
    <row r="4108" spans="11:34" ht="14.5" x14ac:dyDescent="0.35">
      <c r="K4108" s="4"/>
      <c r="AC4108" s="384">
        <v>2022</v>
      </c>
      <c r="AD4108" s="384">
        <v>6</v>
      </c>
      <c r="AE4108" s="384">
        <v>21</v>
      </c>
      <c r="AF4108" s="385">
        <v>8.3333333333333329E-2</v>
      </c>
      <c r="AG4108" s="386">
        <v>7.9</v>
      </c>
      <c r="AH4108" s="387">
        <f t="shared" si="79"/>
        <v>8</v>
      </c>
    </row>
    <row r="4109" spans="11:34" ht="14.5" x14ac:dyDescent="0.35">
      <c r="K4109" s="4"/>
      <c r="AC4109" s="384">
        <v>2022</v>
      </c>
      <c r="AD4109" s="384">
        <v>6</v>
      </c>
      <c r="AE4109" s="384">
        <v>21</v>
      </c>
      <c r="AF4109" s="385">
        <v>0.125</v>
      </c>
      <c r="AG4109" s="386">
        <v>8.3000000000000007</v>
      </c>
      <c r="AH4109" s="387">
        <f t="shared" si="79"/>
        <v>8</v>
      </c>
    </row>
    <row r="4110" spans="11:34" ht="14.5" x14ac:dyDescent="0.35">
      <c r="K4110" s="4"/>
      <c r="AC4110" s="384">
        <v>2022</v>
      </c>
      <c r="AD4110" s="384">
        <v>6</v>
      </c>
      <c r="AE4110" s="384">
        <v>21</v>
      </c>
      <c r="AF4110" s="385">
        <v>0.16666666666666666</v>
      </c>
      <c r="AG4110" s="386">
        <v>8.1</v>
      </c>
      <c r="AH4110" s="387">
        <f t="shared" si="79"/>
        <v>8</v>
      </c>
    </row>
    <row r="4111" spans="11:34" ht="14.5" x14ac:dyDescent="0.35">
      <c r="K4111" s="4"/>
      <c r="AC4111" s="384">
        <v>2022</v>
      </c>
      <c r="AD4111" s="384">
        <v>6</v>
      </c>
      <c r="AE4111" s="384">
        <v>21</v>
      </c>
      <c r="AF4111" s="385">
        <v>0.20833333333333334</v>
      </c>
      <c r="AG4111" s="386">
        <v>7.5</v>
      </c>
      <c r="AH4111" s="387">
        <f t="shared" si="79"/>
        <v>8</v>
      </c>
    </row>
    <row r="4112" spans="11:34" ht="14.5" x14ac:dyDescent="0.35">
      <c r="K4112" s="4"/>
      <c r="AC4112" s="384">
        <v>2022</v>
      </c>
      <c r="AD4112" s="384">
        <v>6</v>
      </c>
      <c r="AE4112" s="384">
        <v>21</v>
      </c>
      <c r="AF4112" s="385">
        <v>0.25</v>
      </c>
      <c r="AG4112" s="386">
        <v>9.9</v>
      </c>
      <c r="AH4112" s="387">
        <f t="shared" si="79"/>
        <v>10</v>
      </c>
    </row>
    <row r="4113" spans="11:34" ht="14.5" x14ac:dyDescent="0.35">
      <c r="K4113" s="4"/>
      <c r="AC4113" s="384">
        <v>2022</v>
      </c>
      <c r="AD4113" s="384">
        <v>6</v>
      </c>
      <c r="AE4113" s="384">
        <v>21</v>
      </c>
      <c r="AF4113" s="385">
        <v>0.29166666666666669</v>
      </c>
      <c r="AG4113" s="386">
        <v>12.9</v>
      </c>
      <c r="AH4113" s="387">
        <f t="shared" si="79"/>
        <v>13</v>
      </c>
    </row>
    <row r="4114" spans="11:34" ht="14.5" x14ac:dyDescent="0.35">
      <c r="K4114" s="4"/>
      <c r="AC4114" s="384">
        <v>2022</v>
      </c>
      <c r="AD4114" s="384">
        <v>6</v>
      </c>
      <c r="AE4114" s="384">
        <v>21</v>
      </c>
      <c r="AF4114" s="385">
        <v>0.33333333333333331</v>
      </c>
      <c r="AG4114" s="386">
        <v>14.4</v>
      </c>
      <c r="AH4114" s="387">
        <f t="shared" si="79"/>
        <v>14</v>
      </c>
    </row>
    <row r="4115" spans="11:34" ht="14.5" x14ac:dyDescent="0.35">
      <c r="K4115" s="4"/>
      <c r="AC4115" s="384">
        <v>2022</v>
      </c>
      <c r="AD4115" s="384">
        <v>6</v>
      </c>
      <c r="AE4115" s="384">
        <v>21</v>
      </c>
      <c r="AF4115" s="385">
        <v>0.375</v>
      </c>
      <c r="AG4115" s="386">
        <v>17.5</v>
      </c>
      <c r="AH4115" s="387">
        <f t="shared" si="79"/>
        <v>18</v>
      </c>
    </row>
    <row r="4116" spans="11:34" ht="14.5" x14ac:dyDescent="0.35">
      <c r="K4116" s="4"/>
      <c r="AC4116" s="384">
        <v>2022</v>
      </c>
      <c r="AD4116" s="384">
        <v>6</v>
      </c>
      <c r="AE4116" s="384">
        <v>21</v>
      </c>
      <c r="AF4116" s="385">
        <v>0.41666666666666669</v>
      </c>
      <c r="AG4116" s="386">
        <v>19.2</v>
      </c>
      <c r="AH4116" s="387">
        <f t="shared" si="79"/>
        <v>19</v>
      </c>
    </row>
    <row r="4117" spans="11:34" ht="14.5" x14ac:dyDescent="0.35">
      <c r="K4117" s="4"/>
      <c r="AC4117" s="384">
        <v>2022</v>
      </c>
      <c r="AD4117" s="384">
        <v>6</v>
      </c>
      <c r="AE4117" s="384">
        <v>21</v>
      </c>
      <c r="AF4117" s="385">
        <v>0.45833333333333331</v>
      </c>
      <c r="AG4117" s="386">
        <v>20.2</v>
      </c>
      <c r="AH4117" s="387">
        <f t="shared" si="79"/>
        <v>20</v>
      </c>
    </row>
    <row r="4118" spans="11:34" ht="14.5" x14ac:dyDescent="0.35">
      <c r="K4118" s="4"/>
      <c r="AC4118" s="384">
        <v>2022</v>
      </c>
      <c r="AD4118" s="384">
        <v>6</v>
      </c>
      <c r="AE4118" s="384">
        <v>21</v>
      </c>
      <c r="AF4118" s="385">
        <v>0.5</v>
      </c>
      <c r="AG4118" s="386">
        <v>20.8</v>
      </c>
      <c r="AH4118" s="387">
        <f t="shared" si="79"/>
        <v>21</v>
      </c>
    </row>
    <row r="4119" spans="11:34" ht="14.5" x14ac:dyDescent="0.35">
      <c r="K4119" s="4"/>
      <c r="AC4119" s="384">
        <v>2022</v>
      </c>
      <c r="AD4119" s="384">
        <v>6</v>
      </c>
      <c r="AE4119" s="384">
        <v>21</v>
      </c>
      <c r="AF4119" s="385">
        <v>0.54166666666666663</v>
      </c>
      <c r="AG4119" s="386">
        <v>22</v>
      </c>
      <c r="AH4119" s="387">
        <f t="shared" si="79"/>
        <v>22</v>
      </c>
    </row>
    <row r="4120" spans="11:34" ht="14.5" x14ac:dyDescent="0.35">
      <c r="K4120" s="4"/>
      <c r="AC4120" s="384">
        <v>2022</v>
      </c>
      <c r="AD4120" s="384">
        <v>6</v>
      </c>
      <c r="AE4120" s="384">
        <v>21</v>
      </c>
      <c r="AF4120" s="385">
        <v>0.58333333333333337</v>
      </c>
      <c r="AG4120" s="386">
        <v>21.6</v>
      </c>
      <c r="AH4120" s="387">
        <f t="shared" si="79"/>
        <v>22</v>
      </c>
    </row>
    <row r="4121" spans="11:34" ht="14.5" x14ac:dyDescent="0.35">
      <c r="K4121" s="4"/>
      <c r="AC4121" s="384">
        <v>2022</v>
      </c>
      <c r="AD4121" s="384">
        <v>6</v>
      </c>
      <c r="AE4121" s="384">
        <v>21</v>
      </c>
      <c r="AF4121" s="385">
        <v>0.625</v>
      </c>
      <c r="AG4121" s="386">
        <v>22.3</v>
      </c>
      <c r="AH4121" s="387">
        <f t="shared" si="79"/>
        <v>22</v>
      </c>
    </row>
    <row r="4122" spans="11:34" ht="14.5" x14ac:dyDescent="0.35">
      <c r="K4122" s="4"/>
      <c r="AC4122" s="384">
        <v>2022</v>
      </c>
      <c r="AD4122" s="384">
        <v>6</v>
      </c>
      <c r="AE4122" s="384">
        <v>21</v>
      </c>
      <c r="AF4122" s="385">
        <v>0.66666666666666663</v>
      </c>
      <c r="AG4122" s="386">
        <v>21.5</v>
      </c>
      <c r="AH4122" s="387">
        <f t="shared" si="79"/>
        <v>22</v>
      </c>
    </row>
    <row r="4123" spans="11:34" ht="14.5" x14ac:dyDescent="0.35">
      <c r="K4123" s="4"/>
      <c r="AC4123" s="384">
        <v>2022</v>
      </c>
      <c r="AD4123" s="384">
        <v>6</v>
      </c>
      <c r="AE4123" s="384">
        <v>21</v>
      </c>
      <c r="AF4123" s="385">
        <v>0.70833333333333337</v>
      </c>
      <c r="AG4123" s="386">
        <v>22.3</v>
      </c>
      <c r="AH4123" s="387">
        <f t="shared" si="79"/>
        <v>22</v>
      </c>
    </row>
    <row r="4124" spans="11:34" ht="14.5" x14ac:dyDescent="0.35">
      <c r="K4124" s="4"/>
      <c r="AC4124" s="384">
        <v>2022</v>
      </c>
      <c r="AD4124" s="384">
        <v>6</v>
      </c>
      <c r="AE4124" s="384">
        <v>21</v>
      </c>
      <c r="AF4124" s="385">
        <v>0.75</v>
      </c>
      <c r="AG4124" s="386">
        <v>21.5</v>
      </c>
      <c r="AH4124" s="387">
        <f t="shared" si="79"/>
        <v>22</v>
      </c>
    </row>
    <row r="4125" spans="11:34" ht="14.5" x14ac:dyDescent="0.35">
      <c r="K4125" s="4"/>
      <c r="AC4125" s="384">
        <v>2022</v>
      </c>
      <c r="AD4125" s="384">
        <v>6</v>
      </c>
      <c r="AE4125" s="384">
        <v>21</v>
      </c>
      <c r="AF4125" s="385">
        <v>0.79166666666666663</v>
      </c>
      <c r="AG4125" s="386">
        <v>20.8</v>
      </c>
      <c r="AH4125" s="387">
        <f t="shared" si="79"/>
        <v>21</v>
      </c>
    </row>
    <row r="4126" spans="11:34" ht="14.5" x14ac:dyDescent="0.35">
      <c r="K4126" s="4"/>
      <c r="AC4126" s="384">
        <v>2022</v>
      </c>
      <c r="AD4126" s="384">
        <v>6</v>
      </c>
      <c r="AE4126" s="384">
        <v>21</v>
      </c>
      <c r="AF4126" s="385">
        <v>0.83333333333333337</v>
      </c>
      <c r="AG4126" s="386">
        <v>18.899999999999999</v>
      </c>
      <c r="AH4126" s="387">
        <f t="shared" si="79"/>
        <v>19</v>
      </c>
    </row>
    <row r="4127" spans="11:34" ht="14.5" x14ac:dyDescent="0.35">
      <c r="K4127" s="4"/>
      <c r="AC4127" s="384">
        <v>2022</v>
      </c>
      <c r="AD4127" s="384">
        <v>6</v>
      </c>
      <c r="AE4127" s="384">
        <v>21</v>
      </c>
      <c r="AF4127" s="385">
        <v>0.875</v>
      </c>
      <c r="AG4127" s="386">
        <v>17.100000000000001</v>
      </c>
      <c r="AH4127" s="387">
        <f t="shared" si="79"/>
        <v>17</v>
      </c>
    </row>
    <row r="4128" spans="11:34" ht="14.5" x14ac:dyDescent="0.35">
      <c r="K4128" s="4"/>
      <c r="AC4128" s="384">
        <v>2022</v>
      </c>
      <c r="AD4128" s="384">
        <v>6</v>
      </c>
      <c r="AE4128" s="384">
        <v>21</v>
      </c>
      <c r="AF4128" s="385">
        <v>0.91666666666666663</v>
      </c>
      <c r="AG4128" s="386">
        <v>17.5</v>
      </c>
      <c r="AH4128" s="387">
        <f t="shared" si="79"/>
        <v>18</v>
      </c>
    </row>
    <row r="4129" spans="11:34" ht="14.5" x14ac:dyDescent="0.35">
      <c r="K4129" s="4"/>
      <c r="AC4129" s="384">
        <v>2022</v>
      </c>
      <c r="AD4129" s="384">
        <v>6</v>
      </c>
      <c r="AE4129" s="384">
        <v>21</v>
      </c>
      <c r="AF4129" s="385">
        <v>0.95833333333333337</v>
      </c>
      <c r="AG4129" s="386">
        <v>16.600000000000001</v>
      </c>
      <c r="AH4129" s="387">
        <f t="shared" si="79"/>
        <v>17</v>
      </c>
    </row>
    <row r="4130" spans="11:34" ht="14.5" x14ac:dyDescent="0.35">
      <c r="K4130" s="4"/>
      <c r="AC4130" s="384">
        <v>2022</v>
      </c>
      <c r="AD4130" s="384">
        <v>6</v>
      </c>
      <c r="AE4130" s="384">
        <v>22</v>
      </c>
      <c r="AF4130" s="385">
        <v>0</v>
      </c>
      <c r="AG4130" s="386">
        <v>15.8</v>
      </c>
      <c r="AH4130" s="387">
        <f t="shared" si="79"/>
        <v>16</v>
      </c>
    </row>
    <row r="4131" spans="11:34" ht="14.5" x14ac:dyDescent="0.35">
      <c r="K4131" s="4"/>
      <c r="AC4131" s="384">
        <v>2022</v>
      </c>
      <c r="AD4131" s="384">
        <v>6</v>
      </c>
      <c r="AE4131" s="384">
        <v>22</v>
      </c>
      <c r="AF4131" s="385">
        <v>4.1666666666666664E-2</v>
      </c>
      <c r="AG4131" s="386">
        <v>15.5</v>
      </c>
      <c r="AH4131" s="387">
        <f t="shared" si="79"/>
        <v>16</v>
      </c>
    </row>
    <row r="4132" spans="11:34" ht="14.5" x14ac:dyDescent="0.35">
      <c r="K4132" s="4"/>
      <c r="AC4132" s="384">
        <v>2022</v>
      </c>
      <c r="AD4132" s="384">
        <v>6</v>
      </c>
      <c r="AE4132" s="384">
        <v>22</v>
      </c>
      <c r="AF4132" s="385">
        <v>8.3333333333333329E-2</v>
      </c>
      <c r="AG4132" s="386">
        <v>15.7</v>
      </c>
      <c r="AH4132" s="387">
        <f t="shared" si="79"/>
        <v>16</v>
      </c>
    </row>
    <row r="4133" spans="11:34" ht="14.5" x14ac:dyDescent="0.35">
      <c r="K4133" s="4"/>
      <c r="AC4133" s="384">
        <v>2022</v>
      </c>
      <c r="AD4133" s="384">
        <v>6</v>
      </c>
      <c r="AE4133" s="384">
        <v>22</v>
      </c>
      <c r="AF4133" s="385">
        <v>0.125</v>
      </c>
      <c r="AG4133" s="386">
        <v>17</v>
      </c>
      <c r="AH4133" s="387">
        <f t="shared" si="79"/>
        <v>17</v>
      </c>
    </row>
    <row r="4134" spans="11:34" ht="14.5" x14ac:dyDescent="0.35">
      <c r="K4134" s="4"/>
      <c r="AC4134" s="384">
        <v>2022</v>
      </c>
      <c r="AD4134" s="384">
        <v>6</v>
      </c>
      <c r="AE4134" s="384">
        <v>22</v>
      </c>
      <c r="AF4134" s="385">
        <v>0.16666666666666666</v>
      </c>
      <c r="AG4134" s="386">
        <v>14.8</v>
      </c>
      <c r="AH4134" s="387">
        <f t="shared" si="79"/>
        <v>15</v>
      </c>
    </row>
    <row r="4135" spans="11:34" ht="14.5" x14ac:dyDescent="0.35">
      <c r="K4135" s="4"/>
      <c r="AC4135" s="384">
        <v>2022</v>
      </c>
      <c r="AD4135" s="384">
        <v>6</v>
      </c>
      <c r="AE4135" s="384">
        <v>22</v>
      </c>
      <c r="AF4135" s="385">
        <v>0.20833333333333334</v>
      </c>
      <c r="AG4135" s="386">
        <v>14.8</v>
      </c>
      <c r="AH4135" s="387">
        <f t="shared" si="79"/>
        <v>15</v>
      </c>
    </row>
    <row r="4136" spans="11:34" ht="14.5" x14ac:dyDescent="0.35">
      <c r="K4136" s="4"/>
      <c r="AC4136" s="384">
        <v>2022</v>
      </c>
      <c r="AD4136" s="384">
        <v>6</v>
      </c>
      <c r="AE4136" s="384">
        <v>22</v>
      </c>
      <c r="AF4136" s="385">
        <v>0.25</v>
      </c>
      <c r="AG4136" s="386">
        <v>16.100000000000001</v>
      </c>
      <c r="AH4136" s="387">
        <f t="shared" si="79"/>
        <v>16</v>
      </c>
    </row>
    <row r="4137" spans="11:34" ht="14.5" x14ac:dyDescent="0.35">
      <c r="K4137" s="4"/>
      <c r="AC4137" s="384">
        <v>2022</v>
      </c>
      <c r="AD4137" s="384">
        <v>6</v>
      </c>
      <c r="AE4137" s="384">
        <v>22</v>
      </c>
      <c r="AF4137" s="385">
        <v>0.29166666666666669</v>
      </c>
      <c r="AG4137" s="386">
        <v>17.8</v>
      </c>
      <c r="AH4137" s="387">
        <f t="shared" si="79"/>
        <v>18</v>
      </c>
    </row>
    <row r="4138" spans="11:34" ht="14.5" x14ac:dyDescent="0.35">
      <c r="K4138" s="4"/>
      <c r="AC4138" s="384">
        <v>2022</v>
      </c>
      <c r="AD4138" s="384">
        <v>6</v>
      </c>
      <c r="AE4138" s="384">
        <v>22</v>
      </c>
      <c r="AF4138" s="385">
        <v>0.33333333333333331</v>
      </c>
      <c r="AG4138" s="386">
        <v>19.600000000000001</v>
      </c>
      <c r="AH4138" s="387">
        <f t="shared" si="79"/>
        <v>20</v>
      </c>
    </row>
    <row r="4139" spans="11:34" ht="14.5" x14ac:dyDescent="0.35">
      <c r="K4139" s="4"/>
      <c r="AC4139" s="384">
        <v>2022</v>
      </c>
      <c r="AD4139" s="384">
        <v>6</v>
      </c>
      <c r="AE4139" s="384">
        <v>22</v>
      </c>
      <c r="AF4139" s="385">
        <v>0.375</v>
      </c>
      <c r="AG4139" s="386">
        <v>20.2</v>
      </c>
      <c r="AH4139" s="387">
        <f t="shared" si="79"/>
        <v>20</v>
      </c>
    </row>
    <row r="4140" spans="11:34" ht="14.5" x14ac:dyDescent="0.35">
      <c r="K4140" s="4"/>
      <c r="AC4140" s="384">
        <v>2022</v>
      </c>
      <c r="AD4140" s="384">
        <v>6</v>
      </c>
      <c r="AE4140" s="384">
        <v>22</v>
      </c>
      <c r="AF4140" s="385">
        <v>0.41666666666666669</v>
      </c>
      <c r="AG4140" s="386">
        <v>21</v>
      </c>
      <c r="AH4140" s="387">
        <f t="shared" si="79"/>
        <v>21</v>
      </c>
    </row>
    <row r="4141" spans="11:34" ht="14.5" x14ac:dyDescent="0.35">
      <c r="K4141" s="4"/>
      <c r="AC4141" s="384">
        <v>2022</v>
      </c>
      <c r="AD4141" s="384">
        <v>6</v>
      </c>
      <c r="AE4141" s="384">
        <v>22</v>
      </c>
      <c r="AF4141" s="385">
        <v>0.45833333333333331</v>
      </c>
      <c r="AG4141" s="386">
        <v>22.4</v>
      </c>
      <c r="AH4141" s="387">
        <f t="shared" si="79"/>
        <v>22</v>
      </c>
    </row>
    <row r="4142" spans="11:34" ht="14.5" x14ac:dyDescent="0.35">
      <c r="K4142" s="4"/>
      <c r="AC4142" s="384">
        <v>2022</v>
      </c>
      <c r="AD4142" s="384">
        <v>6</v>
      </c>
      <c r="AE4142" s="384">
        <v>22</v>
      </c>
      <c r="AF4142" s="385">
        <v>0.5</v>
      </c>
      <c r="AG4142" s="386">
        <v>23.7</v>
      </c>
      <c r="AH4142" s="387">
        <f t="shared" si="79"/>
        <v>24</v>
      </c>
    </row>
    <row r="4143" spans="11:34" ht="14.5" x14ac:dyDescent="0.35">
      <c r="K4143" s="4"/>
      <c r="AC4143" s="384">
        <v>2022</v>
      </c>
      <c r="AD4143" s="384">
        <v>6</v>
      </c>
      <c r="AE4143" s="384">
        <v>22</v>
      </c>
      <c r="AF4143" s="385">
        <v>0.54166666666666663</v>
      </c>
      <c r="AG4143" s="386">
        <v>23.6</v>
      </c>
      <c r="AH4143" s="387">
        <f t="shared" si="79"/>
        <v>24</v>
      </c>
    </row>
    <row r="4144" spans="11:34" ht="14.5" x14ac:dyDescent="0.35">
      <c r="K4144" s="4"/>
      <c r="AC4144" s="384">
        <v>2022</v>
      </c>
      <c r="AD4144" s="384">
        <v>6</v>
      </c>
      <c r="AE4144" s="384">
        <v>22</v>
      </c>
      <c r="AF4144" s="385">
        <v>0.58333333333333337</v>
      </c>
      <c r="AG4144" s="386">
        <v>23.8</v>
      </c>
      <c r="AH4144" s="387">
        <f t="shared" si="79"/>
        <v>24</v>
      </c>
    </row>
    <row r="4145" spans="11:34" ht="14.5" x14ac:dyDescent="0.35">
      <c r="K4145" s="4"/>
      <c r="AC4145" s="384">
        <v>2022</v>
      </c>
      <c r="AD4145" s="384">
        <v>6</v>
      </c>
      <c r="AE4145" s="384">
        <v>22</v>
      </c>
      <c r="AF4145" s="385">
        <v>0.625</v>
      </c>
      <c r="AG4145" s="386">
        <v>23.2</v>
      </c>
      <c r="AH4145" s="387">
        <f t="shared" si="79"/>
        <v>23</v>
      </c>
    </row>
    <row r="4146" spans="11:34" ht="14.5" x14ac:dyDescent="0.35">
      <c r="K4146" s="4"/>
      <c r="AC4146" s="384">
        <v>2022</v>
      </c>
      <c r="AD4146" s="384">
        <v>6</v>
      </c>
      <c r="AE4146" s="384">
        <v>22</v>
      </c>
      <c r="AF4146" s="385">
        <v>0.66666666666666663</v>
      </c>
      <c r="AG4146" s="386">
        <v>23.8</v>
      </c>
      <c r="AH4146" s="387">
        <f t="shared" si="79"/>
        <v>24</v>
      </c>
    </row>
    <row r="4147" spans="11:34" ht="14.5" x14ac:dyDescent="0.35">
      <c r="K4147" s="4"/>
      <c r="AC4147" s="384">
        <v>2022</v>
      </c>
      <c r="AD4147" s="384">
        <v>6</v>
      </c>
      <c r="AE4147" s="384">
        <v>22</v>
      </c>
      <c r="AF4147" s="385">
        <v>0.70833333333333337</v>
      </c>
      <c r="AG4147" s="386">
        <v>18.100000000000001</v>
      </c>
      <c r="AH4147" s="387">
        <f t="shared" si="79"/>
        <v>18</v>
      </c>
    </row>
    <row r="4148" spans="11:34" ht="14.5" x14ac:dyDescent="0.35">
      <c r="K4148" s="4"/>
      <c r="AC4148" s="384">
        <v>2022</v>
      </c>
      <c r="AD4148" s="384">
        <v>6</v>
      </c>
      <c r="AE4148" s="384">
        <v>22</v>
      </c>
      <c r="AF4148" s="385">
        <v>0.75</v>
      </c>
      <c r="AG4148" s="386">
        <v>16.399999999999999</v>
      </c>
      <c r="AH4148" s="387">
        <f t="shared" si="79"/>
        <v>16</v>
      </c>
    </row>
    <row r="4149" spans="11:34" ht="14.5" x14ac:dyDescent="0.35">
      <c r="K4149" s="4"/>
      <c r="AC4149" s="384">
        <v>2022</v>
      </c>
      <c r="AD4149" s="384">
        <v>6</v>
      </c>
      <c r="AE4149" s="384">
        <v>22</v>
      </c>
      <c r="AF4149" s="385">
        <v>0.79166666666666663</v>
      </c>
      <c r="AG4149" s="386">
        <v>15.2</v>
      </c>
      <c r="AH4149" s="387">
        <f t="shared" si="79"/>
        <v>15</v>
      </c>
    </row>
    <row r="4150" spans="11:34" ht="14.5" x14ac:dyDescent="0.35">
      <c r="K4150" s="4"/>
      <c r="AC4150" s="384">
        <v>2022</v>
      </c>
      <c r="AD4150" s="384">
        <v>6</v>
      </c>
      <c r="AE4150" s="384">
        <v>22</v>
      </c>
      <c r="AF4150" s="385">
        <v>0.83333333333333337</v>
      </c>
      <c r="AG4150" s="386">
        <v>13.9</v>
      </c>
      <c r="AH4150" s="387">
        <f t="shared" si="79"/>
        <v>14</v>
      </c>
    </row>
    <row r="4151" spans="11:34" ht="14.5" x14ac:dyDescent="0.35">
      <c r="K4151" s="4"/>
      <c r="AC4151" s="384">
        <v>2022</v>
      </c>
      <c r="AD4151" s="384">
        <v>6</v>
      </c>
      <c r="AE4151" s="384">
        <v>22</v>
      </c>
      <c r="AF4151" s="385">
        <v>0.875</v>
      </c>
      <c r="AG4151" s="386">
        <v>12.4</v>
      </c>
      <c r="AH4151" s="387">
        <f t="shared" si="79"/>
        <v>12</v>
      </c>
    </row>
    <row r="4152" spans="11:34" ht="14.5" x14ac:dyDescent="0.35">
      <c r="K4152" s="4"/>
      <c r="AC4152" s="384">
        <v>2022</v>
      </c>
      <c r="AD4152" s="384">
        <v>6</v>
      </c>
      <c r="AE4152" s="384">
        <v>22</v>
      </c>
      <c r="AF4152" s="385">
        <v>0.91666666666666663</v>
      </c>
      <c r="AG4152" s="386">
        <v>10.8</v>
      </c>
      <c r="AH4152" s="387">
        <f t="shared" si="79"/>
        <v>11</v>
      </c>
    </row>
    <row r="4153" spans="11:34" ht="14.5" x14ac:dyDescent="0.35">
      <c r="K4153" s="4"/>
      <c r="AC4153" s="384">
        <v>2022</v>
      </c>
      <c r="AD4153" s="384">
        <v>6</v>
      </c>
      <c r="AE4153" s="384">
        <v>22</v>
      </c>
      <c r="AF4153" s="385">
        <v>0.95833333333333337</v>
      </c>
      <c r="AG4153" s="386">
        <v>11.6</v>
      </c>
      <c r="AH4153" s="387">
        <f t="shared" si="79"/>
        <v>12</v>
      </c>
    </row>
    <row r="4154" spans="11:34" ht="14.5" x14ac:dyDescent="0.35">
      <c r="K4154" s="4"/>
      <c r="AC4154" s="384">
        <v>2022</v>
      </c>
      <c r="AD4154" s="384">
        <v>6</v>
      </c>
      <c r="AE4154" s="384">
        <v>23</v>
      </c>
      <c r="AF4154" s="385">
        <v>0</v>
      </c>
      <c r="AG4154" s="386">
        <v>10.9</v>
      </c>
      <c r="AH4154" s="387">
        <f t="shared" si="79"/>
        <v>11</v>
      </c>
    </row>
    <row r="4155" spans="11:34" ht="14.5" x14ac:dyDescent="0.35">
      <c r="K4155" s="4"/>
      <c r="AC4155" s="384">
        <v>2022</v>
      </c>
      <c r="AD4155" s="384">
        <v>6</v>
      </c>
      <c r="AE4155" s="384">
        <v>23</v>
      </c>
      <c r="AF4155" s="385">
        <v>4.1666666666666664E-2</v>
      </c>
      <c r="AG4155" s="386">
        <v>11.2</v>
      </c>
      <c r="AH4155" s="387">
        <f t="shared" si="79"/>
        <v>11</v>
      </c>
    </row>
    <row r="4156" spans="11:34" ht="14.5" x14ac:dyDescent="0.35">
      <c r="K4156" s="4"/>
      <c r="AC4156" s="384">
        <v>2022</v>
      </c>
      <c r="AD4156" s="384">
        <v>6</v>
      </c>
      <c r="AE4156" s="384">
        <v>23</v>
      </c>
      <c r="AF4156" s="385">
        <v>8.3333333333333329E-2</v>
      </c>
      <c r="AG4156" s="386">
        <v>10.8</v>
      </c>
      <c r="AH4156" s="387">
        <f t="shared" si="79"/>
        <v>11</v>
      </c>
    </row>
    <row r="4157" spans="11:34" ht="14.5" x14ac:dyDescent="0.35">
      <c r="K4157" s="4"/>
      <c r="AC4157" s="384">
        <v>2022</v>
      </c>
      <c r="AD4157" s="384">
        <v>6</v>
      </c>
      <c r="AE4157" s="384">
        <v>23</v>
      </c>
      <c r="AF4157" s="385">
        <v>0.125</v>
      </c>
      <c r="AG4157" s="386">
        <v>10.6</v>
      </c>
      <c r="AH4157" s="387">
        <f t="shared" si="79"/>
        <v>11</v>
      </c>
    </row>
    <row r="4158" spans="11:34" ht="14.5" x14ac:dyDescent="0.35">
      <c r="K4158" s="4"/>
      <c r="AC4158" s="384">
        <v>2022</v>
      </c>
      <c r="AD4158" s="384">
        <v>6</v>
      </c>
      <c r="AE4158" s="384">
        <v>23</v>
      </c>
      <c r="AF4158" s="385">
        <v>0.16666666666666666</v>
      </c>
      <c r="AG4158" s="386">
        <v>9.6</v>
      </c>
      <c r="AH4158" s="387">
        <f t="shared" si="79"/>
        <v>10</v>
      </c>
    </row>
    <row r="4159" spans="11:34" ht="14.5" x14ac:dyDescent="0.35">
      <c r="K4159" s="4"/>
      <c r="AC4159" s="384">
        <v>2022</v>
      </c>
      <c r="AD4159" s="384">
        <v>6</v>
      </c>
      <c r="AE4159" s="384">
        <v>23</v>
      </c>
      <c r="AF4159" s="385">
        <v>0.20833333333333334</v>
      </c>
      <c r="AG4159" s="386">
        <v>10</v>
      </c>
      <c r="AH4159" s="387">
        <f t="shared" si="79"/>
        <v>10</v>
      </c>
    </row>
    <row r="4160" spans="11:34" ht="14.5" x14ac:dyDescent="0.35">
      <c r="K4160" s="4"/>
      <c r="AC4160" s="384">
        <v>2022</v>
      </c>
      <c r="AD4160" s="384">
        <v>6</v>
      </c>
      <c r="AE4160" s="384">
        <v>23</v>
      </c>
      <c r="AF4160" s="385">
        <v>0.25</v>
      </c>
      <c r="AG4160" s="386">
        <v>10.4</v>
      </c>
      <c r="AH4160" s="387">
        <f t="shared" si="79"/>
        <v>10</v>
      </c>
    </row>
    <row r="4161" spans="11:34" ht="14.5" x14ac:dyDescent="0.35">
      <c r="K4161" s="4"/>
      <c r="AC4161" s="384">
        <v>2022</v>
      </c>
      <c r="AD4161" s="384">
        <v>6</v>
      </c>
      <c r="AE4161" s="384">
        <v>23</v>
      </c>
      <c r="AF4161" s="385">
        <v>0.29166666666666669</v>
      </c>
      <c r="AG4161" s="386">
        <v>10.8</v>
      </c>
      <c r="AH4161" s="387">
        <f t="shared" si="79"/>
        <v>11</v>
      </c>
    </row>
    <row r="4162" spans="11:34" ht="14.5" x14ac:dyDescent="0.35">
      <c r="K4162" s="4"/>
      <c r="AC4162" s="384">
        <v>2022</v>
      </c>
      <c r="AD4162" s="384">
        <v>6</v>
      </c>
      <c r="AE4162" s="384">
        <v>23</v>
      </c>
      <c r="AF4162" s="385">
        <v>0.33333333333333331</v>
      </c>
      <c r="AG4162" s="386">
        <v>10.6</v>
      </c>
      <c r="AH4162" s="387">
        <f t="shared" si="79"/>
        <v>11</v>
      </c>
    </row>
    <row r="4163" spans="11:34" ht="14.5" x14ac:dyDescent="0.35">
      <c r="K4163" s="4"/>
      <c r="AC4163" s="384">
        <v>2022</v>
      </c>
      <c r="AD4163" s="384">
        <v>6</v>
      </c>
      <c r="AE4163" s="384">
        <v>23</v>
      </c>
      <c r="AF4163" s="385">
        <v>0.375</v>
      </c>
      <c r="AG4163" s="386">
        <v>7.3</v>
      </c>
      <c r="AH4163" s="387">
        <f t="shared" si="79"/>
        <v>7</v>
      </c>
    </row>
    <row r="4164" spans="11:34" ht="14.5" x14ac:dyDescent="0.35">
      <c r="K4164" s="4"/>
      <c r="AC4164" s="384">
        <v>2022</v>
      </c>
      <c r="AD4164" s="384">
        <v>6</v>
      </c>
      <c r="AE4164" s="384">
        <v>23</v>
      </c>
      <c r="AF4164" s="385">
        <v>0.41666666666666669</v>
      </c>
      <c r="AG4164" s="386">
        <v>10.1</v>
      </c>
      <c r="AH4164" s="387">
        <f t="shared" si="79"/>
        <v>10</v>
      </c>
    </row>
    <row r="4165" spans="11:34" ht="14.5" x14ac:dyDescent="0.35">
      <c r="K4165" s="4"/>
      <c r="AC4165" s="384">
        <v>2022</v>
      </c>
      <c r="AD4165" s="384">
        <v>6</v>
      </c>
      <c r="AE4165" s="384">
        <v>23</v>
      </c>
      <c r="AF4165" s="385">
        <v>0.45833333333333331</v>
      </c>
      <c r="AG4165" s="386">
        <v>10</v>
      </c>
      <c r="AH4165" s="387">
        <f t="shared" si="79"/>
        <v>10</v>
      </c>
    </row>
    <row r="4166" spans="11:34" ht="14.5" x14ac:dyDescent="0.35">
      <c r="K4166" s="4"/>
      <c r="AC4166" s="384">
        <v>2022</v>
      </c>
      <c r="AD4166" s="384">
        <v>6</v>
      </c>
      <c r="AE4166" s="384">
        <v>23</v>
      </c>
      <c r="AF4166" s="385">
        <v>0.5</v>
      </c>
      <c r="AG4166" s="386">
        <v>9.1999999999999993</v>
      </c>
      <c r="AH4166" s="387">
        <f t="shared" si="79"/>
        <v>9</v>
      </c>
    </row>
    <row r="4167" spans="11:34" ht="14.5" x14ac:dyDescent="0.35">
      <c r="K4167" s="4"/>
      <c r="AC4167" s="384">
        <v>2022</v>
      </c>
      <c r="AD4167" s="384">
        <v>6</v>
      </c>
      <c r="AE4167" s="384">
        <v>23</v>
      </c>
      <c r="AF4167" s="385">
        <v>0.54166666666666663</v>
      </c>
      <c r="AG4167" s="386">
        <v>10.3</v>
      </c>
      <c r="AH4167" s="387">
        <f t="shared" si="79"/>
        <v>10</v>
      </c>
    </row>
    <row r="4168" spans="11:34" ht="14.5" x14ac:dyDescent="0.35">
      <c r="K4168" s="4"/>
      <c r="AC4168" s="384">
        <v>2022</v>
      </c>
      <c r="AD4168" s="384">
        <v>6</v>
      </c>
      <c r="AE4168" s="384">
        <v>23</v>
      </c>
      <c r="AF4168" s="385">
        <v>0.58333333333333337</v>
      </c>
      <c r="AG4168" s="386">
        <v>10.9</v>
      </c>
      <c r="AH4168" s="387">
        <f t="shared" si="79"/>
        <v>11</v>
      </c>
    </row>
    <row r="4169" spans="11:34" ht="14.5" x14ac:dyDescent="0.35">
      <c r="K4169" s="4"/>
      <c r="AC4169" s="384">
        <v>2022</v>
      </c>
      <c r="AD4169" s="384">
        <v>6</v>
      </c>
      <c r="AE4169" s="384">
        <v>23</v>
      </c>
      <c r="AF4169" s="385">
        <v>0.625</v>
      </c>
      <c r="AG4169" s="386">
        <v>10.4</v>
      </c>
      <c r="AH4169" s="387">
        <f t="shared" si="79"/>
        <v>10</v>
      </c>
    </row>
    <row r="4170" spans="11:34" ht="14.5" x14ac:dyDescent="0.35">
      <c r="K4170" s="4"/>
      <c r="AC4170" s="384">
        <v>2022</v>
      </c>
      <c r="AD4170" s="384">
        <v>6</v>
      </c>
      <c r="AE4170" s="384">
        <v>23</v>
      </c>
      <c r="AF4170" s="385">
        <v>0.66666666666666663</v>
      </c>
      <c r="AG4170" s="386">
        <v>11.6</v>
      </c>
      <c r="AH4170" s="387">
        <f t="shared" si="79"/>
        <v>12</v>
      </c>
    </row>
    <row r="4171" spans="11:34" ht="14.5" x14ac:dyDescent="0.35">
      <c r="K4171" s="4"/>
      <c r="AC4171" s="384">
        <v>2022</v>
      </c>
      <c r="AD4171" s="384">
        <v>6</v>
      </c>
      <c r="AE4171" s="384">
        <v>23</v>
      </c>
      <c r="AF4171" s="385">
        <v>0.70833333333333337</v>
      </c>
      <c r="AG4171" s="386">
        <v>10.9</v>
      </c>
      <c r="AH4171" s="387">
        <f t="shared" ref="AH4171:AH4234" si="80">ROUND(AG4171,0)</f>
        <v>11</v>
      </c>
    </row>
    <row r="4172" spans="11:34" ht="14.5" x14ac:dyDescent="0.35">
      <c r="K4172" s="4"/>
      <c r="AC4172" s="384">
        <v>2022</v>
      </c>
      <c r="AD4172" s="384">
        <v>6</v>
      </c>
      <c r="AE4172" s="384">
        <v>23</v>
      </c>
      <c r="AF4172" s="385">
        <v>0.75</v>
      </c>
      <c r="AG4172" s="386">
        <v>10.8</v>
      </c>
      <c r="AH4172" s="387">
        <f t="shared" si="80"/>
        <v>11</v>
      </c>
    </row>
    <row r="4173" spans="11:34" ht="14.5" x14ac:dyDescent="0.35">
      <c r="K4173" s="4"/>
      <c r="AC4173" s="384">
        <v>2022</v>
      </c>
      <c r="AD4173" s="384">
        <v>6</v>
      </c>
      <c r="AE4173" s="384">
        <v>23</v>
      </c>
      <c r="AF4173" s="385">
        <v>0.79166666666666663</v>
      </c>
      <c r="AG4173" s="386">
        <v>9.6999999999999993</v>
      </c>
      <c r="AH4173" s="387">
        <f t="shared" si="80"/>
        <v>10</v>
      </c>
    </row>
    <row r="4174" spans="11:34" ht="14.5" x14ac:dyDescent="0.35">
      <c r="K4174" s="4"/>
      <c r="AC4174" s="384">
        <v>2022</v>
      </c>
      <c r="AD4174" s="384">
        <v>6</v>
      </c>
      <c r="AE4174" s="384">
        <v>23</v>
      </c>
      <c r="AF4174" s="385">
        <v>0.83333333333333337</v>
      </c>
      <c r="AG4174" s="386">
        <v>10.1</v>
      </c>
      <c r="AH4174" s="387">
        <f t="shared" si="80"/>
        <v>10</v>
      </c>
    </row>
    <row r="4175" spans="11:34" ht="14.5" x14ac:dyDescent="0.35">
      <c r="K4175" s="4"/>
      <c r="AC4175" s="384">
        <v>2022</v>
      </c>
      <c r="AD4175" s="384">
        <v>6</v>
      </c>
      <c r="AE4175" s="384">
        <v>23</v>
      </c>
      <c r="AF4175" s="385">
        <v>0.875</v>
      </c>
      <c r="AG4175" s="386">
        <v>9</v>
      </c>
      <c r="AH4175" s="387">
        <f t="shared" si="80"/>
        <v>9</v>
      </c>
    </row>
    <row r="4176" spans="11:34" ht="14.5" x14ac:dyDescent="0.35">
      <c r="K4176" s="4"/>
      <c r="AC4176" s="384">
        <v>2022</v>
      </c>
      <c r="AD4176" s="384">
        <v>6</v>
      </c>
      <c r="AE4176" s="384">
        <v>23</v>
      </c>
      <c r="AF4176" s="385">
        <v>0.91666666666666663</v>
      </c>
      <c r="AG4176" s="386">
        <v>8.3000000000000007</v>
      </c>
      <c r="AH4176" s="387">
        <f t="shared" si="80"/>
        <v>8</v>
      </c>
    </row>
    <row r="4177" spans="11:34" ht="14.5" x14ac:dyDescent="0.35">
      <c r="K4177" s="4"/>
      <c r="AC4177" s="384">
        <v>2022</v>
      </c>
      <c r="AD4177" s="384">
        <v>6</v>
      </c>
      <c r="AE4177" s="384">
        <v>23</v>
      </c>
      <c r="AF4177" s="385">
        <v>0.95833333333333337</v>
      </c>
      <c r="AG4177" s="386">
        <v>8.1999999999999993</v>
      </c>
      <c r="AH4177" s="387">
        <f t="shared" si="80"/>
        <v>8</v>
      </c>
    </row>
    <row r="4178" spans="11:34" ht="14.5" x14ac:dyDescent="0.35">
      <c r="K4178" s="4"/>
      <c r="AC4178" s="384">
        <v>2022</v>
      </c>
      <c r="AD4178" s="384">
        <v>6</v>
      </c>
      <c r="AE4178" s="384">
        <v>24</v>
      </c>
      <c r="AF4178" s="385">
        <v>0</v>
      </c>
      <c r="AG4178" s="386">
        <v>8.3000000000000007</v>
      </c>
      <c r="AH4178" s="387">
        <f t="shared" si="80"/>
        <v>8</v>
      </c>
    </row>
    <row r="4179" spans="11:34" ht="14.5" x14ac:dyDescent="0.35">
      <c r="K4179" s="4"/>
      <c r="AC4179" s="384">
        <v>2022</v>
      </c>
      <c r="AD4179" s="384">
        <v>6</v>
      </c>
      <c r="AE4179" s="384">
        <v>24</v>
      </c>
      <c r="AF4179" s="385">
        <v>4.1666666666666664E-2</v>
      </c>
      <c r="AG4179" s="386">
        <v>7.5</v>
      </c>
      <c r="AH4179" s="387">
        <f t="shared" si="80"/>
        <v>8</v>
      </c>
    </row>
    <row r="4180" spans="11:34" ht="14.5" x14ac:dyDescent="0.35">
      <c r="K4180" s="4"/>
      <c r="AC4180" s="384">
        <v>2022</v>
      </c>
      <c r="AD4180" s="384">
        <v>6</v>
      </c>
      <c r="AE4180" s="384">
        <v>24</v>
      </c>
      <c r="AF4180" s="385">
        <v>8.3333333333333329E-2</v>
      </c>
      <c r="AG4180" s="386">
        <v>7.9</v>
      </c>
      <c r="AH4180" s="387">
        <f t="shared" si="80"/>
        <v>8</v>
      </c>
    </row>
    <row r="4181" spans="11:34" ht="14.5" x14ac:dyDescent="0.35">
      <c r="K4181" s="4"/>
      <c r="AC4181" s="384">
        <v>2022</v>
      </c>
      <c r="AD4181" s="384">
        <v>6</v>
      </c>
      <c r="AE4181" s="384">
        <v>24</v>
      </c>
      <c r="AF4181" s="385">
        <v>0.125</v>
      </c>
      <c r="AG4181" s="386">
        <v>7.2</v>
      </c>
      <c r="AH4181" s="387">
        <f t="shared" si="80"/>
        <v>7</v>
      </c>
    </row>
    <row r="4182" spans="11:34" ht="14.5" x14ac:dyDescent="0.35">
      <c r="K4182" s="4"/>
      <c r="AC4182" s="384">
        <v>2022</v>
      </c>
      <c r="AD4182" s="384">
        <v>6</v>
      </c>
      <c r="AE4182" s="384">
        <v>24</v>
      </c>
      <c r="AF4182" s="385">
        <v>0.16666666666666666</v>
      </c>
      <c r="AG4182" s="386">
        <v>7</v>
      </c>
      <c r="AH4182" s="387">
        <f t="shared" si="80"/>
        <v>7</v>
      </c>
    </row>
    <row r="4183" spans="11:34" ht="14.5" x14ac:dyDescent="0.35">
      <c r="K4183" s="4"/>
      <c r="AC4183" s="384">
        <v>2022</v>
      </c>
      <c r="AD4183" s="384">
        <v>6</v>
      </c>
      <c r="AE4183" s="384">
        <v>24</v>
      </c>
      <c r="AF4183" s="385">
        <v>0.20833333333333334</v>
      </c>
      <c r="AG4183" s="386">
        <v>7.7</v>
      </c>
      <c r="AH4183" s="387">
        <f t="shared" si="80"/>
        <v>8</v>
      </c>
    </row>
    <row r="4184" spans="11:34" ht="14.5" x14ac:dyDescent="0.35">
      <c r="K4184" s="4"/>
      <c r="AC4184" s="384">
        <v>2022</v>
      </c>
      <c r="AD4184" s="384">
        <v>6</v>
      </c>
      <c r="AE4184" s="384">
        <v>24</v>
      </c>
      <c r="AF4184" s="385">
        <v>0.25</v>
      </c>
      <c r="AG4184" s="386">
        <v>8.1</v>
      </c>
      <c r="AH4184" s="387">
        <f t="shared" si="80"/>
        <v>8</v>
      </c>
    </row>
    <row r="4185" spans="11:34" ht="14.5" x14ac:dyDescent="0.35">
      <c r="K4185" s="4"/>
      <c r="AC4185" s="384">
        <v>2022</v>
      </c>
      <c r="AD4185" s="384">
        <v>6</v>
      </c>
      <c r="AE4185" s="384">
        <v>24</v>
      </c>
      <c r="AF4185" s="385">
        <v>0.29166666666666669</v>
      </c>
      <c r="AG4185" s="386">
        <v>8.1999999999999993</v>
      </c>
      <c r="AH4185" s="387">
        <f t="shared" si="80"/>
        <v>8</v>
      </c>
    </row>
    <row r="4186" spans="11:34" ht="14.5" x14ac:dyDescent="0.35">
      <c r="K4186" s="4"/>
      <c r="AC4186" s="384">
        <v>2022</v>
      </c>
      <c r="AD4186" s="384">
        <v>6</v>
      </c>
      <c r="AE4186" s="384">
        <v>24</v>
      </c>
      <c r="AF4186" s="385">
        <v>0.33333333333333331</v>
      </c>
      <c r="AG4186" s="386">
        <v>8.3000000000000007</v>
      </c>
      <c r="AH4186" s="387">
        <f t="shared" si="80"/>
        <v>8</v>
      </c>
    </row>
    <row r="4187" spans="11:34" ht="14.5" x14ac:dyDescent="0.35">
      <c r="K4187" s="4"/>
      <c r="AC4187" s="384">
        <v>2022</v>
      </c>
      <c r="AD4187" s="384">
        <v>6</v>
      </c>
      <c r="AE4187" s="384">
        <v>24</v>
      </c>
      <c r="AF4187" s="385">
        <v>0.375</v>
      </c>
      <c r="AG4187" s="386">
        <v>8.5</v>
      </c>
      <c r="AH4187" s="387">
        <f t="shared" si="80"/>
        <v>9</v>
      </c>
    </row>
    <row r="4188" spans="11:34" ht="14.5" x14ac:dyDescent="0.35">
      <c r="K4188" s="4"/>
      <c r="AC4188" s="384">
        <v>2022</v>
      </c>
      <c r="AD4188" s="384">
        <v>6</v>
      </c>
      <c r="AE4188" s="384">
        <v>24</v>
      </c>
      <c r="AF4188" s="385">
        <v>0.41666666666666669</v>
      </c>
      <c r="AG4188" s="386">
        <v>8.6999999999999993</v>
      </c>
      <c r="AH4188" s="387">
        <f t="shared" si="80"/>
        <v>9</v>
      </c>
    </row>
    <row r="4189" spans="11:34" ht="14.5" x14ac:dyDescent="0.35">
      <c r="K4189" s="4"/>
      <c r="AC4189" s="384">
        <v>2022</v>
      </c>
      <c r="AD4189" s="384">
        <v>6</v>
      </c>
      <c r="AE4189" s="384">
        <v>24</v>
      </c>
      <c r="AF4189" s="385">
        <v>0.45833333333333331</v>
      </c>
      <c r="AG4189" s="386">
        <v>11.4</v>
      </c>
      <c r="AH4189" s="387">
        <f t="shared" si="80"/>
        <v>11</v>
      </c>
    </row>
    <row r="4190" spans="11:34" ht="14.5" x14ac:dyDescent="0.35">
      <c r="K4190" s="4"/>
      <c r="AC4190" s="384">
        <v>2022</v>
      </c>
      <c r="AD4190" s="384">
        <v>6</v>
      </c>
      <c r="AE4190" s="384">
        <v>24</v>
      </c>
      <c r="AF4190" s="385">
        <v>0.5</v>
      </c>
      <c r="AG4190" s="386">
        <v>10.7</v>
      </c>
      <c r="AH4190" s="387">
        <f t="shared" si="80"/>
        <v>11</v>
      </c>
    </row>
    <row r="4191" spans="11:34" ht="14.5" x14ac:dyDescent="0.35">
      <c r="K4191" s="4"/>
      <c r="AC4191" s="384">
        <v>2022</v>
      </c>
      <c r="AD4191" s="384">
        <v>6</v>
      </c>
      <c r="AE4191" s="384">
        <v>24</v>
      </c>
      <c r="AF4191" s="385">
        <v>0.54166666666666663</v>
      </c>
      <c r="AG4191" s="386">
        <v>12.2</v>
      </c>
      <c r="AH4191" s="387">
        <f t="shared" si="80"/>
        <v>12</v>
      </c>
    </row>
    <row r="4192" spans="11:34" ht="14.5" x14ac:dyDescent="0.35">
      <c r="K4192" s="4"/>
      <c r="AC4192" s="384">
        <v>2022</v>
      </c>
      <c r="AD4192" s="384">
        <v>6</v>
      </c>
      <c r="AE4192" s="384">
        <v>24</v>
      </c>
      <c r="AF4192" s="385">
        <v>0.58333333333333337</v>
      </c>
      <c r="AG4192" s="386">
        <v>10.9</v>
      </c>
      <c r="AH4192" s="387">
        <f t="shared" si="80"/>
        <v>11</v>
      </c>
    </row>
    <row r="4193" spans="11:34" ht="14.5" x14ac:dyDescent="0.35">
      <c r="K4193" s="4"/>
      <c r="AC4193" s="384">
        <v>2022</v>
      </c>
      <c r="AD4193" s="384">
        <v>6</v>
      </c>
      <c r="AE4193" s="384">
        <v>24</v>
      </c>
      <c r="AF4193" s="385">
        <v>0.625</v>
      </c>
      <c r="AG4193" s="386">
        <v>13.1</v>
      </c>
      <c r="AH4193" s="387">
        <f t="shared" si="80"/>
        <v>13</v>
      </c>
    </row>
    <row r="4194" spans="11:34" ht="14.5" x14ac:dyDescent="0.35">
      <c r="K4194" s="4"/>
      <c r="AC4194" s="384">
        <v>2022</v>
      </c>
      <c r="AD4194" s="384">
        <v>6</v>
      </c>
      <c r="AE4194" s="384">
        <v>24</v>
      </c>
      <c r="AF4194" s="385">
        <v>0.66666666666666663</v>
      </c>
      <c r="AG4194" s="386">
        <v>13.7</v>
      </c>
      <c r="AH4194" s="387">
        <f t="shared" si="80"/>
        <v>14</v>
      </c>
    </row>
    <row r="4195" spans="11:34" ht="14.5" x14ac:dyDescent="0.35">
      <c r="K4195" s="4"/>
      <c r="AC4195" s="384">
        <v>2022</v>
      </c>
      <c r="AD4195" s="384">
        <v>6</v>
      </c>
      <c r="AE4195" s="384">
        <v>24</v>
      </c>
      <c r="AF4195" s="385">
        <v>0.70833333333333337</v>
      </c>
      <c r="AG4195" s="386">
        <v>13.3</v>
      </c>
      <c r="AH4195" s="387">
        <f t="shared" si="80"/>
        <v>13</v>
      </c>
    </row>
    <row r="4196" spans="11:34" ht="14.5" x14ac:dyDescent="0.35">
      <c r="K4196" s="4"/>
      <c r="AC4196" s="384">
        <v>2022</v>
      </c>
      <c r="AD4196" s="384">
        <v>6</v>
      </c>
      <c r="AE4196" s="384">
        <v>24</v>
      </c>
      <c r="AF4196" s="385">
        <v>0.75</v>
      </c>
      <c r="AG4196" s="386">
        <v>12.9</v>
      </c>
      <c r="AH4196" s="387">
        <f t="shared" si="80"/>
        <v>13</v>
      </c>
    </row>
    <row r="4197" spans="11:34" ht="14.5" x14ac:dyDescent="0.35">
      <c r="K4197" s="4"/>
      <c r="AC4197" s="384">
        <v>2022</v>
      </c>
      <c r="AD4197" s="384">
        <v>6</v>
      </c>
      <c r="AE4197" s="384">
        <v>24</v>
      </c>
      <c r="AF4197" s="385">
        <v>0.79166666666666663</v>
      </c>
      <c r="AG4197" s="386">
        <v>13.1</v>
      </c>
      <c r="AH4197" s="387">
        <f t="shared" si="80"/>
        <v>13</v>
      </c>
    </row>
    <row r="4198" spans="11:34" ht="14.5" x14ac:dyDescent="0.35">
      <c r="K4198" s="4"/>
      <c r="AC4198" s="384">
        <v>2022</v>
      </c>
      <c r="AD4198" s="384">
        <v>6</v>
      </c>
      <c r="AE4198" s="384">
        <v>24</v>
      </c>
      <c r="AF4198" s="385">
        <v>0.83333333333333337</v>
      </c>
      <c r="AG4198" s="386">
        <v>11.8</v>
      </c>
      <c r="AH4198" s="387">
        <f t="shared" si="80"/>
        <v>12</v>
      </c>
    </row>
    <row r="4199" spans="11:34" ht="14.5" x14ac:dyDescent="0.35">
      <c r="K4199" s="4"/>
      <c r="AC4199" s="384">
        <v>2022</v>
      </c>
      <c r="AD4199" s="384">
        <v>6</v>
      </c>
      <c r="AE4199" s="384">
        <v>24</v>
      </c>
      <c r="AF4199" s="385">
        <v>0.875</v>
      </c>
      <c r="AG4199" s="386">
        <v>11.1</v>
      </c>
      <c r="AH4199" s="387">
        <f t="shared" si="80"/>
        <v>11</v>
      </c>
    </row>
    <row r="4200" spans="11:34" ht="14.5" x14ac:dyDescent="0.35">
      <c r="K4200" s="4"/>
      <c r="AC4200" s="384">
        <v>2022</v>
      </c>
      <c r="AD4200" s="384">
        <v>6</v>
      </c>
      <c r="AE4200" s="384">
        <v>24</v>
      </c>
      <c r="AF4200" s="385">
        <v>0.91666666666666663</v>
      </c>
      <c r="AG4200" s="386">
        <v>10</v>
      </c>
      <c r="AH4200" s="387">
        <f t="shared" si="80"/>
        <v>10</v>
      </c>
    </row>
    <row r="4201" spans="11:34" ht="14.5" x14ac:dyDescent="0.35">
      <c r="K4201" s="4"/>
      <c r="AC4201" s="384">
        <v>2022</v>
      </c>
      <c r="AD4201" s="384">
        <v>6</v>
      </c>
      <c r="AE4201" s="384">
        <v>24</v>
      </c>
      <c r="AF4201" s="385">
        <v>0.95833333333333337</v>
      </c>
      <c r="AG4201" s="386">
        <v>9.5</v>
      </c>
      <c r="AH4201" s="387">
        <f t="shared" si="80"/>
        <v>10</v>
      </c>
    </row>
    <row r="4202" spans="11:34" ht="14.5" x14ac:dyDescent="0.35">
      <c r="K4202" s="4"/>
      <c r="AC4202" s="384">
        <v>2022</v>
      </c>
      <c r="AD4202" s="384">
        <v>6</v>
      </c>
      <c r="AE4202" s="384">
        <v>25</v>
      </c>
      <c r="AF4202" s="385">
        <v>0</v>
      </c>
      <c r="AG4202" s="386">
        <v>8.9</v>
      </c>
      <c r="AH4202" s="387">
        <f t="shared" si="80"/>
        <v>9</v>
      </c>
    </row>
    <row r="4203" spans="11:34" ht="14.5" x14ac:dyDescent="0.35">
      <c r="K4203" s="4"/>
      <c r="AC4203" s="384">
        <v>2022</v>
      </c>
      <c r="AD4203" s="384">
        <v>6</v>
      </c>
      <c r="AE4203" s="384">
        <v>25</v>
      </c>
      <c r="AF4203" s="385">
        <v>4.1666666666666664E-2</v>
      </c>
      <c r="AG4203" s="386">
        <v>8.9</v>
      </c>
      <c r="AH4203" s="387">
        <f t="shared" si="80"/>
        <v>9</v>
      </c>
    </row>
    <row r="4204" spans="11:34" ht="14.5" x14ac:dyDescent="0.35">
      <c r="K4204" s="4"/>
      <c r="AC4204" s="384">
        <v>2022</v>
      </c>
      <c r="AD4204" s="384">
        <v>6</v>
      </c>
      <c r="AE4204" s="384">
        <v>25</v>
      </c>
      <c r="AF4204" s="385">
        <v>8.3333333333333329E-2</v>
      </c>
      <c r="AG4204" s="386">
        <v>9.1</v>
      </c>
      <c r="AH4204" s="387">
        <f t="shared" si="80"/>
        <v>9</v>
      </c>
    </row>
    <row r="4205" spans="11:34" ht="14.5" x14ac:dyDescent="0.35">
      <c r="K4205" s="4"/>
      <c r="AC4205" s="384">
        <v>2022</v>
      </c>
      <c r="AD4205" s="384">
        <v>6</v>
      </c>
      <c r="AE4205" s="384">
        <v>25</v>
      </c>
      <c r="AF4205" s="385">
        <v>0.125</v>
      </c>
      <c r="AG4205" s="386">
        <v>8.4</v>
      </c>
      <c r="AH4205" s="387">
        <f t="shared" si="80"/>
        <v>8</v>
      </c>
    </row>
    <row r="4206" spans="11:34" ht="14.5" x14ac:dyDescent="0.35">
      <c r="K4206" s="4"/>
      <c r="AC4206" s="384">
        <v>2022</v>
      </c>
      <c r="AD4206" s="384">
        <v>6</v>
      </c>
      <c r="AE4206" s="384">
        <v>25</v>
      </c>
      <c r="AF4206" s="385">
        <v>0.16666666666666666</v>
      </c>
      <c r="AG4206" s="386">
        <v>7.6</v>
      </c>
      <c r="AH4206" s="387">
        <f t="shared" si="80"/>
        <v>8</v>
      </c>
    </row>
    <row r="4207" spans="11:34" ht="14.5" x14ac:dyDescent="0.35">
      <c r="K4207" s="4"/>
      <c r="AC4207" s="384">
        <v>2022</v>
      </c>
      <c r="AD4207" s="384">
        <v>6</v>
      </c>
      <c r="AE4207" s="384">
        <v>25</v>
      </c>
      <c r="AF4207" s="385">
        <v>0.20833333333333334</v>
      </c>
      <c r="AG4207" s="386">
        <v>6.4</v>
      </c>
      <c r="AH4207" s="387">
        <f t="shared" si="80"/>
        <v>6</v>
      </c>
    </row>
    <row r="4208" spans="11:34" ht="14.5" x14ac:dyDescent="0.35">
      <c r="K4208" s="4"/>
      <c r="AC4208" s="384">
        <v>2022</v>
      </c>
      <c r="AD4208" s="384">
        <v>6</v>
      </c>
      <c r="AE4208" s="384">
        <v>25</v>
      </c>
      <c r="AF4208" s="385">
        <v>0.25</v>
      </c>
      <c r="AG4208" s="386">
        <v>8.1999999999999993</v>
      </c>
      <c r="AH4208" s="387">
        <f t="shared" si="80"/>
        <v>8</v>
      </c>
    </row>
    <row r="4209" spans="11:34" ht="14.5" x14ac:dyDescent="0.35">
      <c r="K4209" s="4"/>
      <c r="AC4209" s="384">
        <v>2022</v>
      </c>
      <c r="AD4209" s="384">
        <v>6</v>
      </c>
      <c r="AE4209" s="384">
        <v>25</v>
      </c>
      <c r="AF4209" s="385">
        <v>0.29166666666666669</v>
      </c>
      <c r="AG4209" s="386">
        <v>10.4</v>
      </c>
      <c r="AH4209" s="387">
        <f t="shared" si="80"/>
        <v>10</v>
      </c>
    </row>
    <row r="4210" spans="11:34" ht="14.5" x14ac:dyDescent="0.35">
      <c r="K4210" s="4"/>
      <c r="AC4210" s="384">
        <v>2022</v>
      </c>
      <c r="AD4210" s="384">
        <v>6</v>
      </c>
      <c r="AE4210" s="384">
        <v>25</v>
      </c>
      <c r="AF4210" s="385">
        <v>0.33333333333333331</v>
      </c>
      <c r="AG4210" s="386">
        <v>12.3</v>
      </c>
      <c r="AH4210" s="387">
        <f t="shared" si="80"/>
        <v>12</v>
      </c>
    </row>
    <row r="4211" spans="11:34" ht="14.5" x14ac:dyDescent="0.35">
      <c r="K4211" s="4"/>
      <c r="AC4211" s="384">
        <v>2022</v>
      </c>
      <c r="AD4211" s="384">
        <v>6</v>
      </c>
      <c r="AE4211" s="384">
        <v>25</v>
      </c>
      <c r="AF4211" s="385">
        <v>0.375</v>
      </c>
      <c r="AG4211" s="386">
        <v>13.5</v>
      </c>
      <c r="AH4211" s="387">
        <f t="shared" si="80"/>
        <v>14</v>
      </c>
    </row>
    <row r="4212" spans="11:34" ht="14.5" x14ac:dyDescent="0.35">
      <c r="K4212" s="4"/>
      <c r="AC4212" s="384">
        <v>2022</v>
      </c>
      <c r="AD4212" s="384">
        <v>6</v>
      </c>
      <c r="AE4212" s="384">
        <v>25</v>
      </c>
      <c r="AF4212" s="385">
        <v>0.41666666666666669</v>
      </c>
      <c r="AG4212" s="386">
        <v>14.5</v>
      </c>
      <c r="AH4212" s="387">
        <f t="shared" si="80"/>
        <v>15</v>
      </c>
    </row>
    <row r="4213" spans="11:34" ht="14.5" x14ac:dyDescent="0.35">
      <c r="K4213" s="4"/>
      <c r="AC4213" s="384">
        <v>2022</v>
      </c>
      <c r="AD4213" s="384">
        <v>6</v>
      </c>
      <c r="AE4213" s="384">
        <v>25</v>
      </c>
      <c r="AF4213" s="385">
        <v>0.45833333333333331</v>
      </c>
      <c r="AG4213" s="386">
        <v>15.1</v>
      </c>
      <c r="AH4213" s="387">
        <f t="shared" si="80"/>
        <v>15</v>
      </c>
    </row>
    <row r="4214" spans="11:34" ht="14.5" x14ac:dyDescent="0.35">
      <c r="K4214" s="4"/>
      <c r="AC4214" s="384">
        <v>2022</v>
      </c>
      <c r="AD4214" s="384">
        <v>6</v>
      </c>
      <c r="AE4214" s="384">
        <v>25</v>
      </c>
      <c r="AF4214" s="385">
        <v>0.5</v>
      </c>
      <c r="AG4214" s="386">
        <v>16.100000000000001</v>
      </c>
      <c r="AH4214" s="387">
        <f t="shared" si="80"/>
        <v>16</v>
      </c>
    </row>
    <row r="4215" spans="11:34" ht="14.5" x14ac:dyDescent="0.35">
      <c r="K4215" s="4"/>
      <c r="AC4215" s="384">
        <v>2022</v>
      </c>
      <c r="AD4215" s="384">
        <v>6</v>
      </c>
      <c r="AE4215" s="384">
        <v>25</v>
      </c>
      <c r="AF4215" s="385">
        <v>0.54166666666666663</v>
      </c>
      <c r="AG4215" s="386">
        <v>16.600000000000001</v>
      </c>
      <c r="AH4215" s="387">
        <f t="shared" si="80"/>
        <v>17</v>
      </c>
    </row>
    <row r="4216" spans="11:34" ht="14.5" x14ac:dyDescent="0.35">
      <c r="K4216" s="4"/>
      <c r="AC4216" s="384">
        <v>2022</v>
      </c>
      <c r="AD4216" s="384">
        <v>6</v>
      </c>
      <c r="AE4216" s="384">
        <v>25</v>
      </c>
      <c r="AF4216" s="385">
        <v>0.58333333333333337</v>
      </c>
      <c r="AG4216" s="386">
        <v>17.600000000000001</v>
      </c>
      <c r="AH4216" s="387">
        <f t="shared" si="80"/>
        <v>18</v>
      </c>
    </row>
    <row r="4217" spans="11:34" ht="14.5" x14ac:dyDescent="0.35">
      <c r="K4217" s="4"/>
      <c r="AC4217" s="384">
        <v>2022</v>
      </c>
      <c r="AD4217" s="384">
        <v>6</v>
      </c>
      <c r="AE4217" s="384">
        <v>25</v>
      </c>
      <c r="AF4217" s="385">
        <v>0.625</v>
      </c>
      <c r="AG4217" s="386">
        <v>18.2</v>
      </c>
      <c r="AH4217" s="387">
        <f t="shared" si="80"/>
        <v>18</v>
      </c>
    </row>
    <row r="4218" spans="11:34" ht="14.5" x14ac:dyDescent="0.35">
      <c r="K4218" s="4"/>
      <c r="AC4218" s="384">
        <v>2022</v>
      </c>
      <c r="AD4218" s="384">
        <v>6</v>
      </c>
      <c r="AE4218" s="384">
        <v>25</v>
      </c>
      <c r="AF4218" s="385">
        <v>0.66666666666666663</v>
      </c>
      <c r="AG4218" s="386">
        <v>18.3</v>
      </c>
      <c r="AH4218" s="387">
        <f t="shared" si="80"/>
        <v>18</v>
      </c>
    </row>
    <row r="4219" spans="11:34" ht="14.5" x14ac:dyDescent="0.35">
      <c r="K4219" s="4"/>
      <c r="AC4219" s="384">
        <v>2022</v>
      </c>
      <c r="AD4219" s="384">
        <v>6</v>
      </c>
      <c r="AE4219" s="384">
        <v>25</v>
      </c>
      <c r="AF4219" s="385">
        <v>0.70833333333333337</v>
      </c>
      <c r="AG4219" s="386">
        <v>18.7</v>
      </c>
      <c r="AH4219" s="387">
        <f t="shared" si="80"/>
        <v>19</v>
      </c>
    </row>
    <row r="4220" spans="11:34" ht="14.5" x14ac:dyDescent="0.35">
      <c r="K4220" s="4"/>
      <c r="AC4220" s="384">
        <v>2022</v>
      </c>
      <c r="AD4220" s="384">
        <v>6</v>
      </c>
      <c r="AE4220" s="384">
        <v>25</v>
      </c>
      <c r="AF4220" s="385">
        <v>0.75</v>
      </c>
      <c r="AG4220" s="386">
        <v>18.3</v>
      </c>
      <c r="AH4220" s="387">
        <f t="shared" si="80"/>
        <v>18</v>
      </c>
    </row>
    <row r="4221" spans="11:34" ht="14.5" x14ac:dyDescent="0.35">
      <c r="K4221" s="4"/>
      <c r="AC4221" s="384">
        <v>2022</v>
      </c>
      <c r="AD4221" s="384">
        <v>6</v>
      </c>
      <c r="AE4221" s="384">
        <v>25</v>
      </c>
      <c r="AF4221" s="385">
        <v>0.79166666666666663</v>
      </c>
      <c r="AG4221" s="386">
        <v>17.399999999999999</v>
      </c>
      <c r="AH4221" s="387">
        <f t="shared" si="80"/>
        <v>17</v>
      </c>
    </row>
    <row r="4222" spans="11:34" ht="14.5" x14ac:dyDescent="0.35">
      <c r="K4222" s="4"/>
      <c r="AC4222" s="384">
        <v>2022</v>
      </c>
      <c r="AD4222" s="384">
        <v>6</v>
      </c>
      <c r="AE4222" s="384">
        <v>25</v>
      </c>
      <c r="AF4222" s="385">
        <v>0.83333333333333337</v>
      </c>
      <c r="AG4222" s="386">
        <v>16.100000000000001</v>
      </c>
      <c r="AH4222" s="387">
        <f t="shared" si="80"/>
        <v>16</v>
      </c>
    </row>
    <row r="4223" spans="11:34" ht="14.5" x14ac:dyDescent="0.35">
      <c r="K4223" s="4"/>
      <c r="AC4223" s="384">
        <v>2022</v>
      </c>
      <c r="AD4223" s="384">
        <v>6</v>
      </c>
      <c r="AE4223" s="384">
        <v>25</v>
      </c>
      <c r="AF4223" s="385">
        <v>0.875</v>
      </c>
      <c r="AG4223" s="386">
        <v>14.5</v>
      </c>
      <c r="AH4223" s="387">
        <f t="shared" si="80"/>
        <v>15</v>
      </c>
    </row>
    <row r="4224" spans="11:34" ht="14.5" x14ac:dyDescent="0.35">
      <c r="K4224" s="4"/>
      <c r="AC4224" s="384">
        <v>2022</v>
      </c>
      <c r="AD4224" s="384">
        <v>6</v>
      </c>
      <c r="AE4224" s="384">
        <v>25</v>
      </c>
      <c r="AF4224" s="385">
        <v>0.91666666666666663</v>
      </c>
      <c r="AG4224" s="386">
        <v>12.7</v>
      </c>
      <c r="AH4224" s="387">
        <f t="shared" si="80"/>
        <v>13</v>
      </c>
    </row>
    <row r="4225" spans="11:34" ht="14.5" x14ac:dyDescent="0.35">
      <c r="K4225" s="4"/>
      <c r="AC4225" s="384">
        <v>2022</v>
      </c>
      <c r="AD4225" s="384">
        <v>6</v>
      </c>
      <c r="AE4225" s="384">
        <v>25</v>
      </c>
      <c r="AF4225" s="385">
        <v>0.95833333333333337</v>
      </c>
      <c r="AG4225" s="386">
        <v>11.1</v>
      </c>
      <c r="AH4225" s="387">
        <f t="shared" si="80"/>
        <v>11</v>
      </c>
    </row>
    <row r="4226" spans="11:34" ht="14.5" x14ac:dyDescent="0.35">
      <c r="K4226" s="4"/>
      <c r="AC4226" s="384">
        <v>2022</v>
      </c>
      <c r="AD4226" s="384">
        <v>6</v>
      </c>
      <c r="AE4226" s="384">
        <v>26</v>
      </c>
      <c r="AF4226" s="385">
        <v>0</v>
      </c>
      <c r="AG4226" s="386">
        <v>9.6</v>
      </c>
      <c r="AH4226" s="387">
        <f t="shared" si="80"/>
        <v>10</v>
      </c>
    </row>
    <row r="4227" spans="11:34" ht="14.5" x14ac:dyDescent="0.35">
      <c r="K4227" s="4"/>
      <c r="AC4227" s="384">
        <v>2022</v>
      </c>
      <c r="AD4227" s="384">
        <v>6</v>
      </c>
      <c r="AE4227" s="384">
        <v>26</v>
      </c>
      <c r="AF4227" s="385">
        <v>4.1666666666666664E-2</v>
      </c>
      <c r="AG4227" s="386">
        <v>9.3000000000000007</v>
      </c>
      <c r="AH4227" s="387">
        <f t="shared" si="80"/>
        <v>9</v>
      </c>
    </row>
    <row r="4228" spans="11:34" ht="14.5" x14ac:dyDescent="0.35">
      <c r="K4228" s="4"/>
      <c r="AC4228" s="384">
        <v>2022</v>
      </c>
      <c r="AD4228" s="384">
        <v>6</v>
      </c>
      <c r="AE4228" s="384">
        <v>26</v>
      </c>
      <c r="AF4228" s="385">
        <v>8.3333333333333329E-2</v>
      </c>
      <c r="AG4228" s="386">
        <v>7.4</v>
      </c>
      <c r="AH4228" s="387">
        <f t="shared" si="80"/>
        <v>7</v>
      </c>
    </row>
    <row r="4229" spans="11:34" ht="14.5" x14ac:dyDescent="0.35">
      <c r="K4229" s="4"/>
      <c r="AC4229" s="384">
        <v>2022</v>
      </c>
      <c r="AD4229" s="384">
        <v>6</v>
      </c>
      <c r="AE4229" s="384">
        <v>26</v>
      </c>
      <c r="AF4229" s="385">
        <v>0.125</v>
      </c>
      <c r="AG4229" s="386">
        <v>8.6</v>
      </c>
      <c r="AH4229" s="387">
        <f t="shared" si="80"/>
        <v>9</v>
      </c>
    </row>
    <row r="4230" spans="11:34" ht="14.5" x14ac:dyDescent="0.35">
      <c r="K4230" s="4"/>
      <c r="AC4230" s="384">
        <v>2022</v>
      </c>
      <c r="AD4230" s="384">
        <v>6</v>
      </c>
      <c r="AE4230" s="384">
        <v>26</v>
      </c>
      <c r="AF4230" s="385">
        <v>0.16666666666666666</v>
      </c>
      <c r="AG4230" s="386">
        <v>6.8</v>
      </c>
      <c r="AH4230" s="387">
        <f t="shared" si="80"/>
        <v>7</v>
      </c>
    </row>
    <row r="4231" spans="11:34" ht="14.5" x14ac:dyDescent="0.35">
      <c r="K4231" s="4"/>
      <c r="AC4231" s="384">
        <v>2022</v>
      </c>
      <c r="AD4231" s="384">
        <v>6</v>
      </c>
      <c r="AE4231" s="384">
        <v>26</v>
      </c>
      <c r="AF4231" s="385">
        <v>0.20833333333333334</v>
      </c>
      <c r="AG4231" s="386">
        <v>7.9</v>
      </c>
      <c r="AH4231" s="387">
        <f t="shared" si="80"/>
        <v>8</v>
      </c>
    </row>
    <row r="4232" spans="11:34" ht="14.5" x14ac:dyDescent="0.35">
      <c r="K4232" s="4"/>
      <c r="AC4232" s="384">
        <v>2022</v>
      </c>
      <c r="AD4232" s="384">
        <v>6</v>
      </c>
      <c r="AE4232" s="384">
        <v>26</v>
      </c>
      <c r="AF4232" s="385">
        <v>0.25</v>
      </c>
      <c r="AG4232" s="386">
        <v>9.6999999999999993</v>
      </c>
      <c r="AH4232" s="387">
        <f t="shared" si="80"/>
        <v>10</v>
      </c>
    </row>
    <row r="4233" spans="11:34" ht="14.5" x14ac:dyDescent="0.35">
      <c r="K4233" s="4"/>
      <c r="AC4233" s="384">
        <v>2022</v>
      </c>
      <c r="AD4233" s="384">
        <v>6</v>
      </c>
      <c r="AE4233" s="384">
        <v>26</v>
      </c>
      <c r="AF4233" s="385">
        <v>0.29166666666666669</v>
      </c>
      <c r="AG4233" s="386">
        <v>13.3</v>
      </c>
      <c r="AH4233" s="387">
        <f t="shared" si="80"/>
        <v>13</v>
      </c>
    </row>
    <row r="4234" spans="11:34" ht="14.5" x14ac:dyDescent="0.35">
      <c r="K4234" s="4"/>
      <c r="AC4234" s="384">
        <v>2022</v>
      </c>
      <c r="AD4234" s="384">
        <v>6</v>
      </c>
      <c r="AE4234" s="384">
        <v>26</v>
      </c>
      <c r="AF4234" s="385">
        <v>0.33333333333333331</v>
      </c>
      <c r="AG4234" s="386">
        <v>17.100000000000001</v>
      </c>
      <c r="AH4234" s="387">
        <f t="shared" si="80"/>
        <v>17</v>
      </c>
    </row>
    <row r="4235" spans="11:34" ht="14.5" x14ac:dyDescent="0.35">
      <c r="K4235" s="4"/>
      <c r="AC4235" s="384">
        <v>2022</v>
      </c>
      <c r="AD4235" s="384">
        <v>6</v>
      </c>
      <c r="AE4235" s="384">
        <v>26</v>
      </c>
      <c r="AF4235" s="385">
        <v>0.375</v>
      </c>
      <c r="AG4235" s="386">
        <v>19.100000000000001</v>
      </c>
      <c r="AH4235" s="387">
        <f t="shared" ref="AH4235:AH4298" si="81">ROUND(AG4235,0)</f>
        <v>19</v>
      </c>
    </row>
    <row r="4236" spans="11:34" ht="14.5" x14ac:dyDescent="0.35">
      <c r="K4236" s="4"/>
      <c r="AC4236" s="384">
        <v>2022</v>
      </c>
      <c r="AD4236" s="384">
        <v>6</v>
      </c>
      <c r="AE4236" s="384">
        <v>26</v>
      </c>
      <c r="AF4236" s="385">
        <v>0.41666666666666669</v>
      </c>
      <c r="AG4236" s="386">
        <v>20</v>
      </c>
      <c r="AH4236" s="387">
        <f t="shared" si="81"/>
        <v>20</v>
      </c>
    </row>
    <row r="4237" spans="11:34" ht="14.5" x14ac:dyDescent="0.35">
      <c r="K4237" s="4"/>
      <c r="AC4237" s="384">
        <v>2022</v>
      </c>
      <c r="AD4237" s="384">
        <v>6</v>
      </c>
      <c r="AE4237" s="384">
        <v>26</v>
      </c>
      <c r="AF4237" s="385">
        <v>0.45833333333333331</v>
      </c>
      <c r="AG4237" s="386">
        <v>20.8</v>
      </c>
      <c r="AH4237" s="387">
        <f t="shared" si="81"/>
        <v>21</v>
      </c>
    </row>
    <row r="4238" spans="11:34" ht="14.5" x14ac:dyDescent="0.35">
      <c r="K4238" s="4"/>
      <c r="AC4238" s="384">
        <v>2022</v>
      </c>
      <c r="AD4238" s="384">
        <v>6</v>
      </c>
      <c r="AE4238" s="384">
        <v>26</v>
      </c>
      <c r="AF4238" s="385">
        <v>0.5</v>
      </c>
      <c r="AG4238" s="386">
        <v>21.6</v>
      </c>
      <c r="AH4238" s="387">
        <f t="shared" si="81"/>
        <v>22</v>
      </c>
    </row>
    <row r="4239" spans="11:34" ht="14.5" x14ac:dyDescent="0.35">
      <c r="K4239" s="4"/>
      <c r="AC4239" s="384">
        <v>2022</v>
      </c>
      <c r="AD4239" s="384">
        <v>6</v>
      </c>
      <c r="AE4239" s="384">
        <v>26</v>
      </c>
      <c r="AF4239" s="385">
        <v>0.54166666666666663</v>
      </c>
      <c r="AG4239" s="386">
        <v>21.9</v>
      </c>
      <c r="AH4239" s="387">
        <f t="shared" si="81"/>
        <v>22</v>
      </c>
    </row>
    <row r="4240" spans="11:34" ht="14.5" x14ac:dyDescent="0.35">
      <c r="K4240" s="4"/>
      <c r="AC4240" s="384">
        <v>2022</v>
      </c>
      <c r="AD4240" s="384">
        <v>6</v>
      </c>
      <c r="AE4240" s="384">
        <v>26</v>
      </c>
      <c r="AF4240" s="385">
        <v>0.58333333333333337</v>
      </c>
      <c r="AG4240" s="386">
        <v>22.6</v>
      </c>
      <c r="AH4240" s="387">
        <f t="shared" si="81"/>
        <v>23</v>
      </c>
    </row>
    <row r="4241" spans="11:34" ht="14.5" x14ac:dyDescent="0.35">
      <c r="K4241" s="4"/>
      <c r="AC4241" s="384">
        <v>2022</v>
      </c>
      <c r="AD4241" s="384">
        <v>6</v>
      </c>
      <c r="AE4241" s="384">
        <v>26</v>
      </c>
      <c r="AF4241" s="385">
        <v>0.625</v>
      </c>
      <c r="AG4241" s="386">
        <v>23.2</v>
      </c>
      <c r="AH4241" s="387">
        <f t="shared" si="81"/>
        <v>23</v>
      </c>
    </row>
    <row r="4242" spans="11:34" ht="14.5" x14ac:dyDescent="0.35">
      <c r="K4242" s="4"/>
      <c r="AC4242" s="384">
        <v>2022</v>
      </c>
      <c r="AD4242" s="384">
        <v>6</v>
      </c>
      <c r="AE4242" s="384">
        <v>26</v>
      </c>
      <c r="AF4242" s="385">
        <v>0.66666666666666663</v>
      </c>
      <c r="AG4242" s="386">
        <v>22.9</v>
      </c>
      <c r="AH4242" s="387">
        <f t="shared" si="81"/>
        <v>23</v>
      </c>
    </row>
    <row r="4243" spans="11:34" ht="14.5" x14ac:dyDescent="0.35">
      <c r="K4243" s="4"/>
      <c r="AC4243" s="384">
        <v>2022</v>
      </c>
      <c r="AD4243" s="384">
        <v>6</v>
      </c>
      <c r="AE4243" s="384">
        <v>26</v>
      </c>
      <c r="AF4243" s="385">
        <v>0.70833333333333337</v>
      </c>
      <c r="AG4243" s="386">
        <v>23</v>
      </c>
      <c r="AH4243" s="387">
        <f t="shared" si="81"/>
        <v>23</v>
      </c>
    </row>
    <row r="4244" spans="11:34" ht="14.5" x14ac:dyDescent="0.35">
      <c r="K4244" s="4"/>
      <c r="AC4244" s="384">
        <v>2022</v>
      </c>
      <c r="AD4244" s="384">
        <v>6</v>
      </c>
      <c r="AE4244" s="384">
        <v>26</v>
      </c>
      <c r="AF4244" s="385">
        <v>0.75</v>
      </c>
      <c r="AG4244" s="386">
        <v>22.3</v>
      </c>
      <c r="AH4244" s="387">
        <f t="shared" si="81"/>
        <v>22</v>
      </c>
    </row>
    <row r="4245" spans="11:34" ht="14.5" x14ac:dyDescent="0.35">
      <c r="K4245" s="4"/>
      <c r="AC4245" s="384">
        <v>2022</v>
      </c>
      <c r="AD4245" s="384">
        <v>6</v>
      </c>
      <c r="AE4245" s="384">
        <v>26</v>
      </c>
      <c r="AF4245" s="385">
        <v>0.79166666666666663</v>
      </c>
      <c r="AG4245" s="386">
        <v>21.1</v>
      </c>
      <c r="AH4245" s="387">
        <f t="shared" si="81"/>
        <v>21</v>
      </c>
    </row>
    <row r="4246" spans="11:34" ht="14.5" x14ac:dyDescent="0.35">
      <c r="K4246" s="4"/>
      <c r="AC4246" s="384">
        <v>2022</v>
      </c>
      <c r="AD4246" s="384">
        <v>6</v>
      </c>
      <c r="AE4246" s="384">
        <v>26</v>
      </c>
      <c r="AF4246" s="385">
        <v>0.83333333333333337</v>
      </c>
      <c r="AG4246" s="386">
        <v>18.7</v>
      </c>
      <c r="AH4246" s="387">
        <f t="shared" si="81"/>
        <v>19</v>
      </c>
    </row>
    <row r="4247" spans="11:34" ht="14.5" x14ac:dyDescent="0.35">
      <c r="K4247" s="4"/>
      <c r="AC4247" s="384">
        <v>2022</v>
      </c>
      <c r="AD4247" s="384">
        <v>6</v>
      </c>
      <c r="AE4247" s="384">
        <v>26</v>
      </c>
      <c r="AF4247" s="385">
        <v>0.875</v>
      </c>
      <c r="AG4247" s="386">
        <v>15.6</v>
      </c>
      <c r="AH4247" s="387">
        <f t="shared" si="81"/>
        <v>16</v>
      </c>
    </row>
    <row r="4248" spans="11:34" ht="14.5" x14ac:dyDescent="0.35">
      <c r="K4248" s="4"/>
      <c r="AC4248" s="384">
        <v>2022</v>
      </c>
      <c r="AD4248" s="384">
        <v>6</v>
      </c>
      <c r="AE4248" s="384">
        <v>26</v>
      </c>
      <c r="AF4248" s="385">
        <v>0.91666666666666663</v>
      </c>
      <c r="AG4248" s="386">
        <v>16.8</v>
      </c>
      <c r="AH4248" s="387">
        <f t="shared" si="81"/>
        <v>17</v>
      </c>
    </row>
    <row r="4249" spans="11:34" ht="14.5" x14ac:dyDescent="0.35">
      <c r="K4249" s="4"/>
      <c r="AC4249" s="384">
        <v>2022</v>
      </c>
      <c r="AD4249" s="384">
        <v>6</v>
      </c>
      <c r="AE4249" s="384">
        <v>26</v>
      </c>
      <c r="AF4249" s="385">
        <v>0.95833333333333337</v>
      </c>
      <c r="AG4249" s="386">
        <v>15</v>
      </c>
      <c r="AH4249" s="387">
        <f t="shared" si="81"/>
        <v>15</v>
      </c>
    </row>
    <row r="4250" spans="11:34" ht="14.5" x14ac:dyDescent="0.35">
      <c r="K4250" s="4"/>
      <c r="AC4250" s="384">
        <v>2022</v>
      </c>
      <c r="AD4250" s="384">
        <v>6</v>
      </c>
      <c r="AE4250" s="384">
        <v>27</v>
      </c>
      <c r="AF4250" s="385">
        <v>0</v>
      </c>
      <c r="AG4250" s="386">
        <v>14.2</v>
      </c>
      <c r="AH4250" s="387">
        <f t="shared" si="81"/>
        <v>14</v>
      </c>
    </row>
    <row r="4251" spans="11:34" ht="14.5" x14ac:dyDescent="0.35">
      <c r="K4251" s="4"/>
      <c r="AC4251" s="384">
        <v>2022</v>
      </c>
      <c r="AD4251" s="384">
        <v>6</v>
      </c>
      <c r="AE4251" s="384">
        <v>27</v>
      </c>
      <c r="AF4251" s="385">
        <v>4.1666666666666664E-2</v>
      </c>
      <c r="AG4251" s="386">
        <v>11</v>
      </c>
      <c r="AH4251" s="387">
        <f t="shared" si="81"/>
        <v>11</v>
      </c>
    </row>
    <row r="4252" spans="11:34" ht="14.5" x14ac:dyDescent="0.35">
      <c r="K4252" s="4"/>
      <c r="AC4252" s="384">
        <v>2022</v>
      </c>
      <c r="AD4252" s="384">
        <v>6</v>
      </c>
      <c r="AE4252" s="384">
        <v>27</v>
      </c>
      <c r="AF4252" s="385">
        <v>8.3333333333333329E-2</v>
      </c>
      <c r="AG4252" s="386">
        <v>10.1</v>
      </c>
      <c r="AH4252" s="387">
        <f t="shared" si="81"/>
        <v>10</v>
      </c>
    </row>
    <row r="4253" spans="11:34" ht="14.5" x14ac:dyDescent="0.35">
      <c r="K4253" s="4"/>
      <c r="AC4253" s="384">
        <v>2022</v>
      </c>
      <c r="AD4253" s="384">
        <v>6</v>
      </c>
      <c r="AE4253" s="384">
        <v>27</v>
      </c>
      <c r="AF4253" s="385">
        <v>0.125</v>
      </c>
      <c r="AG4253" s="386">
        <v>9.4</v>
      </c>
      <c r="AH4253" s="387">
        <f t="shared" si="81"/>
        <v>9</v>
      </c>
    </row>
    <row r="4254" spans="11:34" ht="14.5" x14ac:dyDescent="0.35">
      <c r="K4254" s="4"/>
      <c r="AC4254" s="384">
        <v>2022</v>
      </c>
      <c r="AD4254" s="384">
        <v>6</v>
      </c>
      <c r="AE4254" s="384">
        <v>27</v>
      </c>
      <c r="AF4254" s="385">
        <v>0.16666666666666666</v>
      </c>
      <c r="AG4254" s="386">
        <v>8.1999999999999993</v>
      </c>
      <c r="AH4254" s="387">
        <f t="shared" si="81"/>
        <v>8</v>
      </c>
    </row>
    <row r="4255" spans="11:34" ht="14.5" x14ac:dyDescent="0.35">
      <c r="K4255" s="4"/>
      <c r="AC4255" s="384">
        <v>2022</v>
      </c>
      <c r="AD4255" s="384">
        <v>6</v>
      </c>
      <c r="AE4255" s="384">
        <v>27</v>
      </c>
      <c r="AF4255" s="385">
        <v>0.20833333333333334</v>
      </c>
      <c r="AG4255" s="386">
        <v>8.8000000000000007</v>
      </c>
      <c r="AH4255" s="387">
        <f t="shared" si="81"/>
        <v>9</v>
      </c>
    </row>
    <row r="4256" spans="11:34" ht="14.5" x14ac:dyDescent="0.35">
      <c r="K4256" s="4"/>
      <c r="AC4256" s="384">
        <v>2022</v>
      </c>
      <c r="AD4256" s="384">
        <v>6</v>
      </c>
      <c r="AE4256" s="384">
        <v>27</v>
      </c>
      <c r="AF4256" s="385">
        <v>0.25</v>
      </c>
      <c r="AG4256" s="386">
        <v>11.8</v>
      </c>
      <c r="AH4256" s="387">
        <f t="shared" si="81"/>
        <v>12</v>
      </c>
    </row>
    <row r="4257" spans="11:34" ht="14.5" x14ac:dyDescent="0.35">
      <c r="K4257" s="4"/>
      <c r="AC4257" s="384">
        <v>2022</v>
      </c>
      <c r="AD4257" s="384">
        <v>6</v>
      </c>
      <c r="AE4257" s="384">
        <v>27</v>
      </c>
      <c r="AF4257" s="385">
        <v>0.29166666666666669</v>
      </c>
      <c r="AG4257" s="386">
        <v>14.1</v>
      </c>
      <c r="AH4257" s="387">
        <f t="shared" si="81"/>
        <v>14</v>
      </c>
    </row>
    <row r="4258" spans="11:34" ht="14.5" x14ac:dyDescent="0.35">
      <c r="K4258" s="4"/>
      <c r="AC4258" s="384">
        <v>2022</v>
      </c>
      <c r="AD4258" s="384">
        <v>6</v>
      </c>
      <c r="AE4258" s="384">
        <v>27</v>
      </c>
      <c r="AF4258" s="385">
        <v>0.33333333333333331</v>
      </c>
      <c r="AG4258" s="386">
        <v>16.3</v>
      </c>
      <c r="AH4258" s="387">
        <f t="shared" si="81"/>
        <v>16</v>
      </c>
    </row>
    <row r="4259" spans="11:34" ht="14.5" x14ac:dyDescent="0.35">
      <c r="K4259" s="4"/>
      <c r="AC4259" s="384">
        <v>2022</v>
      </c>
      <c r="AD4259" s="384">
        <v>6</v>
      </c>
      <c r="AE4259" s="384">
        <v>27</v>
      </c>
      <c r="AF4259" s="385">
        <v>0.375</v>
      </c>
      <c r="AG4259" s="386">
        <v>17.399999999999999</v>
      </c>
      <c r="AH4259" s="387">
        <f t="shared" si="81"/>
        <v>17</v>
      </c>
    </row>
    <row r="4260" spans="11:34" ht="14.5" x14ac:dyDescent="0.35">
      <c r="K4260" s="4"/>
      <c r="AC4260" s="384">
        <v>2022</v>
      </c>
      <c r="AD4260" s="384">
        <v>6</v>
      </c>
      <c r="AE4260" s="384">
        <v>27</v>
      </c>
      <c r="AF4260" s="385">
        <v>0.41666666666666669</v>
      </c>
      <c r="AG4260" s="386">
        <v>19.399999999999999</v>
      </c>
      <c r="AH4260" s="387">
        <f t="shared" si="81"/>
        <v>19</v>
      </c>
    </row>
    <row r="4261" spans="11:34" ht="14.5" x14ac:dyDescent="0.35">
      <c r="K4261" s="4"/>
      <c r="AC4261" s="384">
        <v>2022</v>
      </c>
      <c r="AD4261" s="384">
        <v>6</v>
      </c>
      <c r="AE4261" s="384">
        <v>27</v>
      </c>
      <c r="AF4261" s="385">
        <v>0.45833333333333331</v>
      </c>
      <c r="AG4261" s="386">
        <v>20.9</v>
      </c>
      <c r="AH4261" s="387">
        <f t="shared" si="81"/>
        <v>21</v>
      </c>
    </row>
    <row r="4262" spans="11:34" ht="14.5" x14ac:dyDescent="0.35">
      <c r="K4262" s="4"/>
      <c r="AC4262" s="384">
        <v>2022</v>
      </c>
      <c r="AD4262" s="384">
        <v>6</v>
      </c>
      <c r="AE4262" s="384">
        <v>27</v>
      </c>
      <c r="AF4262" s="385">
        <v>0.5</v>
      </c>
      <c r="AG4262" s="386">
        <v>22.4</v>
      </c>
      <c r="AH4262" s="387">
        <f t="shared" si="81"/>
        <v>22</v>
      </c>
    </row>
    <row r="4263" spans="11:34" ht="14.5" x14ac:dyDescent="0.35">
      <c r="K4263" s="4"/>
      <c r="AC4263" s="384">
        <v>2022</v>
      </c>
      <c r="AD4263" s="384">
        <v>6</v>
      </c>
      <c r="AE4263" s="384">
        <v>27</v>
      </c>
      <c r="AF4263" s="385">
        <v>0.54166666666666663</v>
      </c>
      <c r="AG4263" s="386">
        <v>23</v>
      </c>
      <c r="AH4263" s="387">
        <f t="shared" si="81"/>
        <v>23</v>
      </c>
    </row>
    <row r="4264" spans="11:34" ht="14.5" x14ac:dyDescent="0.35">
      <c r="K4264" s="4"/>
      <c r="AC4264" s="384">
        <v>2022</v>
      </c>
      <c r="AD4264" s="384">
        <v>6</v>
      </c>
      <c r="AE4264" s="384">
        <v>27</v>
      </c>
      <c r="AF4264" s="385">
        <v>0.58333333333333337</v>
      </c>
      <c r="AG4264" s="386">
        <v>23.3</v>
      </c>
      <c r="AH4264" s="387">
        <f t="shared" si="81"/>
        <v>23</v>
      </c>
    </row>
    <row r="4265" spans="11:34" ht="14.5" x14ac:dyDescent="0.35">
      <c r="K4265" s="4"/>
      <c r="AC4265" s="384">
        <v>2022</v>
      </c>
      <c r="AD4265" s="384">
        <v>6</v>
      </c>
      <c r="AE4265" s="384">
        <v>27</v>
      </c>
      <c r="AF4265" s="385">
        <v>0.625</v>
      </c>
      <c r="AG4265" s="386">
        <v>23.5</v>
      </c>
      <c r="AH4265" s="387">
        <f t="shared" si="81"/>
        <v>24</v>
      </c>
    </row>
    <row r="4266" spans="11:34" ht="14.5" x14ac:dyDescent="0.35">
      <c r="K4266" s="4"/>
      <c r="AC4266" s="384">
        <v>2022</v>
      </c>
      <c r="AD4266" s="384">
        <v>6</v>
      </c>
      <c r="AE4266" s="384">
        <v>27</v>
      </c>
      <c r="AF4266" s="385">
        <v>0.66666666666666663</v>
      </c>
      <c r="AG4266" s="386">
        <v>24.2</v>
      </c>
      <c r="AH4266" s="387">
        <f t="shared" si="81"/>
        <v>24</v>
      </c>
    </row>
    <row r="4267" spans="11:34" ht="14.5" x14ac:dyDescent="0.35">
      <c r="K4267" s="4"/>
      <c r="AC4267" s="384">
        <v>2022</v>
      </c>
      <c r="AD4267" s="384">
        <v>6</v>
      </c>
      <c r="AE4267" s="384">
        <v>27</v>
      </c>
      <c r="AF4267" s="385">
        <v>0.70833333333333337</v>
      </c>
      <c r="AG4267" s="386">
        <v>23.9</v>
      </c>
      <c r="AH4267" s="387">
        <f t="shared" si="81"/>
        <v>24</v>
      </c>
    </row>
    <row r="4268" spans="11:34" ht="14.5" x14ac:dyDescent="0.35">
      <c r="K4268" s="4"/>
      <c r="AC4268" s="384">
        <v>2022</v>
      </c>
      <c r="AD4268" s="384">
        <v>6</v>
      </c>
      <c r="AE4268" s="384">
        <v>27</v>
      </c>
      <c r="AF4268" s="385">
        <v>0.75</v>
      </c>
      <c r="AG4268" s="386">
        <v>22.9</v>
      </c>
      <c r="AH4268" s="387">
        <f t="shared" si="81"/>
        <v>23</v>
      </c>
    </row>
    <row r="4269" spans="11:34" ht="14.5" x14ac:dyDescent="0.35">
      <c r="K4269" s="4"/>
      <c r="AC4269" s="384">
        <v>2022</v>
      </c>
      <c r="AD4269" s="384">
        <v>6</v>
      </c>
      <c r="AE4269" s="384">
        <v>27</v>
      </c>
      <c r="AF4269" s="385">
        <v>0.79166666666666663</v>
      </c>
      <c r="AG4269" s="386">
        <v>22.3</v>
      </c>
      <c r="AH4269" s="387">
        <f t="shared" si="81"/>
        <v>22</v>
      </c>
    </row>
    <row r="4270" spans="11:34" ht="14.5" x14ac:dyDescent="0.35">
      <c r="K4270" s="4"/>
      <c r="AC4270" s="384">
        <v>2022</v>
      </c>
      <c r="AD4270" s="384">
        <v>6</v>
      </c>
      <c r="AE4270" s="384">
        <v>27</v>
      </c>
      <c r="AF4270" s="385">
        <v>0.83333333333333337</v>
      </c>
      <c r="AG4270" s="386">
        <v>21</v>
      </c>
      <c r="AH4270" s="387">
        <f t="shared" si="81"/>
        <v>21</v>
      </c>
    </row>
    <row r="4271" spans="11:34" ht="14.5" x14ac:dyDescent="0.35">
      <c r="K4271" s="4"/>
      <c r="AC4271" s="384">
        <v>2022</v>
      </c>
      <c r="AD4271" s="384">
        <v>6</v>
      </c>
      <c r="AE4271" s="384">
        <v>27</v>
      </c>
      <c r="AF4271" s="385">
        <v>0.875</v>
      </c>
      <c r="AG4271" s="386">
        <v>20</v>
      </c>
      <c r="AH4271" s="387">
        <f t="shared" si="81"/>
        <v>20</v>
      </c>
    </row>
    <row r="4272" spans="11:34" ht="14.5" x14ac:dyDescent="0.35">
      <c r="K4272" s="4"/>
      <c r="AC4272" s="384">
        <v>2022</v>
      </c>
      <c r="AD4272" s="384">
        <v>6</v>
      </c>
      <c r="AE4272" s="384">
        <v>27</v>
      </c>
      <c r="AF4272" s="385">
        <v>0.91666666666666663</v>
      </c>
      <c r="AG4272" s="386">
        <v>15</v>
      </c>
      <c r="AH4272" s="387">
        <f t="shared" si="81"/>
        <v>15</v>
      </c>
    </row>
    <row r="4273" spans="11:34" ht="14.5" x14ac:dyDescent="0.35">
      <c r="K4273" s="4"/>
      <c r="AC4273" s="384">
        <v>2022</v>
      </c>
      <c r="AD4273" s="384">
        <v>6</v>
      </c>
      <c r="AE4273" s="384">
        <v>27</v>
      </c>
      <c r="AF4273" s="385">
        <v>0.95833333333333337</v>
      </c>
      <c r="AG4273" s="386">
        <v>13.7</v>
      </c>
      <c r="AH4273" s="387">
        <f t="shared" si="81"/>
        <v>14</v>
      </c>
    </row>
    <row r="4274" spans="11:34" ht="14.5" x14ac:dyDescent="0.35">
      <c r="K4274" s="4"/>
      <c r="AC4274" s="384">
        <v>2022</v>
      </c>
      <c r="AD4274" s="384">
        <v>6</v>
      </c>
      <c r="AE4274" s="384">
        <v>28</v>
      </c>
      <c r="AF4274" s="385">
        <v>0</v>
      </c>
      <c r="AG4274" s="386">
        <v>13.4</v>
      </c>
      <c r="AH4274" s="387">
        <f t="shared" si="81"/>
        <v>13</v>
      </c>
    </row>
    <row r="4275" spans="11:34" ht="14.5" x14ac:dyDescent="0.35">
      <c r="K4275" s="4"/>
      <c r="AC4275" s="384">
        <v>2022</v>
      </c>
      <c r="AD4275" s="384">
        <v>6</v>
      </c>
      <c r="AE4275" s="384">
        <v>28</v>
      </c>
      <c r="AF4275" s="385">
        <v>4.1666666666666664E-2</v>
      </c>
      <c r="AG4275" s="386">
        <v>13.5</v>
      </c>
      <c r="AH4275" s="387">
        <f t="shared" si="81"/>
        <v>14</v>
      </c>
    </row>
    <row r="4276" spans="11:34" ht="14.5" x14ac:dyDescent="0.35">
      <c r="K4276" s="4"/>
      <c r="AC4276" s="384">
        <v>2022</v>
      </c>
      <c r="AD4276" s="384">
        <v>6</v>
      </c>
      <c r="AE4276" s="384">
        <v>28</v>
      </c>
      <c r="AF4276" s="385">
        <v>8.3333333333333329E-2</v>
      </c>
      <c r="AG4276" s="386">
        <v>12.1</v>
      </c>
      <c r="AH4276" s="387">
        <f t="shared" si="81"/>
        <v>12</v>
      </c>
    </row>
    <row r="4277" spans="11:34" ht="14.5" x14ac:dyDescent="0.35">
      <c r="K4277" s="4"/>
      <c r="AC4277" s="384">
        <v>2022</v>
      </c>
      <c r="AD4277" s="384">
        <v>6</v>
      </c>
      <c r="AE4277" s="384">
        <v>28</v>
      </c>
      <c r="AF4277" s="385">
        <v>0.125</v>
      </c>
      <c r="AG4277" s="386">
        <v>11</v>
      </c>
      <c r="AH4277" s="387">
        <f t="shared" si="81"/>
        <v>11</v>
      </c>
    </row>
    <row r="4278" spans="11:34" ht="14.5" x14ac:dyDescent="0.35">
      <c r="K4278" s="4"/>
      <c r="AC4278" s="384">
        <v>2022</v>
      </c>
      <c r="AD4278" s="384">
        <v>6</v>
      </c>
      <c r="AE4278" s="384">
        <v>28</v>
      </c>
      <c r="AF4278" s="385">
        <v>0.16666666666666666</v>
      </c>
      <c r="AG4278" s="386">
        <v>10.4</v>
      </c>
      <c r="AH4278" s="387">
        <f t="shared" si="81"/>
        <v>10</v>
      </c>
    </row>
    <row r="4279" spans="11:34" ht="14.5" x14ac:dyDescent="0.35">
      <c r="K4279" s="4"/>
      <c r="AC4279" s="384">
        <v>2022</v>
      </c>
      <c r="AD4279" s="384">
        <v>6</v>
      </c>
      <c r="AE4279" s="384">
        <v>28</v>
      </c>
      <c r="AF4279" s="385">
        <v>0.20833333333333334</v>
      </c>
      <c r="AG4279" s="386">
        <v>10.7</v>
      </c>
      <c r="AH4279" s="387">
        <f t="shared" si="81"/>
        <v>11</v>
      </c>
    </row>
    <row r="4280" spans="11:34" ht="14.5" x14ac:dyDescent="0.35">
      <c r="K4280" s="4"/>
      <c r="AC4280" s="384">
        <v>2022</v>
      </c>
      <c r="AD4280" s="384">
        <v>6</v>
      </c>
      <c r="AE4280" s="384">
        <v>28</v>
      </c>
      <c r="AF4280" s="385">
        <v>0.25</v>
      </c>
      <c r="AG4280" s="386">
        <v>12.3</v>
      </c>
      <c r="AH4280" s="387">
        <f t="shared" si="81"/>
        <v>12</v>
      </c>
    </row>
    <row r="4281" spans="11:34" ht="14.5" x14ac:dyDescent="0.35">
      <c r="K4281" s="4"/>
      <c r="AC4281" s="384">
        <v>2022</v>
      </c>
      <c r="AD4281" s="384">
        <v>6</v>
      </c>
      <c r="AE4281" s="384">
        <v>28</v>
      </c>
      <c r="AF4281" s="385">
        <v>0.29166666666666669</v>
      </c>
      <c r="AG4281" s="386">
        <v>13</v>
      </c>
      <c r="AH4281" s="387">
        <f t="shared" si="81"/>
        <v>13</v>
      </c>
    </row>
    <row r="4282" spans="11:34" ht="14.5" x14ac:dyDescent="0.35">
      <c r="K4282" s="4"/>
      <c r="AC4282" s="384">
        <v>2022</v>
      </c>
      <c r="AD4282" s="384">
        <v>6</v>
      </c>
      <c r="AE4282" s="384">
        <v>28</v>
      </c>
      <c r="AF4282" s="385">
        <v>0.33333333333333331</v>
      </c>
      <c r="AG4282" s="386">
        <v>15.1</v>
      </c>
      <c r="AH4282" s="387">
        <f t="shared" si="81"/>
        <v>15</v>
      </c>
    </row>
    <row r="4283" spans="11:34" ht="14.5" x14ac:dyDescent="0.35">
      <c r="K4283" s="4"/>
      <c r="AC4283" s="384">
        <v>2022</v>
      </c>
      <c r="AD4283" s="384">
        <v>6</v>
      </c>
      <c r="AE4283" s="384">
        <v>28</v>
      </c>
      <c r="AF4283" s="385">
        <v>0.375</v>
      </c>
      <c r="AG4283" s="386">
        <v>16.7</v>
      </c>
      <c r="AH4283" s="387">
        <f t="shared" si="81"/>
        <v>17</v>
      </c>
    </row>
    <row r="4284" spans="11:34" ht="14.5" x14ac:dyDescent="0.35">
      <c r="K4284" s="4"/>
      <c r="AC4284" s="384">
        <v>2022</v>
      </c>
      <c r="AD4284" s="384">
        <v>6</v>
      </c>
      <c r="AE4284" s="384">
        <v>28</v>
      </c>
      <c r="AF4284" s="385">
        <v>0.41666666666666669</v>
      </c>
      <c r="AG4284" s="386">
        <v>18</v>
      </c>
      <c r="AH4284" s="387">
        <f t="shared" si="81"/>
        <v>18</v>
      </c>
    </row>
    <row r="4285" spans="11:34" ht="14.5" x14ac:dyDescent="0.35">
      <c r="K4285" s="4"/>
      <c r="AC4285" s="384">
        <v>2022</v>
      </c>
      <c r="AD4285" s="384">
        <v>6</v>
      </c>
      <c r="AE4285" s="384">
        <v>28</v>
      </c>
      <c r="AF4285" s="385">
        <v>0.45833333333333331</v>
      </c>
      <c r="AG4285" s="386">
        <v>19.2</v>
      </c>
      <c r="AH4285" s="387">
        <f t="shared" si="81"/>
        <v>19</v>
      </c>
    </row>
    <row r="4286" spans="11:34" ht="14.5" x14ac:dyDescent="0.35">
      <c r="K4286" s="4"/>
      <c r="AC4286" s="384">
        <v>2022</v>
      </c>
      <c r="AD4286" s="384">
        <v>6</v>
      </c>
      <c r="AE4286" s="384">
        <v>28</v>
      </c>
      <c r="AF4286" s="385">
        <v>0.5</v>
      </c>
      <c r="AG4286" s="386">
        <v>20.9</v>
      </c>
      <c r="AH4286" s="387">
        <f t="shared" si="81"/>
        <v>21</v>
      </c>
    </row>
    <row r="4287" spans="11:34" ht="14.5" x14ac:dyDescent="0.35">
      <c r="K4287" s="4"/>
      <c r="AC4287" s="384">
        <v>2022</v>
      </c>
      <c r="AD4287" s="384">
        <v>6</v>
      </c>
      <c r="AE4287" s="384">
        <v>28</v>
      </c>
      <c r="AF4287" s="385">
        <v>0.54166666666666663</v>
      </c>
      <c r="AG4287" s="386">
        <v>19.100000000000001</v>
      </c>
      <c r="AH4287" s="387">
        <f t="shared" si="81"/>
        <v>19</v>
      </c>
    </row>
    <row r="4288" spans="11:34" ht="14.5" x14ac:dyDescent="0.35">
      <c r="K4288" s="4"/>
      <c r="AC4288" s="384">
        <v>2022</v>
      </c>
      <c r="AD4288" s="384">
        <v>6</v>
      </c>
      <c r="AE4288" s="384">
        <v>28</v>
      </c>
      <c r="AF4288" s="385">
        <v>0.58333333333333337</v>
      </c>
      <c r="AG4288" s="386">
        <v>19.600000000000001</v>
      </c>
      <c r="AH4288" s="387">
        <f t="shared" si="81"/>
        <v>20</v>
      </c>
    </row>
    <row r="4289" spans="11:34" ht="14.5" x14ac:dyDescent="0.35">
      <c r="K4289" s="4"/>
      <c r="AC4289" s="384">
        <v>2022</v>
      </c>
      <c r="AD4289" s="384">
        <v>6</v>
      </c>
      <c r="AE4289" s="384">
        <v>28</v>
      </c>
      <c r="AF4289" s="385">
        <v>0.625</v>
      </c>
      <c r="AG4289" s="386">
        <v>21.3</v>
      </c>
      <c r="AH4289" s="387">
        <f t="shared" si="81"/>
        <v>21</v>
      </c>
    </row>
    <row r="4290" spans="11:34" ht="14.5" x14ac:dyDescent="0.35">
      <c r="K4290" s="4"/>
      <c r="AC4290" s="384">
        <v>2022</v>
      </c>
      <c r="AD4290" s="384">
        <v>6</v>
      </c>
      <c r="AE4290" s="384">
        <v>28</v>
      </c>
      <c r="AF4290" s="385">
        <v>0.66666666666666663</v>
      </c>
      <c r="AG4290" s="386">
        <v>20.399999999999999</v>
      </c>
      <c r="AH4290" s="387">
        <f t="shared" si="81"/>
        <v>20</v>
      </c>
    </row>
    <row r="4291" spans="11:34" ht="14.5" x14ac:dyDescent="0.35">
      <c r="K4291" s="4"/>
      <c r="AC4291" s="384">
        <v>2022</v>
      </c>
      <c r="AD4291" s="384">
        <v>6</v>
      </c>
      <c r="AE4291" s="384">
        <v>28</v>
      </c>
      <c r="AF4291" s="385">
        <v>0.70833333333333337</v>
      </c>
      <c r="AG4291" s="386">
        <v>20</v>
      </c>
      <c r="AH4291" s="387">
        <f t="shared" si="81"/>
        <v>20</v>
      </c>
    </row>
    <row r="4292" spans="11:34" ht="14.5" x14ac:dyDescent="0.35">
      <c r="K4292" s="4"/>
      <c r="AC4292" s="384">
        <v>2022</v>
      </c>
      <c r="AD4292" s="384">
        <v>6</v>
      </c>
      <c r="AE4292" s="384">
        <v>28</v>
      </c>
      <c r="AF4292" s="385">
        <v>0.75</v>
      </c>
      <c r="AG4292" s="386">
        <v>19.100000000000001</v>
      </c>
      <c r="AH4292" s="387">
        <f t="shared" si="81"/>
        <v>19</v>
      </c>
    </row>
    <row r="4293" spans="11:34" ht="14.5" x14ac:dyDescent="0.35">
      <c r="K4293" s="4"/>
      <c r="AC4293" s="384">
        <v>2022</v>
      </c>
      <c r="AD4293" s="384">
        <v>6</v>
      </c>
      <c r="AE4293" s="384">
        <v>28</v>
      </c>
      <c r="AF4293" s="385">
        <v>0.79166666666666663</v>
      </c>
      <c r="AG4293" s="386">
        <v>18.2</v>
      </c>
      <c r="AH4293" s="387">
        <f t="shared" si="81"/>
        <v>18</v>
      </c>
    </row>
    <row r="4294" spans="11:34" ht="14.5" x14ac:dyDescent="0.35">
      <c r="K4294" s="4"/>
      <c r="AC4294" s="384">
        <v>2022</v>
      </c>
      <c r="AD4294" s="384">
        <v>6</v>
      </c>
      <c r="AE4294" s="384">
        <v>28</v>
      </c>
      <c r="AF4294" s="385">
        <v>0.83333333333333337</v>
      </c>
      <c r="AG4294" s="386">
        <v>18.100000000000001</v>
      </c>
      <c r="AH4294" s="387">
        <f t="shared" si="81"/>
        <v>18</v>
      </c>
    </row>
    <row r="4295" spans="11:34" ht="14.5" x14ac:dyDescent="0.35">
      <c r="K4295" s="4"/>
      <c r="AC4295" s="384">
        <v>2022</v>
      </c>
      <c r="AD4295" s="384">
        <v>6</v>
      </c>
      <c r="AE4295" s="384">
        <v>28</v>
      </c>
      <c r="AF4295" s="385">
        <v>0.875</v>
      </c>
      <c r="AG4295" s="386">
        <v>15.5</v>
      </c>
      <c r="AH4295" s="387">
        <f t="shared" si="81"/>
        <v>16</v>
      </c>
    </row>
    <row r="4296" spans="11:34" ht="14.5" x14ac:dyDescent="0.35">
      <c r="K4296" s="4"/>
      <c r="AC4296" s="384">
        <v>2022</v>
      </c>
      <c r="AD4296" s="384">
        <v>6</v>
      </c>
      <c r="AE4296" s="384">
        <v>28</v>
      </c>
      <c r="AF4296" s="385">
        <v>0.91666666666666663</v>
      </c>
      <c r="AG4296" s="386">
        <v>15</v>
      </c>
      <c r="AH4296" s="387">
        <f t="shared" si="81"/>
        <v>15</v>
      </c>
    </row>
    <row r="4297" spans="11:34" ht="14.5" x14ac:dyDescent="0.35">
      <c r="K4297" s="4"/>
      <c r="AC4297" s="384">
        <v>2022</v>
      </c>
      <c r="AD4297" s="384">
        <v>6</v>
      </c>
      <c r="AE4297" s="384">
        <v>28</v>
      </c>
      <c r="AF4297" s="385">
        <v>0.95833333333333337</v>
      </c>
      <c r="AG4297" s="386">
        <v>13.3</v>
      </c>
      <c r="AH4297" s="387">
        <f t="shared" si="81"/>
        <v>13</v>
      </c>
    </row>
    <row r="4298" spans="11:34" ht="14.5" x14ac:dyDescent="0.35">
      <c r="K4298" s="4"/>
      <c r="AC4298" s="384">
        <v>2022</v>
      </c>
      <c r="AD4298" s="384">
        <v>6</v>
      </c>
      <c r="AE4298" s="384">
        <v>29</v>
      </c>
      <c r="AF4298" s="385">
        <v>0</v>
      </c>
      <c r="AG4298" s="386">
        <v>12.7</v>
      </c>
      <c r="AH4298" s="387">
        <f t="shared" si="81"/>
        <v>13</v>
      </c>
    </row>
    <row r="4299" spans="11:34" ht="14.5" x14ac:dyDescent="0.35">
      <c r="K4299" s="4"/>
      <c r="AC4299" s="384">
        <v>2022</v>
      </c>
      <c r="AD4299" s="384">
        <v>6</v>
      </c>
      <c r="AE4299" s="384">
        <v>29</v>
      </c>
      <c r="AF4299" s="385">
        <v>4.1666666666666664E-2</v>
      </c>
      <c r="AG4299" s="386">
        <v>12.7</v>
      </c>
      <c r="AH4299" s="387">
        <f t="shared" ref="AH4299:AH4362" si="82">ROUND(AG4299,0)</f>
        <v>13</v>
      </c>
    </row>
    <row r="4300" spans="11:34" ht="14.5" x14ac:dyDescent="0.35">
      <c r="K4300" s="4"/>
      <c r="AC4300" s="384">
        <v>2022</v>
      </c>
      <c r="AD4300" s="384">
        <v>6</v>
      </c>
      <c r="AE4300" s="384">
        <v>29</v>
      </c>
      <c r="AF4300" s="385">
        <v>8.3333333333333329E-2</v>
      </c>
      <c r="AG4300" s="386">
        <v>10.8</v>
      </c>
      <c r="AH4300" s="387">
        <f t="shared" si="82"/>
        <v>11</v>
      </c>
    </row>
    <row r="4301" spans="11:34" ht="14.5" x14ac:dyDescent="0.35">
      <c r="K4301" s="4"/>
      <c r="AC4301" s="384">
        <v>2022</v>
      </c>
      <c r="AD4301" s="384">
        <v>6</v>
      </c>
      <c r="AE4301" s="384">
        <v>29</v>
      </c>
      <c r="AF4301" s="385">
        <v>0.125</v>
      </c>
      <c r="AG4301" s="386">
        <v>10.4</v>
      </c>
      <c r="AH4301" s="387">
        <f t="shared" si="82"/>
        <v>10</v>
      </c>
    </row>
    <row r="4302" spans="11:34" ht="14.5" x14ac:dyDescent="0.35">
      <c r="K4302" s="4"/>
      <c r="AC4302" s="384">
        <v>2022</v>
      </c>
      <c r="AD4302" s="384">
        <v>6</v>
      </c>
      <c r="AE4302" s="384">
        <v>29</v>
      </c>
      <c r="AF4302" s="385">
        <v>0.16666666666666666</v>
      </c>
      <c r="AG4302" s="386">
        <v>9.6999999999999993</v>
      </c>
      <c r="AH4302" s="387">
        <f t="shared" si="82"/>
        <v>10</v>
      </c>
    </row>
    <row r="4303" spans="11:34" ht="14.5" x14ac:dyDescent="0.35">
      <c r="K4303" s="4"/>
      <c r="AC4303" s="384">
        <v>2022</v>
      </c>
      <c r="AD4303" s="384">
        <v>6</v>
      </c>
      <c r="AE4303" s="384">
        <v>29</v>
      </c>
      <c r="AF4303" s="385">
        <v>0.20833333333333334</v>
      </c>
      <c r="AG4303" s="386">
        <v>10.199999999999999</v>
      </c>
      <c r="AH4303" s="387">
        <f t="shared" si="82"/>
        <v>10</v>
      </c>
    </row>
    <row r="4304" spans="11:34" ht="14.5" x14ac:dyDescent="0.35">
      <c r="K4304" s="4"/>
      <c r="AC4304" s="384">
        <v>2022</v>
      </c>
      <c r="AD4304" s="384">
        <v>6</v>
      </c>
      <c r="AE4304" s="384">
        <v>29</v>
      </c>
      <c r="AF4304" s="385">
        <v>0.25</v>
      </c>
      <c r="AG4304" s="386">
        <v>12.2</v>
      </c>
      <c r="AH4304" s="387">
        <f t="shared" si="82"/>
        <v>12</v>
      </c>
    </row>
    <row r="4305" spans="11:34" ht="14.5" x14ac:dyDescent="0.35">
      <c r="K4305" s="4"/>
      <c r="AC4305" s="384">
        <v>2022</v>
      </c>
      <c r="AD4305" s="384">
        <v>6</v>
      </c>
      <c r="AE4305" s="384">
        <v>29</v>
      </c>
      <c r="AF4305" s="385">
        <v>0.29166666666666669</v>
      </c>
      <c r="AG4305" s="386">
        <v>14.3</v>
      </c>
      <c r="AH4305" s="387">
        <f t="shared" si="82"/>
        <v>14</v>
      </c>
    </row>
    <row r="4306" spans="11:34" ht="14.5" x14ac:dyDescent="0.35">
      <c r="K4306" s="4"/>
      <c r="AC4306" s="384">
        <v>2022</v>
      </c>
      <c r="AD4306" s="384">
        <v>6</v>
      </c>
      <c r="AE4306" s="384">
        <v>29</v>
      </c>
      <c r="AF4306" s="385">
        <v>0.33333333333333331</v>
      </c>
      <c r="AG4306" s="386">
        <v>15.3</v>
      </c>
      <c r="AH4306" s="387">
        <f t="shared" si="82"/>
        <v>15</v>
      </c>
    </row>
    <row r="4307" spans="11:34" ht="14.5" x14ac:dyDescent="0.35">
      <c r="K4307" s="4"/>
      <c r="AC4307" s="384">
        <v>2022</v>
      </c>
      <c r="AD4307" s="384">
        <v>6</v>
      </c>
      <c r="AE4307" s="384">
        <v>29</v>
      </c>
      <c r="AF4307" s="385">
        <v>0.375</v>
      </c>
      <c r="AG4307" s="386">
        <v>10.6</v>
      </c>
      <c r="AH4307" s="387">
        <f t="shared" si="82"/>
        <v>11</v>
      </c>
    </row>
    <row r="4308" spans="11:34" ht="14.5" x14ac:dyDescent="0.35">
      <c r="K4308" s="4"/>
      <c r="AC4308" s="384">
        <v>2022</v>
      </c>
      <c r="AD4308" s="384">
        <v>6</v>
      </c>
      <c r="AE4308" s="384">
        <v>29</v>
      </c>
      <c r="AF4308" s="385">
        <v>0.41666666666666669</v>
      </c>
      <c r="AG4308" s="386">
        <v>13.5</v>
      </c>
      <c r="AH4308" s="387">
        <f t="shared" si="82"/>
        <v>14</v>
      </c>
    </row>
    <row r="4309" spans="11:34" ht="14.5" x14ac:dyDescent="0.35">
      <c r="K4309" s="4"/>
      <c r="AC4309" s="384">
        <v>2022</v>
      </c>
      <c r="AD4309" s="384">
        <v>6</v>
      </c>
      <c r="AE4309" s="384">
        <v>29</v>
      </c>
      <c r="AF4309" s="385">
        <v>0.45833333333333331</v>
      </c>
      <c r="AG4309" s="386">
        <v>15.7</v>
      </c>
      <c r="AH4309" s="387">
        <f t="shared" si="82"/>
        <v>16</v>
      </c>
    </row>
    <row r="4310" spans="11:34" ht="14.5" x14ac:dyDescent="0.35">
      <c r="K4310" s="4"/>
      <c r="AC4310" s="384">
        <v>2022</v>
      </c>
      <c r="AD4310" s="384">
        <v>6</v>
      </c>
      <c r="AE4310" s="384">
        <v>29</v>
      </c>
      <c r="AF4310" s="385">
        <v>0.5</v>
      </c>
      <c r="AG4310" s="386">
        <v>16.899999999999999</v>
      </c>
      <c r="AH4310" s="387">
        <f t="shared" si="82"/>
        <v>17</v>
      </c>
    </row>
    <row r="4311" spans="11:34" ht="14.5" x14ac:dyDescent="0.35">
      <c r="K4311" s="4"/>
      <c r="AC4311" s="384">
        <v>2022</v>
      </c>
      <c r="AD4311" s="384">
        <v>6</v>
      </c>
      <c r="AE4311" s="384">
        <v>29</v>
      </c>
      <c r="AF4311" s="385">
        <v>0.54166666666666663</v>
      </c>
      <c r="AG4311" s="386">
        <v>16.600000000000001</v>
      </c>
      <c r="AH4311" s="387">
        <f t="shared" si="82"/>
        <v>17</v>
      </c>
    </row>
    <row r="4312" spans="11:34" ht="14.5" x14ac:dyDescent="0.35">
      <c r="K4312" s="4"/>
      <c r="AC4312" s="384">
        <v>2022</v>
      </c>
      <c r="AD4312" s="384">
        <v>6</v>
      </c>
      <c r="AE4312" s="384">
        <v>29</v>
      </c>
      <c r="AF4312" s="385">
        <v>0.58333333333333337</v>
      </c>
      <c r="AG4312" s="386">
        <v>12.2</v>
      </c>
      <c r="AH4312" s="387">
        <f t="shared" si="82"/>
        <v>12</v>
      </c>
    </row>
    <row r="4313" spans="11:34" ht="14.5" x14ac:dyDescent="0.35">
      <c r="K4313" s="4"/>
      <c r="AC4313" s="384">
        <v>2022</v>
      </c>
      <c r="AD4313" s="384">
        <v>6</v>
      </c>
      <c r="AE4313" s="384">
        <v>29</v>
      </c>
      <c r="AF4313" s="385">
        <v>0.625</v>
      </c>
      <c r="AG4313" s="386">
        <v>14.5</v>
      </c>
      <c r="AH4313" s="387">
        <f t="shared" si="82"/>
        <v>15</v>
      </c>
    </row>
    <row r="4314" spans="11:34" ht="14.5" x14ac:dyDescent="0.35">
      <c r="K4314" s="4"/>
      <c r="AC4314" s="384">
        <v>2022</v>
      </c>
      <c r="AD4314" s="384">
        <v>6</v>
      </c>
      <c r="AE4314" s="384">
        <v>29</v>
      </c>
      <c r="AF4314" s="385">
        <v>0.66666666666666663</v>
      </c>
      <c r="AG4314" s="386">
        <v>15.7</v>
      </c>
      <c r="AH4314" s="387">
        <f t="shared" si="82"/>
        <v>16</v>
      </c>
    </row>
    <row r="4315" spans="11:34" ht="14.5" x14ac:dyDescent="0.35">
      <c r="K4315" s="4"/>
      <c r="AC4315" s="384">
        <v>2022</v>
      </c>
      <c r="AD4315" s="384">
        <v>6</v>
      </c>
      <c r="AE4315" s="384">
        <v>29</v>
      </c>
      <c r="AF4315" s="385">
        <v>0.70833333333333337</v>
      </c>
      <c r="AG4315" s="386">
        <v>15.9</v>
      </c>
      <c r="AH4315" s="387">
        <f t="shared" si="82"/>
        <v>16</v>
      </c>
    </row>
    <row r="4316" spans="11:34" ht="14.5" x14ac:dyDescent="0.35">
      <c r="K4316" s="4"/>
      <c r="AC4316" s="384">
        <v>2022</v>
      </c>
      <c r="AD4316" s="384">
        <v>6</v>
      </c>
      <c r="AE4316" s="384">
        <v>29</v>
      </c>
      <c r="AF4316" s="385">
        <v>0.75</v>
      </c>
      <c r="AG4316" s="386">
        <v>14.1</v>
      </c>
      <c r="AH4316" s="387">
        <f t="shared" si="82"/>
        <v>14</v>
      </c>
    </row>
    <row r="4317" spans="11:34" ht="14.5" x14ac:dyDescent="0.35">
      <c r="K4317" s="4"/>
      <c r="AC4317" s="384">
        <v>2022</v>
      </c>
      <c r="AD4317" s="384">
        <v>6</v>
      </c>
      <c r="AE4317" s="384">
        <v>29</v>
      </c>
      <c r="AF4317" s="385">
        <v>0.79166666666666663</v>
      </c>
      <c r="AG4317" s="386">
        <v>13.7</v>
      </c>
      <c r="AH4317" s="387">
        <f t="shared" si="82"/>
        <v>14</v>
      </c>
    </row>
    <row r="4318" spans="11:34" ht="14.5" x14ac:dyDescent="0.35">
      <c r="K4318" s="4"/>
      <c r="AC4318" s="384">
        <v>2022</v>
      </c>
      <c r="AD4318" s="384">
        <v>6</v>
      </c>
      <c r="AE4318" s="384">
        <v>29</v>
      </c>
      <c r="AF4318" s="385">
        <v>0.83333333333333337</v>
      </c>
      <c r="AG4318" s="386">
        <v>13.2</v>
      </c>
      <c r="AH4318" s="387">
        <f t="shared" si="82"/>
        <v>13</v>
      </c>
    </row>
    <row r="4319" spans="11:34" ht="14.5" x14ac:dyDescent="0.35">
      <c r="K4319" s="4"/>
      <c r="AC4319" s="384">
        <v>2022</v>
      </c>
      <c r="AD4319" s="384">
        <v>6</v>
      </c>
      <c r="AE4319" s="384">
        <v>29</v>
      </c>
      <c r="AF4319" s="385">
        <v>0.875</v>
      </c>
      <c r="AG4319" s="386">
        <v>12.7</v>
      </c>
      <c r="AH4319" s="387">
        <f t="shared" si="82"/>
        <v>13</v>
      </c>
    </row>
    <row r="4320" spans="11:34" ht="14.5" x14ac:dyDescent="0.35">
      <c r="K4320" s="4"/>
      <c r="AC4320" s="384">
        <v>2022</v>
      </c>
      <c r="AD4320" s="384">
        <v>6</v>
      </c>
      <c r="AE4320" s="384">
        <v>29</v>
      </c>
      <c r="AF4320" s="385">
        <v>0.91666666666666663</v>
      </c>
      <c r="AG4320" s="386">
        <v>12.5</v>
      </c>
      <c r="AH4320" s="387">
        <f t="shared" si="82"/>
        <v>13</v>
      </c>
    </row>
    <row r="4321" spans="11:34" ht="14.5" x14ac:dyDescent="0.35">
      <c r="K4321" s="4"/>
      <c r="AC4321" s="384">
        <v>2022</v>
      </c>
      <c r="AD4321" s="384">
        <v>6</v>
      </c>
      <c r="AE4321" s="384">
        <v>29</v>
      </c>
      <c r="AF4321" s="385">
        <v>0.95833333333333337</v>
      </c>
      <c r="AG4321" s="386">
        <v>10.5</v>
      </c>
      <c r="AH4321" s="387">
        <f t="shared" si="82"/>
        <v>11</v>
      </c>
    </row>
    <row r="4322" spans="11:34" ht="14.5" x14ac:dyDescent="0.35">
      <c r="K4322" s="4"/>
      <c r="AC4322" s="384">
        <v>2022</v>
      </c>
      <c r="AD4322" s="384">
        <v>6</v>
      </c>
      <c r="AE4322" s="384">
        <v>30</v>
      </c>
      <c r="AF4322" s="385">
        <v>0</v>
      </c>
      <c r="AG4322" s="386">
        <v>10.9</v>
      </c>
      <c r="AH4322" s="387">
        <f t="shared" si="82"/>
        <v>11</v>
      </c>
    </row>
    <row r="4323" spans="11:34" ht="14.5" x14ac:dyDescent="0.35">
      <c r="K4323" s="4"/>
      <c r="AC4323" s="384">
        <v>2022</v>
      </c>
      <c r="AD4323" s="384">
        <v>6</v>
      </c>
      <c r="AE4323" s="384">
        <v>30</v>
      </c>
      <c r="AF4323" s="385">
        <v>4.1666666666666664E-2</v>
      </c>
      <c r="AG4323" s="386">
        <v>10.8</v>
      </c>
      <c r="AH4323" s="387">
        <f t="shared" si="82"/>
        <v>11</v>
      </c>
    </row>
    <row r="4324" spans="11:34" ht="14.5" x14ac:dyDescent="0.35">
      <c r="K4324" s="4"/>
      <c r="AC4324" s="384">
        <v>2022</v>
      </c>
      <c r="AD4324" s="384">
        <v>6</v>
      </c>
      <c r="AE4324" s="384">
        <v>30</v>
      </c>
      <c r="AF4324" s="385">
        <v>8.3333333333333329E-2</v>
      </c>
      <c r="AG4324" s="386">
        <v>10.4</v>
      </c>
      <c r="AH4324" s="387">
        <f t="shared" si="82"/>
        <v>10</v>
      </c>
    </row>
    <row r="4325" spans="11:34" ht="14.5" x14ac:dyDescent="0.35">
      <c r="K4325" s="4"/>
      <c r="AC4325" s="384">
        <v>2022</v>
      </c>
      <c r="AD4325" s="384">
        <v>6</v>
      </c>
      <c r="AE4325" s="384">
        <v>30</v>
      </c>
      <c r="AF4325" s="385">
        <v>0.125</v>
      </c>
      <c r="AG4325" s="386">
        <v>9.8000000000000007</v>
      </c>
      <c r="AH4325" s="387">
        <f t="shared" si="82"/>
        <v>10</v>
      </c>
    </row>
    <row r="4326" spans="11:34" ht="14.5" x14ac:dyDescent="0.35">
      <c r="K4326" s="4"/>
      <c r="AC4326" s="384">
        <v>2022</v>
      </c>
      <c r="AD4326" s="384">
        <v>6</v>
      </c>
      <c r="AE4326" s="384">
        <v>30</v>
      </c>
      <c r="AF4326" s="385">
        <v>0.16666666666666666</v>
      </c>
      <c r="AG4326" s="386">
        <v>9.1999999999999993</v>
      </c>
      <c r="AH4326" s="387">
        <f t="shared" si="82"/>
        <v>9</v>
      </c>
    </row>
    <row r="4327" spans="11:34" ht="14.5" x14ac:dyDescent="0.35">
      <c r="K4327" s="4"/>
      <c r="AC4327" s="384">
        <v>2022</v>
      </c>
      <c r="AD4327" s="384">
        <v>6</v>
      </c>
      <c r="AE4327" s="384">
        <v>30</v>
      </c>
      <c r="AF4327" s="385">
        <v>0.20833333333333334</v>
      </c>
      <c r="AG4327" s="386">
        <v>9</v>
      </c>
      <c r="AH4327" s="387">
        <f t="shared" si="82"/>
        <v>9</v>
      </c>
    </row>
    <row r="4328" spans="11:34" ht="14.5" x14ac:dyDescent="0.35">
      <c r="K4328" s="4"/>
      <c r="AC4328" s="384">
        <v>2022</v>
      </c>
      <c r="AD4328" s="384">
        <v>6</v>
      </c>
      <c r="AE4328" s="384">
        <v>30</v>
      </c>
      <c r="AF4328" s="385">
        <v>0.25</v>
      </c>
      <c r="AG4328" s="386">
        <v>11</v>
      </c>
      <c r="AH4328" s="387">
        <f t="shared" si="82"/>
        <v>11</v>
      </c>
    </row>
    <row r="4329" spans="11:34" ht="14.5" x14ac:dyDescent="0.35">
      <c r="K4329" s="4"/>
      <c r="AC4329" s="384">
        <v>2022</v>
      </c>
      <c r="AD4329" s="384">
        <v>6</v>
      </c>
      <c r="AE4329" s="384">
        <v>30</v>
      </c>
      <c r="AF4329" s="385">
        <v>0.29166666666666669</v>
      </c>
      <c r="AG4329" s="386">
        <v>13.2</v>
      </c>
      <c r="AH4329" s="387">
        <f t="shared" si="82"/>
        <v>13</v>
      </c>
    </row>
    <row r="4330" spans="11:34" ht="14.5" x14ac:dyDescent="0.35">
      <c r="K4330" s="4"/>
      <c r="AC4330" s="384">
        <v>2022</v>
      </c>
      <c r="AD4330" s="384">
        <v>6</v>
      </c>
      <c r="AE4330" s="384">
        <v>30</v>
      </c>
      <c r="AF4330" s="385">
        <v>0.33333333333333331</v>
      </c>
      <c r="AG4330" s="386">
        <v>15.3</v>
      </c>
      <c r="AH4330" s="387">
        <f t="shared" si="82"/>
        <v>15</v>
      </c>
    </row>
    <row r="4331" spans="11:34" ht="14.5" x14ac:dyDescent="0.35">
      <c r="K4331" s="4"/>
      <c r="AC4331" s="384">
        <v>2022</v>
      </c>
      <c r="AD4331" s="384">
        <v>6</v>
      </c>
      <c r="AE4331" s="384">
        <v>30</v>
      </c>
      <c r="AF4331" s="385">
        <v>0.375</v>
      </c>
      <c r="AG4331" s="386">
        <v>16.5</v>
      </c>
      <c r="AH4331" s="387">
        <f t="shared" si="82"/>
        <v>17</v>
      </c>
    </row>
    <row r="4332" spans="11:34" ht="14.5" x14ac:dyDescent="0.35">
      <c r="K4332" s="4"/>
      <c r="AC4332" s="384">
        <v>2022</v>
      </c>
      <c r="AD4332" s="384">
        <v>6</v>
      </c>
      <c r="AE4332" s="384">
        <v>30</v>
      </c>
      <c r="AF4332" s="385">
        <v>0.41666666666666669</v>
      </c>
      <c r="AG4332" s="386">
        <v>17.600000000000001</v>
      </c>
      <c r="AH4332" s="387">
        <f t="shared" si="82"/>
        <v>18</v>
      </c>
    </row>
    <row r="4333" spans="11:34" ht="14.5" x14ac:dyDescent="0.35">
      <c r="K4333" s="4"/>
      <c r="AC4333" s="384">
        <v>2022</v>
      </c>
      <c r="AD4333" s="384">
        <v>6</v>
      </c>
      <c r="AE4333" s="384">
        <v>30</v>
      </c>
      <c r="AF4333" s="385">
        <v>0.45833333333333331</v>
      </c>
      <c r="AG4333" s="386">
        <v>17.7</v>
      </c>
      <c r="AH4333" s="387">
        <f t="shared" si="82"/>
        <v>18</v>
      </c>
    </row>
    <row r="4334" spans="11:34" ht="14.5" x14ac:dyDescent="0.35">
      <c r="K4334" s="4"/>
      <c r="AC4334" s="384">
        <v>2022</v>
      </c>
      <c r="AD4334" s="384">
        <v>6</v>
      </c>
      <c r="AE4334" s="384">
        <v>30</v>
      </c>
      <c r="AF4334" s="385">
        <v>0.5</v>
      </c>
      <c r="AG4334" s="386">
        <v>19.2</v>
      </c>
      <c r="AH4334" s="387">
        <f t="shared" si="82"/>
        <v>19</v>
      </c>
    </row>
    <row r="4335" spans="11:34" ht="14.5" x14ac:dyDescent="0.35">
      <c r="K4335" s="4"/>
      <c r="AC4335" s="384">
        <v>2022</v>
      </c>
      <c r="AD4335" s="384">
        <v>6</v>
      </c>
      <c r="AE4335" s="384">
        <v>30</v>
      </c>
      <c r="AF4335" s="385">
        <v>0.54166666666666663</v>
      </c>
      <c r="AG4335" s="386">
        <v>19.7</v>
      </c>
      <c r="AH4335" s="387">
        <f t="shared" si="82"/>
        <v>20</v>
      </c>
    </row>
    <row r="4336" spans="11:34" ht="14.5" x14ac:dyDescent="0.35">
      <c r="K4336" s="4"/>
      <c r="AC4336" s="384">
        <v>2022</v>
      </c>
      <c r="AD4336" s="384">
        <v>6</v>
      </c>
      <c r="AE4336" s="384">
        <v>30</v>
      </c>
      <c r="AF4336" s="385">
        <v>0.58333333333333337</v>
      </c>
      <c r="AG4336" s="386">
        <v>17.399999999999999</v>
      </c>
      <c r="AH4336" s="387">
        <f t="shared" si="82"/>
        <v>17</v>
      </c>
    </row>
    <row r="4337" spans="11:34" ht="14.5" x14ac:dyDescent="0.35">
      <c r="K4337" s="4"/>
      <c r="AC4337" s="384">
        <v>2022</v>
      </c>
      <c r="AD4337" s="384">
        <v>6</v>
      </c>
      <c r="AE4337" s="384">
        <v>30</v>
      </c>
      <c r="AF4337" s="385">
        <v>0.625</v>
      </c>
      <c r="AG4337" s="386">
        <v>18.8</v>
      </c>
      <c r="AH4337" s="387">
        <f t="shared" si="82"/>
        <v>19</v>
      </c>
    </row>
    <row r="4338" spans="11:34" ht="14.5" x14ac:dyDescent="0.35">
      <c r="K4338" s="4"/>
      <c r="AC4338" s="384">
        <v>2022</v>
      </c>
      <c r="AD4338" s="384">
        <v>6</v>
      </c>
      <c r="AE4338" s="384">
        <v>30</v>
      </c>
      <c r="AF4338" s="385">
        <v>0.66666666666666663</v>
      </c>
      <c r="AG4338" s="386">
        <v>19.399999999999999</v>
      </c>
      <c r="AH4338" s="387">
        <f t="shared" si="82"/>
        <v>19</v>
      </c>
    </row>
    <row r="4339" spans="11:34" ht="14.5" x14ac:dyDescent="0.35">
      <c r="K4339" s="4"/>
      <c r="AC4339" s="384">
        <v>2022</v>
      </c>
      <c r="AD4339" s="384">
        <v>6</v>
      </c>
      <c r="AE4339" s="384">
        <v>30</v>
      </c>
      <c r="AF4339" s="385">
        <v>0.70833333333333337</v>
      </c>
      <c r="AG4339" s="386">
        <v>19.899999999999999</v>
      </c>
      <c r="AH4339" s="387">
        <f t="shared" si="82"/>
        <v>20</v>
      </c>
    </row>
    <row r="4340" spans="11:34" ht="14.5" x14ac:dyDescent="0.35">
      <c r="K4340" s="4"/>
      <c r="AC4340" s="384">
        <v>2022</v>
      </c>
      <c r="AD4340" s="384">
        <v>6</v>
      </c>
      <c r="AE4340" s="384">
        <v>30</v>
      </c>
      <c r="AF4340" s="385">
        <v>0.75</v>
      </c>
      <c r="AG4340" s="386">
        <v>20.3</v>
      </c>
      <c r="AH4340" s="387">
        <f t="shared" si="82"/>
        <v>20</v>
      </c>
    </row>
    <row r="4341" spans="11:34" ht="14.5" x14ac:dyDescent="0.35">
      <c r="K4341" s="4"/>
      <c r="AC4341" s="384">
        <v>2022</v>
      </c>
      <c r="AD4341" s="384">
        <v>6</v>
      </c>
      <c r="AE4341" s="384">
        <v>30</v>
      </c>
      <c r="AF4341" s="385">
        <v>0.79166666666666663</v>
      </c>
      <c r="AG4341" s="386">
        <v>19.7</v>
      </c>
      <c r="AH4341" s="387">
        <f t="shared" si="82"/>
        <v>20</v>
      </c>
    </row>
    <row r="4342" spans="11:34" ht="14.5" x14ac:dyDescent="0.35">
      <c r="K4342" s="4"/>
      <c r="AC4342" s="384">
        <v>2022</v>
      </c>
      <c r="AD4342" s="384">
        <v>6</v>
      </c>
      <c r="AE4342" s="384">
        <v>30</v>
      </c>
      <c r="AF4342" s="385">
        <v>0.83333333333333337</v>
      </c>
      <c r="AG4342" s="386">
        <v>17.8</v>
      </c>
      <c r="AH4342" s="387">
        <f t="shared" si="82"/>
        <v>18</v>
      </c>
    </row>
    <row r="4343" spans="11:34" ht="14.5" x14ac:dyDescent="0.35">
      <c r="K4343" s="4"/>
      <c r="AC4343" s="384">
        <v>2022</v>
      </c>
      <c r="AD4343" s="384">
        <v>6</v>
      </c>
      <c r="AE4343" s="384">
        <v>30</v>
      </c>
      <c r="AF4343" s="385">
        <v>0.875</v>
      </c>
      <c r="AG4343" s="386">
        <v>15.3</v>
      </c>
      <c r="AH4343" s="387">
        <f t="shared" si="82"/>
        <v>15</v>
      </c>
    </row>
    <row r="4344" spans="11:34" ht="14.5" x14ac:dyDescent="0.35">
      <c r="K4344" s="4"/>
      <c r="AC4344" s="384">
        <v>2022</v>
      </c>
      <c r="AD4344" s="384">
        <v>6</v>
      </c>
      <c r="AE4344" s="384">
        <v>30</v>
      </c>
      <c r="AF4344" s="385">
        <v>0.91666666666666663</v>
      </c>
      <c r="AG4344" s="386">
        <v>14.7</v>
      </c>
      <c r="AH4344" s="387">
        <f t="shared" si="82"/>
        <v>15</v>
      </c>
    </row>
    <row r="4345" spans="11:34" ht="14.5" x14ac:dyDescent="0.35">
      <c r="K4345" s="4"/>
      <c r="AC4345" s="384">
        <v>2022</v>
      </c>
      <c r="AD4345" s="384">
        <v>6</v>
      </c>
      <c r="AE4345" s="384">
        <v>30</v>
      </c>
      <c r="AF4345" s="385">
        <v>0.95833333333333337</v>
      </c>
      <c r="AG4345" s="386">
        <v>14</v>
      </c>
      <c r="AH4345" s="387">
        <f t="shared" si="82"/>
        <v>14</v>
      </c>
    </row>
    <row r="4346" spans="11:34" ht="14.5" x14ac:dyDescent="0.35">
      <c r="K4346" s="4"/>
      <c r="AC4346" s="384">
        <v>2022</v>
      </c>
      <c r="AD4346" s="384">
        <v>7</v>
      </c>
      <c r="AE4346" s="384">
        <v>1</v>
      </c>
      <c r="AF4346" s="385">
        <v>0</v>
      </c>
      <c r="AG4346" s="386">
        <v>14.3</v>
      </c>
      <c r="AH4346" s="387">
        <f t="shared" si="82"/>
        <v>14</v>
      </c>
    </row>
    <row r="4347" spans="11:34" ht="14.5" x14ac:dyDescent="0.35">
      <c r="K4347" s="4"/>
      <c r="AC4347" s="384">
        <v>2022</v>
      </c>
      <c r="AD4347" s="384">
        <v>7</v>
      </c>
      <c r="AE4347" s="384">
        <v>1</v>
      </c>
      <c r="AF4347" s="385">
        <v>4.1666666666666664E-2</v>
      </c>
      <c r="AG4347" s="386">
        <v>13.8</v>
      </c>
      <c r="AH4347" s="387">
        <f t="shared" si="82"/>
        <v>14</v>
      </c>
    </row>
    <row r="4348" spans="11:34" ht="14.5" x14ac:dyDescent="0.35">
      <c r="K4348" s="4"/>
      <c r="AC4348" s="384">
        <v>2022</v>
      </c>
      <c r="AD4348" s="384">
        <v>7</v>
      </c>
      <c r="AE4348" s="384">
        <v>1</v>
      </c>
      <c r="AF4348" s="385">
        <v>8.3333333333333329E-2</v>
      </c>
      <c r="AG4348" s="386">
        <v>13.3</v>
      </c>
      <c r="AH4348" s="387">
        <f t="shared" si="82"/>
        <v>13</v>
      </c>
    </row>
    <row r="4349" spans="11:34" ht="14.5" x14ac:dyDescent="0.35">
      <c r="K4349" s="4"/>
      <c r="AC4349" s="384">
        <v>2022</v>
      </c>
      <c r="AD4349" s="384">
        <v>7</v>
      </c>
      <c r="AE4349" s="384">
        <v>1</v>
      </c>
      <c r="AF4349" s="385">
        <v>0.125</v>
      </c>
      <c r="AG4349" s="386">
        <v>12.3</v>
      </c>
      <c r="AH4349" s="387">
        <f t="shared" si="82"/>
        <v>12</v>
      </c>
    </row>
    <row r="4350" spans="11:34" ht="14.5" x14ac:dyDescent="0.35">
      <c r="K4350" s="4"/>
      <c r="AC4350" s="384">
        <v>2022</v>
      </c>
      <c r="AD4350" s="384">
        <v>7</v>
      </c>
      <c r="AE4350" s="384">
        <v>1</v>
      </c>
      <c r="AF4350" s="385">
        <v>0.16666666666666666</v>
      </c>
      <c r="AG4350" s="386">
        <v>10.8</v>
      </c>
      <c r="AH4350" s="387">
        <f t="shared" si="82"/>
        <v>11</v>
      </c>
    </row>
    <row r="4351" spans="11:34" ht="14.5" x14ac:dyDescent="0.35">
      <c r="K4351" s="4"/>
      <c r="AC4351" s="384">
        <v>2022</v>
      </c>
      <c r="AD4351" s="384">
        <v>7</v>
      </c>
      <c r="AE4351" s="384">
        <v>1</v>
      </c>
      <c r="AF4351" s="385">
        <v>0.20833333333333334</v>
      </c>
      <c r="AG4351" s="386">
        <v>10.5</v>
      </c>
      <c r="AH4351" s="387">
        <f t="shared" si="82"/>
        <v>11</v>
      </c>
    </row>
    <row r="4352" spans="11:34" ht="14.5" x14ac:dyDescent="0.35">
      <c r="K4352" s="4"/>
      <c r="AC4352" s="384">
        <v>2022</v>
      </c>
      <c r="AD4352" s="384">
        <v>7</v>
      </c>
      <c r="AE4352" s="384">
        <v>1</v>
      </c>
      <c r="AF4352" s="385">
        <v>0.25</v>
      </c>
      <c r="AG4352" s="386">
        <v>12.4</v>
      </c>
      <c r="AH4352" s="387">
        <f t="shared" si="82"/>
        <v>12</v>
      </c>
    </row>
    <row r="4353" spans="11:34" ht="14.5" x14ac:dyDescent="0.35">
      <c r="K4353" s="4"/>
      <c r="AC4353" s="384">
        <v>2022</v>
      </c>
      <c r="AD4353" s="384">
        <v>7</v>
      </c>
      <c r="AE4353" s="384">
        <v>1</v>
      </c>
      <c r="AF4353" s="385">
        <v>0.29166666666666669</v>
      </c>
      <c r="AG4353" s="386">
        <v>15.2</v>
      </c>
      <c r="AH4353" s="387">
        <f t="shared" si="82"/>
        <v>15</v>
      </c>
    </row>
    <row r="4354" spans="11:34" ht="14.5" x14ac:dyDescent="0.35">
      <c r="K4354" s="4"/>
      <c r="AC4354" s="384">
        <v>2022</v>
      </c>
      <c r="AD4354" s="384">
        <v>7</v>
      </c>
      <c r="AE4354" s="384">
        <v>1</v>
      </c>
      <c r="AF4354" s="385">
        <v>0.33333333333333331</v>
      </c>
      <c r="AG4354" s="386">
        <v>18.2</v>
      </c>
      <c r="AH4354" s="387">
        <f t="shared" si="82"/>
        <v>18</v>
      </c>
    </row>
    <row r="4355" spans="11:34" ht="14.5" x14ac:dyDescent="0.35">
      <c r="K4355" s="4"/>
      <c r="AC4355" s="384">
        <v>2022</v>
      </c>
      <c r="AD4355" s="384">
        <v>7</v>
      </c>
      <c r="AE4355" s="384">
        <v>1</v>
      </c>
      <c r="AF4355" s="385">
        <v>0.375</v>
      </c>
      <c r="AG4355" s="386">
        <v>19.600000000000001</v>
      </c>
      <c r="AH4355" s="387">
        <f t="shared" si="82"/>
        <v>20</v>
      </c>
    </row>
    <row r="4356" spans="11:34" ht="14.5" x14ac:dyDescent="0.35">
      <c r="K4356" s="4"/>
      <c r="AC4356" s="384">
        <v>2022</v>
      </c>
      <c r="AD4356" s="384">
        <v>7</v>
      </c>
      <c r="AE4356" s="384">
        <v>1</v>
      </c>
      <c r="AF4356" s="385">
        <v>0.41666666666666669</v>
      </c>
      <c r="AG4356" s="386">
        <v>21.7</v>
      </c>
      <c r="AH4356" s="387">
        <f t="shared" si="82"/>
        <v>22</v>
      </c>
    </row>
    <row r="4357" spans="11:34" ht="14.5" x14ac:dyDescent="0.35">
      <c r="K4357" s="4"/>
      <c r="AC4357" s="384">
        <v>2022</v>
      </c>
      <c r="AD4357" s="384">
        <v>7</v>
      </c>
      <c r="AE4357" s="384">
        <v>1</v>
      </c>
      <c r="AF4357" s="385">
        <v>0.45833333333333331</v>
      </c>
      <c r="AG4357" s="386">
        <v>21.4</v>
      </c>
      <c r="AH4357" s="387">
        <f t="shared" si="82"/>
        <v>21</v>
      </c>
    </row>
    <row r="4358" spans="11:34" ht="14.5" x14ac:dyDescent="0.35">
      <c r="K4358" s="4"/>
      <c r="AC4358" s="384">
        <v>2022</v>
      </c>
      <c r="AD4358" s="384">
        <v>7</v>
      </c>
      <c r="AE4358" s="384">
        <v>1</v>
      </c>
      <c r="AF4358" s="385">
        <v>0.5</v>
      </c>
      <c r="AG4358" s="386">
        <v>22.4</v>
      </c>
      <c r="AH4358" s="387">
        <f t="shared" si="82"/>
        <v>22</v>
      </c>
    </row>
    <row r="4359" spans="11:34" ht="14.5" x14ac:dyDescent="0.35">
      <c r="K4359" s="4"/>
      <c r="AC4359" s="384">
        <v>2022</v>
      </c>
      <c r="AD4359" s="384">
        <v>7</v>
      </c>
      <c r="AE4359" s="384">
        <v>1</v>
      </c>
      <c r="AF4359" s="385">
        <v>0.54166666666666663</v>
      </c>
      <c r="AG4359" s="386">
        <v>22.3</v>
      </c>
      <c r="AH4359" s="387">
        <f t="shared" si="82"/>
        <v>22</v>
      </c>
    </row>
    <row r="4360" spans="11:34" ht="14.5" x14ac:dyDescent="0.35">
      <c r="K4360" s="4"/>
      <c r="AC4360" s="384">
        <v>2022</v>
      </c>
      <c r="AD4360" s="384">
        <v>7</v>
      </c>
      <c r="AE4360" s="384">
        <v>1</v>
      </c>
      <c r="AF4360" s="385">
        <v>0.58333333333333337</v>
      </c>
      <c r="AG4360" s="386">
        <v>16.600000000000001</v>
      </c>
      <c r="AH4360" s="387">
        <f t="shared" si="82"/>
        <v>17</v>
      </c>
    </row>
    <row r="4361" spans="11:34" ht="14.5" x14ac:dyDescent="0.35">
      <c r="K4361" s="4"/>
      <c r="AC4361" s="384">
        <v>2022</v>
      </c>
      <c r="AD4361" s="384">
        <v>7</v>
      </c>
      <c r="AE4361" s="384">
        <v>1</v>
      </c>
      <c r="AF4361" s="385">
        <v>0.625</v>
      </c>
      <c r="AG4361" s="386">
        <v>14.3</v>
      </c>
      <c r="AH4361" s="387">
        <f t="shared" si="82"/>
        <v>14</v>
      </c>
    </row>
    <row r="4362" spans="11:34" ht="14.5" x14ac:dyDescent="0.35">
      <c r="K4362" s="4"/>
      <c r="AC4362" s="384">
        <v>2022</v>
      </c>
      <c r="AD4362" s="384">
        <v>7</v>
      </c>
      <c r="AE4362" s="384">
        <v>1</v>
      </c>
      <c r="AF4362" s="385">
        <v>0.66666666666666663</v>
      </c>
      <c r="AG4362" s="386">
        <v>14.1</v>
      </c>
      <c r="AH4362" s="387">
        <f t="shared" si="82"/>
        <v>14</v>
      </c>
    </row>
    <row r="4363" spans="11:34" ht="14.5" x14ac:dyDescent="0.35">
      <c r="K4363" s="4"/>
      <c r="AC4363" s="384">
        <v>2022</v>
      </c>
      <c r="AD4363" s="384">
        <v>7</v>
      </c>
      <c r="AE4363" s="384">
        <v>1</v>
      </c>
      <c r="AF4363" s="385">
        <v>0.70833333333333337</v>
      </c>
      <c r="AG4363" s="386">
        <v>16.399999999999999</v>
      </c>
      <c r="AH4363" s="387">
        <f t="shared" ref="AH4363:AH4426" si="83">ROUND(AG4363,0)</f>
        <v>16</v>
      </c>
    </row>
    <row r="4364" spans="11:34" ht="14.5" x14ac:dyDescent="0.35">
      <c r="K4364" s="4"/>
      <c r="AC4364" s="384">
        <v>2022</v>
      </c>
      <c r="AD4364" s="384">
        <v>7</v>
      </c>
      <c r="AE4364" s="384">
        <v>1</v>
      </c>
      <c r="AF4364" s="385">
        <v>0.75</v>
      </c>
      <c r="AG4364" s="386">
        <v>17.399999999999999</v>
      </c>
      <c r="AH4364" s="387">
        <f t="shared" si="83"/>
        <v>17</v>
      </c>
    </row>
    <row r="4365" spans="11:34" ht="14.5" x14ac:dyDescent="0.35">
      <c r="K4365" s="4"/>
      <c r="AC4365" s="384">
        <v>2022</v>
      </c>
      <c r="AD4365" s="384">
        <v>7</v>
      </c>
      <c r="AE4365" s="384">
        <v>1</v>
      </c>
      <c r="AF4365" s="385">
        <v>0.79166666666666663</v>
      </c>
      <c r="AG4365" s="386">
        <v>17.600000000000001</v>
      </c>
      <c r="AH4365" s="387">
        <f t="shared" si="83"/>
        <v>18</v>
      </c>
    </row>
    <row r="4366" spans="11:34" ht="14.5" x14ac:dyDescent="0.35">
      <c r="K4366" s="4"/>
      <c r="AC4366" s="384">
        <v>2022</v>
      </c>
      <c r="AD4366" s="384">
        <v>7</v>
      </c>
      <c r="AE4366" s="384">
        <v>1</v>
      </c>
      <c r="AF4366" s="385">
        <v>0.83333333333333337</v>
      </c>
      <c r="AG4366" s="386">
        <v>16.899999999999999</v>
      </c>
      <c r="AH4366" s="387">
        <f t="shared" si="83"/>
        <v>17</v>
      </c>
    </row>
    <row r="4367" spans="11:34" ht="14.5" x14ac:dyDescent="0.35">
      <c r="K4367" s="4"/>
      <c r="AC4367" s="384">
        <v>2022</v>
      </c>
      <c r="AD4367" s="384">
        <v>7</v>
      </c>
      <c r="AE4367" s="384">
        <v>1</v>
      </c>
      <c r="AF4367" s="385">
        <v>0.875</v>
      </c>
      <c r="AG4367" s="386">
        <v>14.6</v>
      </c>
      <c r="AH4367" s="387">
        <f t="shared" si="83"/>
        <v>15</v>
      </c>
    </row>
    <row r="4368" spans="11:34" ht="14.5" x14ac:dyDescent="0.35">
      <c r="K4368" s="4"/>
      <c r="AC4368" s="384">
        <v>2022</v>
      </c>
      <c r="AD4368" s="384">
        <v>7</v>
      </c>
      <c r="AE4368" s="384">
        <v>1</v>
      </c>
      <c r="AF4368" s="385">
        <v>0.91666666666666663</v>
      </c>
      <c r="AG4368" s="386">
        <v>13.5</v>
      </c>
      <c r="AH4368" s="387">
        <f t="shared" si="83"/>
        <v>14</v>
      </c>
    </row>
    <row r="4369" spans="11:34" ht="14.5" x14ac:dyDescent="0.35">
      <c r="K4369" s="4"/>
      <c r="AC4369" s="384">
        <v>2022</v>
      </c>
      <c r="AD4369" s="384">
        <v>7</v>
      </c>
      <c r="AE4369" s="384">
        <v>1</v>
      </c>
      <c r="AF4369" s="385">
        <v>0.95833333333333337</v>
      </c>
      <c r="AG4369" s="386">
        <v>12.2</v>
      </c>
      <c r="AH4369" s="387">
        <f t="shared" si="83"/>
        <v>12</v>
      </c>
    </row>
    <row r="4370" spans="11:34" ht="14.5" x14ac:dyDescent="0.35">
      <c r="K4370" s="4"/>
      <c r="AC4370" s="384">
        <v>2022</v>
      </c>
      <c r="AD4370" s="384">
        <v>7</v>
      </c>
      <c r="AE4370" s="384">
        <v>2</v>
      </c>
      <c r="AF4370" s="385">
        <v>0</v>
      </c>
      <c r="AG4370" s="386">
        <v>12</v>
      </c>
      <c r="AH4370" s="387">
        <f t="shared" si="83"/>
        <v>12</v>
      </c>
    </row>
    <row r="4371" spans="11:34" ht="14.5" x14ac:dyDescent="0.35">
      <c r="K4371" s="4"/>
      <c r="AC4371" s="384">
        <v>2022</v>
      </c>
      <c r="AD4371" s="384">
        <v>7</v>
      </c>
      <c r="AE4371" s="384">
        <v>2</v>
      </c>
      <c r="AF4371" s="385">
        <v>4.1666666666666664E-2</v>
      </c>
      <c r="AG4371" s="386">
        <v>11.6</v>
      </c>
      <c r="AH4371" s="387">
        <f t="shared" si="83"/>
        <v>12</v>
      </c>
    </row>
    <row r="4372" spans="11:34" ht="14.5" x14ac:dyDescent="0.35">
      <c r="K4372" s="4"/>
      <c r="AC4372" s="384">
        <v>2022</v>
      </c>
      <c r="AD4372" s="384">
        <v>7</v>
      </c>
      <c r="AE4372" s="384">
        <v>2</v>
      </c>
      <c r="AF4372" s="385">
        <v>8.3333333333333329E-2</v>
      </c>
      <c r="AG4372" s="386">
        <v>11.4</v>
      </c>
      <c r="AH4372" s="387">
        <f t="shared" si="83"/>
        <v>11</v>
      </c>
    </row>
    <row r="4373" spans="11:34" ht="14.5" x14ac:dyDescent="0.35">
      <c r="K4373" s="4"/>
      <c r="AC4373" s="384">
        <v>2022</v>
      </c>
      <c r="AD4373" s="384">
        <v>7</v>
      </c>
      <c r="AE4373" s="384">
        <v>2</v>
      </c>
      <c r="AF4373" s="385">
        <v>0.125</v>
      </c>
      <c r="AG4373" s="386">
        <v>10.5</v>
      </c>
      <c r="AH4373" s="387">
        <f t="shared" si="83"/>
        <v>11</v>
      </c>
    </row>
    <row r="4374" spans="11:34" ht="14.5" x14ac:dyDescent="0.35">
      <c r="K4374" s="4"/>
      <c r="AC4374" s="384">
        <v>2022</v>
      </c>
      <c r="AD4374" s="384">
        <v>7</v>
      </c>
      <c r="AE4374" s="384">
        <v>2</v>
      </c>
      <c r="AF4374" s="385">
        <v>0.16666666666666666</v>
      </c>
      <c r="AG4374" s="386">
        <v>10.8</v>
      </c>
      <c r="AH4374" s="387">
        <f t="shared" si="83"/>
        <v>11</v>
      </c>
    </row>
    <row r="4375" spans="11:34" ht="14.5" x14ac:dyDescent="0.35">
      <c r="K4375" s="4"/>
      <c r="AC4375" s="384">
        <v>2022</v>
      </c>
      <c r="AD4375" s="384">
        <v>7</v>
      </c>
      <c r="AE4375" s="384">
        <v>2</v>
      </c>
      <c r="AF4375" s="385">
        <v>0.20833333333333334</v>
      </c>
      <c r="AG4375" s="386">
        <v>11.3</v>
      </c>
      <c r="AH4375" s="387">
        <f t="shared" si="83"/>
        <v>11</v>
      </c>
    </row>
    <row r="4376" spans="11:34" ht="14.5" x14ac:dyDescent="0.35">
      <c r="K4376" s="4"/>
      <c r="AC4376" s="384">
        <v>2022</v>
      </c>
      <c r="AD4376" s="384">
        <v>7</v>
      </c>
      <c r="AE4376" s="384">
        <v>2</v>
      </c>
      <c r="AF4376" s="385">
        <v>0.25</v>
      </c>
      <c r="AG4376" s="386">
        <v>11.5</v>
      </c>
      <c r="AH4376" s="387">
        <f t="shared" si="83"/>
        <v>12</v>
      </c>
    </row>
    <row r="4377" spans="11:34" ht="14.5" x14ac:dyDescent="0.35">
      <c r="K4377" s="4"/>
      <c r="AC4377" s="384">
        <v>2022</v>
      </c>
      <c r="AD4377" s="384">
        <v>7</v>
      </c>
      <c r="AE4377" s="384">
        <v>2</v>
      </c>
      <c r="AF4377" s="385">
        <v>0.29166666666666669</v>
      </c>
      <c r="AG4377" s="386">
        <v>11.8</v>
      </c>
      <c r="AH4377" s="387">
        <f t="shared" si="83"/>
        <v>12</v>
      </c>
    </row>
    <row r="4378" spans="11:34" ht="14.5" x14ac:dyDescent="0.35">
      <c r="K4378" s="4"/>
      <c r="AC4378" s="384">
        <v>2022</v>
      </c>
      <c r="AD4378" s="384">
        <v>7</v>
      </c>
      <c r="AE4378" s="384">
        <v>2</v>
      </c>
      <c r="AF4378" s="385">
        <v>0.33333333333333331</v>
      </c>
      <c r="AG4378" s="386">
        <v>12.2</v>
      </c>
      <c r="AH4378" s="387">
        <f t="shared" si="83"/>
        <v>12</v>
      </c>
    </row>
    <row r="4379" spans="11:34" ht="14.5" x14ac:dyDescent="0.35">
      <c r="K4379" s="4"/>
      <c r="AC4379" s="384">
        <v>2022</v>
      </c>
      <c r="AD4379" s="384">
        <v>7</v>
      </c>
      <c r="AE4379" s="384">
        <v>2</v>
      </c>
      <c r="AF4379" s="385">
        <v>0.375</v>
      </c>
      <c r="AG4379" s="386">
        <v>13.1</v>
      </c>
      <c r="AH4379" s="387">
        <f t="shared" si="83"/>
        <v>13</v>
      </c>
    </row>
    <row r="4380" spans="11:34" ht="14.5" x14ac:dyDescent="0.35">
      <c r="K4380" s="4"/>
      <c r="AC4380" s="384">
        <v>2022</v>
      </c>
      <c r="AD4380" s="384">
        <v>7</v>
      </c>
      <c r="AE4380" s="384">
        <v>2</v>
      </c>
      <c r="AF4380" s="385">
        <v>0.41666666666666669</v>
      </c>
      <c r="AG4380" s="386">
        <v>13.3</v>
      </c>
      <c r="AH4380" s="387">
        <f t="shared" si="83"/>
        <v>13</v>
      </c>
    </row>
    <row r="4381" spans="11:34" ht="14.5" x14ac:dyDescent="0.35">
      <c r="K4381" s="4"/>
      <c r="AC4381" s="384">
        <v>2022</v>
      </c>
      <c r="AD4381" s="384">
        <v>7</v>
      </c>
      <c r="AE4381" s="384">
        <v>2</v>
      </c>
      <c r="AF4381" s="385">
        <v>0.45833333333333331</v>
      </c>
      <c r="AG4381" s="386">
        <v>14.5</v>
      </c>
      <c r="AH4381" s="387">
        <f t="shared" si="83"/>
        <v>15</v>
      </c>
    </row>
    <row r="4382" spans="11:34" ht="14.5" x14ac:dyDescent="0.35">
      <c r="K4382" s="4"/>
      <c r="AC4382" s="384">
        <v>2022</v>
      </c>
      <c r="AD4382" s="384">
        <v>7</v>
      </c>
      <c r="AE4382" s="384">
        <v>2</v>
      </c>
      <c r="AF4382" s="385">
        <v>0.5</v>
      </c>
      <c r="AG4382" s="386">
        <v>15.1</v>
      </c>
      <c r="AH4382" s="387">
        <f t="shared" si="83"/>
        <v>15</v>
      </c>
    </row>
    <row r="4383" spans="11:34" ht="14.5" x14ac:dyDescent="0.35">
      <c r="K4383" s="4"/>
      <c r="AC4383" s="384">
        <v>2022</v>
      </c>
      <c r="AD4383" s="384">
        <v>7</v>
      </c>
      <c r="AE4383" s="384">
        <v>2</v>
      </c>
      <c r="AF4383" s="385">
        <v>0.54166666666666663</v>
      </c>
      <c r="AG4383" s="386">
        <v>15.9</v>
      </c>
      <c r="AH4383" s="387">
        <f t="shared" si="83"/>
        <v>16</v>
      </c>
    </row>
    <row r="4384" spans="11:34" ht="14.5" x14ac:dyDescent="0.35">
      <c r="K4384" s="4"/>
      <c r="AC4384" s="384">
        <v>2022</v>
      </c>
      <c r="AD4384" s="384">
        <v>7</v>
      </c>
      <c r="AE4384" s="384">
        <v>2</v>
      </c>
      <c r="AF4384" s="385">
        <v>0.58333333333333337</v>
      </c>
      <c r="AG4384" s="386">
        <v>16.7</v>
      </c>
      <c r="AH4384" s="387">
        <f t="shared" si="83"/>
        <v>17</v>
      </c>
    </row>
    <row r="4385" spans="11:34" ht="14.5" x14ac:dyDescent="0.35">
      <c r="K4385" s="4"/>
      <c r="AC4385" s="384">
        <v>2022</v>
      </c>
      <c r="AD4385" s="384">
        <v>7</v>
      </c>
      <c r="AE4385" s="384">
        <v>2</v>
      </c>
      <c r="AF4385" s="385">
        <v>0.625</v>
      </c>
      <c r="AG4385" s="386">
        <v>16.100000000000001</v>
      </c>
      <c r="AH4385" s="387">
        <f t="shared" si="83"/>
        <v>16</v>
      </c>
    </row>
    <row r="4386" spans="11:34" ht="14.5" x14ac:dyDescent="0.35">
      <c r="K4386" s="4"/>
      <c r="AC4386" s="384">
        <v>2022</v>
      </c>
      <c r="AD4386" s="384">
        <v>7</v>
      </c>
      <c r="AE4386" s="384">
        <v>2</v>
      </c>
      <c r="AF4386" s="385">
        <v>0.66666666666666663</v>
      </c>
      <c r="AG4386" s="386">
        <v>15.4</v>
      </c>
      <c r="AH4386" s="387">
        <f t="shared" si="83"/>
        <v>15</v>
      </c>
    </row>
    <row r="4387" spans="11:34" ht="14.5" x14ac:dyDescent="0.35">
      <c r="K4387" s="4"/>
      <c r="AC4387" s="384">
        <v>2022</v>
      </c>
      <c r="AD4387" s="384">
        <v>7</v>
      </c>
      <c r="AE4387" s="384">
        <v>2</v>
      </c>
      <c r="AF4387" s="385">
        <v>0.70833333333333337</v>
      </c>
      <c r="AG4387" s="386">
        <v>14.4</v>
      </c>
      <c r="AH4387" s="387">
        <f t="shared" si="83"/>
        <v>14</v>
      </c>
    </row>
    <row r="4388" spans="11:34" ht="14.5" x14ac:dyDescent="0.35">
      <c r="K4388" s="4"/>
      <c r="AC4388" s="384">
        <v>2022</v>
      </c>
      <c r="AD4388" s="384">
        <v>7</v>
      </c>
      <c r="AE4388" s="384">
        <v>2</v>
      </c>
      <c r="AF4388" s="385">
        <v>0.75</v>
      </c>
      <c r="AG4388" s="386">
        <v>13.1</v>
      </c>
      <c r="AH4388" s="387">
        <f t="shared" si="83"/>
        <v>13</v>
      </c>
    </row>
    <row r="4389" spans="11:34" ht="14.5" x14ac:dyDescent="0.35">
      <c r="K4389" s="4"/>
      <c r="AC4389" s="384">
        <v>2022</v>
      </c>
      <c r="AD4389" s="384">
        <v>7</v>
      </c>
      <c r="AE4389" s="384">
        <v>2</v>
      </c>
      <c r="AF4389" s="385">
        <v>0.79166666666666663</v>
      </c>
      <c r="AG4389" s="386">
        <v>11.8</v>
      </c>
      <c r="AH4389" s="387">
        <f t="shared" si="83"/>
        <v>12</v>
      </c>
    </row>
    <row r="4390" spans="11:34" ht="14.5" x14ac:dyDescent="0.35">
      <c r="K4390" s="4"/>
      <c r="AC4390" s="384">
        <v>2022</v>
      </c>
      <c r="AD4390" s="384">
        <v>7</v>
      </c>
      <c r="AE4390" s="384">
        <v>2</v>
      </c>
      <c r="AF4390" s="385">
        <v>0.83333333333333337</v>
      </c>
      <c r="AG4390" s="386">
        <v>11.1</v>
      </c>
      <c r="AH4390" s="387">
        <f t="shared" si="83"/>
        <v>11</v>
      </c>
    </row>
    <row r="4391" spans="11:34" ht="14.5" x14ac:dyDescent="0.35">
      <c r="K4391" s="4"/>
      <c r="AC4391" s="384">
        <v>2022</v>
      </c>
      <c r="AD4391" s="384">
        <v>7</v>
      </c>
      <c r="AE4391" s="384">
        <v>2</v>
      </c>
      <c r="AF4391" s="385">
        <v>0.875</v>
      </c>
      <c r="AG4391" s="386">
        <v>11</v>
      </c>
      <c r="AH4391" s="387">
        <f t="shared" si="83"/>
        <v>11</v>
      </c>
    </row>
    <row r="4392" spans="11:34" ht="14.5" x14ac:dyDescent="0.35">
      <c r="K4392" s="4"/>
      <c r="AC4392" s="384">
        <v>2022</v>
      </c>
      <c r="AD4392" s="384">
        <v>7</v>
      </c>
      <c r="AE4392" s="384">
        <v>2</v>
      </c>
      <c r="AF4392" s="385">
        <v>0.91666666666666663</v>
      </c>
      <c r="AG4392" s="386">
        <v>10.6</v>
      </c>
      <c r="AH4392" s="387">
        <f t="shared" si="83"/>
        <v>11</v>
      </c>
    </row>
    <row r="4393" spans="11:34" ht="14.5" x14ac:dyDescent="0.35">
      <c r="K4393" s="4"/>
      <c r="AC4393" s="384">
        <v>2022</v>
      </c>
      <c r="AD4393" s="384">
        <v>7</v>
      </c>
      <c r="AE4393" s="384">
        <v>2</v>
      </c>
      <c r="AF4393" s="385">
        <v>0.95833333333333337</v>
      </c>
      <c r="AG4393" s="386">
        <v>10.3</v>
      </c>
      <c r="AH4393" s="387">
        <f t="shared" si="83"/>
        <v>10</v>
      </c>
    </row>
    <row r="4394" spans="11:34" ht="14.5" x14ac:dyDescent="0.35">
      <c r="K4394" s="4"/>
      <c r="AC4394" s="384">
        <v>2022</v>
      </c>
      <c r="AD4394" s="384">
        <v>7</v>
      </c>
      <c r="AE4394" s="384">
        <v>3</v>
      </c>
      <c r="AF4394" s="385">
        <v>0</v>
      </c>
      <c r="AG4394" s="386">
        <v>10.4</v>
      </c>
      <c r="AH4394" s="387">
        <f t="shared" si="83"/>
        <v>10</v>
      </c>
    </row>
    <row r="4395" spans="11:34" ht="14.5" x14ac:dyDescent="0.35">
      <c r="K4395" s="4"/>
      <c r="AC4395" s="384">
        <v>2022</v>
      </c>
      <c r="AD4395" s="384">
        <v>7</v>
      </c>
      <c r="AE4395" s="384">
        <v>3</v>
      </c>
      <c r="AF4395" s="385">
        <v>4.1666666666666664E-2</v>
      </c>
      <c r="AG4395" s="386">
        <v>10.4</v>
      </c>
      <c r="AH4395" s="387">
        <f t="shared" si="83"/>
        <v>10</v>
      </c>
    </row>
    <row r="4396" spans="11:34" ht="14.5" x14ac:dyDescent="0.35">
      <c r="K4396" s="4"/>
      <c r="AC4396" s="384">
        <v>2022</v>
      </c>
      <c r="AD4396" s="384">
        <v>7</v>
      </c>
      <c r="AE4396" s="384">
        <v>3</v>
      </c>
      <c r="AF4396" s="385">
        <v>8.3333333333333329E-2</v>
      </c>
      <c r="AG4396" s="386">
        <v>10</v>
      </c>
      <c r="AH4396" s="387">
        <f t="shared" si="83"/>
        <v>10</v>
      </c>
    </row>
    <row r="4397" spans="11:34" ht="14.5" x14ac:dyDescent="0.35">
      <c r="K4397" s="4"/>
      <c r="AC4397" s="384">
        <v>2022</v>
      </c>
      <c r="AD4397" s="384">
        <v>7</v>
      </c>
      <c r="AE4397" s="384">
        <v>3</v>
      </c>
      <c r="AF4397" s="385">
        <v>0.125</v>
      </c>
      <c r="AG4397" s="386">
        <v>10.199999999999999</v>
      </c>
      <c r="AH4397" s="387">
        <f t="shared" si="83"/>
        <v>10</v>
      </c>
    </row>
    <row r="4398" spans="11:34" ht="14.5" x14ac:dyDescent="0.35">
      <c r="K4398" s="4"/>
      <c r="AC4398" s="384">
        <v>2022</v>
      </c>
      <c r="AD4398" s="384">
        <v>7</v>
      </c>
      <c r="AE4398" s="384">
        <v>3</v>
      </c>
      <c r="AF4398" s="385">
        <v>0.16666666666666666</v>
      </c>
      <c r="AG4398" s="386">
        <v>10.199999999999999</v>
      </c>
      <c r="AH4398" s="387">
        <f t="shared" si="83"/>
        <v>10</v>
      </c>
    </row>
    <row r="4399" spans="11:34" ht="14.5" x14ac:dyDescent="0.35">
      <c r="K4399" s="4"/>
      <c r="AC4399" s="384">
        <v>2022</v>
      </c>
      <c r="AD4399" s="384">
        <v>7</v>
      </c>
      <c r="AE4399" s="384">
        <v>3</v>
      </c>
      <c r="AF4399" s="385">
        <v>0.20833333333333334</v>
      </c>
      <c r="AG4399" s="386">
        <v>10.1</v>
      </c>
      <c r="AH4399" s="387">
        <f t="shared" si="83"/>
        <v>10</v>
      </c>
    </row>
    <row r="4400" spans="11:34" ht="14.5" x14ac:dyDescent="0.35">
      <c r="K4400" s="4"/>
      <c r="AC4400" s="384">
        <v>2022</v>
      </c>
      <c r="AD4400" s="384">
        <v>7</v>
      </c>
      <c r="AE4400" s="384">
        <v>3</v>
      </c>
      <c r="AF4400" s="385">
        <v>0.25</v>
      </c>
      <c r="AG4400" s="386">
        <v>10.4</v>
      </c>
      <c r="AH4400" s="387">
        <f t="shared" si="83"/>
        <v>10</v>
      </c>
    </row>
    <row r="4401" spans="11:34" ht="14.5" x14ac:dyDescent="0.35">
      <c r="K4401" s="4"/>
      <c r="AC4401" s="384">
        <v>2022</v>
      </c>
      <c r="AD4401" s="384">
        <v>7</v>
      </c>
      <c r="AE4401" s="384">
        <v>3</v>
      </c>
      <c r="AF4401" s="385">
        <v>0.29166666666666669</v>
      </c>
      <c r="AG4401" s="386">
        <v>10.8</v>
      </c>
      <c r="AH4401" s="387">
        <f t="shared" si="83"/>
        <v>11</v>
      </c>
    </row>
    <row r="4402" spans="11:34" ht="14.5" x14ac:dyDescent="0.35">
      <c r="K4402" s="4"/>
      <c r="AC4402" s="384">
        <v>2022</v>
      </c>
      <c r="AD4402" s="384">
        <v>7</v>
      </c>
      <c r="AE4402" s="384">
        <v>3</v>
      </c>
      <c r="AF4402" s="385">
        <v>0.33333333333333331</v>
      </c>
      <c r="AG4402" s="386">
        <v>10.9</v>
      </c>
      <c r="AH4402" s="387">
        <f t="shared" si="83"/>
        <v>11</v>
      </c>
    </row>
    <row r="4403" spans="11:34" ht="14.5" x14ac:dyDescent="0.35">
      <c r="K4403" s="4"/>
      <c r="AC4403" s="384">
        <v>2022</v>
      </c>
      <c r="AD4403" s="384">
        <v>7</v>
      </c>
      <c r="AE4403" s="384">
        <v>3</v>
      </c>
      <c r="AF4403" s="385">
        <v>0.375</v>
      </c>
      <c r="AG4403" s="386">
        <v>11.5</v>
      </c>
      <c r="AH4403" s="387">
        <f t="shared" si="83"/>
        <v>12</v>
      </c>
    </row>
    <row r="4404" spans="11:34" ht="14.5" x14ac:dyDescent="0.35">
      <c r="K4404" s="4"/>
      <c r="AC4404" s="384">
        <v>2022</v>
      </c>
      <c r="AD4404" s="384">
        <v>7</v>
      </c>
      <c r="AE4404" s="384">
        <v>3</v>
      </c>
      <c r="AF4404" s="385">
        <v>0.41666666666666669</v>
      </c>
      <c r="AG4404" s="386">
        <v>12.3</v>
      </c>
      <c r="AH4404" s="387">
        <f t="shared" si="83"/>
        <v>12</v>
      </c>
    </row>
    <row r="4405" spans="11:34" ht="14.5" x14ac:dyDescent="0.35">
      <c r="K4405" s="4"/>
      <c r="AC4405" s="384">
        <v>2022</v>
      </c>
      <c r="AD4405" s="384">
        <v>7</v>
      </c>
      <c r="AE4405" s="384">
        <v>3</v>
      </c>
      <c r="AF4405" s="385">
        <v>0.45833333333333331</v>
      </c>
      <c r="AG4405" s="386">
        <v>12.8</v>
      </c>
      <c r="AH4405" s="387">
        <f t="shared" si="83"/>
        <v>13</v>
      </c>
    </row>
    <row r="4406" spans="11:34" ht="14.5" x14ac:dyDescent="0.35">
      <c r="K4406" s="4"/>
      <c r="AC4406" s="384">
        <v>2022</v>
      </c>
      <c r="AD4406" s="384">
        <v>7</v>
      </c>
      <c r="AE4406" s="384">
        <v>3</v>
      </c>
      <c r="AF4406" s="385">
        <v>0.5</v>
      </c>
      <c r="AG4406" s="386">
        <v>13</v>
      </c>
      <c r="AH4406" s="387">
        <f t="shared" si="83"/>
        <v>13</v>
      </c>
    </row>
    <row r="4407" spans="11:34" ht="14.5" x14ac:dyDescent="0.35">
      <c r="K4407" s="4"/>
      <c r="AC4407" s="384">
        <v>2022</v>
      </c>
      <c r="AD4407" s="384">
        <v>7</v>
      </c>
      <c r="AE4407" s="384">
        <v>3</v>
      </c>
      <c r="AF4407" s="385">
        <v>0.54166666666666663</v>
      </c>
      <c r="AG4407" s="386">
        <v>13.5</v>
      </c>
      <c r="AH4407" s="387">
        <f t="shared" si="83"/>
        <v>14</v>
      </c>
    </row>
    <row r="4408" spans="11:34" ht="14.5" x14ac:dyDescent="0.35">
      <c r="K4408" s="4"/>
      <c r="AC4408" s="384">
        <v>2022</v>
      </c>
      <c r="AD4408" s="384">
        <v>7</v>
      </c>
      <c r="AE4408" s="384">
        <v>3</v>
      </c>
      <c r="AF4408" s="385">
        <v>0.58333333333333337</v>
      </c>
      <c r="AG4408" s="386">
        <v>13.6</v>
      </c>
      <c r="AH4408" s="387">
        <f t="shared" si="83"/>
        <v>14</v>
      </c>
    </row>
    <row r="4409" spans="11:34" ht="14.5" x14ac:dyDescent="0.35">
      <c r="K4409" s="4"/>
      <c r="AC4409" s="384">
        <v>2022</v>
      </c>
      <c r="AD4409" s="384">
        <v>7</v>
      </c>
      <c r="AE4409" s="384">
        <v>3</v>
      </c>
      <c r="AF4409" s="385">
        <v>0.625</v>
      </c>
      <c r="AG4409" s="386">
        <v>13.7</v>
      </c>
      <c r="AH4409" s="387">
        <f t="shared" si="83"/>
        <v>14</v>
      </c>
    </row>
    <row r="4410" spans="11:34" ht="14.5" x14ac:dyDescent="0.35">
      <c r="K4410" s="4"/>
      <c r="AC4410" s="384">
        <v>2022</v>
      </c>
      <c r="AD4410" s="384">
        <v>7</v>
      </c>
      <c r="AE4410" s="384">
        <v>3</v>
      </c>
      <c r="AF4410" s="385">
        <v>0.66666666666666663</v>
      </c>
      <c r="AG4410" s="386">
        <v>13.3</v>
      </c>
      <c r="AH4410" s="387">
        <f t="shared" si="83"/>
        <v>13</v>
      </c>
    </row>
    <row r="4411" spans="11:34" ht="14.5" x14ac:dyDescent="0.35">
      <c r="K4411" s="4"/>
      <c r="AC4411" s="384">
        <v>2022</v>
      </c>
      <c r="AD4411" s="384">
        <v>7</v>
      </c>
      <c r="AE4411" s="384">
        <v>3</v>
      </c>
      <c r="AF4411" s="385">
        <v>0.70833333333333337</v>
      </c>
      <c r="AG4411" s="386">
        <v>13</v>
      </c>
      <c r="AH4411" s="387">
        <f t="shared" si="83"/>
        <v>13</v>
      </c>
    </row>
    <row r="4412" spans="11:34" ht="14.5" x14ac:dyDescent="0.35">
      <c r="K4412" s="4"/>
      <c r="AC4412" s="384">
        <v>2022</v>
      </c>
      <c r="AD4412" s="384">
        <v>7</v>
      </c>
      <c r="AE4412" s="384">
        <v>3</v>
      </c>
      <c r="AF4412" s="385">
        <v>0.75</v>
      </c>
      <c r="AG4412" s="386">
        <v>13.1</v>
      </c>
      <c r="AH4412" s="387">
        <f t="shared" si="83"/>
        <v>13</v>
      </c>
    </row>
    <row r="4413" spans="11:34" ht="14.5" x14ac:dyDescent="0.35">
      <c r="K4413" s="4"/>
      <c r="AC4413" s="384">
        <v>2022</v>
      </c>
      <c r="AD4413" s="384">
        <v>7</v>
      </c>
      <c r="AE4413" s="384">
        <v>3</v>
      </c>
      <c r="AF4413" s="385">
        <v>0.79166666666666663</v>
      </c>
      <c r="AG4413" s="386">
        <v>12.9</v>
      </c>
      <c r="AH4413" s="387">
        <f t="shared" si="83"/>
        <v>13</v>
      </c>
    </row>
    <row r="4414" spans="11:34" ht="14.5" x14ac:dyDescent="0.35">
      <c r="K4414" s="4"/>
      <c r="AC4414" s="384">
        <v>2022</v>
      </c>
      <c r="AD4414" s="384">
        <v>7</v>
      </c>
      <c r="AE4414" s="384">
        <v>3</v>
      </c>
      <c r="AF4414" s="385">
        <v>0.83333333333333337</v>
      </c>
      <c r="AG4414" s="386">
        <v>12.5</v>
      </c>
      <c r="AH4414" s="387">
        <f t="shared" si="83"/>
        <v>13</v>
      </c>
    </row>
    <row r="4415" spans="11:34" ht="14.5" x14ac:dyDescent="0.35">
      <c r="K4415" s="4"/>
      <c r="AC4415" s="384">
        <v>2022</v>
      </c>
      <c r="AD4415" s="384">
        <v>7</v>
      </c>
      <c r="AE4415" s="384">
        <v>3</v>
      </c>
      <c r="AF4415" s="385">
        <v>0.875</v>
      </c>
      <c r="AG4415" s="386">
        <v>11.9</v>
      </c>
      <c r="AH4415" s="387">
        <f t="shared" si="83"/>
        <v>12</v>
      </c>
    </row>
    <row r="4416" spans="11:34" ht="14.5" x14ac:dyDescent="0.35">
      <c r="K4416" s="4"/>
      <c r="AC4416" s="384">
        <v>2022</v>
      </c>
      <c r="AD4416" s="384">
        <v>7</v>
      </c>
      <c r="AE4416" s="384">
        <v>3</v>
      </c>
      <c r="AF4416" s="385">
        <v>0.91666666666666663</v>
      </c>
      <c r="AG4416" s="386">
        <v>11.7</v>
      </c>
      <c r="AH4416" s="387">
        <f t="shared" si="83"/>
        <v>12</v>
      </c>
    </row>
    <row r="4417" spans="11:34" ht="14.5" x14ac:dyDescent="0.35">
      <c r="K4417" s="4"/>
      <c r="AC4417" s="384">
        <v>2022</v>
      </c>
      <c r="AD4417" s="384">
        <v>7</v>
      </c>
      <c r="AE4417" s="384">
        <v>3</v>
      </c>
      <c r="AF4417" s="385">
        <v>0.95833333333333337</v>
      </c>
      <c r="AG4417" s="386">
        <v>11.6</v>
      </c>
      <c r="AH4417" s="387">
        <f t="shared" si="83"/>
        <v>12</v>
      </c>
    </row>
    <row r="4418" spans="11:34" ht="14.5" x14ac:dyDescent="0.35">
      <c r="K4418" s="4"/>
      <c r="AC4418" s="384">
        <v>2022</v>
      </c>
      <c r="AD4418" s="384">
        <v>7</v>
      </c>
      <c r="AE4418" s="384">
        <v>4</v>
      </c>
      <c r="AF4418" s="385">
        <v>0</v>
      </c>
      <c r="AG4418" s="386">
        <v>11.3</v>
      </c>
      <c r="AH4418" s="387">
        <f t="shared" si="83"/>
        <v>11</v>
      </c>
    </row>
    <row r="4419" spans="11:34" ht="14.5" x14ac:dyDescent="0.35">
      <c r="K4419" s="4"/>
      <c r="AC4419" s="384">
        <v>2022</v>
      </c>
      <c r="AD4419" s="384">
        <v>7</v>
      </c>
      <c r="AE4419" s="384">
        <v>4</v>
      </c>
      <c r="AF4419" s="385">
        <v>4.1666666666666664E-2</v>
      </c>
      <c r="AG4419" s="386">
        <v>11.1</v>
      </c>
      <c r="AH4419" s="387">
        <f t="shared" si="83"/>
        <v>11</v>
      </c>
    </row>
    <row r="4420" spans="11:34" ht="14.5" x14ac:dyDescent="0.35">
      <c r="K4420" s="4"/>
      <c r="AC4420" s="384">
        <v>2022</v>
      </c>
      <c r="AD4420" s="384">
        <v>7</v>
      </c>
      <c r="AE4420" s="384">
        <v>4</v>
      </c>
      <c r="AF4420" s="385">
        <v>8.3333333333333329E-2</v>
      </c>
      <c r="AG4420" s="386">
        <v>11</v>
      </c>
      <c r="AH4420" s="387">
        <f t="shared" si="83"/>
        <v>11</v>
      </c>
    </row>
    <row r="4421" spans="11:34" ht="14.5" x14ac:dyDescent="0.35">
      <c r="K4421" s="4"/>
      <c r="AC4421" s="384">
        <v>2022</v>
      </c>
      <c r="AD4421" s="384">
        <v>7</v>
      </c>
      <c r="AE4421" s="384">
        <v>4</v>
      </c>
      <c r="AF4421" s="385">
        <v>0.125</v>
      </c>
      <c r="AG4421" s="386">
        <v>10.9</v>
      </c>
      <c r="AH4421" s="387">
        <f t="shared" si="83"/>
        <v>11</v>
      </c>
    </row>
    <row r="4422" spans="11:34" ht="14.5" x14ac:dyDescent="0.35">
      <c r="K4422" s="4"/>
      <c r="AC4422" s="384">
        <v>2022</v>
      </c>
      <c r="AD4422" s="384">
        <v>7</v>
      </c>
      <c r="AE4422" s="384">
        <v>4</v>
      </c>
      <c r="AF4422" s="385">
        <v>0.16666666666666666</v>
      </c>
      <c r="AG4422" s="386">
        <v>10.9</v>
      </c>
      <c r="AH4422" s="387">
        <f t="shared" si="83"/>
        <v>11</v>
      </c>
    </row>
    <row r="4423" spans="11:34" ht="14.5" x14ac:dyDescent="0.35">
      <c r="K4423" s="4"/>
      <c r="AC4423" s="384">
        <v>2022</v>
      </c>
      <c r="AD4423" s="384">
        <v>7</v>
      </c>
      <c r="AE4423" s="384">
        <v>4</v>
      </c>
      <c r="AF4423" s="385">
        <v>0.20833333333333334</v>
      </c>
      <c r="AG4423" s="386">
        <v>10.5</v>
      </c>
      <c r="AH4423" s="387">
        <f t="shared" si="83"/>
        <v>11</v>
      </c>
    </row>
    <row r="4424" spans="11:34" ht="14.5" x14ac:dyDescent="0.35">
      <c r="K4424" s="4"/>
      <c r="AC4424" s="384">
        <v>2022</v>
      </c>
      <c r="AD4424" s="384">
        <v>7</v>
      </c>
      <c r="AE4424" s="384">
        <v>4</v>
      </c>
      <c r="AF4424" s="385">
        <v>0.25</v>
      </c>
      <c r="AG4424" s="386">
        <v>10.3</v>
      </c>
      <c r="AH4424" s="387">
        <f t="shared" si="83"/>
        <v>10</v>
      </c>
    </row>
    <row r="4425" spans="11:34" ht="14.5" x14ac:dyDescent="0.35">
      <c r="K4425" s="4"/>
      <c r="AC4425" s="384">
        <v>2022</v>
      </c>
      <c r="AD4425" s="384">
        <v>7</v>
      </c>
      <c r="AE4425" s="384">
        <v>4</v>
      </c>
      <c r="AF4425" s="385">
        <v>0.29166666666666669</v>
      </c>
      <c r="AG4425" s="386">
        <v>10.5</v>
      </c>
      <c r="AH4425" s="387">
        <f t="shared" si="83"/>
        <v>11</v>
      </c>
    </row>
    <row r="4426" spans="11:34" ht="14.5" x14ac:dyDescent="0.35">
      <c r="K4426" s="4"/>
      <c r="AC4426" s="384">
        <v>2022</v>
      </c>
      <c r="AD4426" s="384">
        <v>7</v>
      </c>
      <c r="AE4426" s="384">
        <v>4</v>
      </c>
      <c r="AF4426" s="385">
        <v>0.33333333333333331</v>
      </c>
      <c r="AG4426" s="386">
        <v>10.9</v>
      </c>
      <c r="AH4426" s="387">
        <f t="shared" si="83"/>
        <v>11</v>
      </c>
    </row>
    <row r="4427" spans="11:34" ht="14.5" x14ac:dyDescent="0.35">
      <c r="K4427" s="4"/>
      <c r="AC4427" s="384">
        <v>2022</v>
      </c>
      <c r="AD4427" s="384">
        <v>7</v>
      </c>
      <c r="AE4427" s="384">
        <v>4</v>
      </c>
      <c r="AF4427" s="385">
        <v>0.375</v>
      </c>
      <c r="AG4427" s="386">
        <v>11.3</v>
      </c>
      <c r="AH4427" s="387">
        <f t="shared" ref="AH4427:AH4490" si="84">ROUND(AG4427,0)</f>
        <v>11</v>
      </c>
    </row>
    <row r="4428" spans="11:34" ht="14.5" x14ac:dyDescent="0.35">
      <c r="K4428" s="4"/>
      <c r="AC4428" s="384">
        <v>2022</v>
      </c>
      <c r="AD4428" s="384">
        <v>7</v>
      </c>
      <c r="AE4428" s="384">
        <v>4</v>
      </c>
      <c r="AF4428" s="385">
        <v>0.41666666666666669</v>
      </c>
      <c r="AG4428" s="386">
        <v>12.1</v>
      </c>
      <c r="AH4428" s="387">
        <f t="shared" si="84"/>
        <v>12</v>
      </c>
    </row>
    <row r="4429" spans="11:34" ht="14.5" x14ac:dyDescent="0.35">
      <c r="K4429" s="4"/>
      <c r="AC4429" s="384">
        <v>2022</v>
      </c>
      <c r="AD4429" s="384">
        <v>7</v>
      </c>
      <c r="AE4429" s="384">
        <v>4</v>
      </c>
      <c r="AF4429" s="385">
        <v>0.45833333333333331</v>
      </c>
      <c r="AG4429" s="386">
        <v>12.6</v>
      </c>
      <c r="AH4429" s="387">
        <f t="shared" si="84"/>
        <v>13</v>
      </c>
    </row>
    <row r="4430" spans="11:34" ht="14.5" x14ac:dyDescent="0.35">
      <c r="K4430" s="4"/>
      <c r="AC4430" s="384">
        <v>2022</v>
      </c>
      <c r="AD4430" s="384">
        <v>7</v>
      </c>
      <c r="AE4430" s="384">
        <v>4</v>
      </c>
      <c r="AF4430" s="385">
        <v>0.5</v>
      </c>
      <c r="AG4430" s="386">
        <v>12.9</v>
      </c>
      <c r="AH4430" s="387">
        <f t="shared" si="84"/>
        <v>13</v>
      </c>
    </row>
    <row r="4431" spans="11:34" ht="14.5" x14ac:dyDescent="0.35">
      <c r="K4431" s="4"/>
      <c r="AC4431" s="384">
        <v>2022</v>
      </c>
      <c r="AD4431" s="384">
        <v>7</v>
      </c>
      <c r="AE4431" s="384">
        <v>4</v>
      </c>
      <c r="AF4431" s="385">
        <v>0.54166666666666663</v>
      </c>
      <c r="AG4431" s="386">
        <v>13.4</v>
      </c>
      <c r="AH4431" s="387">
        <f t="shared" si="84"/>
        <v>13</v>
      </c>
    </row>
    <row r="4432" spans="11:34" ht="14.5" x14ac:dyDescent="0.35">
      <c r="K4432" s="4"/>
      <c r="AC4432" s="384">
        <v>2022</v>
      </c>
      <c r="AD4432" s="384">
        <v>7</v>
      </c>
      <c r="AE4432" s="384">
        <v>4</v>
      </c>
      <c r="AF4432" s="385">
        <v>0.58333333333333337</v>
      </c>
      <c r="AG4432" s="386">
        <v>12.8</v>
      </c>
      <c r="AH4432" s="387">
        <f t="shared" si="84"/>
        <v>13</v>
      </c>
    </row>
    <row r="4433" spans="11:34" ht="14.5" x14ac:dyDescent="0.35">
      <c r="K4433" s="4"/>
      <c r="AC4433" s="384">
        <v>2022</v>
      </c>
      <c r="AD4433" s="384">
        <v>7</v>
      </c>
      <c r="AE4433" s="384">
        <v>4</v>
      </c>
      <c r="AF4433" s="385">
        <v>0.625</v>
      </c>
      <c r="AG4433" s="386">
        <v>14.2</v>
      </c>
      <c r="AH4433" s="387">
        <f t="shared" si="84"/>
        <v>14</v>
      </c>
    </row>
    <row r="4434" spans="11:34" ht="14.5" x14ac:dyDescent="0.35">
      <c r="K4434" s="4"/>
      <c r="AC4434" s="384">
        <v>2022</v>
      </c>
      <c r="AD4434" s="384">
        <v>7</v>
      </c>
      <c r="AE4434" s="384">
        <v>4</v>
      </c>
      <c r="AF4434" s="385">
        <v>0.66666666666666663</v>
      </c>
      <c r="AG4434" s="386">
        <v>13.9</v>
      </c>
      <c r="AH4434" s="387">
        <f t="shared" si="84"/>
        <v>14</v>
      </c>
    </row>
    <row r="4435" spans="11:34" ht="14.5" x14ac:dyDescent="0.35">
      <c r="K4435" s="4"/>
      <c r="AC4435" s="384">
        <v>2022</v>
      </c>
      <c r="AD4435" s="384">
        <v>7</v>
      </c>
      <c r="AE4435" s="384">
        <v>4</v>
      </c>
      <c r="AF4435" s="385">
        <v>0.70833333333333337</v>
      </c>
      <c r="AG4435" s="386">
        <v>12.8</v>
      </c>
      <c r="AH4435" s="387">
        <f t="shared" si="84"/>
        <v>13</v>
      </c>
    </row>
    <row r="4436" spans="11:34" ht="14.5" x14ac:dyDescent="0.35">
      <c r="K4436" s="4"/>
      <c r="AC4436" s="384">
        <v>2022</v>
      </c>
      <c r="AD4436" s="384">
        <v>7</v>
      </c>
      <c r="AE4436" s="384">
        <v>4</v>
      </c>
      <c r="AF4436" s="385">
        <v>0.75</v>
      </c>
      <c r="AG4436" s="386">
        <v>12.2</v>
      </c>
      <c r="AH4436" s="387">
        <f t="shared" si="84"/>
        <v>12</v>
      </c>
    </row>
    <row r="4437" spans="11:34" ht="14.5" x14ac:dyDescent="0.35">
      <c r="K4437" s="4"/>
      <c r="AC4437" s="384">
        <v>2022</v>
      </c>
      <c r="AD4437" s="384">
        <v>7</v>
      </c>
      <c r="AE4437" s="384">
        <v>4</v>
      </c>
      <c r="AF4437" s="385">
        <v>0.79166666666666663</v>
      </c>
      <c r="AG4437" s="386">
        <v>12.1</v>
      </c>
      <c r="AH4437" s="387">
        <f t="shared" si="84"/>
        <v>12</v>
      </c>
    </row>
    <row r="4438" spans="11:34" ht="14.5" x14ac:dyDescent="0.35">
      <c r="K4438" s="4"/>
      <c r="AC4438" s="384">
        <v>2022</v>
      </c>
      <c r="AD4438" s="384">
        <v>7</v>
      </c>
      <c r="AE4438" s="384">
        <v>4</v>
      </c>
      <c r="AF4438" s="385">
        <v>0.83333333333333337</v>
      </c>
      <c r="AG4438" s="386">
        <v>12.2</v>
      </c>
      <c r="AH4438" s="387">
        <f t="shared" si="84"/>
        <v>12</v>
      </c>
    </row>
    <row r="4439" spans="11:34" ht="14.5" x14ac:dyDescent="0.35">
      <c r="K4439" s="4"/>
      <c r="AC4439" s="384">
        <v>2022</v>
      </c>
      <c r="AD4439" s="384">
        <v>7</v>
      </c>
      <c r="AE4439" s="384">
        <v>4</v>
      </c>
      <c r="AF4439" s="385">
        <v>0.875</v>
      </c>
      <c r="AG4439" s="386">
        <v>12.3</v>
      </c>
      <c r="AH4439" s="387">
        <f t="shared" si="84"/>
        <v>12</v>
      </c>
    </row>
    <row r="4440" spans="11:34" ht="14.5" x14ac:dyDescent="0.35">
      <c r="K4440" s="4"/>
      <c r="AC4440" s="384">
        <v>2022</v>
      </c>
      <c r="AD4440" s="384">
        <v>7</v>
      </c>
      <c r="AE4440" s="384">
        <v>4</v>
      </c>
      <c r="AF4440" s="385">
        <v>0.91666666666666663</v>
      </c>
      <c r="AG4440" s="386">
        <v>12.3</v>
      </c>
      <c r="AH4440" s="387">
        <f t="shared" si="84"/>
        <v>12</v>
      </c>
    </row>
    <row r="4441" spans="11:34" ht="14.5" x14ac:dyDescent="0.35">
      <c r="K4441" s="4"/>
      <c r="AC4441" s="384">
        <v>2022</v>
      </c>
      <c r="AD4441" s="384">
        <v>7</v>
      </c>
      <c r="AE4441" s="384">
        <v>4</v>
      </c>
      <c r="AF4441" s="385">
        <v>0.95833333333333337</v>
      </c>
      <c r="AG4441" s="386">
        <v>12.1</v>
      </c>
      <c r="AH4441" s="387">
        <f t="shared" si="84"/>
        <v>12</v>
      </c>
    </row>
    <row r="4442" spans="11:34" ht="14.5" x14ac:dyDescent="0.35">
      <c r="K4442" s="4"/>
      <c r="AC4442" s="384">
        <v>2022</v>
      </c>
      <c r="AD4442" s="384">
        <v>7</v>
      </c>
      <c r="AE4442" s="384">
        <v>5</v>
      </c>
      <c r="AF4442" s="385">
        <v>0</v>
      </c>
      <c r="AG4442" s="386">
        <v>12.6</v>
      </c>
      <c r="AH4442" s="387">
        <f t="shared" si="84"/>
        <v>13</v>
      </c>
    </row>
    <row r="4443" spans="11:34" ht="14.5" x14ac:dyDescent="0.35">
      <c r="K4443" s="4"/>
      <c r="AC4443" s="384">
        <v>2022</v>
      </c>
      <c r="AD4443" s="384">
        <v>7</v>
      </c>
      <c r="AE4443" s="384">
        <v>5</v>
      </c>
      <c r="AF4443" s="385">
        <v>4.1666666666666664E-2</v>
      </c>
      <c r="AG4443" s="386">
        <v>12.7</v>
      </c>
      <c r="AH4443" s="387">
        <f t="shared" si="84"/>
        <v>13</v>
      </c>
    </row>
    <row r="4444" spans="11:34" ht="14.5" x14ac:dyDescent="0.35">
      <c r="K4444" s="4"/>
      <c r="AC4444" s="384">
        <v>2022</v>
      </c>
      <c r="AD4444" s="384">
        <v>7</v>
      </c>
      <c r="AE4444" s="384">
        <v>5</v>
      </c>
      <c r="AF4444" s="385">
        <v>8.3333333333333329E-2</v>
      </c>
      <c r="AG4444" s="386">
        <v>12.2</v>
      </c>
      <c r="AH4444" s="387">
        <f t="shared" si="84"/>
        <v>12</v>
      </c>
    </row>
    <row r="4445" spans="11:34" ht="14.5" x14ac:dyDescent="0.35">
      <c r="K4445" s="4"/>
      <c r="AC4445" s="384">
        <v>2022</v>
      </c>
      <c r="AD4445" s="384">
        <v>7</v>
      </c>
      <c r="AE4445" s="384">
        <v>5</v>
      </c>
      <c r="AF4445" s="385">
        <v>0.125</v>
      </c>
      <c r="AG4445" s="386">
        <v>11.3</v>
      </c>
      <c r="AH4445" s="387">
        <f t="shared" si="84"/>
        <v>11</v>
      </c>
    </row>
    <row r="4446" spans="11:34" ht="14.5" x14ac:dyDescent="0.35">
      <c r="K4446" s="4"/>
      <c r="AC4446" s="384">
        <v>2022</v>
      </c>
      <c r="AD4446" s="384">
        <v>7</v>
      </c>
      <c r="AE4446" s="384">
        <v>5</v>
      </c>
      <c r="AF4446" s="385">
        <v>0.16666666666666666</v>
      </c>
      <c r="AG4446" s="386">
        <v>9.6999999999999993</v>
      </c>
      <c r="AH4446" s="387">
        <f t="shared" si="84"/>
        <v>10</v>
      </c>
    </row>
    <row r="4447" spans="11:34" ht="14.5" x14ac:dyDescent="0.35">
      <c r="K4447" s="4"/>
      <c r="AC4447" s="384">
        <v>2022</v>
      </c>
      <c r="AD4447" s="384">
        <v>7</v>
      </c>
      <c r="AE4447" s="384">
        <v>5</v>
      </c>
      <c r="AF4447" s="385">
        <v>0.20833333333333334</v>
      </c>
      <c r="AG4447" s="386">
        <v>9.4</v>
      </c>
      <c r="AH4447" s="387">
        <f t="shared" si="84"/>
        <v>9</v>
      </c>
    </row>
    <row r="4448" spans="11:34" ht="14.5" x14ac:dyDescent="0.35">
      <c r="K4448" s="4"/>
      <c r="AC4448" s="384">
        <v>2022</v>
      </c>
      <c r="AD4448" s="384">
        <v>7</v>
      </c>
      <c r="AE4448" s="384">
        <v>5</v>
      </c>
      <c r="AF4448" s="385">
        <v>0.25</v>
      </c>
      <c r="AG4448" s="386">
        <v>9.9</v>
      </c>
      <c r="AH4448" s="387">
        <f t="shared" si="84"/>
        <v>10</v>
      </c>
    </row>
    <row r="4449" spans="11:34" ht="14.5" x14ac:dyDescent="0.35">
      <c r="K4449" s="4"/>
      <c r="AC4449" s="384">
        <v>2022</v>
      </c>
      <c r="AD4449" s="384">
        <v>7</v>
      </c>
      <c r="AE4449" s="384">
        <v>5</v>
      </c>
      <c r="AF4449" s="385">
        <v>0.29166666666666669</v>
      </c>
      <c r="AG4449" s="386">
        <v>10.7</v>
      </c>
      <c r="AH4449" s="387">
        <f t="shared" si="84"/>
        <v>11</v>
      </c>
    </row>
    <row r="4450" spans="11:34" ht="14.5" x14ac:dyDescent="0.35">
      <c r="K4450" s="4"/>
      <c r="AC4450" s="384">
        <v>2022</v>
      </c>
      <c r="AD4450" s="384">
        <v>7</v>
      </c>
      <c r="AE4450" s="384">
        <v>5</v>
      </c>
      <c r="AF4450" s="385">
        <v>0.33333333333333331</v>
      </c>
      <c r="AG4450" s="386">
        <v>12</v>
      </c>
      <c r="AH4450" s="387">
        <f t="shared" si="84"/>
        <v>12</v>
      </c>
    </row>
    <row r="4451" spans="11:34" ht="14.5" x14ac:dyDescent="0.35">
      <c r="K4451" s="4"/>
      <c r="AC4451" s="384">
        <v>2022</v>
      </c>
      <c r="AD4451" s="384">
        <v>7</v>
      </c>
      <c r="AE4451" s="384">
        <v>5</v>
      </c>
      <c r="AF4451" s="385">
        <v>0.375</v>
      </c>
      <c r="AG4451" s="386">
        <v>14.5</v>
      </c>
      <c r="AH4451" s="387">
        <f t="shared" si="84"/>
        <v>15</v>
      </c>
    </row>
    <row r="4452" spans="11:34" ht="14.5" x14ac:dyDescent="0.35">
      <c r="K4452" s="4"/>
      <c r="AC4452" s="384">
        <v>2022</v>
      </c>
      <c r="AD4452" s="384">
        <v>7</v>
      </c>
      <c r="AE4452" s="384">
        <v>5</v>
      </c>
      <c r="AF4452" s="385">
        <v>0.41666666666666669</v>
      </c>
      <c r="AG4452" s="386">
        <v>16.600000000000001</v>
      </c>
      <c r="AH4452" s="387">
        <f t="shared" si="84"/>
        <v>17</v>
      </c>
    </row>
    <row r="4453" spans="11:34" ht="14.5" x14ac:dyDescent="0.35">
      <c r="K4453" s="4"/>
      <c r="AC4453" s="384">
        <v>2022</v>
      </c>
      <c r="AD4453" s="384">
        <v>7</v>
      </c>
      <c r="AE4453" s="384">
        <v>5</v>
      </c>
      <c r="AF4453" s="385">
        <v>0.45833333333333331</v>
      </c>
      <c r="AG4453" s="386">
        <v>18.3</v>
      </c>
      <c r="AH4453" s="387">
        <f t="shared" si="84"/>
        <v>18</v>
      </c>
    </row>
    <row r="4454" spans="11:34" ht="14.5" x14ac:dyDescent="0.35">
      <c r="K4454" s="4"/>
      <c r="AC4454" s="384">
        <v>2022</v>
      </c>
      <c r="AD4454" s="384">
        <v>7</v>
      </c>
      <c r="AE4454" s="384">
        <v>5</v>
      </c>
      <c r="AF4454" s="385">
        <v>0.5</v>
      </c>
      <c r="AG4454" s="386">
        <v>19.399999999999999</v>
      </c>
      <c r="AH4454" s="387">
        <f t="shared" si="84"/>
        <v>19</v>
      </c>
    </row>
    <row r="4455" spans="11:34" ht="14.5" x14ac:dyDescent="0.35">
      <c r="K4455" s="4"/>
      <c r="AC4455" s="384">
        <v>2022</v>
      </c>
      <c r="AD4455" s="384">
        <v>7</v>
      </c>
      <c r="AE4455" s="384">
        <v>5</v>
      </c>
      <c r="AF4455" s="385">
        <v>0.54166666666666663</v>
      </c>
      <c r="AG4455" s="386">
        <v>19.100000000000001</v>
      </c>
      <c r="AH4455" s="387">
        <f t="shared" si="84"/>
        <v>19</v>
      </c>
    </row>
    <row r="4456" spans="11:34" ht="14.5" x14ac:dyDescent="0.35">
      <c r="K4456" s="4"/>
      <c r="AC4456" s="384">
        <v>2022</v>
      </c>
      <c r="AD4456" s="384">
        <v>7</v>
      </c>
      <c r="AE4456" s="384">
        <v>5</v>
      </c>
      <c r="AF4456" s="385">
        <v>0.58333333333333337</v>
      </c>
      <c r="AG4456" s="386">
        <v>19.399999999999999</v>
      </c>
      <c r="AH4456" s="387">
        <f t="shared" si="84"/>
        <v>19</v>
      </c>
    </row>
    <row r="4457" spans="11:34" ht="14.5" x14ac:dyDescent="0.35">
      <c r="K4457" s="4"/>
      <c r="AC4457" s="384">
        <v>2022</v>
      </c>
      <c r="AD4457" s="384">
        <v>7</v>
      </c>
      <c r="AE4457" s="384">
        <v>5</v>
      </c>
      <c r="AF4457" s="385">
        <v>0.625</v>
      </c>
      <c r="AG4457" s="386">
        <v>19.2</v>
      </c>
      <c r="AH4457" s="387">
        <f t="shared" si="84"/>
        <v>19</v>
      </c>
    </row>
    <row r="4458" spans="11:34" ht="14.5" x14ac:dyDescent="0.35">
      <c r="K4458" s="4"/>
      <c r="AC4458" s="384">
        <v>2022</v>
      </c>
      <c r="AD4458" s="384">
        <v>7</v>
      </c>
      <c r="AE4458" s="384">
        <v>5</v>
      </c>
      <c r="AF4458" s="385">
        <v>0.66666666666666663</v>
      </c>
      <c r="AG4458" s="386">
        <v>20.6</v>
      </c>
      <c r="AH4458" s="387">
        <f t="shared" si="84"/>
        <v>21</v>
      </c>
    </row>
    <row r="4459" spans="11:34" ht="14.5" x14ac:dyDescent="0.35">
      <c r="K4459" s="4"/>
      <c r="AC4459" s="384">
        <v>2022</v>
      </c>
      <c r="AD4459" s="384">
        <v>7</v>
      </c>
      <c r="AE4459" s="384">
        <v>5</v>
      </c>
      <c r="AF4459" s="385">
        <v>0.70833333333333337</v>
      </c>
      <c r="AG4459" s="386">
        <v>18.2</v>
      </c>
      <c r="AH4459" s="387">
        <f t="shared" si="84"/>
        <v>18</v>
      </c>
    </row>
    <row r="4460" spans="11:34" ht="14.5" x14ac:dyDescent="0.35">
      <c r="K4460" s="4"/>
      <c r="AC4460" s="384">
        <v>2022</v>
      </c>
      <c r="AD4460" s="384">
        <v>7</v>
      </c>
      <c r="AE4460" s="384">
        <v>5</v>
      </c>
      <c r="AF4460" s="385">
        <v>0.75</v>
      </c>
      <c r="AG4460" s="386">
        <v>17.5</v>
      </c>
      <c r="AH4460" s="387">
        <f t="shared" si="84"/>
        <v>18</v>
      </c>
    </row>
    <row r="4461" spans="11:34" ht="14.5" x14ac:dyDescent="0.35">
      <c r="K4461" s="4"/>
      <c r="AC4461" s="384">
        <v>2022</v>
      </c>
      <c r="AD4461" s="384">
        <v>7</v>
      </c>
      <c r="AE4461" s="384">
        <v>5</v>
      </c>
      <c r="AF4461" s="385">
        <v>0.79166666666666663</v>
      </c>
      <c r="AG4461" s="386">
        <v>16.399999999999999</v>
      </c>
      <c r="AH4461" s="387">
        <f t="shared" si="84"/>
        <v>16</v>
      </c>
    </row>
    <row r="4462" spans="11:34" ht="14.5" x14ac:dyDescent="0.35">
      <c r="K4462" s="4"/>
      <c r="AC4462" s="384">
        <v>2022</v>
      </c>
      <c r="AD4462" s="384">
        <v>7</v>
      </c>
      <c r="AE4462" s="384">
        <v>5</v>
      </c>
      <c r="AF4462" s="385">
        <v>0.83333333333333337</v>
      </c>
      <c r="AG4462" s="386">
        <v>15.6</v>
      </c>
      <c r="AH4462" s="387">
        <f t="shared" si="84"/>
        <v>16</v>
      </c>
    </row>
    <row r="4463" spans="11:34" ht="14.5" x14ac:dyDescent="0.35">
      <c r="K4463" s="4"/>
      <c r="AC4463" s="384">
        <v>2022</v>
      </c>
      <c r="AD4463" s="384">
        <v>7</v>
      </c>
      <c r="AE4463" s="384">
        <v>5</v>
      </c>
      <c r="AF4463" s="385">
        <v>0.875</v>
      </c>
      <c r="AG4463" s="386">
        <v>13.7</v>
      </c>
      <c r="AH4463" s="387">
        <f t="shared" si="84"/>
        <v>14</v>
      </c>
    </row>
    <row r="4464" spans="11:34" ht="14.5" x14ac:dyDescent="0.35">
      <c r="K4464" s="4"/>
      <c r="AC4464" s="384">
        <v>2022</v>
      </c>
      <c r="AD4464" s="384">
        <v>7</v>
      </c>
      <c r="AE4464" s="384">
        <v>5</v>
      </c>
      <c r="AF4464" s="385">
        <v>0.91666666666666663</v>
      </c>
      <c r="AG4464" s="386">
        <v>13</v>
      </c>
      <c r="AH4464" s="387">
        <f t="shared" si="84"/>
        <v>13</v>
      </c>
    </row>
    <row r="4465" spans="11:34" ht="14.5" x14ac:dyDescent="0.35">
      <c r="K4465" s="4"/>
      <c r="AC4465" s="384">
        <v>2022</v>
      </c>
      <c r="AD4465" s="384">
        <v>7</v>
      </c>
      <c r="AE4465" s="384">
        <v>5</v>
      </c>
      <c r="AF4465" s="385">
        <v>0.95833333333333337</v>
      </c>
      <c r="AG4465" s="386">
        <v>11.7</v>
      </c>
      <c r="AH4465" s="387">
        <f t="shared" si="84"/>
        <v>12</v>
      </c>
    </row>
    <row r="4466" spans="11:34" ht="14.5" x14ac:dyDescent="0.35">
      <c r="K4466" s="4"/>
      <c r="AC4466" s="384">
        <v>2022</v>
      </c>
      <c r="AD4466" s="384">
        <v>7</v>
      </c>
      <c r="AE4466" s="384">
        <v>6</v>
      </c>
      <c r="AF4466" s="385">
        <v>0</v>
      </c>
      <c r="AG4466" s="386">
        <v>10.8</v>
      </c>
      <c r="AH4466" s="387">
        <f t="shared" si="84"/>
        <v>11</v>
      </c>
    </row>
    <row r="4467" spans="11:34" ht="14.5" x14ac:dyDescent="0.35">
      <c r="K4467" s="4"/>
      <c r="AC4467" s="384">
        <v>2022</v>
      </c>
      <c r="AD4467" s="384">
        <v>7</v>
      </c>
      <c r="AE4467" s="384">
        <v>6</v>
      </c>
      <c r="AF4467" s="385">
        <v>4.1666666666666664E-2</v>
      </c>
      <c r="AG4467" s="386">
        <v>10</v>
      </c>
      <c r="AH4467" s="387">
        <f t="shared" si="84"/>
        <v>10</v>
      </c>
    </row>
    <row r="4468" spans="11:34" ht="14.5" x14ac:dyDescent="0.35">
      <c r="K4468" s="4"/>
      <c r="AC4468" s="384">
        <v>2022</v>
      </c>
      <c r="AD4468" s="384">
        <v>7</v>
      </c>
      <c r="AE4468" s="384">
        <v>6</v>
      </c>
      <c r="AF4468" s="385">
        <v>8.3333333333333329E-2</v>
      </c>
      <c r="AG4468" s="386">
        <v>9.5</v>
      </c>
      <c r="AH4468" s="387">
        <f t="shared" si="84"/>
        <v>10</v>
      </c>
    </row>
    <row r="4469" spans="11:34" ht="14.5" x14ac:dyDescent="0.35">
      <c r="K4469" s="4"/>
      <c r="AC4469" s="384">
        <v>2022</v>
      </c>
      <c r="AD4469" s="384">
        <v>7</v>
      </c>
      <c r="AE4469" s="384">
        <v>6</v>
      </c>
      <c r="AF4469" s="385">
        <v>0.125</v>
      </c>
      <c r="AG4469" s="386">
        <v>8.5</v>
      </c>
      <c r="AH4469" s="387">
        <f t="shared" si="84"/>
        <v>9</v>
      </c>
    </row>
    <row r="4470" spans="11:34" ht="14.5" x14ac:dyDescent="0.35">
      <c r="K4470" s="4"/>
      <c r="AC4470" s="384">
        <v>2022</v>
      </c>
      <c r="AD4470" s="384">
        <v>7</v>
      </c>
      <c r="AE4470" s="384">
        <v>6</v>
      </c>
      <c r="AF4470" s="385">
        <v>0.16666666666666666</v>
      </c>
      <c r="AG4470" s="386">
        <v>7.5</v>
      </c>
      <c r="AH4470" s="387">
        <f t="shared" si="84"/>
        <v>8</v>
      </c>
    </row>
    <row r="4471" spans="11:34" ht="14.5" x14ac:dyDescent="0.35">
      <c r="K4471" s="4"/>
      <c r="AC4471" s="384">
        <v>2022</v>
      </c>
      <c r="AD4471" s="384">
        <v>7</v>
      </c>
      <c r="AE4471" s="384">
        <v>6</v>
      </c>
      <c r="AF4471" s="385">
        <v>0.20833333333333334</v>
      </c>
      <c r="AG4471" s="386">
        <v>7.6</v>
      </c>
      <c r="AH4471" s="387">
        <f t="shared" si="84"/>
        <v>8</v>
      </c>
    </row>
    <row r="4472" spans="11:34" ht="14.5" x14ac:dyDescent="0.35">
      <c r="K4472" s="4"/>
      <c r="AC4472" s="384">
        <v>2022</v>
      </c>
      <c r="AD4472" s="384">
        <v>7</v>
      </c>
      <c r="AE4472" s="384">
        <v>6</v>
      </c>
      <c r="AF4472" s="385">
        <v>0.25</v>
      </c>
      <c r="AG4472" s="386">
        <v>10</v>
      </c>
      <c r="AH4472" s="387">
        <f t="shared" si="84"/>
        <v>10</v>
      </c>
    </row>
    <row r="4473" spans="11:34" ht="14.5" x14ac:dyDescent="0.35">
      <c r="K4473" s="4"/>
      <c r="AC4473" s="384">
        <v>2022</v>
      </c>
      <c r="AD4473" s="384">
        <v>7</v>
      </c>
      <c r="AE4473" s="384">
        <v>6</v>
      </c>
      <c r="AF4473" s="385">
        <v>0.29166666666666669</v>
      </c>
      <c r="AG4473" s="386">
        <v>11.7</v>
      </c>
      <c r="AH4473" s="387">
        <f t="shared" si="84"/>
        <v>12</v>
      </c>
    </row>
    <row r="4474" spans="11:34" ht="14.5" x14ac:dyDescent="0.35">
      <c r="K4474" s="4"/>
      <c r="AC4474" s="384">
        <v>2022</v>
      </c>
      <c r="AD4474" s="384">
        <v>7</v>
      </c>
      <c r="AE4474" s="384">
        <v>6</v>
      </c>
      <c r="AF4474" s="385">
        <v>0.33333333333333331</v>
      </c>
      <c r="AG4474" s="386">
        <v>11.4</v>
      </c>
      <c r="AH4474" s="387">
        <f t="shared" si="84"/>
        <v>11</v>
      </c>
    </row>
    <row r="4475" spans="11:34" ht="14.5" x14ac:dyDescent="0.35">
      <c r="K4475" s="4"/>
      <c r="AC4475" s="384">
        <v>2022</v>
      </c>
      <c r="AD4475" s="384">
        <v>7</v>
      </c>
      <c r="AE4475" s="384">
        <v>6</v>
      </c>
      <c r="AF4475" s="385">
        <v>0.375</v>
      </c>
      <c r="AG4475" s="386">
        <v>11.6</v>
      </c>
      <c r="AH4475" s="387">
        <f t="shared" si="84"/>
        <v>12</v>
      </c>
    </row>
    <row r="4476" spans="11:34" ht="14.5" x14ac:dyDescent="0.35">
      <c r="K4476" s="4"/>
      <c r="AC4476" s="384">
        <v>2022</v>
      </c>
      <c r="AD4476" s="384">
        <v>7</v>
      </c>
      <c r="AE4476" s="384">
        <v>6</v>
      </c>
      <c r="AF4476" s="385">
        <v>0.41666666666666669</v>
      </c>
      <c r="AG4476" s="386">
        <v>11.5</v>
      </c>
      <c r="AH4476" s="387">
        <f t="shared" si="84"/>
        <v>12</v>
      </c>
    </row>
    <row r="4477" spans="11:34" ht="14.5" x14ac:dyDescent="0.35">
      <c r="K4477" s="4"/>
      <c r="AC4477" s="384">
        <v>2022</v>
      </c>
      <c r="AD4477" s="384">
        <v>7</v>
      </c>
      <c r="AE4477" s="384">
        <v>6</v>
      </c>
      <c r="AF4477" s="385">
        <v>0.45833333333333331</v>
      </c>
      <c r="AG4477" s="386">
        <v>12.3</v>
      </c>
      <c r="AH4477" s="387">
        <f t="shared" si="84"/>
        <v>12</v>
      </c>
    </row>
    <row r="4478" spans="11:34" ht="14.5" x14ac:dyDescent="0.35">
      <c r="K4478" s="4"/>
      <c r="AC4478" s="384">
        <v>2022</v>
      </c>
      <c r="AD4478" s="384">
        <v>7</v>
      </c>
      <c r="AE4478" s="384">
        <v>6</v>
      </c>
      <c r="AF4478" s="385">
        <v>0.5</v>
      </c>
      <c r="AG4478" s="386">
        <v>12.9</v>
      </c>
      <c r="AH4478" s="387">
        <f t="shared" si="84"/>
        <v>13</v>
      </c>
    </row>
    <row r="4479" spans="11:34" ht="14.5" x14ac:dyDescent="0.35">
      <c r="K4479" s="4"/>
      <c r="AC4479" s="384">
        <v>2022</v>
      </c>
      <c r="AD4479" s="384">
        <v>7</v>
      </c>
      <c r="AE4479" s="384">
        <v>6</v>
      </c>
      <c r="AF4479" s="385">
        <v>0.54166666666666663</v>
      </c>
      <c r="AG4479" s="386">
        <v>14.7</v>
      </c>
      <c r="AH4479" s="387">
        <f t="shared" si="84"/>
        <v>15</v>
      </c>
    </row>
    <row r="4480" spans="11:34" ht="14.5" x14ac:dyDescent="0.35">
      <c r="K4480" s="4"/>
      <c r="AC4480" s="384">
        <v>2022</v>
      </c>
      <c r="AD4480" s="384">
        <v>7</v>
      </c>
      <c r="AE4480" s="384">
        <v>6</v>
      </c>
      <c r="AF4480" s="385">
        <v>0.58333333333333337</v>
      </c>
      <c r="AG4480" s="386">
        <v>15</v>
      </c>
      <c r="AH4480" s="387">
        <f t="shared" si="84"/>
        <v>15</v>
      </c>
    </row>
    <row r="4481" spans="11:34" ht="14.5" x14ac:dyDescent="0.35">
      <c r="K4481" s="4"/>
      <c r="AC4481" s="384">
        <v>2022</v>
      </c>
      <c r="AD4481" s="384">
        <v>7</v>
      </c>
      <c r="AE4481" s="384">
        <v>6</v>
      </c>
      <c r="AF4481" s="385">
        <v>0.625</v>
      </c>
      <c r="AG4481" s="386">
        <v>14.7</v>
      </c>
      <c r="AH4481" s="387">
        <f t="shared" si="84"/>
        <v>15</v>
      </c>
    </row>
    <row r="4482" spans="11:34" ht="14.5" x14ac:dyDescent="0.35">
      <c r="K4482" s="4"/>
      <c r="AC4482" s="384">
        <v>2022</v>
      </c>
      <c r="AD4482" s="384">
        <v>7</v>
      </c>
      <c r="AE4482" s="384">
        <v>6</v>
      </c>
      <c r="AF4482" s="385">
        <v>0.66666666666666663</v>
      </c>
      <c r="AG4482" s="386">
        <v>15.5</v>
      </c>
      <c r="AH4482" s="387">
        <f t="shared" si="84"/>
        <v>16</v>
      </c>
    </row>
    <row r="4483" spans="11:34" ht="14.5" x14ac:dyDescent="0.35">
      <c r="K4483" s="4"/>
      <c r="AC4483" s="384">
        <v>2022</v>
      </c>
      <c r="AD4483" s="384">
        <v>7</v>
      </c>
      <c r="AE4483" s="384">
        <v>6</v>
      </c>
      <c r="AF4483" s="385">
        <v>0.70833333333333337</v>
      </c>
      <c r="AG4483" s="386">
        <v>16.399999999999999</v>
      </c>
      <c r="AH4483" s="387">
        <f t="shared" si="84"/>
        <v>16</v>
      </c>
    </row>
    <row r="4484" spans="11:34" ht="14.5" x14ac:dyDescent="0.35">
      <c r="K4484" s="4"/>
      <c r="AC4484" s="384">
        <v>2022</v>
      </c>
      <c r="AD4484" s="384">
        <v>7</v>
      </c>
      <c r="AE4484" s="384">
        <v>6</v>
      </c>
      <c r="AF4484" s="385">
        <v>0.75</v>
      </c>
      <c r="AG4484" s="386">
        <v>16.7</v>
      </c>
      <c r="AH4484" s="387">
        <f t="shared" si="84"/>
        <v>17</v>
      </c>
    </row>
    <row r="4485" spans="11:34" ht="14.5" x14ac:dyDescent="0.35">
      <c r="K4485" s="4"/>
      <c r="AC4485" s="384">
        <v>2022</v>
      </c>
      <c r="AD4485" s="384">
        <v>7</v>
      </c>
      <c r="AE4485" s="384">
        <v>6</v>
      </c>
      <c r="AF4485" s="385">
        <v>0.79166666666666663</v>
      </c>
      <c r="AG4485" s="386">
        <v>16.899999999999999</v>
      </c>
      <c r="AH4485" s="387">
        <f t="shared" si="84"/>
        <v>17</v>
      </c>
    </row>
    <row r="4486" spans="11:34" ht="14.5" x14ac:dyDescent="0.35">
      <c r="K4486" s="4"/>
      <c r="AC4486" s="384">
        <v>2022</v>
      </c>
      <c r="AD4486" s="384">
        <v>7</v>
      </c>
      <c r="AE4486" s="384">
        <v>6</v>
      </c>
      <c r="AF4486" s="385">
        <v>0.83333333333333337</v>
      </c>
      <c r="AG4486" s="386">
        <v>15.7</v>
      </c>
      <c r="AH4486" s="387">
        <f t="shared" si="84"/>
        <v>16</v>
      </c>
    </row>
    <row r="4487" spans="11:34" ht="14.5" x14ac:dyDescent="0.35">
      <c r="K4487" s="4"/>
      <c r="AC4487" s="384">
        <v>2022</v>
      </c>
      <c r="AD4487" s="384">
        <v>7</v>
      </c>
      <c r="AE4487" s="384">
        <v>6</v>
      </c>
      <c r="AF4487" s="385">
        <v>0.875</v>
      </c>
      <c r="AG4487" s="386">
        <v>15.2</v>
      </c>
      <c r="AH4487" s="387">
        <f t="shared" si="84"/>
        <v>15</v>
      </c>
    </row>
    <row r="4488" spans="11:34" ht="14.5" x14ac:dyDescent="0.35">
      <c r="K4488" s="4"/>
      <c r="AC4488" s="384">
        <v>2022</v>
      </c>
      <c r="AD4488" s="384">
        <v>7</v>
      </c>
      <c r="AE4488" s="384">
        <v>6</v>
      </c>
      <c r="AF4488" s="385">
        <v>0.91666666666666663</v>
      </c>
      <c r="AG4488" s="386">
        <v>14.4</v>
      </c>
      <c r="AH4488" s="387">
        <f t="shared" si="84"/>
        <v>14</v>
      </c>
    </row>
    <row r="4489" spans="11:34" ht="14.5" x14ac:dyDescent="0.35">
      <c r="K4489" s="4"/>
      <c r="AC4489" s="384">
        <v>2022</v>
      </c>
      <c r="AD4489" s="384">
        <v>7</v>
      </c>
      <c r="AE4489" s="384">
        <v>6</v>
      </c>
      <c r="AF4489" s="385">
        <v>0.95833333333333337</v>
      </c>
      <c r="AG4489" s="386">
        <v>14.3</v>
      </c>
      <c r="AH4489" s="387">
        <f t="shared" si="84"/>
        <v>14</v>
      </c>
    </row>
    <row r="4490" spans="11:34" ht="14.5" x14ac:dyDescent="0.35">
      <c r="K4490" s="4"/>
      <c r="AC4490" s="384">
        <v>2022</v>
      </c>
      <c r="AD4490" s="384">
        <v>7</v>
      </c>
      <c r="AE4490" s="384">
        <v>7</v>
      </c>
      <c r="AF4490" s="385">
        <v>0</v>
      </c>
      <c r="AG4490" s="386">
        <v>14.9</v>
      </c>
      <c r="AH4490" s="387">
        <f t="shared" si="84"/>
        <v>15</v>
      </c>
    </row>
    <row r="4491" spans="11:34" ht="14.5" x14ac:dyDescent="0.35">
      <c r="K4491" s="4"/>
      <c r="AC4491" s="384">
        <v>2022</v>
      </c>
      <c r="AD4491" s="384">
        <v>7</v>
      </c>
      <c r="AE4491" s="384">
        <v>7</v>
      </c>
      <c r="AF4491" s="385">
        <v>4.1666666666666664E-2</v>
      </c>
      <c r="AG4491" s="386">
        <v>14.3</v>
      </c>
      <c r="AH4491" s="387">
        <f t="shared" ref="AH4491:AH4554" si="85">ROUND(AG4491,0)</f>
        <v>14</v>
      </c>
    </row>
    <row r="4492" spans="11:34" ht="14.5" x14ac:dyDescent="0.35">
      <c r="K4492" s="4"/>
      <c r="AC4492" s="384">
        <v>2022</v>
      </c>
      <c r="AD4492" s="384">
        <v>7</v>
      </c>
      <c r="AE4492" s="384">
        <v>7</v>
      </c>
      <c r="AF4492" s="385">
        <v>8.3333333333333329E-2</v>
      </c>
      <c r="AG4492" s="386">
        <v>13.2</v>
      </c>
      <c r="AH4492" s="387">
        <f t="shared" si="85"/>
        <v>13</v>
      </c>
    </row>
    <row r="4493" spans="11:34" ht="14.5" x14ac:dyDescent="0.35">
      <c r="K4493" s="4"/>
      <c r="AC4493" s="384">
        <v>2022</v>
      </c>
      <c r="AD4493" s="384">
        <v>7</v>
      </c>
      <c r="AE4493" s="384">
        <v>7</v>
      </c>
      <c r="AF4493" s="385">
        <v>0.125</v>
      </c>
      <c r="AG4493" s="386">
        <v>12.4</v>
      </c>
      <c r="AH4493" s="387">
        <f t="shared" si="85"/>
        <v>12</v>
      </c>
    </row>
    <row r="4494" spans="11:34" ht="14.5" x14ac:dyDescent="0.35">
      <c r="K4494" s="4"/>
      <c r="AC4494" s="384">
        <v>2022</v>
      </c>
      <c r="AD4494" s="384">
        <v>7</v>
      </c>
      <c r="AE4494" s="384">
        <v>7</v>
      </c>
      <c r="AF4494" s="385">
        <v>0.16666666666666666</v>
      </c>
      <c r="AG4494" s="386">
        <v>11.5</v>
      </c>
      <c r="AH4494" s="387">
        <f t="shared" si="85"/>
        <v>12</v>
      </c>
    </row>
    <row r="4495" spans="11:34" ht="14.5" x14ac:dyDescent="0.35">
      <c r="K4495" s="4"/>
      <c r="AC4495" s="384">
        <v>2022</v>
      </c>
      <c r="AD4495" s="384">
        <v>7</v>
      </c>
      <c r="AE4495" s="384">
        <v>7</v>
      </c>
      <c r="AF4495" s="385">
        <v>0.20833333333333334</v>
      </c>
      <c r="AG4495" s="386">
        <v>11.6</v>
      </c>
      <c r="AH4495" s="387">
        <f t="shared" si="85"/>
        <v>12</v>
      </c>
    </row>
    <row r="4496" spans="11:34" ht="14.5" x14ac:dyDescent="0.35">
      <c r="K4496" s="4"/>
      <c r="AC4496" s="384">
        <v>2022</v>
      </c>
      <c r="AD4496" s="384">
        <v>7</v>
      </c>
      <c r="AE4496" s="384">
        <v>7</v>
      </c>
      <c r="AF4496" s="385">
        <v>0.25</v>
      </c>
      <c r="AG4496" s="386">
        <v>13.1</v>
      </c>
      <c r="AH4496" s="387">
        <f t="shared" si="85"/>
        <v>13</v>
      </c>
    </row>
    <row r="4497" spans="11:34" ht="14.5" x14ac:dyDescent="0.35">
      <c r="K4497" s="4"/>
      <c r="AC4497" s="384">
        <v>2022</v>
      </c>
      <c r="AD4497" s="384">
        <v>7</v>
      </c>
      <c r="AE4497" s="384">
        <v>7</v>
      </c>
      <c r="AF4497" s="385">
        <v>0.29166666666666669</v>
      </c>
      <c r="AG4497" s="386">
        <v>13.7</v>
      </c>
      <c r="AH4497" s="387">
        <f t="shared" si="85"/>
        <v>14</v>
      </c>
    </row>
    <row r="4498" spans="11:34" ht="14.5" x14ac:dyDescent="0.35">
      <c r="K4498" s="4"/>
      <c r="AC4498" s="384">
        <v>2022</v>
      </c>
      <c r="AD4498" s="384">
        <v>7</v>
      </c>
      <c r="AE4498" s="384">
        <v>7</v>
      </c>
      <c r="AF4498" s="385">
        <v>0.33333333333333331</v>
      </c>
      <c r="AG4498" s="386">
        <v>15.2</v>
      </c>
      <c r="AH4498" s="387">
        <f t="shared" si="85"/>
        <v>15</v>
      </c>
    </row>
    <row r="4499" spans="11:34" ht="14.5" x14ac:dyDescent="0.35">
      <c r="K4499" s="4"/>
      <c r="AC4499" s="384">
        <v>2022</v>
      </c>
      <c r="AD4499" s="384">
        <v>7</v>
      </c>
      <c r="AE4499" s="384">
        <v>7</v>
      </c>
      <c r="AF4499" s="385">
        <v>0.375</v>
      </c>
      <c r="AG4499" s="386">
        <v>15.7</v>
      </c>
      <c r="AH4499" s="387">
        <f t="shared" si="85"/>
        <v>16</v>
      </c>
    </row>
    <row r="4500" spans="11:34" ht="14.5" x14ac:dyDescent="0.35">
      <c r="K4500" s="4"/>
      <c r="AC4500" s="384">
        <v>2022</v>
      </c>
      <c r="AD4500" s="384">
        <v>7</v>
      </c>
      <c r="AE4500" s="384">
        <v>7</v>
      </c>
      <c r="AF4500" s="385">
        <v>0.41666666666666669</v>
      </c>
      <c r="AG4500" s="386">
        <v>18.399999999999999</v>
      </c>
      <c r="AH4500" s="387">
        <f t="shared" si="85"/>
        <v>18</v>
      </c>
    </row>
    <row r="4501" spans="11:34" ht="14.5" x14ac:dyDescent="0.35">
      <c r="K4501" s="4"/>
      <c r="AC4501" s="384">
        <v>2022</v>
      </c>
      <c r="AD4501" s="384">
        <v>7</v>
      </c>
      <c r="AE4501" s="384">
        <v>7</v>
      </c>
      <c r="AF4501" s="385">
        <v>0.45833333333333331</v>
      </c>
      <c r="AG4501" s="386">
        <v>19.7</v>
      </c>
      <c r="AH4501" s="387">
        <f t="shared" si="85"/>
        <v>20</v>
      </c>
    </row>
    <row r="4502" spans="11:34" ht="14.5" x14ac:dyDescent="0.35">
      <c r="K4502" s="4"/>
      <c r="AC4502" s="384">
        <v>2022</v>
      </c>
      <c r="AD4502" s="384">
        <v>7</v>
      </c>
      <c r="AE4502" s="384">
        <v>7</v>
      </c>
      <c r="AF4502" s="385">
        <v>0.5</v>
      </c>
      <c r="AG4502" s="386">
        <v>21.2</v>
      </c>
      <c r="AH4502" s="387">
        <f t="shared" si="85"/>
        <v>21</v>
      </c>
    </row>
    <row r="4503" spans="11:34" ht="14.5" x14ac:dyDescent="0.35">
      <c r="K4503" s="4"/>
      <c r="AC4503" s="384">
        <v>2022</v>
      </c>
      <c r="AD4503" s="384">
        <v>7</v>
      </c>
      <c r="AE4503" s="384">
        <v>7</v>
      </c>
      <c r="AF4503" s="385">
        <v>0.54166666666666663</v>
      </c>
      <c r="AG4503" s="386">
        <v>21.9</v>
      </c>
      <c r="AH4503" s="387">
        <f t="shared" si="85"/>
        <v>22</v>
      </c>
    </row>
    <row r="4504" spans="11:34" ht="14.5" x14ac:dyDescent="0.35">
      <c r="K4504" s="4"/>
      <c r="AC4504" s="384">
        <v>2022</v>
      </c>
      <c r="AD4504" s="384">
        <v>7</v>
      </c>
      <c r="AE4504" s="384">
        <v>7</v>
      </c>
      <c r="AF4504" s="385">
        <v>0.58333333333333337</v>
      </c>
      <c r="AG4504" s="386">
        <v>22.1</v>
      </c>
      <c r="AH4504" s="387">
        <f t="shared" si="85"/>
        <v>22</v>
      </c>
    </row>
    <row r="4505" spans="11:34" ht="14.5" x14ac:dyDescent="0.35">
      <c r="K4505" s="4"/>
      <c r="AC4505" s="384">
        <v>2022</v>
      </c>
      <c r="AD4505" s="384">
        <v>7</v>
      </c>
      <c r="AE4505" s="384">
        <v>7</v>
      </c>
      <c r="AF4505" s="385">
        <v>0.625</v>
      </c>
      <c r="AG4505" s="386">
        <v>23.1</v>
      </c>
      <c r="AH4505" s="387">
        <f t="shared" si="85"/>
        <v>23</v>
      </c>
    </row>
    <row r="4506" spans="11:34" ht="14.5" x14ac:dyDescent="0.35">
      <c r="K4506" s="4"/>
      <c r="AC4506" s="384">
        <v>2022</v>
      </c>
      <c r="AD4506" s="384">
        <v>7</v>
      </c>
      <c r="AE4506" s="384">
        <v>7</v>
      </c>
      <c r="AF4506" s="385">
        <v>0.66666666666666663</v>
      </c>
      <c r="AG4506" s="386">
        <v>22.1</v>
      </c>
      <c r="AH4506" s="387">
        <f t="shared" si="85"/>
        <v>22</v>
      </c>
    </row>
    <row r="4507" spans="11:34" ht="14.5" x14ac:dyDescent="0.35">
      <c r="K4507" s="4"/>
      <c r="AC4507" s="384">
        <v>2022</v>
      </c>
      <c r="AD4507" s="384">
        <v>7</v>
      </c>
      <c r="AE4507" s="384">
        <v>7</v>
      </c>
      <c r="AF4507" s="385">
        <v>0.70833333333333337</v>
      </c>
      <c r="AG4507" s="386">
        <v>16.899999999999999</v>
      </c>
      <c r="AH4507" s="387">
        <f t="shared" si="85"/>
        <v>17</v>
      </c>
    </row>
    <row r="4508" spans="11:34" ht="14.5" x14ac:dyDescent="0.35">
      <c r="K4508" s="4"/>
      <c r="AC4508" s="384">
        <v>2022</v>
      </c>
      <c r="AD4508" s="384">
        <v>7</v>
      </c>
      <c r="AE4508" s="384">
        <v>7</v>
      </c>
      <c r="AF4508" s="385">
        <v>0.75</v>
      </c>
      <c r="AG4508" s="386">
        <v>19.899999999999999</v>
      </c>
      <c r="AH4508" s="387">
        <f t="shared" si="85"/>
        <v>20</v>
      </c>
    </row>
    <row r="4509" spans="11:34" ht="14.5" x14ac:dyDescent="0.35">
      <c r="K4509" s="4"/>
      <c r="AC4509" s="384">
        <v>2022</v>
      </c>
      <c r="AD4509" s="384">
        <v>7</v>
      </c>
      <c r="AE4509" s="384">
        <v>7</v>
      </c>
      <c r="AF4509" s="385">
        <v>0.79166666666666663</v>
      </c>
      <c r="AG4509" s="386">
        <v>21.4</v>
      </c>
      <c r="AH4509" s="387">
        <f t="shared" si="85"/>
        <v>21</v>
      </c>
    </row>
    <row r="4510" spans="11:34" ht="14.5" x14ac:dyDescent="0.35">
      <c r="K4510" s="4"/>
      <c r="AC4510" s="384">
        <v>2022</v>
      </c>
      <c r="AD4510" s="384">
        <v>7</v>
      </c>
      <c r="AE4510" s="384">
        <v>7</v>
      </c>
      <c r="AF4510" s="385">
        <v>0.83333333333333337</v>
      </c>
      <c r="AG4510" s="386">
        <v>20</v>
      </c>
      <c r="AH4510" s="387">
        <f t="shared" si="85"/>
        <v>20</v>
      </c>
    </row>
    <row r="4511" spans="11:34" ht="14.5" x14ac:dyDescent="0.35">
      <c r="K4511" s="4"/>
      <c r="AC4511" s="384">
        <v>2022</v>
      </c>
      <c r="AD4511" s="384">
        <v>7</v>
      </c>
      <c r="AE4511" s="384">
        <v>7</v>
      </c>
      <c r="AF4511" s="385">
        <v>0.875</v>
      </c>
      <c r="AG4511" s="386">
        <v>17.3</v>
      </c>
      <c r="AH4511" s="387">
        <f t="shared" si="85"/>
        <v>17</v>
      </c>
    </row>
    <row r="4512" spans="11:34" ht="14.5" x14ac:dyDescent="0.35">
      <c r="K4512" s="4"/>
      <c r="AC4512" s="384">
        <v>2022</v>
      </c>
      <c r="AD4512" s="384">
        <v>7</v>
      </c>
      <c r="AE4512" s="384">
        <v>7</v>
      </c>
      <c r="AF4512" s="385">
        <v>0.91666666666666663</v>
      </c>
      <c r="AG4512" s="386">
        <v>15.7</v>
      </c>
      <c r="AH4512" s="387">
        <f t="shared" si="85"/>
        <v>16</v>
      </c>
    </row>
    <row r="4513" spans="11:34" ht="14.5" x14ac:dyDescent="0.35">
      <c r="K4513" s="4"/>
      <c r="AC4513" s="384">
        <v>2022</v>
      </c>
      <c r="AD4513" s="384">
        <v>7</v>
      </c>
      <c r="AE4513" s="384">
        <v>7</v>
      </c>
      <c r="AF4513" s="385">
        <v>0.95833333333333337</v>
      </c>
      <c r="AG4513" s="386">
        <v>15.3</v>
      </c>
      <c r="AH4513" s="387">
        <f t="shared" si="85"/>
        <v>15</v>
      </c>
    </row>
    <row r="4514" spans="11:34" ht="14.5" x14ac:dyDescent="0.35">
      <c r="K4514" s="4"/>
      <c r="AC4514" s="384">
        <v>2022</v>
      </c>
      <c r="AD4514" s="384">
        <v>7</v>
      </c>
      <c r="AE4514" s="384">
        <v>8</v>
      </c>
      <c r="AF4514" s="385">
        <v>0</v>
      </c>
      <c r="AG4514" s="386">
        <v>15.9</v>
      </c>
      <c r="AH4514" s="387">
        <f t="shared" si="85"/>
        <v>16</v>
      </c>
    </row>
    <row r="4515" spans="11:34" ht="14.5" x14ac:dyDescent="0.35">
      <c r="K4515" s="4"/>
      <c r="AC4515" s="384">
        <v>2022</v>
      </c>
      <c r="AD4515" s="384">
        <v>7</v>
      </c>
      <c r="AE4515" s="384">
        <v>8</v>
      </c>
      <c r="AF4515" s="385">
        <v>4.1666666666666664E-2</v>
      </c>
      <c r="AG4515" s="386">
        <v>14.9</v>
      </c>
      <c r="AH4515" s="387">
        <f t="shared" si="85"/>
        <v>15</v>
      </c>
    </row>
    <row r="4516" spans="11:34" ht="14.5" x14ac:dyDescent="0.35">
      <c r="K4516" s="4"/>
      <c r="AC4516" s="384">
        <v>2022</v>
      </c>
      <c r="AD4516" s="384">
        <v>7</v>
      </c>
      <c r="AE4516" s="384">
        <v>8</v>
      </c>
      <c r="AF4516" s="385">
        <v>8.3333333333333329E-2</v>
      </c>
      <c r="AG4516" s="386">
        <v>14.1</v>
      </c>
      <c r="AH4516" s="387">
        <f t="shared" si="85"/>
        <v>14</v>
      </c>
    </row>
    <row r="4517" spans="11:34" ht="14.5" x14ac:dyDescent="0.35">
      <c r="K4517" s="4"/>
      <c r="AC4517" s="384">
        <v>2022</v>
      </c>
      <c r="AD4517" s="384">
        <v>7</v>
      </c>
      <c r="AE4517" s="384">
        <v>8</v>
      </c>
      <c r="AF4517" s="385">
        <v>0.125</v>
      </c>
      <c r="AG4517" s="386">
        <v>12.4</v>
      </c>
      <c r="AH4517" s="387">
        <f t="shared" si="85"/>
        <v>12</v>
      </c>
    </row>
    <row r="4518" spans="11:34" ht="14.5" x14ac:dyDescent="0.35">
      <c r="K4518" s="4"/>
      <c r="AC4518" s="384">
        <v>2022</v>
      </c>
      <c r="AD4518" s="384">
        <v>7</v>
      </c>
      <c r="AE4518" s="384">
        <v>8</v>
      </c>
      <c r="AF4518" s="385">
        <v>0.16666666666666666</v>
      </c>
      <c r="AG4518" s="386">
        <v>11.5</v>
      </c>
      <c r="AH4518" s="387">
        <f t="shared" si="85"/>
        <v>12</v>
      </c>
    </row>
    <row r="4519" spans="11:34" ht="14.5" x14ac:dyDescent="0.35">
      <c r="K4519" s="4"/>
      <c r="AC4519" s="384">
        <v>2022</v>
      </c>
      <c r="AD4519" s="384">
        <v>7</v>
      </c>
      <c r="AE4519" s="384">
        <v>8</v>
      </c>
      <c r="AF4519" s="385">
        <v>0.20833333333333334</v>
      </c>
      <c r="AG4519" s="386">
        <v>10.7</v>
      </c>
      <c r="AH4519" s="387">
        <f t="shared" si="85"/>
        <v>11</v>
      </c>
    </row>
    <row r="4520" spans="11:34" ht="14.5" x14ac:dyDescent="0.35">
      <c r="K4520" s="4"/>
      <c r="AC4520" s="384">
        <v>2022</v>
      </c>
      <c r="AD4520" s="384">
        <v>7</v>
      </c>
      <c r="AE4520" s="384">
        <v>8</v>
      </c>
      <c r="AF4520" s="385">
        <v>0.25</v>
      </c>
      <c r="AG4520" s="386">
        <v>13.6</v>
      </c>
      <c r="AH4520" s="387">
        <f t="shared" si="85"/>
        <v>14</v>
      </c>
    </row>
    <row r="4521" spans="11:34" ht="14.5" x14ac:dyDescent="0.35">
      <c r="K4521" s="4"/>
      <c r="AC4521" s="384">
        <v>2022</v>
      </c>
      <c r="AD4521" s="384">
        <v>7</v>
      </c>
      <c r="AE4521" s="384">
        <v>8</v>
      </c>
      <c r="AF4521" s="385">
        <v>0.29166666666666669</v>
      </c>
      <c r="AG4521" s="386">
        <v>16.7</v>
      </c>
      <c r="AH4521" s="387">
        <f t="shared" si="85"/>
        <v>17</v>
      </c>
    </row>
    <row r="4522" spans="11:34" ht="14.5" x14ac:dyDescent="0.35">
      <c r="K4522" s="4"/>
      <c r="AC4522" s="384">
        <v>2022</v>
      </c>
      <c r="AD4522" s="384">
        <v>7</v>
      </c>
      <c r="AE4522" s="384">
        <v>8</v>
      </c>
      <c r="AF4522" s="385">
        <v>0.33333333333333331</v>
      </c>
      <c r="AG4522" s="386">
        <v>18.399999999999999</v>
      </c>
      <c r="AH4522" s="387">
        <f t="shared" si="85"/>
        <v>18</v>
      </c>
    </row>
    <row r="4523" spans="11:34" ht="14.5" x14ac:dyDescent="0.35">
      <c r="K4523" s="4"/>
      <c r="AC4523" s="384">
        <v>2022</v>
      </c>
      <c r="AD4523" s="384">
        <v>7</v>
      </c>
      <c r="AE4523" s="384">
        <v>8</v>
      </c>
      <c r="AF4523" s="385">
        <v>0.375</v>
      </c>
      <c r="AG4523" s="386">
        <v>20</v>
      </c>
      <c r="AH4523" s="387">
        <f t="shared" si="85"/>
        <v>20</v>
      </c>
    </row>
    <row r="4524" spans="11:34" ht="14.5" x14ac:dyDescent="0.35">
      <c r="K4524" s="4"/>
      <c r="AC4524" s="384">
        <v>2022</v>
      </c>
      <c r="AD4524" s="384">
        <v>7</v>
      </c>
      <c r="AE4524" s="384">
        <v>8</v>
      </c>
      <c r="AF4524" s="385">
        <v>0.41666666666666669</v>
      </c>
      <c r="AG4524" s="386">
        <v>21.7</v>
      </c>
      <c r="AH4524" s="387">
        <f t="shared" si="85"/>
        <v>22</v>
      </c>
    </row>
    <row r="4525" spans="11:34" ht="14.5" x14ac:dyDescent="0.35">
      <c r="K4525" s="4"/>
      <c r="AC4525" s="384">
        <v>2022</v>
      </c>
      <c r="AD4525" s="384">
        <v>7</v>
      </c>
      <c r="AE4525" s="384">
        <v>8</v>
      </c>
      <c r="AF4525" s="385">
        <v>0.45833333333333331</v>
      </c>
      <c r="AG4525" s="386">
        <v>22</v>
      </c>
      <c r="AH4525" s="387">
        <f t="shared" si="85"/>
        <v>22</v>
      </c>
    </row>
    <row r="4526" spans="11:34" ht="14.5" x14ac:dyDescent="0.35">
      <c r="K4526" s="4"/>
      <c r="AC4526" s="384">
        <v>2022</v>
      </c>
      <c r="AD4526" s="384">
        <v>7</v>
      </c>
      <c r="AE4526" s="384">
        <v>8</v>
      </c>
      <c r="AF4526" s="385">
        <v>0.5</v>
      </c>
      <c r="AG4526" s="386">
        <v>22.6</v>
      </c>
      <c r="AH4526" s="387">
        <f t="shared" si="85"/>
        <v>23</v>
      </c>
    </row>
    <row r="4527" spans="11:34" ht="14.5" x14ac:dyDescent="0.35">
      <c r="K4527" s="4"/>
      <c r="AC4527" s="384">
        <v>2022</v>
      </c>
      <c r="AD4527" s="384">
        <v>7</v>
      </c>
      <c r="AE4527" s="384">
        <v>8</v>
      </c>
      <c r="AF4527" s="385">
        <v>0.54166666666666663</v>
      </c>
      <c r="AG4527" s="386">
        <v>23.6</v>
      </c>
      <c r="AH4527" s="387">
        <f t="shared" si="85"/>
        <v>24</v>
      </c>
    </row>
    <row r="4528" spans="11:34" ht="14.5" x14ac:dyDescent="0.35">
      <c r="K4528" s="4"/>
      <c r="AC4528" s="384">
        <v>2022</v>
      </c>
      <c r="AD4528" s="384">
        <v>7</v>
      </c>
      <c r="AE4528" s="384">
        <v>8</v>
      </c>
      <c r="AF4528" s="385">
        <v>0.58333333333333337</v>
      </c>
      <c r="AG4528" s="386">
        <v>23.7</v>
      </c>
      <c r="AH4528" s="387">
        <f t="shared" si="85"/>
        <v>24</v>
      </c>
    </row>
    <row r="4529" spans="11:34" ht="14.5" x14ac:dyDescent="0.35">
      <c r="K4529" s="4"/>
      <c r="AC4529" s="384">
        <v>2022</v>
      </c>
      <c r="AD4529" s="384">
        <v>7</v>
      </c>
      <c r="AE4529" s="384">
        <v>8</v>
      </c>
      <c r="AF4529" s="385">
        <v>0.625</v>
      </c>
      <c r="AG4529" s="386">
        <v>24.5</v>
      </c>
      <c r="AH4529" s="387">
        <f t="shared" si="85"/>
        <v>25</v>
      </c>
    </row>
    <row r="4530" spans="11:34" ht="14.5" x14ac:dyDescent="0.35">
      <c r="K4530" s="4"/>
      <c r="AC4530" s="384">
        <v>2022</v>
      </c>
      <c r="AD4530" s="384">
        <v>7</v>
      </c>
      <c r="AE4530" s="384">
        <v>8</v>
      </c>
      <c r="AF4530" s="385">
        <v>0.66666666666666663</v>
      </c>
      <c r="AG4530" s="386">
        <v>24.7</v>
      </c>
      <c r="AH4530" s="387">
        <f t="shared" si="85"/>
        <v>25</v>
      </c>
    </row>
    <row r="4531" spans="11:34" ht="14.5" x14ac:dyDescent="0.35">
      <c r="K4531" s="4"/>
      <c r="AC4531" s="384">
        <v>2022</v>
      </c>
      <c r="AD4531" s="384">
        <v>7</v>
      </c>
      <c r="AE4531" s="384">
        <v>8</v>
      </c>
      <c r="AF4531" s="385">
        <v>0.70833333333333337</v>
      </c>
      <c r="AG4531" s="386">
        <v>23.1</v>
      </c>
      <c r="AH4531" s="387">
        <f t="shared" si="85"/>
        <v>23</v>
      </c>
    </row>
    <row r="4532" spans="11:34" ht="14.5" x14ac:dyDescent="0.35">
      <c r="K4532" s="4"/>
      <c r="AC4532" s="384">
        <v>2022</v>
      </c>
      <c r="AD4532" s="384">
        <v>7</v>
      </c>
      <c r="AE4532" s="384">
        <v>8</v>
      </c>
      <c r="AF4532" s="385">
        <v>0.75</v>
      </c>
      <c r="AG4532" s="386">
        <v>24.1</v>
      </c>
      <c r="AH4532" s="387">
        <f t="shared" si="85"/>
        <v>24</v>
      </c>
    </row>
    <row r="4533" spans="11:34" ht="14.5" x14ac:dyDescent="0.35">
      <c r="K4533" s="4"/>
      <c r="AC4533" s="384">
        <v>2022</v>
      </c>
      <c r="AD4533" s="384">
        <v>7</v>
      </c>
      <c r="AE4533" s="384">
        <v>8</v>
      </c>
      <c r="AF4533" s="385">
        <v>0.79166666666666663</v>
      </c>
      <c r="AG4533" s="386">
        <v>22.2</v>
      </c>
      <c r="AH4533" s="387">
        <f t="shared" si="85"/>
        <v>22</v>
      </c>
    </row>
    <row r="4534" spans="11:34" ht="14.5" x14ac:dyDescent="0.35">
      <c r="K4534" s="4"/>
      <c r="AC4534" s="384">
        <v>2022</v>
      </c>
      <c r="AD4534" s="384">
        <v>7</v>
      </c>
      <c r="AE4534" s="384">
        <v>8</v>
      </c>
      <c r="AF4534" s="385">
        <v>0.83333333333333337</v>
      </c>
      <c r="AG4534" s="386">
        <v>21.4</v>
      </c>
      <c r="AH4534" s="387">
        <f t="shared" si="85"/>
        <v>21</v>
      </c>
    </row>
    <row r="4535" spans="11:34" ht="14.5" x14ac:dyDescent="0.35">
      <c r="K4535" s="4"/>
      <c r="AC4535" s="384">
        <v>2022</v>
      </c>
      <c r="AD4535" s="384">
        <v>7</v>
      </c>
      <c r="AE4535" s="384">
        <v>8</v>
      </c>
      <c r="AF4535" s="385">
        <v>0.875</v>
      </c>
      <c r="AG4535" s="386">
        <v>18.600000000000001</v>
      </c>
      <c r="AH4535" s="387">
        <f t="shared" si="85"/>
        <v>19</v>
      </c>
    </row>
    <row r="4536" spans="11:34" ht="14.5" x14ac:dyDescent="0.35">
      <c r="K4536" s="4"/>
      <c r="AC4536" s="384">
        <v>2022</v>
      </c>
      <c r="AD4536" s="384">
        <v>7</v>
      </c>
      <c r="AE4536" s="384">
        <v>8</v>
      </c>
      <c r="AF4536" s="385">
        <v>0.91666666666666663</v>
      </c>
      <c r="AG4536" s="386">
        <v>17.2</v>
      </c>
      <c r="AH4536" s="387">
        <f t="shared" si="85"/>
        <v>17</v>
      </c>
    </row>
    <row r="4537" spans="11:34" ht="14.5" x14ac:dyDescent="0.35">
      <c r="K4537" s="4"/>
      <c r="AC4537" s="384">
        <v>2022</v>
      </c>
      <c r="AD4537" s="384">
        <v>7</v>
      </c>
      <c r="AE4537" s="384">
        <v>8</v>
      </c>
      <c r="AF4537" s="385">
        <v>0.95833333333333337</v>
      </c>
      <c r="AG4537" s="386">
        <v>16.5</v>
      </c>
      <c r="AH4537" s="387">
        <f t="shared" si="85"/>
        <v>17</v>
      </c>
    </row>
    <row r="4538" spans="11:34" ht="14.5" x14ac:dyDescent="0.35">
      <c r="K4538" s="4"/>
      <c r="AC4538" s="384">
        <v>2022</v>
      </c>
      <c r="AD4538" s="384">
        <v>7</v>
      </c>
      <c r="AE4538" s="384">
        <v>9</v>
      </c>
      <c r="AF4538" s="385">
        <v>0</v>
      </c>
      <c r="AG4538" s="386">
        <v>15.6</v>
      </c>
      <c r="AH4538" s="387">
        <f t="shared" si="85"/>
        <v>16</v>
      </c>
    </row>
    <row r="4539" spans="11:34" ht="14.5" x14ac:dyDescent="0.35">
      <c r="K4539" s="4"/>
      <c r="AC4539" s="384">
        <v>2022</v>
      </c>
      <c r="AD4539" s="384">
        <v>7</v>
      </c>
      <c r="AE4539" s="384">
        <v>9</v>
      </c>
      <c r="AF4539" s="385">
        <v>4.1666666666666664E-2</v>
      </c>
      <c r="AG4539" s="386">
        <v>16.600000000000001</v>
      </c>
      <c r="AH4539" s="387">
        <f t="shared" si="85"/>
        <v>17</v>
      </c>
    </row>
    <row r="4540" spans="11:34" ht="14.5" x14ac:dyDescent="0.35">
      <c r="K4540" s="4"/>
      <c r="AC4540" s="384">
        <v>2022</v>
      </c>
      <c r="AD4540" s="384">
        <v>7</v>
      </c>
      <c r="AE4540" s="384">
        <v>9</v>
      </c>
      <c r="AF4540" s="385">
        <v>8.3333333333333329E-2</v>
      </c>
      <c r="AG4540" s="386">
        <v>13.8</v>
      </c>
      <c r="AH4540" s="387">
        <f t="shared" si="85"/>
        <v>14</v>
      </c>
    </row>
    <row r="4541" spans="11:34" ht="14.5" x14ac:dyDescent="0.35">
      <c r="K4541" s="4"/>
      <c r="AC4541" s="384">
        <v>2022</v>
      </c>
      <c r="AD4541" s="384">
        <v>7</v>
      </c>
      <c r="AE4541" s="384">
        <v>9</v>
      </c>
      <c r="AF4541" s="385">
        <v>0.125</v>
      </c>
      <c r="AG4541" s="386">
        <v>12.4</v>
      </c>
      <c r="AH4541" s="387">
        <f t="shared" si="85"/>
        <v>12</v>
      </c>
    </row>
    <row r="4542" spans="11:34" ht="14.5" x14ac:dyDescent="0.35">
      <c r="K4542" s="4"/>
      <c r="AC4542" s="384">
        <v>2022</v>
      </c>
      <c r="AD4542" s="384">
        <v>7</v>
      </c>
      <c r="AE4542" s="384">
        <v>9</v>
      </c>
      <c r="AF4542" s="385">
        <v>0.16666666666666666</v>
      </c>
      <c r="AG4542" s="386">
        <v>11.3</v>
      </c>
      <c r="AH4542" s="387">
        <f t="shared" si="85"/>
        <v>11</v>
      </c>
    </row>
    <row r="4543" spans="11:34" ht="14.5" x14ac:dyDescent="0.35">
      <c r="K4543" s="4"/>
      <c r="AC4543" s="384">
        <v>2022</v>
      </c>
      <c r="AD4543" s="384">
        <v>7</v>
      </c>
      <c r="AE4543" s="384">
        <v>9</v>
      </c>
      <c r="AF4543" s="385">
        <v>0.20833333333333334</v>
      </c>
      <c r="AG4543" s="386">
        <v>12.1</v>
      </c>
      <c r="AH4543" s="387">
        <f t="shared" si="85"/>
        <v>12</v>
      </c>
    </row>
    <row r="4544" spans="11:34" ht="14.5" x14ac:dyDescent="0.35">
      <c r="K4544" s="4"/>
      <c r="AC4544" s="384">
        <v>2022</v>
      </c>
      <c r="AD4544" s="384">
        <v>7</v>
      </c>
      <c r="AE4544" s="384">
        <v>9</v>
      </c>
      <c r="AF4544" s="385">
        <v>0.25</v>
      </c>
      <c r="AG4544" s="386">
        <v>14.6</v>
      </c>
      <c r="AH4544" s="387">
        <f t="shared" si="85"/>
        <v>15</v>
      </c>
    </row>
    <row r="4545" spans="11:34" ht="14.5" x14ac:dyDescent="0.35">
      <c r="K4545" s="4"/>
      <c r="AC4545" s="384">
        <v>2022</v>
      </c>
      <c r="AD4545" s="384">
        <v>7</v>
      </c>
      <c r="AE4545" s="384">
        <v>9</v>
      </c>
      <c r="AF4545" s="385">
        <v>0.29166666666666669</v>
      </c>
      <c r="AG4545" s="386">
        <v>17.399999999999999</v>
      </c>
      <c r="AH4545" s="387">
        <f t="shared" si="85"/>
        <v>17</v>
      </c>
    </row>
    <row r="4546" spans="11:34" ht="14.5" x14ac:dyDescent="0.35">
      <c r="K4546" s="4"/>
      <c r="AC4546" s="384">
        <v>2022</v>
      </c>
      <c r="AD4546" s="384">
        <v>7</v>
      </c>
      <c r="AE4546" s="384">
        <v>9</v>
      </c>
      <c r="AF4546" s="385">
        <v>0.33333333333333331</v>
      </c>
      <c r="AG4546" s="386">
        <v>16.399999999999999</v>
      </c>
      <c r="AH4546" s="387">
        <f t="shared" si="85"/>
        <v>16</v>
      </c>
    </row>
    <row r="4547" spans="11:34" ht="14.5" x14ac:dyDescent="0.35">
      <c r="K4547" s="4"/>
      <c r="AC4547" s="384">
        <v>2022</v>
      </c>
      <c r="AD4547" s="384">
        <v>7</v>
      </c>
      <c r="AE4547" s="384">
        <v>9</v>
      </c>
      <c r="AF4547" s="385">
        <v>0.375</v>
      </c>
      <c r="AG4547" s="386">
        <v>17.899999999999999</v>
      </c>
      <c r="AH4547" s="387">
        <f t="shared" si="85"/>
        <v>18</v>
      </c>
    </row>
    <row r="4548" spans="11:34" ht="14.5" x14ac:dyDescent="0.35">
      <c r="K4548" s="4"/>
      <c r="AC4548" s="384">
        <v>2022</v>
      </c>
      <c r="AD4548" s="384">
        <v>7</v>
      </c>
      <c r="AE4548" s="384">
        <v>9</v>
      </c>
      <c r="AF4548" s="385">
        <v>0.41666666666666669</v>
      </c>
      <c r="AG4548" s="386">
        <v>19.5</v>
      </c>
      <c r="AH4548" s="387">
        <f t="shared" si="85"/>
        <v>20</v>
      </c>
    </row>
    <row r="4549" spans="11:34" ht="14.5" x14ac:dyDescent="0.35">
      <c r="K4549" s="4"/>
      <c r="AC4549" s="384">
        <v>2022</v>
      </c>
      <c r="AD4549" s="384">
        <v>7</v>
      </c>
      <c r="AE4549" s="384">
        <v>9</v>
      </c>
      <c r="AF4549" s="385">
        <v>0.45833333333333331</v>
      </c>
      <c r="AG4549" s="386">
        <v>20.5</v>
      </c>
      <c r="AH4549" s="387">
        <f t="shared" si="85"/>
        <v>21</v>
      </c>
    </row>
    <row r="4550" spans="11:34" ht="14.5" x14ac:dyDescent="0.35">
      <c r="K4550" s="4"/>
      <c r="AC4550" s="384">
        <v>2022</v>
      </c>
      <c r="AD4550" s="384">
        <v>7</v>
      </c>
      <c r="AE4550" s="384">
        <v>9</v>
      </c>
      <c r="AF4550" s="385">
        <v>0.5</v>
      </c>
      <c r="AG4550" s="386">
        <v>21.6</v>
      </c>
      <c r="AH4550" s="387">
        <f t="shared" si="85"/>
        <v>22</v>
      </c>
    </row>
    <row r="4551" spans="11:34" ht="14.5" x14ac:dyDescent="0.35">
      <c r="K4551" s="4"/>
      <c r="AC4551" s="384">
        <v>2022</v>
      </c>
      <c r="AD4551" s="384">
        <v>7</v>
      </c>
      <c r="AE4551" s="384">
        <v>9</v>
      </c>
      <c r="AF4551" s="385">
        <v>0.54166666666666663</v>
      </c>
      <c r="AG4551" s="386">
        <v>22.9</v>
      </c>
      <c r="AH4551" s="387">
        <f t="shared" si="85"/>
        <v>23</v>
      </c>
    </row>
    <row r="4552" spans="11:34" ht="14.5" x14ac:dyDescent="0.35">
      <c r="K4552" s="4"/>
      <c r="AC4552" s="384">
        <v>2022</v>
      </c>
      <c r="AD4552" s="384">
        <v>7</v>
      </c>
      <c r="AE4552" s="384">
        <v>9</v>
      </c>
      <c r="AF4552" s="385">
        <v>0.58333333333333337</v>
      </c>
      <c r="AG4552" s="386">
        <v>23.6</v>
      </c>
      <c r="AH4552" s="387">
        <f t="shared" si="85"/>
        <v>24</v>
      </c>
    </row>
    <row r="4553" spans="11:34" ht="14.5" x14ac:dyDescent="0.35">
      <c r="K4553" s="4"/>
      <c r="AC4553" s="384">
        <v>2022</v>
      </c>
      <c r="AD4553" s="384">
        <v>7</v>
      </c>
      <c r="AE4553" s="384">
        <v>9</v>
      </c>
      <c r="AF4553" s="385">
        <v>0.625</v>
      </c>
      <c r="AG4553" s="386">
        <v>23.4</v>
      </c>
      <c r="AH4553" s="387">
        <f t="shared" si="85"/>
        <v>23</v>
      </c>
    </row>
    <row r="4554" spans="11:34" ht="14.5" x14ac:dyDescent="0.35">
      <c r="K4554" s="4"/>
      <c r="AC4554" s="384">
        <v>2022</v>
      </c>
      <c r="AD4554" s="384">
        <v>7</v>
      </c>
      <c r="AE4554" s="384">
        <v>9</v>
      </c>
      <c r="AF4554" s="385">
        <v>0.66666666666666663</v>
      </c>
      <c r="AG4554" s="386">
        <v>24.4</v>
      </c>
      <c r="AH4554" s="387">
        <f t="shared" si="85"/>
        <v>24</v>
      </c>
    </row>
    <row r="4555" spans="11:34" ht="14.5" x14ac:dyDescent="0.35">
      <c r="K4555" s="4"/>
      <c r="AC4555" s="384">
        <v>2022</v>
      </c>
      <c r="AD4555" s="384">
        <v>7</v>
      </c>
      <c r="AE4555" s="384">
        <v>9</v>
      </c>
      <c r="AF4555" s="385">
        <v>0.70833333333333337</v>
      </c>
      <c r="AG4555" s="386">
        <v>24.4</v>
      </c>
      <c r="AH4555" s="387">
        <f t="shared" ref="AH4555:AH4618" si="86">ROUND(AG4555,0)</f>
        <v>24</v>
      </c>
    </row>
    <row r="4556" spans="11:34" ht="14.5" x14ac:dyDescent="0.35">
      <c r="K4556" s="4"/>
      <c r="AC4556" s="384">
        <v>2022</v>
      </c>
      <c r="AD4556" s="384">
        <v>7</v>
      </c>
      <c r="AE4556" s="384">
        <v>9</v>
      </c>
      <c r="AF4556" s="385">
        <v>0.75</v>
      </c>
      <c r="AG4556" s="386">
        <v>23.1</v>
      </c>
      <c r="AH4556" s="387">
        <f t="shared" si="86"/>
        <v>23</v>
      </c>
    </row>
    <row r="4557" spans="11:34" ht="14.5" x14ac:dyDescent="0.35">
      <c r="K4557" s="4"/>
      <c r="AC4557" s="384">
        <v>2022</v>
      </c>
      <c r="AD4557" s="384">
        <v>7</v>
      </c>
      <c r="AE4557" s="384">
        <v>9</v>
      </c>
      <c r="AF4557" s="385">
        <v>0.79166666666666663</v>
      </c>
      <c r="AG4557" s="386">
        <v>22.8</v>
      </c>
      <c r="AH4557" s="387">
        <f t="shared" si="86"/>
        <v>23</v>
      </c>
    </row>
    <row r="4558" spans="11:34" ht="14.5" x14ac:dyDescent="0.35">
      <c r="K4558" s="4"/>
      <c r="AC4558" s="384">
        <v>2022</v>
      </c>
      <c r="AD4558" s="384">
        <v>7</v>
      </c>
      <c r="AE4558" s="384">
        <v>9</v>
      </c>
      <c r="AF4558" s="385">
        <v>0.83333333333333337</v>
      </c>
      <c r="AG4558" s="386">
        <v>21.1</v>
      </c>
      <c r="AH4558" s="387">
        <f t="shared" si="86"/>
        <v>21</v>
      </c>
    </row>
    <row r="4559" spans="11:34" ht="14.5" x14ac:dyDescent="0.35">
      <c r="K4559" s="4"/>
      <c r="AC4559" s="384">
        <v>2022</v>
      </c>
      <c r="AD4559" s="384">
        <v>7</v>
      </c>
      <c r="AE4559" s="384">
        <v>9</v>
      </c>
      <c r="AF4559" s="385">
        <v>0.875</v>
      </c>
      <c r="AG4559" s="386">
        <v>20.9</v>
      </c>
      <c r="AH4559" s="387">
        <f t="shared" si="86"/>
        <v>21</v>
      </c>
    </row>
    <row r="4560" spans="11:34" ht="14.5" x14ac:dyDescent="0.35">
      <c r="K4560" s="4"/>
      <c r="AC4560" s="384">
        <v>2022</v>
      </c>
      <c r="AD4560" s="384">
        <v>7</v>
      </c>
      <c r="AE4560" s="384">
        <v>9</v>
      </c>
      <c r="AF4560" s="385">
        <v>0.91666666666666663</v>
      </c>
      <c r="AG4560" s="386">
        <v>17.899999999999999</v>
      </c>
      <c r="AH4560" s="387">
        <f t="shared" si="86"/>
        <v>18</v>
      </c>
    </row>
    <row r="4561" spans="11:34" ht="14.5" x14ac:dyDescent="0.35">
      <c r="K4561" s="4"/>
      <c r="AC4561" s="384">
        <v>2022</v>
      </c>
      <c r="AD4561" s="384">
        <v>7</v>
      </c>
      <c r="AE4561" s="384">
        <v>9</v>
      </c>
      <c r="AF4561" s="385">
        <v>0.95833333333333337</v>
      </c>
      <c r="AG4561" s="386">
        <v>18.7</v>
      </c>
      <c r="AH4561" s="387">
        <f t="shared" si="86"/>
        <v>19</v>
      </c>
    </row>
    <row r="4562" spans="11:34" ht="14.5" x14ac:dyDescent="0.35">
      <c r="K4562" s="4"/>
      <c r="AC4562" s="384">
        <v>2022</v>
      </c>
      <c r="AD4562" s="384">
        <v>7</v>
      </c>
      <c r="AE4562" s="384">
        <v>10</v>
      </c>
      <c r="AF4562" s="385">
        <v>0</v>
      </c>
      <c r="AG4562" s="386">
        <v>16.7</v>
      </c>
      <c r="AH4562" s="387">
        <f t="shared" si="86"/>
        <v>17</v>
      </c>
    </row>
    <row r="4563" spans="11:34" ht="14.5" x14ac:dyDescent="0.35">
      <c r="K4563" s="4"/>
      <c r="AC4563" s="384">
        <v>2022</v>
      </c>
      <c r="AD4563" s="384">
        <v>7</v>
      </c>
      <c r="AE4563" s="384">
        <v>10</v>
      </c>
      <c r="AF4563" s="385">
        <v>4.1666666666666664E-2</v>
      </c>
      <c r="AG4563" s="386">
        <v>15.8</v>
      </c>
      <c r="AH4563" s="387">
        <f t="shared" si="86"/>
        <v>16</v>
      </c>
    </row>
    <row r="4564" spans="11:34" ht="14.5" x14ac:dyDescent="0.35">
      <c r="K4564" s="4"/>
      <c r="AC4564" s="384">
        <v>2022</v>
      </c>
      <c r="AD4564" s="384">
        <v>7</v>
      </c>
      <c r="AE4564" s="384">
        <v>10</v>
      </c>
      <c r="AF4564" s="385">
        <v>8.3333333333333329E-2</v>
      </c>
      <c r="AG4564" s="386">
        <v>14.1</v>
      </c>
      <c r="AH4564" s="387">
        <f t="shared" si="86"/>
        <v>14</v>
      </c>
    </row>
    <row r="4565" spans="11:34" ht="14.5" x14ac:dyDescent="0.35">
      <c r="K4565" s="4"/>
      <c r="AC4565" s="384">
        <v>2022</v>
      </c>
      <c r="AD4565" s="384">
        <v>7</v>
      </c>
      <c r="AE4565" s="384">
        <v>10</v>
      </c>
      <c r="AF4565" s="385">
        <v>0.125</v>
      </c>
      <c r="AG4565" s="386">
        <v>12.6</v>
      </c>
      <c r="AH4565" s="387">
        <f t="shared" si="86"/>
        <v>13</v>
      </c>
    </row>
    <row r="4566" spans="11:34" ht="14.5" x14ac:dyDescent="0.35">
      <c r="K4566" s="4"/>
      <c r="AC4566" s="384">
        <v>2022</v>
      </c>
      <c r="AD4566" s="384">
        <v>7</v>
      </c>
      <c r="AE4566" s="384">
        <v>10</v>
      </c>
      <c r="AF4566" s="385">
        <v>0.16666666666666666</v>
      </c>
      <c r="AG4566" s="386">
        <v>11</v>
      </c>
      <c r="AH4566" s="387">
        <f t="shared" si="86"/>
        <v>11</v>
      </c>
    </row>
    <row r="4567" spans="11:34" ht="14.5" x14ac:dyDescent="0.35">
      <c r="K4567" s="4"/>
      <c r="AC4567" s="384">
        <v>2022</v>
      </c>
      <c r="AD4567" s="384">
        <v>7</v>
      </c>
      <c r="AE4567" s="384">
        <v>10</v>
      </c>
      <c r="AF4567" s="385">
        <v>0.20833333333333334</v>
      </c>
      <c r="AG4567" s="386">
        <v>11.2</v>
      </c>
      <c r="AH4567" s="387">
        <f t="shared" si="86"/>
        <v>11</v>
      </c>
    </row>
    <row r="4568" spans="11:34" ht="14.5" x14ac:dyDescent="0.35">
      <c r="K4568" s="4"/>
      <c r="AC4568" s="384">
        <v>2022</v>
      </c>
      <c r="AD4568" s="384">
        <v>7</v>
      </c>
      <c r="AE4568" s="384">
        <v>10</v>
      </c>
      <c r="AF4568" s="385">
        <v>0.25</v>
      </c>
      <c r="AG4568" s="386">
        <v>12</v>
      </c>
      <c r="AH4568" s="387">
        <f t="shared" si="86"/>
        <v>12</v>
      </c>
    </row>
    <row r="4569" spans="11:34" ht="14.5" x14ac:dyDescent="0.35">
      <c r="K4569" s="4"/>
      <c r="AC4569" s="384">
        <v>2022</v>
      </c>
      <c r="AD4569" s="384">
        <v>7</v>
      </c>
      <c r="AE4569" s="384">
        <v>10</v>
      </c>
      <c r="AF4569" s="385">
        <v>0.29166666666666669</v>
      </c>
      <c r="AG4569" s="386">
        <v>15</v>
      </c>
      <c r="AH4569" s="387">
        <f t="shared" si="86"/>
        <v>15</v>
      </c>
    </row>
    <row r="4570" spans="11:34" ht="14.5" x14ac:dyDescent="0.35">
      <c r="K4570" s="4"/>
      <c r="AC4570" s="384">
        <v>2022</v>
      </c>
      <c r="AD4570" s="384">
        <v>7</v>
      </c>
      <c r="AE4570" s="384">
        <v>10</v>
      </c>
      <c r="AF4570" s="385">
        <v>0.33333333333333331</v>
      </c>
      <c r="AG4570" s="386">
        <v>17.3</v>
      </c>
      <c r="AH4570" s="387">
        <f t="shared" si="86"/>
        <v>17</v>
      </c>
    </row>
    <row r="4571" spans="11:34" ht="14.5" x14ac:dyDescent="0.35">
      <c r="K4571" s="4"/>
      <c r="AC4571" s="384">
        <v>2022</v>
      </c>
      <c r="AD4571" s="384">
        <v>7</v>
      </c>
      <c r="AE4571" s="384">
        <v>10</v>
      </c>
      <c r="AF4571" s="385">
        <v>0.375</v>
      </c>
      <c r="AG4571" s="386">
        <v>18.2</v>
      </c>
      <c r="AH4571" s="387">
        <f t="shared" si="86"/>
        <v>18</v>
      </c>
    </row>
    <row r="4572" spans="11:34" ht="14.5" x14ac:dyDescent="0.35">
      <c r="K4572" s="4"/>
      <c r="AC4572" s="384">
        <v>2022</v>
      </c>
      <c r="AD4572" s="384">
        <v>7</v>
      </c>
      <c r="AE4572" s="384">
        <v>10</v>
      </c>
      <c r="AF4572" s="385">
        <v>0.41666666666666669</v>
      </c>
      <c r="AG4572" s="386">
        <v>18.8</v>
      </c>
      <c r="AH4572" s="387">
        <f t="shared" si="86"/>
        <v>19</v>
      </c>
    </row>
    <row r="4573" spans="11:34" ht="14.5" x14ac:dyDescent="0.35">
      <c r="K4573" s="4"/>
      <c r="AC4573" s="384">
        <v>2022</v>
      </c>
      <c r="AD4573" s="384">
        <v>7</v>
      </c>
      <c r="AE4573" s="384">
        <v>10</v>
      </c>
      <c r="AF4573" s="385">
        <v>0.45833333333333331</v>
      </c>
      <c r="AG4573" s="386">
        <v>19.399999999999999</v>
      </c>
      <c r="AH4573" s="387">
        <f t="shared" si="86"/>
        <v>19</v>
      </c>
    </row>
    <row r="4574" spans="11:34" ht="14.5" x14ac:dyDescent="0.35">
      <c r="K4574" s="4"/>
      <c r="AC4574" s="384">
        <v>2022</v>
      </c>
      <c r="AD4574" s="384">
        <v>7</v>
      </c>
      <c r="AE4574" s="384">
        <v>10</v>
      </c>
      <c r="AF4574" s="385">
        <v>0.5</v>
      </c>
      <c r="AG4574" s="386">
        <v>19.399999999999999</v>
      </c>
      <c r="AH4574" s="387">
        <f t="shared" si="86"/>
        <v>19</v>
      </c>
    </row>
    <row r="4575" spans="11:34" ht="14.5" x14ac:dyDescent="0.35">
      <c r="K4575" s="4"/>
      <c r="AC4575" s="384">
        <v>2022</v>
      </c>
      <c r="AD4575" s="384">
        <v>7</v>
      </c>
      <c r="AE4575" s="384">
        <v>10</v>
      </c>
      <c r="AF4575" s="385">
        <v>0.54166666666666663</v>
      </c>
      <c r="AG4575" s="386">
        <v>21</v>
      </c>
      <c r="AH4575" s="387">
        <f t="shared" si="86"/>
        <v>21</v>
      </c>
    </row>
    <row r="4576" spans="11:34" ht="14.5" x14ac:dyDescent="0.35">
      <c r="K4576" s="4"/>
      <c r="AC4576" s="384">
        <v>2022</v>
      </c>
      <c r="AD4576" s="384">
        <v>7</v>
      </c>
      <c r="AE4576" s="384">
        <v>10</v>
      </c>
      <c r="AF4576" s="385">
        <v>0.58333333333333337</v>
      </c>
      <c r="AG4576" s="386">
        <v>20.3</v>
      </c>
      <c r="AH4576" s="387">
        <f t="shared" si="86"/>
        <v>20</v>
      </c>
    </row>
    <row r="4577" spans="11:34" ht="14.5" x14ac:dyDescent="0.35">
      <c r="K4577" s="4"/>
      <c r="AC4577" s="384">
        <v>2022</v>
      </c>
      <c r="AD4577" s="384">
        <v>7</v>
      </c>
      <c r="AE4577" s="384">
        <v>10</v>
      </c>
      <c r="AF4577" s="385">
        <v>0.625</v>
      </c>
      <c r="AG4577" s="386">
        <v>21.5</v>
      </c>
      <c r="AH4577" s="387">
        <f t="shared" si="86"/>
        <v>22</v>
      </c>
    </row>
    <row r="4578" spans="11:34" ht="14.5" x14ac:dyDescent="0.35">
      <c r="K4578" s="4"/>
      <c r="AC4578" s="384">
        <v>2022</v>
      </c>
      <c r="AD4578" s="384">
        <v>7</v>
      </c>
      <c r="AE4578" s="384">
        <v>10</v>
      </c>
      <c r="AF4578" s="385">
        <v>0.66666666666666663</v>
      </c>
      <c r="AG4578" s="386">
        <v>21.1</v>
      </c>
      <c r="AH4578" s="387">
        <f t="shared" si="86"/>
        <v>21</v>
      </c>
    </row>
    <row r="4579" spans="11:34" ht="14.5" x14ac:dyDescent="0.35">
      <c r="K4579" s="4"/>
      <c r="AC4579" s="384">
        <v>2022</v>
      </c>
      <c r="AD4579" s="384">
        <v>7</v>
      </c>
      <c r="AE4579" s="384">
        <v>10</v>
      </c>
      <c r="AF4579" s="385">
        <v>0.70833333333333337</v>
      </c>
      <c r="AG4579" s="386">
        <v>22.7</v>
      </c>
      <c r="AH4579" s="387">
        <f t="shared" si="86"/>
        <v>23</v>
      </c>
    </row>
    <row r="4580" spans="11:34" ht="14.5" x14ac:dyDescent="0.35">
      <c r="K4580" s="4"/>
      <c r="AC4580" s="384">
        <v>2022</v>
      </c>
      <c r="AD4580" s="384">
        <v>7</v>
      </c>
      <c r="AE4580" s="384">
        <v>10</v>
      </c>
      <c r="AF4580" s="385">
        <v>0.75</v>
      </c>
      <c r="AG4580" s="386">
        <v>21.5</v>
      </c>
      <c r="AH4580" s="387">
        <f t="shared" si="86"/>
        <v>22</v>
      </c>
    </row>
    <row r="4581" spans="11:34" ht="14.5" x14ac:dyDescent="0.35">
      <c r="K4581" s="4"/>
      <c r="AC4581" s="384">
        <v>2022</v>
      </c>
      <c r="AD4581" s="384">
        <v>7</v>
      </c>
      <c r="AE4581" s="384">
        <v>10</v>
      </c>
      <c r="AF4581" s="385">
        <v>0.79166666666666663</v>
      </c>
      <c r="AG4581" s="386">
        <v>21.2</v>
      </c>
      <c r="AH4581" s="387">
        <f t="shared" si="86"/>
        <v>21</v>
      </c>
    </row>
    <row r="4582" spans="11:34" ht="14.5" x14ac:dyDescent="0.35">
      <c r="K4582" s="4"/>
      <c r="AC4582" s="384">
        <v>2022</v>
      </c>
      <c r="AD4582" s="384">
        <v>7</v>
      </c>
      <c r="AE4582" s="384">
        <v>10</v>
      </c>
      <c r="AF4582" s="385">
        <v>0.83333333333333337</v>
      </c>
      <c r="AG4582" s="386">
        <v>19.8</v>
      </c>
      <c r="AH4582" s="387">
        <f t="shared" si="86"/>
        <v>20</v>
      </c>
    </row>
    <row r="4583" spans="11:34" ht="14.5" x14ac:dyDescent="0.35">
      <c r="K4583" s="4"/>
      <c r="AC4583" s="384">
        <v>2022</v>
      </c>
      <c r="AD4583" s="384">
        <v>7</v>
      </c>
      <c r="AE4583" s="384">
        <v>10</v>
      </c>
      <c r="AF4583" s="385">
        <v>0.875</v>
      </c>
      <c r="AG4583" s="386">
        <v>18.399999999999999</v>
      </c>
      <c r="AH4583" s="387">
        <f t="shared" si="86"/>
        <v>18</v>
      </c>
    </row>
    <row r="4584" spans="11:34" ht="14.5" x14ac:dyDescent="0.35">
      <c r="K4584" s="4"/>
      <c r="AC4584" s="384">
        <v>2022</v>
      </c>
      <c r="AD4584" s="384">
        <v>7</v>
      </c>
      <c r="AE4584" s="384">
        <v>10</v>
      </c>
      <c r="AF4584" s="385">
        <v>0.91666666666666663</v>
      </c>
      <c r="AG4584" s="386">
        <v>17.2</v>
      </c>
      <c r="AH4584" s="387">
        <f t="shared" si="86"/>
        <v>17</v>
      </c>
    </row>
    <row r="4585" spans="11:34" ht="14.5" x14ac:dyDescent="0.35">
      <c r="K4585" s="4"/>
      <c r="AC4585" s="384">
        <v>2022</v>
      </c>
      <c r="AD4585" s="384">
        <v>7</v>
      </c>
      <c r="AE4585" s="384">
        <v>10</v>
      </c>
      <c r="AF4585" s="385">
        <v>0.95833333333333337</v>
      </c>
      <c r="AG4585" s="386">
        <v>16.2</v>
      </c>
      <c r="AH4585" s="387">
        <f t="shared" si="86"/>
        <v>16</v>
      </c>
    </row>
    <row r="4586" spans="11:34" ht="14.5" x14ac:dyDescent="0.35">
      <c r="K4586" s="4"/>
      <c r="AC4586" s="384">
        <v>2022</v>
      </c>
      <c r="AD4586" s="384">
        <v>7</v>
      </c>
      <c r="AE4586" s="384">
        <v>11</v>
      </c>
      <c r="AF4586" s="385">
        <v>0</v>
      </c>
      <c r="AG4586" s="386">
        <v>15.7</v>
      </c>
      <c r="AH4586" s="387">
        <f t="shared" si="86"/>
        <v>16</v>
      </c>
    </row>
    <row r="4587" spans="11:34" ht="14.5" x14ac:dyDescent="0.35">
      <c r="K4587" s="4"/>
      <c r="AC4587" s="384">
        <v>2022</v>
      </c>
      <c r="AD4587" s="384">
        <v>7</v>
      </c>
      <c r="AE4587" s="384">
        <v>11</v>
      </c>
      <c r="AF4587" s="385">
        <v>4.1666666666666664E-2</v>
      </c>
      <c r="AG4587" s="386">
        <v>15.4</v>
      </c>
      <c r="AH4587" s="387">
        <f t="shared" si="86"/>
        <v>15</v>
      </c>
    </row>
    <row r="4588" spans="11:34" ht="14.5" x14ac:dyDescent="0.35">
      <c r="K4588" s="4"/>
      <c r="AC4588" s="384">
        <v>2022</v>
      </c>
      <c r="AD4588" s="384">
        <v>7</v>
      </c>
      <c r="AE4588" s="384">
        <v>11</v>
      </c>
      <c r="AF4588" s="385">
        <v>8.3333333333333329E-2</v>
      </c>
      <c r="AG4588" s="386">
        <v>15.8</v>
      </c>
      <c r="AH4588" s="387">
        <f t="shared" si="86"/>
        <v>16</v>
      </c>
    </row>
    <row r="4589" spans="11:34" ht="14.5" x14ac:dyDescent="0.35">
      <c r="K4589" s="4"/>
      <c r="AC4589" s="384">
        <v>2022</v>
      </c>
      <c r="AD4589" s="384">
        <v>7</v>
      </c>
      <c r="AE4589" s="384">
        <v>11</v>
      </c>
      <c r="AF4589" s="385">
        <v>0.125</v>
      </c>
      <c r="AG4589" s="386">
        <v>14</v>
      </c>
      <c r="AH4589" s="387">
        <f t="shared" si="86"/>
        <v>14</v>
      </c>
    </row>
    <row r="4590" spans="11:34" ht="14.5" x14ac:dyDescent="0.35">
      <c r="K4590" s="4"/>
      <c r="AC4590" s="384">
        <v>2022</v>
      </c>
      <c r="AD4590" s="384">
        <v>7</v>
      </c>
      <c r="AE4590" s="384">
        <v>11</v>
      </c>
      <c r="AF4590" s="385">
        <v>0.16666666666666666</v>
      </c>
      <c r="AG4590" s="386">
        <v>13</v>
      </c>
      <c r="AH4590" s="387">
        <f t="shared" si="86"/>
        <v>13</v>
      </c>
    </row>
    <row r="4591" spans="11:34" ht="14.5" x14ac:dyDescent="0.35">
      <c r="K4591" s="4"/>
      <c r="AC4591" s="384">
        <v>2022</v>
      </c>
      <c r="AD4591" s="384">
        <v>7</v>
      </c>
      <c r="AE4591" s="384">
        <v>11</v>
      </c>
      <c r="AF4591" s="385">
        <v>0.20833333333333334</v>
      </c>
      <c r="AG4591" s="386">
        <v>12.9</v>
      </c>
      <c r="AH4591" s="387">
        <f t="shared" si="86"/>
        <v>13</v>
      </c>
    </row>
    <row r="4592" spans="11:34" ht="14.5" x14ac:dyDescent="0.35">
      <c r="K4592" s="4"/>
      <c r="AC4592" s="384">
        <v>2022</v>
      </c>
      <c r="AD4592" s="384">
        <v>7</v>
      </c>
      <c r="AE4592" s="384">
        <v>11</v>
      </c>
      <c r="AF4592" s="385">
        <v>0.25</v>
      </c>
      <c r="AG4592" s="386">
        <v>15.1</v>
      </c>
      <c r="AH4592" s="387">
        <f t="shared" si="86"/>
        <v>15</v>
      </c>
    </row>
    <row r="4593" spans="11:34" ht="14.5" x14ac:dyDescent="0.35">
      <c r="K4593" s="4"/>
      <c r="AC4593" s="384">
        <v>2022</v>
      </c>
      <c r="AD4593" s="384">
        <v>7</v>
      </c>
      <c r="AE4593" s="384">
        <v>11</v>
      </c>
      <c r="AF4593" s="385">
        <v>0.29166666666666669</v>
      </c>
      <c r="AG4593" s="386">
        <v>17.7</v>
      </c>
      <c r="AH4593" s="387">
        <f t="shared" si="86"/>
        <v>18</v>
      </c>
    </row>
    <row r="4594" spans="11:34" ht="14.5" x14ac:dyDescent="0.35">
      <c r="K4594" s="4"/>
      <c r="AC4594" s="384">
        <v>2022</v>
      </c>
      <c r="AD4594" s="384">
        <v>7</v>
      </c>
      <c r="AE4594" s="384">
        <v>11</v>
      </c>
      <c r="AF4594" s="385">
        <v>0.33333333333333331</v>
      </c>
      <c r="AG4594" s="386">
        <v>19.399999999999999</v>
      </c>
      <c r="AH4594" s="387">
        <f t="shared" si="86"/>
        <v>19</v>
      </c>
    </row>
    <row r="4595" spans="11:34" ht="14.5" x14ac:dyDescent="0.35">
      <c r="K4595" s="4"/>
      <c r="AC4595" s="384">
        <v>2022</v>
      </c>
      <c r="AD4595" s="384">
        <v>7</v>
      </c>
      <c r="AE4595" s="384">
        <v>11</v>
      </c>
      <c r="AF4595" s="385">
        <v>0.375</v>
      </c>
      <c r="AG4595" s="386">
        <v>19.899999999999999</v>
      </c>
      <c r="AH4595" s="387">
        <f t="shared" si="86"/>
        <v>20</v>
      </c>
    </row>
    <row r="4596" spans="11:34" ht="14.5" x14ac:dyDescent="0.35">
      <c r="K4596" s="4"/>
      <c r="AC4596" s="384">
        <v>2022</v>
      </c>
      <c r="AD4596" s="384">
        <v>7</v>
      </c>
      <c r="AE4596" s="384">
        <v>11</v>
      </c>
      <c r="AF4596" s="385">
        <v>0.41666666666666669</v>
      </c>
      <c r="AG4596" s="386">
        <v>21</v>
      </c>
      <c r="AH4596" s="387">
        <f t="shared" si="86"/>
        <v>21</v>
      </c>
    </row>
    <row r="4597" spans="11:34" ht="14.5" x14ac:dyDescent="0.35">
      <c r="K4597" s="4"/>
      <c r="AC4597" s="384">
        <v>2022</v>
      </c>
      <c r="AD4597" s="384">
        <v>7</v>
      </c>
      <c r="AE4597" s="384">
        <v>11</v>
      </c>
      <c r="AF4597" s="385">
        <v>0.45833333333333331</v>
      </c>
      <c r="AG4597" s="386">
        <v>22.1</v>
      </c>
      <c r="AH4597" s="387">
        <f t="shared" si="86"/>
        <v>22</v>
      </c>
    </row>
    <row r="4598" spans="11:34" ht="14.5" x14ac:dyDescent="0.35">
      <c r="K4598" s="4"/>
      <c r="AC4598" s="384">
        <v>2022</v>
      </c>
      <c r="AD4598" s="384">
        <v>7</v>
      </c>
      <c r="AE4598" s="384">
        <v>11</v>
      </c>
      <c r="AF4598" s="385">
        <v>0.5</v>
      </c>
      <c r="AG4598" s="386">
        <v>22.6</v>
      </c>
      <c r="AH4598" s="387">
        <f t="shared" si="86"/>
        <v>23</v>
      </c>
    </row>
    <row r="4599" spans="11:34" ht="14.5" x14ac:dyDescent="0.35">
      <c r="K4599" s="4"/>
      <c r="AC4599" s="384">
        <v>2022</v>
      </c>
      <c r="AD4599" s="384">
        <v>7</v>
      </c>
      <c r="AE4599" s="384">
        <v>11</v>
      </c>
      <c r="AF4599" s="385">
        <v>0.54166666666666663</v>
      </c>
      <c r="AG4599" s="386">
        <v>23.3</v>
      </c>
      <c r="AH4599" s="387">
        <f t="shared" si="86"/>
        <v>23</v>
      </c>
    </row>
    <row r="4600" spans="11:34" ht="14.5" x14ac:dyDescent="0.35">
      <c r="K4600" s="4"/>
      <c r="AC4600" s="384">
        <v>2022</v>
      </c>
      <c r="AD4600" s="384">
        <v>7</v>
      </c>
      <c r="AE4600" s="384">
        <v>11</v>
      </c>
      <c r="AF4600" s="385">
        <v>0.58333333333333337</v>
      </c>
      <c r="AG4600" s="386">
        <v>23.8</v>
      </c>
      <c r="AH4600" s="387">
        <f t="shared" si="86"/>
        <v>24</v>
      </c>
    </row>
    <row r="4601" spans="11:34" ht="14.5" x14ac:dyDescent="0.35">
      <c r="K4601" s="4"/>
      <c r="AC4601" s="384">
        <v>2022</v>
      </c>
      <c r="AD4601" s="384">
        <v>7</v>
      </c>
      <c r="AE4601" s="384">
        <v>11</v>
      </c>
      <c r="AF4601" s="385">
        <v>0.625</v>
      </c>
      <c r="AG4601" s="386">
        <v>23.9</v>
      </c>
      <c r="AH4601" s="387">
        <f t="shared" si="86"/>
        <v>24</v>
      </c>
    </row>
    <row r="4602" spans="11:34" ht="14.5" x14ac:dyDescent="0.35">
      <c r="K4602" s="4"/>
      <c r="AC4602" s="384">
        <v>2022</v>
      </c>
      <c r="AD4602" s="384">
        <v>7</v>
      </c>
      <c r="AE4602" s="384">
        <v>11</v>
      </c>
      <c r="AF4602" s="385">
        <v>0.66666666666666663</v>
      </c>
      <c r="AG4602" s="386">
        <v>24</v>
      </c>
      <c r="AH4602" s="387">
        <f t="shared" si="86"/>
        <v>24</v>
      </c>
    </row>
    <row r="4603" spans="11:34" ht="14.5" x14ac:dyDescent="0.35">
      <c r="K4603" s="4"/>
      <c r="AC4603" s="384">
        <v>2022</v>
      </c>
      <c r="AD4603" s="384">
        <v>7</v>
      </c>
      <c r="AE4603" s="384">
        <v>11</v>
      </c>
      <c r="AF4603" s="385">
        <v>0.70833333333333337</v>
      </c>
      <c r="AG4603" s="386">
        <v>23.9</v>
      </c>
      <c r="AH4603" s="387">
        <f t="shared" si="86"/>
        <v>24</v>
      </c>
    </row>
    <row r="4604" spans="11:34" ht="14.5" x14ac:dyDescent="0.35">
      <c r="K4604" s="4"/>
      <c r="AC4604" s="384">
        <v>2022</v>
      </c>
      <c r="AD4604" s="384">
        <v>7</v>
      </c>
      <c r="AE4604" s="384">
        <v>11</v>
      </c>
      <c r="AF4604" s="385">
        <v>0.75</v>
      </c>
      <c r="AG4604" s="386">
        <v>23.4</v>
      </c>
      <c r="AH4604" s="387">
        <f t="shared" si="86"/>
        <v>23</v>
      </c>
    </row>
    <row r="4605" spans="11:34" ht="14.5" x14ac:dyDescent="0.35">
      <c r="K4605" s="4"/>
      <c r="AC4605" s="384">
        <v>2022</v>
      </c>
      <c r="AD4605" s="384">
        <v>7</v>
      </c>
      <c r="AE4605" s="384">
        <v>11</v>
      </c>
      <c r="AF4605" s="385">
        <v>0.79166666666666663</v>
      </c>
      <c r="AG4605" s="386">
        <v>22.8</v>
      </c>
      <c r="AH4605" s="387">
        <f t="shared" si="86"/>
        <v>23</v>
      </c>
    </row>
    <row r="4606" spans="11:34" ht="14.5" x14ac:dyDescent="0.35">
      <c r="K4606" s="4"/>
      <c r="AC4606" s="384">
        <v>2022</v>
      </c>
      <c r="AD4606" s="384">
        <v>7</v>
      </c>
      <c r="AE4606" s="384">
        <v>11</v>
      </c>
      <c r="AF4606" s="385">
        <v>0.83333333333333337</v>
      </c>
      <c r="AG4606" s="386">
        <v>21.5</v>
      </c>
      <c r="AH4606" s="387">
        <f t="shared" si="86"/>
        <v>22</v>
      </c>
    </row>
    <row r="4607" spans="11:34" ht="14.5" x14ac:dyDescent="0.35">
      <c r="K4607" s="4"/>
      <c r="AC4607" s="384">
        <v>2022</v>
      </c>
      <c r="AD4607" s="384">
        <v>7</v>
      </c>
      <c r="AE4607" s="384">
        <v>11</v>
      </c>
      <c r="AF4607" s="385">
        <v>0.875</v>
      </c>
      <c r="AG4607" s="386">
        <v>19.100000000000001</v>
      </c>
      <c r="AH4607" s="387">
        <f t="shared" si="86"/>
        <v>19</v>
      </c>
    </row>
    <row r="4608" spans="11:34" ht="14.5" x14ac:dyDescent="0.35">
      <c r="K4608" s="4"/>
      <c r="AC4608" s="384">
        <v>2022</v>
      </c>
      <c r="AD4608" s="384">
        <v>7</v>
      </c>
      <c r="AE4608" s="384">
        <v>11</v>
      </c>
      <c r="AF4608" s="385">
        <v>0.91666666666666663</v>
      </c>
      <c r="AG4608" s="386">
        <v>16.8</v>
      </c>
      <c r="AH4608" s="387">
        <f t="shared" si="86"/>
        <v>17</v>
      </c>
    </row>
    <row r="4609" spans="11:34" ht="14.5" x14ac:dyDescent="0.35">
      <c r="K4609" s="4"/>
      <c r="AC4609" s="384">
        <v>2022</v>
      </c>
      <c r="AD4609" s="384">
        <v>7</v>
      </c>
      <c r="AE4609" s="384">
        <v>11</v>
      </c>
      <c r="AF4609" s="385">
        <v>0.95833333333333337</v>
      </c>
      <c r="AG4609" s="386">
        <v>16</v>
      </c>
      <c r="AH4609" s="387">
        <f t="shared" si="86"/>
        <v>16</v>
      </c>
    </row>
    <row r="4610" spans="11:34" ht="14.5" x14ac:dyDescent="0.35">
      <c r="K4610" s="4"/>
      <c r="AC4610" s="384">
        <v>2022</v>
      </c>
      <c r="AD4610" s="384">
        <v>7</v>
      </c>
      <c r="AE4610" s="384">
        <v>12</v>
      </c>
      <c r="AF4610" s="385">
        <v>0</v>
      </c>
      <c r="AG4610" s="386">
        <v>15.1</v>
      </c>
      <c r="AH4610" s="387">
        <f t="shared" si="86"/>
        <v>15</v>
      </c>
    </row>
    <row r="4611" spans="11:34" ht="14.5" x14ac:dyDescent="0.35">
      <c r="K4611" s="4"/>
      <c r="AC4611" s="384">
        <v>2022</v>
      </c>
      <c r="AD4611" s="384">
        <v>7</v>
      </c>
      <c r="AE4611" s="384">
        <v>12</v>
      </c>
      <c r="AF4611" s="385">
        <v>4.1666666666666664E-2</v>
      </c>
      <c r="AG4611" s="386">
        <v>15.8</v>
      </c>
      <c r="AH4611" s="387">
        <f t="shared" si="86"/>
        <v>16</v>
      </c>
    </row>
    <row r="4612" spans="11:34" ht="14.5" x14ac:dyDescent="0.35">
      <c r="K4612" s="4"/>
      <c r="AC4612" s="384">
        <v>2022</v>
      </c>
      <c r="AD4612" s="384">
        <v>7</v>
      </c>
      <c r="AE4612" s="384">
        <v>12</v>
      </c>
      <c r="AF4612" s="385">
        <v>8.3333333333333329E-2</v>
      </c>
      <c r="AG4612" s="386">
        <v>15.2</v>
      </c>
      <c r="AH4612" s="387">
        <f t="shared" si="86"/>
        <v>15</v>
      </c>
    </row>
    <row r="4613" spans="11:34" ht="14.5" x14ac:dyDescent="0.35">
      <c r="K4613" s="4"/>
      <c r="AC4613" s="384">
        <v>2022</v>
      </c>
      <c r="AD4613" s="384">
        <v>7</v>
      </c>
      <c r="AE4613" s="384">
        <v>12</v>
      </c>
      <c r="AF4613" s="385">
        <v>0.125</v>
      </c>
      <c r="AG4613" s="386">
        <v>13.9</v>
      </c>
      <c r="AH4613" s="387">
        <f t="shared" si="86"/>
        <v>14</v>
      </c>
    </row>
    <row r="4614" spans="11:34" ht="14.5" x14ac:dyDescent="0.35">
      <c r="K4614" s="4"/>
      <c r="AC4614" s="384">
        <v>2022</v>
      </c>
      <c r="AD4614" s="384">
        <v>7</v>
      </c>
      <c r="AE4614" s="384">
        <v>12</v>
      </c>
      <c r="AF4614" s="385">
        <v>0.16666666666666666</v>
      </c>
      <c r="AG4614" s="386">
        <v>15.5</v>
      </c>
      <c r="AH4614" s="387">
        <f t="shared" si="86"/>
        <v>16</v>
      </c>
    </row>
    <row r="4615" spans="11:34" ht="14.5" x14ac:dyDescent="0.35">
      <c r="K4615" s="4"/>
      <c r="AC4615" s="384">
        <v>2022</v>
      </c>
      <c r="AD4615" s="384">
        <v>7</v>
      </c>
      <c r="AE4615" s="384">
        <v>12</v>
      </c>
      <c r="AF4615" s="385">
        <v>0.20833333333333334</v>
      </c>
      <c r="AG4615" s="386">
        <v>14.5</v>
      </c>
      <c r="AH4615" s="387">
        <f t="shared" si="86"/>
        <v>15</v>
      </c>
    </row>
    <row r="4616" spans="11:34" ht="14.5" x14ac:dyDescent="0.35">
      <c r="K4616" s="4"/>
      <c r="AC4616" s="384">
        <v>2022</v>
      </c>
      <c r="AD4616" s="384">
        <v>7</v>
      </c>
      <c r="AE4616" s="384">
        <v>12</v>
      </c>
      <c r="AF4616" s="385">
        <v>0.25</v>
      </c>
      <c r="AG4616" s="386">
        <v>17.100000000000001</v>
      </c>
      <c r="AH4616" s="387">
        <f t="shared" si="86"/>
        <v>17</v>
      </c>
    </row>
    <row r="4617" spans="11:34" ht="14.5" x14ac:dyDescent="0.35">
      <c r="K4617" s="4"/>
      <c r="AC4617" s="384">
        <v>2022</v>
      </c>
      <c r="AD4617" s="384">
        <v>7</v>
      </c>
      <c r="AE4617" s="384">
        <v>12</v>
      </c>
      <c r="AF4617" s="385">
        <v>0.29166666666666669</v>
      </c>
      <c r="AG4617" s="386">
        <v>20</v>
      </c>
      <c r="AH4617" s="387">
        <f t="shared" si="86"/>
        <v>20</v>
      </c>
    </row>
    <row r="4618" spans="11:34" ht="14.5" x14ac:dyDescent="0.35">
      <c r="K4618" s="4"/>
      <c r="AC4618" s="384">
        <v>2022</v>
      </c>
      <c r="AD4618" s="384">
        <v>7</v>
      </c>
      <c r="AE4618" s="384">
        <v>12</v>
      </c>
      <c r="AF4618" s="385">
        <v>0.33333333333333331</v>
      </c>
      <c r="AG4618" s="386">
        <v>21.9</v>
      </c>
      <c r="AH4618" s="387">
        <f t="shared" si="86"/>
        <v>22</v>
      </c>
    </row>
    <row r="4619" spans="11:34" ht="14.5" x14ac:dyDescent="0.35">
      <c r="K4619" s="4"/>
      <c r="AC4619" s="384">
        <v>2022</v>
      </c>
      <c r="AD4619" s="384">
        <v>7</v>
      </c>
      <c r="AE4619" s="384">
        <v>12</v>
      </c>
      <c r="AF4619" s="385">
        <v>0.375</v>
      </c>
      <c r="AG4619" s="386">
        <v>25</v>
      </c>
      <c r="AH4619" s="387">
        <f t="shared" ref="AH4619:AH4682" si="87">ROUND(AG4619,0)</f>
        <v>25</v>
      </c>
    </row>
    <row r="4620" spans="11:34" ht="14.5" x14ac:dyDescent="0.35">
      <c r="K4620" s="4"/>
      <c r="AC4620" s="384">
        <v>2022</v>
      </c>
      <c r="AD4620" s="384">
        <v>7</v>
      </c>
      <c r="AE4620" s="384">
        <v>12</v>
      </c>
      <c r="AF4620" s="385">
        <v>0.41666666666666669</v>
      </c>
      <c r="AG4620" s="386">
        <v>27.1</v>
      </c>
      <c r="AH4620" s="387">
        <f t="shared" si="87"/>
        <v>27</v>
      </c>
    </row>
    <row r="4621" spans="11:34" ht="14.5" x14ac:dyDescent="0.35">
      <c r="K4621" s="4"/>
      <c r="AC4621" s="384">
        <v>2022</v>
      </c>
      <c r="AD4621" s="384">
        <v>7</v>
      </c>
      <c r="AE4621" s="384">
        <v>12</v>
      </c>
      <c r="AF4621" s="385">
        <v>0.45833333333333331</v>
      </c>
      <c r="AG4621" s="386">
        <v>27.8</v>
      </c>
      <c r="AH4621" s="387">
        <f t="shared" si="87"/>
        <v>28</v>
      </c>
    </row>
    <row r="4622" spans="11:34" ht="14.5" x14ac:dyDescent="0.35">
      <c r="K4622" s="4"/>
      <c r="AC4622" s="384">
        <v>2022</v>
      </c>
      <c r="AD4622" s="384">
        <v>7</v>
      </c>
      <c r="AE4622" s="384">
        <v>12</v>
      </c>
      <c r="AF4622" s="385">
        <v>0.5</v>
      </c>
      <c r="AG4622" s="386">
        <v>28.6</v>
      </c>
      <c r="AH4622" s="387">
        <f t="shared" si="87"/>
        <v>29</v>
      </c>
    </row>
    <row r="4623" spans="11:34" ht="14.5" x14ac:dyDescent="0.35">
      <c r="K4623" s="4"/>
      <c r="AC4623" s="384">
        <v>2022</v>
      </c>
      <c r="AD4623" s="384">
        <v>7</v>
      </c>
      <c r="AE4623" s="384">
        <v>12</v>
      </c>
      <c r="AF4623" s="385">
        <v>0.54166666666666663</v>
      </c>
      <c r="AG4623" s="386">
        <v>28.8</v>
      </c>
      <c r="AH4623" s="387">
        <f t="shared" si="87"/>
        <v>29</v>
      </c>
    </row>
    <row r="4624" spans="11:34" ht="14.5" x14ac:dyDescent="0.35">
      <c r="K4624" s="4"/>
      <c r="AC4624" s="384">
        <v>2022</v>
      </c>
      <c r="AD4624" s="384">
        <v>7</v>
      </c>
      <c r="AE4624" s="384">
        <v>12</v>
      </c>
      <c r="AF4624" s="385">
        <v>0.58333333333333337</v>
      </c>
      <c r="AG4624" s="386">
        <v>29.1</v>
      </c>
      <c r="AH4624" s="387">
        <f t="shared" si="87"/>
        <v>29</v>
      </c>
    </row>
    <row r="4625" spans="11:34" ht="14.5" x14ac:dyDescent="0.35">
      <c r="K4625" s="4"/>
      <c r="AC4625" s="384">
        <v>2022</v>
      </c>
      <c r="AD4625" s="384">
        <v>7</v>
      </c>
      <c r="AE4625" s="384">
        <v>12</v>
      </c>
      <c r="AF4625" s="385">
        <v>0.625</v>
      </c>
      <c r="AG4625" s="386">
        <v>28.2</v>
      </c>
      <c r="AH4625" s="387">
        <f t="shared" si="87"/>
        <v>28</v>
      </c>
    </row>
    <row r="4626" spans="11:34" ht="14.5" x14ac:dyDescent="0.35">
      <c r="K4626" s="4"/>
      <c r="AC4626" s="384">
        <v>2022</v>
      </c>
      <c r="AD4626" s="384">
        <v>7</v>
      </c>
      <c r="AE4626" s="384">
        <v>12</v>
      </c>
      <c r="AF4626" s="385">
        <v>0.66666666666666663</v>
      </c>
      <c r="AG4626" s="386">
        <v>28.6</v>
      </c>
      <c r="AH4626" s="387">
        <f t="shared" si="87"/>
        <v>29</v>
      </c>
    </row>
    <row r="4627" spans="11:34" ht="14.5" x14ac:dyDescent="0.35">
      <c r="K4627" s="4"/>
      <c r="AC4627" s="384">
        <v>2022</v>
      </c>
      <c r="AD4627" s="384">
        <v>7</v>
      </c>
      <c r="AE4627" s="384">
        <v>12</v>
      </c>
      <c r="AF4627" s="385">
        <v>0.70833333333333337</v>
      </c>
      <c r="AG4627" s="386">
        <v>28.4</v>
      </c>
      <c r="AH4627" s="387">
        <f t="shared" si="87"/>
        <v>28</v>
      </c>
    </row>
    <row r="4628" spans="11:34" ht="14.5" x14ac:dyDescent="0.35">
      <c r="K4628" s="4"/>
      <c r="AC4628" s="384">
        <v>2022</v>
      </c>
      <c r="AD4628" s="384">
        <v>7</v>
      </c>
      <c r="AE4628" s="384">
        <v>12</v>
      </c>
      <c r="AF4628" s="385">
        <v>0.75</v>
      </c>
      <c r="AG4628" s="386">
        <v>28</v>
      </c>
      <c r="AH4628" s="387">
        <f t="shared" si="87"/>
        <v>28</v>
      </c>
    </row>
    <row r="4629" spans="11:34" ht="14.5" x14ac:dyDescent="0.35">
      <c r="K4629" s="4"/>
      <c r="AC4629" s="384">
        <v>2022</v>
      </c>
      <c r="AD4629" s="384">
        <v>7</v>
      </c>
      <c r="AE4629" s="384">
        <v>12</v>
      </c>
      <c r="AF4629" s="385">
        <v>0.79166666666666663</v>
      </c>
      <c r="AG4629" s="386">
        <v>26.6</v>
      </c>
      <c r="AH4629" s="387">
        <f t="shared" si="87"/>
        <v>27</v>
      </c>
    </row>
    <row r="4630" spans="11:34" ht="14.5" x14ac:dyDescent="0.35">
      <c r="K4630" s="4"/>
      <c r="AC4630" s="384">
        <v>2022</v>
      </c>
      <c r="AD4630" s="384">
        <v>7</v>
      </c>
      <c r="AE4630" s="384">
        <v>12</v>
      </c>
      <c r="AF4630" s="385">
        <v>0.83333333333333337</v>
      </c>
      <c r="AG4630" s="386">
        <v>24.8</v>
      </c>
      <c r="AH4630" s="387">
        <f t="shared" si="87"/>
        <v>25</v>
      </c>
    </row>
    <row r="4631" spans="11:34" ht="14.5" x14ac:dyDescent="0.35">
      <c r="K4631" s="4"/>
      <c r="AC4631" s="384">
        <v>2022</v>
      </c>
      <c r="AD4631" s="384">
        <v>7</v>
      </c>
      <c r="AE4631" s="384">
        <v>12</v>
      </c>
      <c r="AF4631" s="385">
        <v>0.875</v>
      </c>
      <c r="AG4631" s="386">
        <v>22.5</v>
      </c>
      <c r="AH4631" s="387">
        <f t="shared" si="87"/>
        <v>23</v>
      </c>
    </row>
    <row r="4632" spans="11:34" ht="14.5" x14ac:dyDescent="0.35">
      <c r="K4632" s="4"/>
      <c r="AC4632" s="384">
        <v>2022</v>
      </c>
      <c r="AD4632" s="384">
        <v>7</v>
      </c>
      <c r="AE4632" s="384">
        <v>12</v>
      </c>
      <c r="AF4632" s="385">
        <v>0.91666666666666663</v>
      </c>
      <c r="AG4632" s="386">
        <v>18.7</v>
      </c>
      <c r="AH4632" s="387">
        <f t="shared" si="87"/>
        <v>19</v>
      </c>
    </row>
    <row r="4633" spans="11:34" ht="14.5" x14ac:dyDescent="0.35">
      <c r="K4633" s="4"/>
      <c r="AC4633" s="384">
        <v>2022</v>
      </c>
      <c r="AD4633" s="384">
        <v>7</v>
      </c>
      <c r="AE4633" s="384">
        <v>12</v>
      </c>
      <c r="AF4633" s="385">
        <v>0.95833333333333337</v>
      </c>
      <c r="AG4633" s="386">
        <v>16.399999999999999</v>
      </c>
      <c r="AH4633" s="387">
        <f t="shared" si="87"/>
        <v>16</v>
      </c>
    </row>
    <row r="4634" spans="11:34" ht="14.5" x14ac:dyDescent="0.35">
      <c r="K4634" s="4"/>
      <c r="AC4634" s="384">
        <v>2022</v>
      </c>
      <c r="AD4634" s="384">
        <v>7</v>
      </c>
      <c r="AE4634" s="384">
        <v>13</v>
      </c>
      <c r="AF4634" s="385">
        <v>0</v>
      </c>
      <c r="AG4634" s="386">
        <v>16</v>
      </c>
      <c r="AH4634" s="387">
        <f t="shared" si="87"/>
        <v>16</v>
      </c>
    </row>
    <row r="4635" spans="11:34" ht="14.5" x14ac:dyDescent="0.35">
      <c r="K4635" s="4"/>
      <c r="AC4635" s="384">
        <v>2022</v>
      </c>
      <c r="AD4635" s="384">
        <v>7</v>
      </c>
      <c r="AE4635" s="384">
        <v>13</v>
      </c>
      <c r="AF4635" s="385">
        <v>4.1666666666666664E-2</v>
      </c>
      <c r="AG4635" s="386">
        <v>17.3</v>
      </c>
      <c r="AH4635" s="387">
        <f t="shared" si="87"/>
        <v>17</v>
      </c>
    </row>
    <row r="4636" spans="11:34" ht="14.5" x14ac:dyDescent="0.35">
      <c r="K4636" s="4"/>
      <c r="AC4636" s="384">
        <v>2022</v>
      </c>
      <c r="AD4636" s="384">
        <v>7</v>
      </c>
      <c r="AE4636" s="384">
        <v>13</v>
      </c>
      <c r="AF4636" s="385">
        <v>8.3333333333333329E-2</v>
      </c>
      <c r="AG4636" s="386">
        <v>19</v>
      </c>
      <c r="AH4636" s="387">
        <f t="shared" si="87"/>
        <v>19</v>
      </c>
    </row>
    <row r="4637" spans="11:34" ht="14.5" x14ac:dyDescent="0.35">
      <c r="K4637" s="4"/>
      <c r="AC4637" s="384">
        <v>2022</v>
      </c>
      <c r="AD4637" s="384">
        <v>7</v>
      </c>
      <c r="AE4637" s="384">
        <v>13</v>
      </c>
      <c r="AF4637" s="385">
        <v>0.125</v>
      </c>
      <c r="AG4637" s="386">
        <v>16.2</v>
      </c>
      <c r="AH4637" s="387">
        <f t="shared" si="87"/>
        <v>16</v>
      </c>
    </row>
    <row r="4638" spans="11:34" ht="14.5" x14ac:dyDescent="0.35">
      <c r="K4638" s="4"/>
      <c r="AC4638" s="384">
        <v>2022</v>
      </c>
      <c r="AD4638" s="384">
        <v>7</v>
      </c>
      <c r="AE4638" s="384">
        <v>13</v>
      </c>
      <c r="AF4638" s="385">
        <v>0.16666666666666666</v>
      </c>
      <c r="AG4638" s="386">
        <v>13.3</v>
      </c>
      <c r="AH4638" s="387">
        <f t="shared" si="87"/>
        <v>13</v>
      </c>
    </row>
    <row r="4639" spans="11:34" ht="14.5" x14ac:dyDescent="0.35">
      <c r="K4639" s="4"/>
      <c r="AC4639" s="384">
        <v>2022</v>
      </c>
      <c r="AD4639" s="384">
        <v>7</v>
      </c>
      <c r="AE4639" s="384">
        <v>13</v>
      </c>
      <c r="AF4639" s="385">
        <v>0.20833333333333334</v>
      </c>
      <c r="AG4639" s="386">
        <v>12.3</v>
      </c>
      <c r="AH4639" s="387">
        <f t="shared" si="87"/>
        <v>12</v>
      </c>
    </row>
    <row r="4640" spans="11:34" ht="14.5" x14ac:dyDescent="0.35">
      <c r="K4640" s="4"/>
      <c r="AC4640" s="384">
        <v>2022</v>
      </c>
      <c r="AD4640" s="384">
        <v>7</v>
      </c>
      <c r="AE4640" s="384">
        <v>13</v>
      </c>
      <c r="AF4640" s="385">
        <v>0.25</v>
      </c>
      <c r="AG4640" s="386">
        <v>12.1</v>
      </c>
      <c r="AH4640" s="387">
        <f t="shared" si="87"/>
        <v>12</v>
      </c>
    </row>
    <row r="4641" spans="11:34" ht="14.5" x14ac:dyDescent="0.35">
      <c r="K4641" s="4"/>
      <c r="AC4641" s="384">
        <v>2022</v>
      </c>
      <c r="AD4641" s="384">
        <v>7</v>
      </c>
      <c r="AE4641" s="384">
        <v>13</v>
      </c>
      <c r="AF4641" s="385">
        <v>0.29166666666666669</v>
      </c>
      <c r="AG4641" s="386">
        <v>13.8</v>
      </c>
      <c r="AH4641" s="387">
        <f t="shared" si="87"/>
        <v>14</v>
      </c>
    </row>
    <row r="4642" spans="11:34" ht="14.5" x14ac:dyDescent="0.35">
      <c r="K4642" s="4"/>
      <c r="AC4642" s="384">
        <v>2022</v>
      </c>
      <c r="AD4642" s="384">
        <v>7</v>
      </c>
      <c r="AE4642" s="384">
        <v>13</v>
      </c>
      <c r="AF4642" s="385">
        <v>0.33333333333333331</v>
      </c>
      <c r="AG4642" s="386">
        <v>14.9</v>
      </c>
      <c r="AH4642" s="387">
        <f t="shared" si="87"/>
        <v>15</v>
      </c>
    </row>
    <row r="4643" spans="11:34" ht="14.5" x14ac:dyDescent="0.35">
      <c r="K4643" s="4"/>
      <c r="AC4643" s="384">
        <v>2022</v>
      </c>
      <c r="AD4643" s="384">
        <v>7</v>
      </c>
      <c r="AE4643" s="384">
        <v>13</v>
      </c>
      <c r="AF4643" s="385">
        <v>0.375</v>
      </c>
      <c r="AG4643" s="386">
        <v>16.3</v>
      </c>
      <c r="AH4643" s="387">
        <f t="shared" si="87"/>
        <v>16</v>
      </c>
    </row>
    <row r="4644" spans="11:34" ht="14.5" x14ac:dyDescent="0.35">
      <c r="K4644" s="4"/>
      <c r="AC4644" s="384">
        <v>2022</v>
      </c>
      <c r="AD4644" s="384">
        <v>7</v>
      </c>
      <c r="AE4644" s="384">
        <v>13</v>
      </c>
      <c r="AF4644" s="385">
        <v>0.41666666666666669</v>
      </c>
      <c r="AG4644" s="386">
        <v>17.399999999999999</v>
      </c>
      <c r="AH4644" s="387">
        <f t="shared" si="87"/>
        <v>17</v>
      </c>
    </row>
    <row r="4645" spans="11:34" ht="14.5" x14ac:dyDescent="0.35">
      <c r="K4645" s="4"/>
      <c r="AC4645" s="384">
        <v>2022</v>
      </c>
      <c r="AD4645" s="384">
        <v>7</v>
      </c>
      <c r="AE4645" s="384">
        <v>13</v>
      </c>
      <c r="AF4645" s="385">
        <v>0.45833333333333331</v>
      </c>
      <c r="AG4645" s="386">
        <v>19.100000000000001</v>
      </c>
      <c r="AH4645" s="387">
        <f t="shared" si="87"/>
        <v>19</v>
      </c>
    </row>
    <row r="4646" spans="11:34" ht="14.5" x14ac:dyDescent="0.35">
      <c r="K4646" s="4"/>
      <c r="AC4646" s="384">
        <v>2022</v>
      </c>
      <c r="AD4646" s="384">
        <v>7</v>
      </c>
      <c r="AE4646" s="384">
        <v>13</v>
      </c>
      <c r="AF4646" s="385">
        <v>0.5</v>
      </c>
      <c r="AG4646" s="386">
        <v>19.5</v>
      </c>
      <c r="AH4646" s="387">
        <f t="shared" si="87"/>
        <v>20</v>
      </c>
    </row>
    <row r="4647" spans="11:34" ht="14.5" x14ac:dyDescent="0.35">
      <c r="K4647" s="4"/>
      <c r="AC4647" s="384">
        <v>2022</v>
      </c>
      <c r="AD4647" s="384">
        <v>7</v>
      </c>
      <c r="AE4647" s="384">
        <v>13</v>
      </c>
      <c r="AF4647" s="385">
        <v>0.54166666666666663</v>
      </c>
      <c r="AG4647" s="386">
        <v>20.3</v>
      </c>
      <c r="AH4647" s="387">
        <f t="shared" si="87"/>
        <v>20</v>
      </c>
    </row>
    <row r="4648" spans="11:34" ht="14.5" x14ac:dyDescent="0.35">
      <c r="K4648" s="4"/>
      <c r="AC4648" s="384">
        <v>2022</v>
      </c>
      <c r="AD4648" s="384">
        <v>7</v>
      </c>
      <c r="AE4648" s="384">
        <v>13</v>
      </c>
      <c r="AF4648" s="385">
        <v>0.58333333333333337</v>
      </c>
      <c r="AG4648" s="386">
        <v>22</v>
      </c>
      <c r="AH4648" s="387">
        <f t="shared" si="87"/>
        <v>22</v>
      </c>
    </row>
    <row r="4649" spans="11:34" ht="14.5" x14ac:dyDescent="0.35">
      <c r="K4649" s="4"/>
      <c r="AC4649" s="384">
        <v>2022</v>
      </c>
      <c r="AD4649" s="384">
        <v>7</v>
      </c>
      <c r="AE4649" s="384">
        <v>13</v>
      </c>
      <c r="AF4649" s="385">
        <v>0.625</v>
      </c>
      <c r="AG4649" s="386">
        <v>22.7</v>
      </c>
      <c r="AH4649" s="387">
        <f t="shared" si="87"/>
        <v>23</v>
      </c>
    </row>
    <row r="4650" spans="11:34" ht="14.5" x14ac:dyDescent="0.35">
      <c r="K4650" s="4"/>
      <c r="AC4650" s="384">
        <v>2022</v>
      </c>
      <c r="AD4650" s="384">
        <v>7</v>
      </c>
      <c r="AE4650" s="384">
        <v>13</v>
      </c>
      <c r="AF4650" s="385">
        <v>0.66666666666666663</v>
      </c>
      <c r="AG4650" s="386">
        <v>23.9</v>
      </c>
      <c r="AH4650" s="387">
        <f t="shared" si="87"/>
        <v>24</v>
      </c>
    </row>
    <row r="4651" spans="11:34" ht="14.5" x14ac:dyDescent="0.35">
      <c r="K4651" s="4"/>
      <c r="AC4651" s="384">
        <v>2022</v>
      </c>
      <c r="AD4651" s="384">
        <v>7</v>
      </c>
      <c r="AE4651" s="384">
        <v>13</v>
      </c>
      <c r="AF4651" s="385">
        <v>0.70833333333333337</v>
      </c>
      <c r="AG4651" s="386">
        <v>24</v>
      </c>
      <c r="AH4651" s="387">
        <f t="shared" si="87"/>
        <v>24</v>
      </c>
    </row>
    <row r="4652" spans="11:34" ht="14.5" x14ac:dyDescent="0.35">
      <c r="K4652" s="4"/>
      <c r="AC4652" s="384">
        <v>2022</v>
      </c>
      <c r="AD4652" s="384">
        <v>7</v>
      </c>
      <c r="AE4652" s="384">
        <v>13</v>
      </c>
      <c r="AF4652" s="385">
        <v>0.75</v>
      </c>
      <c r="AG4652" s="386">
        <v>21.6</v>
      </c>
      <c r="AH4652" s="387">
        <f t="shared" si="87"/>
        <v>22</v>
      </c>
    </row>
    <row r="4653" spans="11:34" ht="14.5" x14ac:dyDescent="0.35">
      <c r="K4653" s="4"/>
      <c r="AC4653" s="384">
        <v>2022</v>
      </c>
      <c r="AD4653" s="384">
        <v>7</v>
      </c>
      <c r="AE4653" s="384">
        <v>13</v>
      </c>
      <c r="AF4653" s="385">
        <v>0.79166666666666663</v>
      </c>
      <c r="AG4653" s="386">
        <v>20.5</v>
      </c>
      <c r="AH4653" s="387">
        <f t="shared" si="87"/>
        <v>21</v>
      </c>
    </row>
    <row r="4654" spans="11:34" ht="14.5" x14ac:dyDescent="0.35">
      <c r="K4654" s="4"/>
      <c r="AC4654" s="384">
        <v>2022</v>
      </c>
      <c r="AD4654" s="384">
        <v>7</v>
      </c>
      <c r="AE4654" s="384">
        <v>13</v>
      </c>
      <c r="AF4654" s="385">
        <v>0.83333333333333337</v>
      </c>
      <c r="AG4654" s="386">
        <v>18.8</v>
      </c>
      <c r="AH4654" s="387">
        <f t="shared" si="87"/>
        <v>19</v>
      </c>
    </row>
    <row r="4655" spans="11:34" ht="14.5" x14ac:dyDescent="0.35">
      <c r="K4655" s="4"/>
      <c r="AC4655" s="384">
        <v>2022</v>
      </c>
      <c r="AD4655" s="384">
        <v>7</v>
      </c>
      <c r="AE4655" s="384">
        <v>13</v>
      </c>
      <c r="AF4655" s="385">
        <v>0.875</v>
      </c>
      <c r="AG4655" s="386">
        <v>17.100000000000001</v>
      </c>
      <c r="AH4655" s="387">
        <f t="shared" si="87"/>
        <v>17</v>
      </c>
    </row>
    <row r="4656" spans="11:34" ht="14.5" x14ac:dyDescent="0.35">
      <c r="K4656" s="4"/>
      <c r="AC4656" s="384">
        <v>2022</v>
      </c>
      <c r="AD4656" s="384">
        <v>7</v>
      </c>
      <c r="AE4656" s="384">
        <v>13</v>
      </c>
      <c r="AF4656" s="385">
        <v>0.91666666666666663</v>
      </c>
      <c r="AG4656" s="386">
        <v>15.8</v>
      </c>
      <c r="AH4656" s="387">
        <f t="shared" si="87"/>
        <v>16</v>
      </c>
    </row>
    <row r="4657" spans="11:34" ht="14.5" x14ac:dyDescent="0.35">
      <c r="K4657" s="4"/>
      <c r="AC4657" s="384">
        <v>2022</v>
      </c>
      <c r="AD4657" s="384">
        <v>7</v>
      </c>
      <c r="AE4657" s="384">
        <v>13</v>
      </c>
      <c r="AF4657" s="385">
        <v>0.95833333333333337</v>
      </c>
      <c r="AG4657" s="386">
        <v>15.8</v>
      </c>
      <c r="AH4657" s="387">
        <f t="shared" si="87"/>
        <v>16</v>
      </c>
    </row>
    <row r="4658" spans="11:34" ht="14.5" x14ac:dyDescent="0.35">
      <c r="K4658" s="4"/>
      <c r="AC4658" s="384">
        <v>2022</v>
      </c>
      <c r="AD4658" s="384">
        <v>7</v>
      </c>
      <c r="AE4658" s="384">
        <v>14</v>
      </c>
      <c r="AF4658" s="385">
        <v>0</v>
      </c>
      <c r="AG4658" s="386">
        <v>14.3</v>
      </c>
      <c r="AH4658" s="387">
        <f t="shared" si="87"/>
        <v>14</v>
      </c>
    </row>
    <row r="4659" spans="11:34" ht="14.5" x14ac:dyDescent="0.35">
      <c r="K4659" s="4"/>
      <c r="AC4659" s="384">
        <v>2022</v>
      </c>
      <c r="AD4659" s="384">
        <v>7</v>
      </c>
      <c r="AE4659" s="384">
        <v>14</v>
      </c>
      <c r="AF4659" s="385">
        <v>4.1666666666666664E-2</v>
      </c>
      <c r="AG4659" s="386">
        <v>13.3</v>
      </c>
      <c r="AH4659" s="387">
        <f t="shared" si="87"/>
        <v>13</v>
      </c>
    </row>
    <row r="4660" spans="11:34" ht="14.5" x14ac:dyDescent="0.35">
      <c r="K4660" s="4"/>
      <c r="AC4660" s="384">
        <v>2022</v>
      </c>
      <c r="AD4660" s="384">
        <v>7</v>
      </c>
      <c r="AE4660" s="384">
        <v>14</v>
      </c>
      <c r="AF4660" s="385">
        <v>8.3333333333333329E-2</v>
      </c>
      <c r="AG4660" s="386">
        <v>12.2</v>
      </c>
      <c r="AH4660" s="387">
        <f t="shared" si="87"/>
        <v>12</v>
      </c>
    </row>
    <row r="4661" spans="11:34" ht="14.5" x14ac:dyDescent="0.35">
      <c r="K4661" s="4"/>
      <c r="AC4661" s="384">
        <v>2022</v>
      </c>
      <c r="AD4661" s="384">
        <v>7</v>
      </c>
      <c r="AE4661" s="384">
        <v>14</v>
      </c>
      <c r="AF4661" s="385">
        <v>0.125</v>
      </c>
      <c r="AG4661" s="386">
        <v>12.3</v>
      </c>
      <c r="AH4661" s="387">
        <f t="shared" si="87"/>
        <v>12</v>
      </c>
    </row>
    <row r="4662" spans="11:34" ht="14.5" x14ac:dyDescent="0.35">
      <c r="K4662" s="4"/>
      <c r="AC4662" s="384">
        <v>2022</v>
      </c>
      <c r="AD4662" s="384">
        <v>7</v>
      </c>
      <c r="AE4662" s="384">
        <v>14</v>
      </c>
      <c r="AF4662" s="385">
        <v>0.16666666666666666</v>
      </c>
      <c r="AG4662" s="386">
        <v>11.6</v>
      </c>
      <c r="AH4662" s="387">
        <f t="shared" si="87"/>
        <v>12</v>
      </c>
    </row>
    <row r="4663" spans="11:34" ht="14.5" x14ac:dyDescent="0.35">
      <c r="K4663" s="4"/>
      <c r="AC4663" s="384">
        <v>2022</v>
      </c>
      <c r="AD4663" s="384">
        <v>7</v>
      </c>
      <c r="AE4663" s="384">
        <v>14</v>
      </c>
      <c r="AF4663" s="385">
        <v>0.20833333333333334</v>
      </c>
      <c r="AG4663" s="386">
        <v>11</v>
      </c>
      <c r="AH4663" s="387">
        <f t="shared" si="87"/>
        <v>11</v>
      </c>
    </row>
    <row r="4664" spans="11:34" ht="14.5" x14ac:dyDescent="0.35">
      <c r="K4664" s="4"/>
      <c r="AC4664" s="384">
        <v>2022</v>
      </c>
      <c r="AD4664" s="384">
        <v>7</v>
      </c>
      <c r="AE4664" s="384">
        <v>14</v>
      </c>
      <c r="AF4664" s="385">
        <v>0.25</v>
      </c>
      <c r="AG4664" s="386">
        <v>14.4</v>
      </c>
      <c r="AH4664" s="387">
        <f t="shared" si="87"/>
        <v>14</v>
      </c>
    </row>
    <row r="4665" spans="11:34" ht="14.5" x14ac:dyDescent="0.35">
      <c r="K4665" s="4"/>
      <c r="AC4665" s="384">
        <v>2022</v>
      </c>
      <c r="AD4665" s="384">
        <v>7</v>
      </c>
      <c r="AE4665" s="384">
        <v>14</v>
      </c>
      <c r="AF4665" s="385">
        <v>0.29166666666666669</v>
      </c>
      <c r="AG4665" s="386">
        <v>15.7</v>
      </c>
      <c r="AH4665" s="387">
        <f t="shared" si="87"/>
        <v>16</v>
      </c>
    </row>
    <row r="4666" spans="11:34" ht="14.5" x14ac:dyDescent="0.35">
      <c r="K4666" s="4"/>
      <c r="AC4666" s="384">
        <v>2022</v>
      </c>
      <c r="AD4666" s="384">
        <v>7</v>
      </c>
      <c r="AE4666" s="384">
        <v>14</v>
      </c>
      <c r="AF4666" s="385">
        <v>0.33333333333333331</v>
      </c>
      <c r="AG4666" s="386">
        <v>16.8</v>
      </c>
      <c r="AH4666" s="387">
        <f t="shared" si="87"/>
        <v>17</v>
      </c>
    </row>
    <row r="4667" spans="11:34" ht="14.5" x14ac:dyDescent="0.35">
      <c r="K4667" s="4"/>
      <c r="AC4667" s="384">
        <v>2022</v>
      </c>
      <c r="AD4667" s="384">
        <v>7</v>
      </c>
      <c r="AE4667" s="384">
        <v>14</v>
      </c>
      <c r="AF4667" s="385">
        <v>0.375</v>
      </c>
      <c r="AG4667" s="386">
        <v>17.5</v>
      </c>
      <c r="AH4667" s="387">
        <f t="shared" si="87"/>
        <v>18</v>
      </c>
    </row>
    <row r="4668" spans="11:34" ht="14.5" x14ac:dyDescent="0.35">
      <c r="K4668" s="4"/>
      <c r="AC4668" s="384">
        <v>2022</v>
      </c>
      <c r="AD4668" s="384">
        <v>7</v>
      </c>
      <c r="AE4668" s="384">
        <v>14</v>
      </c>
      <c r="AF4668" s="385">
        <v>0.41666666666666669</v>
      </c>
      <c r="AG4668" s="386">
        <v>19.5</v>
      </c>
      <c r="AH4668" s="387">
        <f t="shared" si="87"/>
        <v>20</v>
      </c>
    </row>
    <row r="4669" spans="11:34" ht="14.5" x14ac:dyDescent="0.35">
      <c r="K4669" s="4"/>
      <c r="AC4669" s="384">
        <v>2022</v>
      </c>
      <c r="AD4669" s="384">
        <v>7</v>
      </c>
      <c r="AE4669" s="384">
        <v>14</v>
      </c>
      <c r="AF4669" s="385">
        <v>0.45833333333333331</v>
      </c>
      <c r="AG4669" s="386">
        <v>21.5</v>
      </c>
      <c r="AH4669" s="387">
        <f t="shared" si="87"/>
        <v>22</v>
      </c>
    </row>
    <row r="4670" spans="11:34" ht="14.5" x14ac:dyDescent="0.35">
      <c r="K4670" s="4"/>
      <c r="AC4670" s="384">
        <v>2022</v>
      </c>
      <c r="AD4670" s="384">
        <v>7</v>
      </c>
      <c r="AE4670" s="384">
        <v>14</v>
      </c>
      <c r="AF4670" s="385">
        <v>0.5</v>
      </c>
      <c r="AG4670" s="386">
        <v>22.9</v>
      </c>
      <c r="AH4670" s="387">
        <f t="shared" si="87"/>
        <v>23</v>
      </c>
    </row>
    <row r="4671" spans="11:34" ht="14.5" x14ac:dyDescent="0.35">
      <c r="K4671" s="4"/>
      <c r="AC4671" s="384">
        <v>2022</v>
      </c>
      <c r="AD4671" s="384">
        <v>7</v>
      </c>
      <c r="AE4671" s="384">
        <v>14</v>
      </c>
      <c r="AF4671" s="385">
        <v>0.54166666666666663</v>
      </c>
      <c r="AG4671" s="386">
        <v>24.5</v>
      </c>
      <c r="AH4671" s="387">
        <f t="shared" si="87"/>
        <v>25</v>
      </c>
    </row>
    <row r="4672" spans="11:34" ht="14.5" x14ac:dyDescent="0.35">
      <c r="K4672" s="4"/>
      <c r="AC4672" s="384">
        <v>2022</v>
      </c>
      <c r="AD4672" s="384">
        <v>7</v>
      </c>
      <c r="AE4672" s="384">
        <v>14</v>
      </c>
      <c r="AF4672" s="385">
        <v>0.58333333333333337</v>
      </c>
      <c r="AG4672" s="386">
        <v>25.3</v>
      </c>
      <c r="AH4672" s="387">
        <f t="shared" si="87"/>
        <v>25</v>
      </c>
    </row>
    <row r="4673" spans="11:34" ht="14.5" x14ac:dyDescent="0.35">
      <c r="K4673" s="4"/>
      <c r="AC4673" s="384">
        <v>2022</v>
      </c>
      <c r="AD4673" s="384">
        <v>7</v>
      </c>
      <c r="AE4673" s="384">
        <v>14</v>
      </c>
      <c r="AF4673" s="385">
        <v>0.625</v>
      </c>
      <c r="AG4673" s="386">
        <v>26.6</v>
      </c>
      <c r="AH4673" s="387">
        <f t="shared" si="87"/>
        <v>27</v>
      </c>
    </row>
    <row r="4674" spans="11:34" ht="14.5" x14ac:dyDescent="0.35">
      <c r="K4674" s="4"/>
      <c r="AC4674" s="384">
        <v>2022</v>
      </c>
      <c r="AD4674" s="384">
        <v>7</v>
      </c>
      <c r="AE4674" s="384">
        <v>14</v>
      </c>
      <c r="AF4674" s="385">
        <v>0.66666666666666663</v>
      </c>
      <c r="AG4674" s="386">
        <v>26.4</v>
      </c>
      <c r="AH4674" s="387">
        <f t="shared" si="87"/>
        <v>26</v>
      </c>
    </row>
    <row r="4675" spans="11:34" ht="14.5" x14ac:dyDescent="0.35">
      <c r="K4675" s="4"/>
      <c r="AC4675" s="384">
        <v>2022</v>
      </c>
      <c r="AD4675" s="384">
        <v>7</v>
      </c>
      <c r="AE4675" s="384">
        <v>14</v>
      </c>
      <c r="AF4675" s="385">
        <v>0.70833333333333337</v>
      </c>
      <c r="AG4675" s="386">
        <v>26.9</v>
      </c>
      <c r="AH4675" s="387">
        <f t="shared" si="87"/>
        <v>27</v>
      </c>
    </row>
    <row r="4676" spans="11:34" ht="14.5" x14ac:dyDescent="0.35">
      <c r="K4676" s="4"/>
      <c r="AC4676" s="384">
        <v>2022</v>
      </c>
      <c r="AD4676" s="384">
        <v>7</v>
      </c>
      <c r="AE4676" s="384">
        <v>14</v>
      </c>
      <c r="AF4676" s="385">
        <v>0.75</v>
      </c>
      <c r="AG4676" s="386">
        <v>26.5</v>
      </c>
      <c r="AH4676" s="387">
        <f t="shared" si="87"/>
        <v>27</v>
      </c>
    </row>
    <row r="4677" spans="11:34" ht="14.5" x14ac:dyDescent="0.35">
      <c r="K4677" s="4"/>
      <c r="AC4677" s="384">
        <v>2022</v>
      </c>
      <c r="AD4677" s="384">
        <v>7</v>
      </c>
      <c r="AE4677" s="384">
        <v>14</v>
      </c>
      <c r="AF4677" s="385">
        <v>0.79166666666666663</v>
      </c>
      <c r="AG4677" s="386">
        <v>25.5</v>
      </c>
      <c r="AH4677" s="387">
        <f t="shared" si="87"/>
        <v>26</v>
      </c>
    </row>
    <row r="4678" spans="11:34" ht="14.5" x14ac:dyDescent="0.35">
      <c r="K4678" s="4"/>
      <c r="AC4678" s="384">
        <v>2022</v>
      </c>
      <c r="AD4678" s="384">
        <v>7</v>
      </c>
      <c r="AE4678" s="384">
        <v>14</v>
      </c>
      <c r="AF4678" s="385">
        <v>0.83333333333333337</v>
      </c>
      <c r="AG4678" s="386">
        <v>22.9</v>
      </c>
      <c r="AH4678" s="387">
        <f t="shared" si="87"/>
        <v>23</v>
      </c>
    </row>
    <row r="4679" spans="11:34" ht="14.5" x14ac:dyDescent="0.35">
      <c r="K4679" s="4"/>
      <c r="AC4679" s="384">
        <v>2022</v>
      </c>
      <c r="AD4679" s="384">
        <v>7</v>
      </c>
      <c r="AE4679" s="384">
        <v>14</v>
      </c>
      <c r="AF4679" s="385">
        <v>0.875</v>
      </c>
      <c r="AG4679" s="386">
        <v>18.5</v>
      </c>
      <c r="AH4679" s="387">
        <f t="shared" si="87"/>
        <v>19</v>
      </c>
    </row>
    <row r="4680" spans="11:34" ht="14.5" x14ac:dyDescent="0.35">
      <c r="K4680" s="4"/>
      <c r="AC4680" s="384">
        <v>2022</v>
      </c>
      <c r="AD4680" s="384">
        <v>7</v>
      </c>
      <c r="AE4680" s="384">
        <v>14</v>
      </c>
      <c r="AF4680" s="385">
        <v>0.91666666666666663</v>
      </c>
      <c r="AG4680" s="386">
        <v>17.5</v>
      </c>
      <c r="AH4680" s="387">
        <f t="shared" si="87"/>
        <v>18</v>
      </c>
    </row>
    <row r="4681" spans="11:34" ht="14.5" x14ac:dyDescent="0.35">
      <c r="K4681" s="4"/>
      <c r="AC4681" s="384">
        <v>2022</v>
      </c>
      <c r="AD4681" s="384">
        <v>7</v>
      </c>
      <c r="AE4681" s="384">
        <v>14</v>
      </c>
      <c r="AF4681" s="385">
        <v>0.95833333333333337</v>
      </c>
      <c r="AG4681" s="386">
        <v>17.2</v>
      </c>
      <c r="AH4681" s="387">
        <f t="shared" si="87"/>
        <v>17</v>
      </c>
    </row>
    <row r="4682" spans="11:34" ht="14.5" x14ac:dyDescent="0.35">
      <c r="K4682" s="4"/>
      <c r="AC4682" s="384">
        <v>2022</v>
      </c>
      <c r="AD4682" s="384">
        <v>7</v>
      </c>
      <c r="AE4682" s="384">
        <v>15</v>
      </c>
      <c r="AF4682" s="385">
        <v>0</v>
      </c>
      <c r="AG4682" s="386">
        <v>14.8</v>
      </c>
      <c r="AH4682" s="387">
        <f t="shared" si="87"/>
        <v>15</v>
      </c>
    </row>
    <row r="4683" spans="11:34" ht="14.5" x14ac:dyDescent="0.35">
      <c r="K4683" s="4"/>
      <c r="AC4683" s="384">
        <v>2022</v>
      </c>
      <c r="AD4683" s="384">
        <v>7</v>
      </c>
      <c r="AE4683" s="384">
        <v>15</v>
      </c>
      <c r="AF4683" s="385">
        <v>4.1666666666666664E-2</v>
      </c>
      <c r="AG4683" s="386">
        <v>13.9</v>
      </c>
      <c r="AH4683" s="387">
        <f t="shared" ref="AH4683:AH4746" si="88">ROUND(AG4683,0)</f>
        <v>14</v>
      </c>
    </row>
    <row r="4684" spans="11:34" ht="14.5" x14ac:dyDescent="0.35">
      <c r="K4684" s="4"/>
      <c r="AC4684" s="384">
        <v>2022</v>
      </c>
      <c r="AD4684" s="384">
        <v>7</v>
      </c>
      <c r="AE4684" s="384">
        <v>15</v>
      </c>
      <c r="AF4684" s="385">
        <v>8.3333333333333329E-2</v>
      </c>
      <c r="AG4684" s="386">
        <v>13.3</v>
      </c>
      <c r="AH4684" s="387">
        <f t="shared" si="88"/>
        <v>13</v>
      </c>
    </row>
    <row r="4685" spans="11:34" ht="14.5" x14ac:dyDescent="0.35">
      <c r="K4685" s="4"/>
      <c r="AC4685" s="384">
        <v>2022</v>
      </c>
      <c r="AD4685" s="384">
        <v>7</v>
      </c>
      <c r="AE4685" s="384">
        <v>15</v>
      </c>
      <c r="AF4685" s="385">
        <v>0.125</v>
      </c>
      <c r="AG4685" s="386">
        <v>13.1</v>
      </c>
      <c r="AH4685" s="387">
        <f t="shared" si="88"/>
        <v>13</v>
      </c>
    </row>
    <row r="4686" spans="11:34" ht="14.5" x14ac:dyDescent="0.35">
      <c r="K4686" s="4"/>
      <c r="AC4686" s="384">
        <v>2022</v>
      </c>
      <c r="AD4686" s="384">
        <v>7</v>
      </c>
      <c r="AE4686" s="384">
        <v>15</v>
      </c>
      <c r="AF4686" s="385">
        <v>0.16666666666666666</v>
      </c>
      <c r="AG4686" s="386">
        <v>12.2</v>
      </c>
      <c r="AH4686" s="387">
        <f t="shared" si="88"/>
        <v>12</v>
      </c>
    </row>
    <row r="4687" spans="11:34" ht="14.5" x14ac:dyDescent="0.35">
      <c r="K4687" s="4"/>
      <c r="AC4687" s="384">
        <v>2022</v>
      </c>
      <c r="AD4687" s="384">
        <v>7</v>
      </c>
      <c r="AE4687" s="384">
        <v>15</v>
      </c>
      <c r="AF4687" s="385">
        <v>0.20833333333333334</v>
      </c>
      <c r="AG4687" s="386">
        <v>12.1</v>
      </c>
      <c r="AH4687" s="387">
        <f t="shared" si="88"/>
        <v>12</v>
      </c>
    </row>
    <row r="4688" spans="11:34" ht="14.5" x14ac:dyDescent="0.35">
      <c r="K4688" s="4"/>
      <c r="AC4688" s="384">
        <v>2022</v>
      </c>
      <c r="AD4688" s="384">
        <v>7</v>
      </c>
      <c r="AE4688" s="384">
        <v>15</v>
      </c>
      <c r="AF4688" s="385">
        <v>0.25</v>
      </c>
      <c r="AG4688" s="386">
        <v>13.4</v>
      </c>
      <c r="AH4688" s="387">
        <f t="shared" si="88"/>
        <v>13</v>
      </c>
    </row>
    <row r="4689" spans="11:34" ht="14.5" x14ac:dyDescent="0.35">
      <c r="K4689" s="4"/>
      <c r="AC4689" s="384">
        <v>2022</v>
      </c>
      <c r="AD4689" s="384">
        <v>7</v>
      </c>
      <c r="AE4689" s="384">
        <v>15</v>
      </c>
      <c r="AF4689" s="385">
        <v>0.29166666666666669</v>
      </c>
      <c r="AG4689" s="386">
        <v>16.899999999999999</v>
      </c>
      <c r="AH4689" s="387">
        <f t="shared" si="88"/>
        <v>17</v>
      </c>
    </row>
    <row r="4690" spans="11:34" ht="14.5" x14ac:dyDescent="0.35">
      <c r="K4690" s="4"/>
      <c r="AC4690" s="384">
        <v>2022</v>
      </c>
      <c r="AD4690" s="384">
        <v>7</v>
      </c>
      <c r="AE4690" s="384">
        <v>15</v>
      </c>
      <c r="AF4690" s="385">
        <v>0.33333333333333331</v>
      </c>
      <c r="AG4690" s="386">
        <v>20.6</v>
      </c>
      <c r="AH4690" s="387">
        <f t="shared" si="88"/>
        <v>21</v>
      </c>
    </row>
    <row r="4691" spans="11:34" ht="14.5" x14ac:dyDescent="0.35">
      <c r="K4691" s="4"/>
      <c r="AC4691" s="384">
        <v>2022</v>
      </c>
      <c r="AD4691" s="384">
        <v>7</v>
      </c>
      <c r="AE4691" s="384">
        <v>15</v>
      </c>
      <c r="AF4691" s="385">
        <v>0.375</v>
      </c>
      <c r="AG4691" s="386">
        <v>23.7</v>
      </c>
      <c r="AH4691" s="387">
        <f t="shared" si="88"/>
        <v>24</v>
      </c>
    </row>
    <row r="4692" spans="11:34" ht="14.5" x14ac:dyDescent="0.35">
      <c r="K4692" s="4"/>
      <c r="AC4692" s="384">
        <v>2022</v>
      </c>
      <c r="AD4692" s="384">
        <v>7</v>
      </c>
      <c r="AE4692" s="384">
        <v>15</v>
      </c>
      <c r="AF4692" s="385">
        <v>0.41666666666666669</v>
      </c>
      <c r="AG4692" s="386">
        <v>26.5</v>
      </c>
      <c r="AH4692" s="387">
        <f t="shared" si="88"/>
        <v>27</v>
      </c>
    </row>
    <row r="4693" spans="11:34" ht="14.5" x14ac:dyDescent="0.35">
      <c r="K4693" s="4"/>
      <c r="AC4693" s="384">
        <v>2022</v>
      </c>
      <c r="AD4693" s="384">
        <v>7</v>
      </c>
      <c r="AE4693" s="384">
        <v>15</v>
      </c>
      <c r="AF4693" s="385">
        <v>0.45833333333333331</v>
      </c>
      <c r="AG4693" s="386">
        <v>27.1</v>
      </c>
      <c r="AH4693" s="387">
        <f t="shared" si="88"/>
        <v>27</v>
      </c>
    </row>
    <row r="4694" spans="11:34" ht="14.5" x14ac:dyDescent="0.35">
      <c r="K4694" s="4"/>
      <c r="AC4694" s="384">
        <v>2022</v>
      </c>
      <c r="AD4694" s="384">
        <v>7</v>
      </c>
      <c r="AE4694" s="384">
        <v>15</v>
      </c>
      <c r="AF4694" s="385">
        <v>0.5</v>
      </c>
      <c r="AG4694" s="386">
        <v>28</v>
      </c>
      <c r="AH4694" s="387">
        <f t="shared" si="88"/>
        <v>28</v>
      </c>
    </row>
    <row r="4695" spans="11:34" ht="14.5" x14ac:dyDescent="0.35">
      <c r="K4695" s="4"/>
      <c r="AC4695" s="384">
        <v>2022</v>
      </c>
      <c r="AD4695" s="384">
        <v>7</v>
      </c>
      <c r="AE4695" s="384">
        <v>15</v>
      </c>
      <c r="AF4695" s="385">
        <v>0.54166666666666663</v>
      </c>
      <c r="AG4695" s="386">
        <v>28.2</v>
      </c>
      <c r="AH4695" s="387">
        <f t="shared" si="88"/>
        <v>28</v>
      </c>
    </row>
    <row r="4696" spans="11:34" ht="14.5" x14ac:dyDescent="0.35">
      <c r="K4696" s="4"/>
      <c r="AC4696" s="384">
        <v>2022</v>
      </c>
      <c r="AD4696" s="384">
        <v>7</v>
      </c>
      <c r="AE4696" s="384">
        <v>15</v>
      </c>
      <c r="AF4696" s="385">
        <v>0.58333333333333337</v>
      </c>
      <c r="AG4696" s="386">
        <v>28.6</v>
      </c>
      <c r="AH4696" s="387">
        <f t="shared" si="88"/>
        <v>29</v>
      </c>
    </row>
    <row r="4697" spans="11:34" ht="14.5" x14ac:dyDescent="0.35">
      <c r="K4697" s="4"/>
      <c r="AC4697" s="384">
        <v>2022</v>
      </c>
      <c r="AD4697" s="384">
        <v>7</v>
      </c>
      <c r="AE4697" s="384">
        <v>15</v>
      </c>
      <c r="AF4697" s="385">
        <v>0.625</v>
      </c>
      <c r="AG4697" s="386">
        <v>28.6</v>
      </c>
      <c r="AH4697" s="387">
        <f t="shared" si="88"/>
        <v>29</v>
      </c>
    </row>
    <row r="4698" spans="11:34" ht="14.5" x14ac:dyDescent="0.35">
      <c r="K4698" s="4"/>
      <c r="AC4698" s="384">
        <v>2022</v>
      </c>
      <c r="AD4698" s="384">
        <v>7</v>
      </c>
      <c r="AE4698" s="384">
        <v>15</v>
      </c>
      <c r="AF4698" s="385">
        <v>0.66666666666666663</v>
      </c>
      <c r="AG4698" s="386">
        <v>28.6</v>
      </c>
      <c r="AH4698" s="387">
        <f t="shared" si="88"/>
        <v>29</v>
      </c>
    </row>
    <row r="4699" spans="11:34" ht="14.5" x14ac:dyDescent="0.35">
      <c r="K4699" s="4"/>
      <c r="AC4699" s="384">
        <v>2022</v>
      </c>
      <c r="AD4699" s="384">
        <v>7</v>
      </c>
      <c r="AE4699" s="384">
        <v>15</v>
      </c>
      <c r="AF4699" s="385">
        <v>0.70833333333333337</v>
      </c>
      <c r="AG4699" s="386">
        <v>28.5</v>
      </c>
      <c r="AH4699" s="387">
        <f t="shared" si="88"/>
        <v>29</v>
      </c>
    </row>
    <row r="4700" spans="11:34" ht="14.5" x14ac:dyDescent="0.35">
      <c r="K4700" s="4"/>
      <c r="AC4700" s="384">
        <v>2022</v>
      </c>
      <c r="AD4700" s="384">
        <v>7</v>
      </c>
      <c r="AE4700" s="384">
        <v>15</v>
      </c>
      <c r="AF4700" s="385">
        <v>0.75</v>
      </c>
      <c r="AG4700" s="386">
        <v>28.4</v>
      </c>
      <c r="AH4700" s="387">
        <f t="shared" si="88"/>
        <v>28</v>
      </c>
    </row>
    <row r="4701" spans="11:34" ht="14.5" x14ac:dyDescent="0.35">
      <c r="K4701" s="4"/>
      <c r="AC4701" s="384">
        <v>2022</v>
      </c>
      <c r="AD4701" s="384">
        <v>7</v>
      </c>
      <c r="AE4701" s="384">
        <v>15</v>
      </c>
      <c r="AF4701" s="385">
        <v>0.79166666666666663</v>
      </c>
      <c r="AG4701" s="386">
        <v>27.5</v>
      </c>
      <c r="AH4701" s="387">
        <f t="shared" si="88"/>
        <v>28</v>
      </c>
    </row>
    <row r="4702" spans="11:34" ht="14.5" x14ac:dyDescent="0.35">
      <c r="K4702" s="4"/>
      <c r="AC4702" s="384">
        <v>2022</v>
      </c>
      <c r="AD4702" s="384">
        <v>7</v>
      </c>
      <c r="AE4702" s="384">
        <v>15</v>
      </c>
      <c r="AF4702" s="385">
        <v>0.83333333333333337</v>
      </c>
      <c r="AG4702" s="386">
        <v>25.9</v>
      </c>
      <c r="AH4702" s="387">
        <f t="shared" si="88"/>
        <v>26</v>
      </c>
    </row>
    <row r="4703" spans="11:34" ht="14.5" x14ac:dyDescent="0.35">
      <c r="K4703" s="4"/>
      <c r="AC4703" s="384">
        <v>2022</v>
      </c>
      <c r="AD4703" s="384">
        <v>7</v>
      </c>
      <c r="AE4703" s="384">
        <v>15</v>
      </c>
      <c r="AF4703" s="385">
        <v>0.875</v>
      </c>
      <c r="AG4703" s="386">
        <v>22</v>
      </c>
      <c r="AH4703" s="387">
        <f t="shared" si="88"/>
        <v>22</v>
      </c>
    </row>
    <row r="4704" spans="11:34" ht="14.5" x14ac:dyDescent="0.35">
      <c r="K4704" s="4"/>
      <c r="AC4704" s="384">
        <v>2022</v>
      </c>
      <c r="AD4704" s="384">
        <v>7</v>
      </c>
      <c r="AE4704" s="384">
        <v>15</v>
      </c>
      <c r="AF4704" s="385">
        <v>0.91666666666666663</v>
      </c>
      <c r="AG4704" s="386">
        <v>23.3</v>
      </c>
      <c r="AH4704" s="387">
        <f t="shared" si="88"/>
        <v>23</v>
      </c>
    </row>
    <row r="4705" spans="11:34" ht="14.5" x14ac:dyDescent="0.35">
      <c r="K4705" s="4"/>
      <c r="AC4705" s="384">
        <v>2022</v>
      </c>
      <c r="AD4705" s="384">
        <v>7</v>
      </c>
      <c r="AE4705" s="384">
        <v>15</v>
      </c>
      <c r="AF4705" s="385">
        <v>0.95833333333333337</v>
      </c>
      <c r="AG4705" s="386">
        <v>22</v>
      </c>
      <c r="AH4705" s="387">
        <f t="shared" si="88"/>
        <v>22</v>
      </c>
    </row>
    <row r="4706" spans="11:34" ht="14.5" x14ac:dyDescent="0.35">
      <c r="K4706" s="4"/>
      <c r="AC4706" s="384">
        <v>2022</v>
      </c>
      <c r="AD4706" s="384">
        <v>7</v>
      </c>
      <c r="AE4706" s="384">
        <v>16</v>
      </c>
      <c r="AF4706" s="385">
        <v>0</v>
      </c>
      <c r="AG4706" s="386">
        <v>18.8</v>
      </c>
      <c r="AH4706" s="387">
        <f t="shared" si="88"/>
        <v>19</v>
      </c>
    </row>
    <row r="4707" spans="11:34" ht="14.5" x14ac:dyDescent="0.35">
      <c r="K4707" s="4"/>
      <c r="AC4707" s="384">
        <v>2022</v>
      </c>
      <c r="AD4707" s="384">
        <v>7</v>
      </c>
      <c r="AE4707" s="384">
        <v>16</v>
      </c>
      <c r="AF4707" s="385">
        <v>4.1666666666666664E-2</v>
      </c>
      <c r="AG4707" s="386">
        <v>17.100000000000001</v>
      </c>
      <c r="AH4707" s="387">
        <f t="shared" si="88"/>
        <v>17</v>
      </c>
    </row>
    <row r="4708" spans="11:34" ht="14.5" x14ac:dyDescent="0.35">
      <c r="K4708" s="4"/>
      <c r="AC4708" s="384">
        <v>2022</v>
      </c>
      <c r="AD4708" s="384">
        <v>7</v>
      </c>
      <c r="AE4708" s="384">
        <v>16</v>
      </c>
      <c r="AF4708" s="385">
        <v>8.3333333333333329E-2</v>
      </c>
      <c r="AG4708" s="386">
        <v>18.100000000000001</v>
      </c>
      <c r="AH4708" s="387">
        <f t="shared" si="88"/>
        <v>18</v>
      </c>
    </row>
    <row r="4709" spans="11:34" ht="14.5" x14ac:dyDescent="0.35">
      <c r="K4709" s="4"/>
      <c r="AC4709" s="384">
        <v>2022</v>
      </c>
      <c r="AD4709" s="384">
        <v>7</v>
      </c>
      <c r="AE4709" s="384">
        <v>16</v>
      </c>
      <c r="AF4709" s="385">
        <v>0.125</v>
      </c>
      <c r="AG4709" s="386">
        <v>15.8</v>
      </c>
      <c r="AH4709" s="387">
        <f t="shared" si="88"/>
        <v>16</v>
      </c>
    </row>
    <row r="4710" spans="11:34" ht="14.5" x14ac:dyDescent="0.35">
      <c r="K4710" s="4"/>
      <c r="AC4710" s="384">
        <v>2022</v>
      </c>
      <c r="AD4710" s="384">
        <v>7</v>
      </c>
      <c r="AE4710" s="384">
        <v>16</v>
      </c>
      <c r="AF4710" s="385">
        <v>0.16666666666666666</v>
      </c>
      <c r="AG4710" s="386">
        <v>14.4</v>
      </c>
      <c r="AH4710" s="387">
        <f t="shared" si="88"/>
        <v>14</v>
      </c>
    </row>
    <row r="4711" spans="11:34" ht="14.5" x14ac:dyDescent="0.35">
      <c r="K4711" s="4"/>
      <c r="AC4711" s="384">
        <v>2022</v>
      </c>
      <c r="AD4711" s="384">
        <v>7</v>
      </c>
      <c r="AE4711" s="384">
        <v>16</v>
      </c>
      <c r="AF4711" s="385">
        <v>0.20833333333333334</v>
      </c>
      <c r="AG4711" s="386">
        <v>15.1</v>
      </c>
      <c r="AH4711" s="387">
        <f t="shared" si="88"/>
        <v>15</v>
      </c>
    </row>
    <row r="4712" spans="11:34" ht="14.5" x14ac:dyDescent="0.35">
      <c r="K4712" s="4"/>
      <c r="AC4712" s="384">
        <v>2022</v>
      </c>
      <c r="AD4712" s="384">
        <v>7</v>
      </c>
      <c r="AE4712" s="384">
        <v>16</v>
      </c>
      <c r="AF4712" s="385">
        <v>0.25</v>
      </c>
      <c r="AG4712" s="386">
        <v>16.899999999999999</v>
      </c>
      <c r="AH4712" s="387">
        <f t="shared" si="88"/>
        <v>17</v>
      </c>
    </row>
    <row r="4713" spans="11:34" ht="14.5" x14ac:dyDescent="0.35">
      <c r="K4713" s="4"/>
      <c r="AC4713" s="384">
        <v>2022</v>
      </c>
      <c r="AD4713" s="384">
        <v>7</v>
      </c>
      <c r="AE4713" s="384">
        <v>16</v>
      </c>
      <c r="AF4713" s="385">
        <v>0.29166666666666669</v>
      </c>
      <c r="AG4713" s="386">
        <v>19.8</v>
      </c>
      <c r="AH4713" s="387">
        <f t="shared" si="88"/>
        <v>20</v>
      </c>
    </row>
    <row r="4714" spans="11:34" ht="14.5" x14ac:dyDescent="0.35">
      <c r="K4714" s="4"/>
      <c r="AC4714" s="384">
        <v>2022</v>
      </c>
      <c r="AD4714" s="384">
        <v>7</v>
      </c>
      <c r="AE4714" s="384">
        <v>16</v>
      </c>
      <c r="AF4714" s="385">
        <v>0.33333333333333331</v>
      </c>
      <c r="AG4714" s="386">
        <v>20.3</v>
      </c>
      <c r="AH4714" s="387">
        <f t="shared" si="88"/>
        <v>20</v>
      </c>
    </row>
    <row r="4715" spans="11:34" ht="14.5" x14ac:dyDescent="0.35">
      <c r="K4715" s="4"/>
      <c r="AC4715" s="384">
        <v>2022</v>
      </c>
      <c r="AD4715" s="384">
        <v>7</v>
      </c>
      <c r="AE4715" s="384">
        <v>16</v>
      </c>
      <c r="AF4715" s="385">
        <v>0.375</v>
      </c>
      <c r="AG4715" s="386">
        <v>21.5</v>
      </c>
      <c r="AH4715" s="387">
        <f t="shared" si="88"/>
        <v>22</v>
      </c>
    </row>
    <row r="4716" spans="11:34" ht="14.5" x14ac:dyDescent="0.35">
      <c r="K4716" s="4"/>
      <c r="AC4716" s="384">
        <v>2022</v>
      </c>
      <c r="AD4716" s="384">
        <v>7</v>
      </c>
      <c r="AE4716" s="384">
        <v>16</v>
      </c>
      <c r="AF4716" s="385">
        <v>0.41666666666666669</v>
      </c>
      <c r="AG4716" s="386">
        <v>22.3</v>
      </c>
      <c r="AH4716" s="387">
        <f t="shared" si="88"/>
        <v>22</v>
      </c>
    </row>
    <row r="4717" spans="11:34" ht="14.5" x14ac:dyDescent="0.35">
      <c r="K4717" s="4"/>
      <c r="AC4717" s="384">
        <v>2022</v>
      </c>
      <c r="AD4717" s="384">
        <v>7</v>
      </c>
      <c r="AE4717" s="384">
        <v>16</v>
      </c>
      <c r="AF4717" s="385">
        <v>0.45833333333333331</v>
      </c>
      <c r="AG4717" s="386">
        <v>24.2</v>
      </c>
      <c r="AH4717" s="387">
        <f t="shared" si="88"/>
        <v>24</v>
      </c>
    </row>
    <row r="4718" spans="11:34" ht="14.5" x14ac:dyDescent="0.35">
      <c r="K4718" s="4"/>
      <c r="AC4718" s="384">
        <v>2022</v>
      </c>
      <c r="AD4718" s="384">
        <v>7</v>
      </c>
      <c r="AE4718" s="384">
        <v>16</v>
      </c>
      <c r="AF4718" s="385">
        <v>0.5</v>
      </c>
      <c r="AG4718" s="386">
        <v>25.5</v>
      </c>
      <c r="AH4718" s="387">
        <f t="shared" si="88"/>
        <v>26</v>
      </c>
    </row>
    <row r="4719" spans="11:34" ht="14.5" x14ac:dyDescent="0.35">
      <c r="K4719" s="4"/>
      <c r="AC4719" s="384">
        <v>2022</v>
      </c>
      <c r="AD4719" s="384">
        <v>7</v>
      </c>
      <c r="AE4719" s="384">
        <v>16</v>
      </c>
      <c r="AF4719" s="385">
        <v>0.54166666666666663</v>
      </c>
      <c r="AG4719" s="386">
        <v>25.4</v>
      </c>
      <c r="AH4719" s="387">
        <f t="shared" si="88"/>
        <v>25</v>
      </c>
    </row>
    <row r="4720" spans="11:34" ht="14.5" x14ac:dyDescent="0.35">
      <c r="K4720" s="4"/>
      <c r="AC4720" s="384">
        <v>2022</v>
      </c>
      <c r="AD4720" s="384">
        <v>7</v>
      </c>
      <c r="AE4720" s="384">
        <v>16</v>
      </c>
      <c r="AF4720" s="385">
        <v>0.58333333333333337</v>
      </c>
      <c r="AG4720" s="386">
        <v>26.7</v>
      </c>
      <c r="AH4720" s="387">
        <f t="shared" si="88"/>
        <v>27</v>
      </c>
    </row>
    <row r="4721" spans="11:34" ht="14.5" x14ac:dyDescent="0.35">
      <c r="K4721" s="4"/>
      <c r="AC4721" s="384">
        <v>2022</v>
      </c>
      <c r="AD4721" s="384">
        <v>7</v>
      </c>
      <c r="AE4721" s="384">
        <v>16</v>
      </c>
      <c r="AF4721" s="385">
        <v>0.625</v>
      </c>
      <c r="AG4721" s="386">
        <v>27.1</v>
      </c>
      <c r="AH4721" s="387">
        <f t="shared" si="88"/>
        <v>27</v>
      </c>
    </row>
    <row r="4722" spans="11:34" ht="14.5" x14ac:dyDescent="0.35">
      <c r="K4722" s="4"/>
      <c r="AC4722" s="384">
        <v>2022</v>
      </c>
      <c r="AD4722" s="384">
        <v>7</v>
      </c>
      <c r="AE4722" s="384">
        <v>16</v>
      </c>
      <c r="AF4722" s="385">
        <v>0.66666666666666663</v>
      </c>
      <c r="AG4722" s="386">
        <v>27.3</v>
      </c>
      <c r="AH4722" s="387">
        <f t="shared" si="88"/>
        <v>27</v>
      </c>
    </row>
    <row r="4723" spans="11:34" ht="14.5" x14ac:dyDescent="0.35">
      <c r="K4723" s="4"/>
      <c r="AC4723" s="384">
        <v>2022</v>
      </c>
      <c r="AD4723" s="384">
        <v>7</v>
      </c>
      <c r="AE4723" s="384">
        <v>16</v>
      </c>
      <c r="AF4723" s="385">
        <v>0.70833333333333337</v>
      </c>
      <c r="AG4723" s="386">
        <v>27.2</v>
      </c>
      <c r="AH4723" s="387">
        <f t="shared" si="88"/>
        <v>27</v>
      </c>
    </row>
    <row r="4724" spans="11:34" ht="14.5" x14ac:dyDescent="0.35">
      <c r="K4724" s="4"/>
      <c r="AC4724" s="384">
        <v>2022</v>
      </c>
      <c r="AD4724" s="384">
        <v>7</v>
      </c>
      <c r="AE4724" s="384">
        <v>16</v>
      </c>
      <c r="AF4724" s="385">
        <v>0.75</v>
      </c>
      <c r="AG4724" s="386">
        <v>26.8</v>
      </c>
      <c r="AH4724" s="387">
        <f t="shared" si="88"/>
        <v>27</v>
      </c>
    </row>
    <row r="4725" spans="11:34" ht="14.5" x14ac:dyDescent="0.35">
      <c r="K4725" s="4"/>
      <c r="AC4725" s="384">
        <v>2022</v>
      </c>
      <c r="AD4725" s="384">
        <v>7</v>
      </c>
      <c r="AE4725" s="384">
        <v>16</v>
      </c>
      <c r="AF4725" s="385">
        <v>0.79166666666666663</v>
      </c>
      <c r="AG4725" s="386">
        <v>25.6</v>
      </c>
      <c r="AH4725" s="387">
        <f t="shared" si="88"/>
        <v>26</v>
      </c>
    </row>
    <row r="4726" spans="11:34" ht="14.5" x14ac:dyDescent="0.35">
      <c r="K4726" s="4"/>
      <c r="AC4726" s="384">
        <v>2022</v>
      </c>
      <c r="AD4726" s="384">
        <v>7</v>
      </c>
      <c r="AE4726" s="384">
        <v>16</v>
      </c>
      <c r="AF4726" s="385">
        <v>0.83333333333333337</v>
      </c>
      <c r="AG4726" s="386">
        <v>22</v>
      </c>
      <c r="AH4726" s="387">
        <f t="shared" si="88"/>
        <v>22</v>
      </c>
    </row>
    <row r="4727" spans="11:34" ht="14.5" x14ac:dyDescent="0.35">
      <c r="K4727" s="4"/>
      <c r="AC4727" s="384">
        <v>2022</v>
      </c>
      <c r="AD4727" s="384">
        <v>7</v>
      </c>
      <c r="AE4727" s="384">
        <v>16</v>
      </c>
      <c r="AF4727" s="385">
        <v>0.875</v>
      </c>
      <c r="AG4727" s="386">
        <v>20.399999999999999</v>
      </c>
      <c r="AH4727" s="387">
        <f t="shared" si="88"/>
        <v>20</v>
      </c>
    </row>
    <row r="4728" spans="11:34" ht="14.5" x14ac:dyDescent="0.35">
      <c r="K4728" s="4"/>
      <c r="AC4728" s="384">
        <v>2022</v>
      </c>
      <c r="AD4728" s="384">
        <v>7</v>
      </c>
      <c r="AE4728" s="384">
        <v>16</v>
      </c>
      <c r="AF4728" s="385">
        <v>0.91666666666666663</v>
      </c>
      <c r="AG4728" s="386">
        <v>19.2</v>
      </c>
      <c r="AH4728" s="387">
        <f t="shared" si="88"/>
        <v>19</v>
      </c>
    </row>
    <row r="4729" spans="11:34" ht="14.5" x14ac:dyDescent="0.35">
      <c r="K4729" s="4"/>
      <c r="AC4729" s="384">
        <v>2022</v>
      </c>
      <c r="AD4729" s="384">
        <v>7</v>
      </c>
      <c r="AE4729" s="384">
        <v>16</v>
      </c>
      <c r="AF4729" s="385">
        <v>0.95833333333333337</v>
      </c>
      <c r="AG4729" s="386">
        <v>17.8</v>
      </c>
      <c r="AH4729" s="387">
        <f t="shared" si="88"/>
        <v>18</v>
      </c>
    </row>
    <row r="4730" spans="11:34" ht="14.5" x14ac:dyDescent="0.35">
      <c r="K4730" s="4"/>
      <c r="AC4730" s="384">
        <v>2022</v>
      </c>
      <c r="AD4730" s="384">
        <v>7</v>
      </c>
      <c r="AE4730" s="384">
        <v>17</v>
      </c>
      <c r="AF4730" s="385">
        <v>0</v>
      </c>
      <c r="AG4730" s="386">
        <v>16.2</v>
      </c>
      <c r="AH4730" s="387">
        <f t="shared" si="88"/>
        <v>16</v>
      </c>
    </row>
    <row r="4731" spans="11:34" ht="14.5" x14ac:dyDescent="0.35">
      <c r="K4731" s="4"/>
      <c r="AC4731" s="384">
        <v>2022</v>
      </c>
      <c r="AD4731" s="384">
        <v>7</v>
      </c>
      <c r="AE4731" s="384">
        <v>17</v>
      </c>
      <c r="AF4731" s="385">
        <v>4.1666666666666664E-2</v>
      </c>
      <c r="AG4731" s="386">
        <v>15.4</v>
      </c>
      <c r="AH4731" s="387">
        <f t="shared" si="88"/>
        <v>15</v>
      </c>
    </row>
    <row r="4732" spans="11:34" ht="14.5" x14ac:dyDescent="0.35">
      <c r="K4732" s="4"/>
      <c r="AC4732" s="384">
        <v>2022</v>
      </c>
      <c r="AD4732" s="384">
        <v>7</v>
      </c>
      <c r="AE4732" s="384">
        <v>17</v>
      </c>
      <c r="AF4732" s="385">
        <v>8.3333333333333329E-2</v>
      </c>
      <c r="AG4732" s="386">
        <v>14.9</v>
      </c>
      <c r="AH4732" s="387">
        <f t="shared" si="88"/>
        <v>15</v>
      </c>
    </row>
    <row r="4733" spans="11:34" ht="14.5" x14ac:dyDescent="0.35">
      <c r="K4733" s="4"/>
      <c r="AC4733" s="384">
        <v>2022</v>
      </c>
      <c r="AD4733" s="384">
        <v>7</v>
      </c>
      <c r="AE4733" s="384">
        <v>17</v>
      </c>
      <c r="AF4733" s="385">
        <v>0.125</v>
      </c>
      <c r="AG4733" s="386">
        <v>16</v>
      </c>
      <c r="AH4733" s="387">
        <f t="shared" si="88"/>
        <v>16</v>
      </c>
    </row>
    <row r="4734" spans="11:34" ht="14.5" x14ac:dyDescent="0.35">
      <c r="K4734" s="4"/>
      <c r="AC4734" s="384">
        <v>2022</v>
      </c>
      <c r="AD4734" s="384">
        <v>7</v>
      </c>
      <c r="AE4734" s="384">
        <v>17</v>
      </c>
      <c r="AF4734" s="385">
        <v>0.16666666666666666</v>
      </c>
      <c r="AG4734" s="386">
        <v>15.5</v>
      </c>
      <c r="AH4734" s="387">
        <f t="shared" si="88"/>
        <v>16</v>
      </c>
    </row>
    <row r="4735" spans="11:34" ht="14.5" x14ac:dyDescent="0.35">
      <c r="K4735" s="4"/>
      <c r="AC4735" s="384">
        <v>2022</v>
      </c>
      <c r="AD4735" s="384">
        <v>7</v>
      </c>
      <c r="AE4735" s="384">
        <v>17</v>
      </c>
      <c r="AF4735" s="385">
        <v>0.20833333333333334</v>
      </c>
      <c r="AG4735" s="386">
        <v>15.4</v>
      </c>
      <c r="AH4735" s="387">
        <f t="shared" si="88"/>
        <v>15</v>
      </c>
    </row>
    <row r="4736" spans="11:34" ht="14.5" x14ac:dyDescent="0.35">
      <c r="K4736" s="4"/>
      <c r="AC4736" s="384">
        <v>2022</v>
      </c>
      <c r="AD4736" s="384">
        <v>7</v>
      </c>
      <c r="AE4736" s="384">
        <v>17</v>
      </c>
      <c r="AF4736" s="385">
        <v>0.25</v>
      </c>
      <c r="AG4736" s="386">
        <v>15.6</v>
      </c>
      <c r="AH4736" s="387">
        <f t="shared" si="88"/>
        <v>16</v>
      </c>
    </row>
    <row r="4737" spans="11:34" ht="14.5" x14ac:dyDescent="0.35">
      <c r="K4737" s="4"/>
      <c r="AC4737" s="384">
        <v>2022</v>
      </c>
      <c r="AD4737" s="384">
        <v>7</v>
      </c>
      <c r="AE4737" s="384">
        <v>17</v>
      </c>
      <c r="AF4737" s="385">
        <v>0.29166666666666669</v>
      </c>
      <c r="AG4737" s="386">
        <v>16.600000000000001</v>
      </c>
      <c r="AH4737" s="387">
        <f t="shared" si="88"/>
        <v>17</v>
      </c>
    </row>
    <row r="4738" spans="11:34" ht="14.5" x14ac:dyDescent="0.35">
      <c r="K4738" s="4"/>
      <c r="AC4738" s="384">
        <v>2022</v>
      </c>
      <c r="AD4738" s="384">
        <v>7</v>
      </c>
      <c r="AE4738" s="384">
        <v>17</v>
      </c>
      <c r="AF4738" s="385">
        <v>0.33333333333333331</v>
      </c>
      <c r="AG4738" s="386">
        <v>16.7</v>
      </c>
      <c r="AH4738" s="387">
        <f t="shared" si="88"/>
        <v>17</v>
      </c>
    </row>
    <row r="4739" spans="11:34" ht="14.5" x14ac:dyDescent="0.35">
      <c r="K4739" s="4"/>
      <c r="AC4739" s="384">
        <v>2022</v>
      </c>
      <c r="AD4739" s="384">
        <v>7</v>
      </c>
      <c r="AE4739" s="384">
        <v>17</v>
      </c>
      <c r="AF4739" s="385">
        <v>0.375</v>
      </c>
      <c r="AG4739" s="386">
        <v>17.600000000000001</v>
      </c>
      <c r="AH4739" s="387">
        <f t="shared" si="88"/>
        <v>18</v>
      </c>
    </row>
    <row r="4740" spans="11:34" ht="14.5" x14ac:dyDescent="0.35">
      <c r="K4740" s="4"/>
      <c r="AC4740" s="384">
        <v>2022</v>
      </c>
      <c r="AD4740" s="384">
        <v>7</v>
      </c>
      <c r="AE4740" s="384">
        <v>17</v>
      </c>
      <c r="AF4740" s="385">
        <v>0.41666666666666669</v>
      </c>
      <c r="AG4740" s="386">
        <v>19.399999999999999</v>
      </c>
      <c r="AH4740" s="387">
        <f t="shared" si="88"/>
        <v>19</v>
      </c>
    </row>
    <row r="4741" spans="11:34" ht="14.5" x14ac:dyDescent="0.35">
      <c r="K4741" s="4"/>
      <c r="AC4741" s="384">
        <v>2022</v>
      </c>
      <c r="AD4741" s="384">
        <v>7</v>
      </c>
      <c r="AE4741" s="384">
        <v>17</v>
      </c>
      <c r="AF4741" s="385">
        <v>0.45833333333333331</v>
      </c>
      <c r="AG4741" s="386">
        <v>20.6</v>
      </c>
      <c r="AH4741" s="387">
        <f t="shared" si="88"/>
        <v>21</v>
      </c>
    </row>
    <row r="4742" spans="11:34" ht="14.5" x14ac:dyDescent="0.35">
      <c r="K4742" s="4"/>
      <c r="AC4742" s="384">
        <v>2022</v>
      </c>
      <c r="AD4742" s="384">
        <v>7</v>
      </c>
      <c r="AE4742" s="384">
        <v>17</v>
      </c>
      <c r="AF4742" s="385">
        <v>0.5</v>
      </c>
      <c r="AG4742" s="386">
        <v>21.2</v>
      </c>
      <c r="AH4742" s="387">
        <f t="shared" si="88"/>
        <v>21</v>
      </c>
    </row>
    <row r="4743" spans="11:34" ht="14.5" x14ac:dyDescent="0.35">
      <c r="K4743" s="4"/>
      <c r="AC4743" s="384">
        <v>2022</v>
      </c>
      <c r="AD4743" s="384">
        <v>7</v>
      </c>
      <c r="AE4743" s="384">
        <v>17</v>
      </c>
      <c r="AF4743" s="385">
        <v>0.54166666666666663</v>
      </c>
      <c r="AG4743" s="386">
        <v>21.1</v>
      </c>
      <c r="AH4743" s="387">
        <f t="shared" si="88"/>
        <v>21</v>
      </c>
    </row>
    <row r="4744" spans="11:34" ht="14.5" x14ac:dyDescent="0.35">
      <c r="K4744" s="4"/>
      <c r="AC4744" s="384">
        <v>2022</v>
      </c>
      <c r="AD4744" s="384">
        <v>7</v>
      </c>
      <c r="AE4744" s="384">
        <v>17</v>
      </c>
      <c r="AF4744" s="385">
        <v>0.58333333333333337</v>
      </c>
      <c r="AG4744" s="386">
        <v>22.7</v>
      </c>
      <c r="AH4744" s="387">
        <f t="shared" si="88"/>
        <v>23</v>
      </c>
    </row>
    <row r="4745" spans="11:34" ht="14.5" x14ac:dyDescent="0.35">
      <c r="K4745" s="4"/>
      <c r="AC4745" s="384">
        <v>2022</v>
      </c>
      <c r="AD4745" s="384">
        <v>7</v>
      </c>
      <c r="AE4745" s="384">
        <v>17</v>
      </c>
      <c r="AF4745" s="385">
        <v>0.625</v>
      </c>
      <c r="AG4745" s="386">
        <v>21.9</v>
      </c>
      <c r="AH4745" s="387">
        <f t="shared" si="88"/>
        <v>22</v>
      </c>
    </row>
    <row r="4746" spans="11:34" ht="14.5" x14ac:dyDescent="0.35">
      <c r="K4746" s="4"/>
      <c r="AC4746" s="384">
        <v>2022</v>
      </c>
      <c r="AD4746" s="384">
        <v>7</v>
      </c>
      <c r="AE4746" s="384">
        <v>17</v>
      </c>
      <c r="AF4746" s="385">
        <v>0.66666666666666663</v>
      </c>
      <c r="AG4746" s="386">
        <v>23</v>
      </c>
      <c r="AH4746" s="387">
        <f t="shared" si="88"/>
        <v>23</v>
      </c>
    </row>
    <row r="4747" spans="11:34" ht="14.5" x14ac:dyDescent="0.35">
      <c r="K4747" s="4"/>
      <c r="AC4747" s="384">
        <v>2022</v>
      </c>
      <c r="AD4747" s="384">
        <v>7</v>
      </c>
      <c r="AE4747" s="384">
        <v>17</v>
      </c>
      <c r="AF4747" s="385">
        <v>0.70833333333333337</v>
      </c>
      <c r="AG4747" s="386">
        <v>21.6</v>
      </c>
      <c r="AH4747" s="387">
        <f t="shared" ref="AH4747:AH4810" si="89">ROUND(AG4747,0)</f>
        <v>22</v>
      </c>
    </row>
    <row r="4748" spans="11:34" ht="14.5" x14ac:dyDescent="0.35">
      <c r="K4748" s="4"/>
      <c r="AC4748" s="384">
        <v>2022</v>
      </c>
      <c r="AD4748" s="384">
        <v>7</v>
      </c>
      <c r="AE4748" s="384">
        <v>17</v>
      </c>
      <c r="AF4748" s="385">
        <v>0.75</v>
      </c>
      <c r="AG4748" s="386">
        <v>21.9</v>
      </c>
      <c r="AH4748" s="387">
        <f t="shared" si="89"/>
        <v>22</v>
      </c>
    </row>
    <row r="4749" spans="11:34" ht="14.5" x14ac:dyDescent="0.35">
      <c r="K4749" s="4"/>
      <c r="AC4749" s="384">
        <v>2022</v>
      </c>
      <c r="AD4749" s="384">
        <v>7</v>
      </c>
      <c r="AE4749" s="384">
        <v>17</v>
      </c>
      <c r="AF4749" s="385">
        <v>0.79166666666666663</v>
      </c>
      <c r="AG4749" s="386">
        <v>21.4</v>
      </c>
      <c r="AH4749" s="387">
        <f t="shared" si="89"/>
        <v>21</v>
      </c>
    </row>
    <row r="4750" spans="11:34" ht="14.5" x14ac:dyDescent="0.35">
      <c r="K4750" s="4"/>
      <c r="AC4750" s="384">
        <v>2022</v>
      </c>
      <c r="AD4750" s="384">
        <v>7</v>
      </c>
      <c r="AE4750" s="384">
        <v>17</v>
      </c>
      <c r="AF4750" s="385">
        <v>0.83333333333333337</v>
      </c>
      <c r="AG4750" s="386">
        <v>21.3</v>
      </c>
      <c r="AH4750" s="387">
        <f t="shared" si="89"/>
        <v>21</v>
      </c>
    </row>
    <row r="4751" spans="11:34" ht="14.5" x14ac:dyDescent="0.35">
      <c r="K4751" s="4"/>
      <c r="AC4751" s="384">
        <v>2022</v>
      </c>
      <c r="AD4751" s="384">
        <v>7</v>
      </c>
      <c r="AE4751" s="384">
        <v>17</v>
      </c>
      <c r="AF4751" s="385">
        <v>0.875</v>
      </c>
      <c r="AG4751" s="386">
        <v>20.2</v>
      </c>
      <c r="AH4751" s="387">
        <f t="shared" si="89"/>
        <v>20</v>
      </c>
    </row>
    <row r="4752" spans="11:34" ht="14.5" x14ac:dyDescent="0.35">
      <c r="K4752" s="4"/>
      <c r="AC4752" s="384">
        <v>2022</v>
      </c>
      <c r="AD4752" s="384">
        <v>7</v>
      </c>
      <c r="AE4752" s="384">
        <v>17</v>
      </c>
      <c r="AF4752" s="385">
        <v>0.91666666666666663</v>
      </c>
      <c r="AG4752" s="386">
        <v>18.899999999999999</v>
      </c>
      <c r="AH4752" s="387">
        <f t="shared" si="89"/>
        <v>19</v>
      </c>
    </row>
    <row r="4753" spans="11:34" ht="14.5" x14ac:dyDescent="0.35">
      <c r="K4753" s="4"/>
      <c r="AC4753" s="384">
        <v>2022</v>
      </c>
      <c r="AD4753" s="384">
        <v>7</v>
      </c>
      <c r="AE4753" s="384">
        <v>17</v>
      </c>
      <c r="AF4753" s="385">
        <v>0.95833333333333337</v>
      </c>
      <c r="AG4753" s="386">
        <v>18.100000000000001</v>
      </c>
      <c r="AH4753" s="387">
        <f t="shared" si="89"/>
        <v>18</v>
      </c>
    </row>
    <row r="4754" spans="11:34" ht="14.5" x14ac:dyDescent="0.35">
      <c r="K4754" s="4"/>
      <c r="AC4754" s="384">
        <v>2022</v>
      </c>
      <c r="AD4754" s="384">
        <v>7</v>
      </c>
      <c r="AE4754" s="384">
        <v>18</v>
      </c>
      <c r="AF4754" s="385">
        <v>0</v>
      </c>
      <c r="AG4754" s="386">
        <v>17.100000000000001</v>
      </c>
      <c r="AH4754" s="387">
        <f t="shared" si="89"/>
        <v>17</v>
      </c>
    </row>
    <row r="4755" spans="11:34" ht="14.5" x14ac:dyDescent="0.35">
      <c r="K4755" s="4"/>
      <c r="AC4755" s="384">
        <v>2022</v>
      </c>
      <c r="AD4755" s="384">
        <v>7</v>
      </c>
      <c r="AE4755" s="384">
        <v>18</v>
      </c>
      <c r="AF4755" s="385">
        <v>4.1666666666666664E-2</v>
      </c>
      <c r="AG4755" s="386">
        <v>15.9</v>
      </c>
      <c r="AH4755" s="387">
        <f t="shared" si="89"/>
        <v>16</v>
      </c>
    </row>
    <row r="4756" spans="11:34" ht="14.5" x14ac:dyDescent="0.35">
      <c r="K4756" s="4"/>
      <c r="AC4756" s="384">
        <v>2022</v>
      </c>
      <c r="AD4756" s="384">
        <v>7</v>
      </c>
      <c r="AE4756" s="384">
        <v>18</v>
      </c>
      <c r="AF4756" s="385">
        <v>8.3333333333333329E-2</v>
      </c>
      <c r="AG4756" s="386">
        <v>15.5</v>
      </c>
      <c r="AH4756" s="387">
        <f t="shared" si="89"/>
        <v>16</v>
      </c>
    </row>
    <row r="4757" spans="11:34" ht="14.5" x14ac:dyDescent="0.35">
      <c r="K4757" s="4"/>
      <c r="AC4757" s="384">
        <v>2022</v>
      </c>
      <c r="AD4757" s="384">
        <v>7</v>
      </c>
      <c r="AE4757" s="384">
        <v>18</v>
      </c>
      <c r="AF4757" s="385">
        <v>0.125</v>
      </c>
      <c r="AG4757" s="386">
        <v>16</v>
      </c>
      <c r="AH4757" s="387">
        <f t="shared" si="89"/>
        <v>16</v>
      </c>
    </row>
    <row r="4758" spans="11:34" ht="14.5" x14ac:dyDescent="0.35">
      <c r="K4758" s="4"/>
      <c r="AC4758" s="384">
        <v>2022</v>
      </c>
      <c r="AD4758" s="384">
        <v>7</v>
      </c>
      <c r="AE4758" s="384">
        <v>18</v>
      </c>
      <c r="AF4758" s="385">
        <v>0.16666666666666666</v>
      </c>
      <c r="AG4758" s="386">
        <v>15.8</v>
      </c>
      <c r="AH4758" s="387">
        <f t="shared" si="89"/>
        <v>16</v>
      </c>
    </row>
    <row r="4759" spans="11:34" ht="14.5" x14ac:dyDescent="0.35">
      <c r="K4759" s="4"/>
      <c r="AC4759" s="384">
        <v>2022</v>
      </c>
      <c r="AD4759" s="384">
        <v>7</v>
      </c>
      <c r="AE4759" s="384">
        <v>18</v>
      </c>
      <c r="AF4759" s="385">
        <v>0.20833333333333334</v>
      </c>
      <c r="AG4759" s="386">
        <v>15.4</v>
      </c>
      <c r="AH4759" s="387">
        <f t="shared" si="89"/>
        <v>15</v>
      </c>
    </row>
    <row r="4760" spans="11:34" ht="14.5" x14ac:dyDescent="0.35">
      <c r="K4760" s="4"/>
      <c r="AC4760" s="384">
        <v>2022</v>
      </c>
      <c r="AD4760" s="384">
        <v>7</v>
      </c>
      <c r="AE4760" s="384">
        <v>18</v>
      </c>
      <c r="AF4760" s="385">
        <v>0.25</v>
      </c>
      <c r="AG4760" s="386">
        <v>15.1</v>
      </c>
      <c r="AH4760" s="387">
        <f t="shared" si="89"/>
        <v>15</v>
      </c>
    </row>
    <row r="4761" spans="11:34" ht="14.5" x14ac:dyDescent="0.35">
      <c r="K4761" s="4"/>
      <c r="AC4761" s="384">
        <v>2022</v>
      </c>
      <c r="AD4761" s="384">
        <v>7</v>
      </c>
      <c r="AE4761" s="384">
        <v>18</v>
      </c>
      <c r="AF4761" s="385">
        <v>0.29166666666666669</v>
      </c>
      <c r="AG4761" s="386">
        <v>16.600000000000001</v>
      </c>
      <c r="AH4761" s="387">
        <f t="shared" si="89"/>
        <v>17</v>
      </c>
    </row>
    <row r="4762" spans="11:34" ht="14.5" x14ac:dyDescent="0.35">
      <c r="K4762" s="4"/>
      <c r="AC4762" s="384">
        <v>2022</v>
      </c>
      <c r="AD4762" s="384">
        <v>7</v>
      </c>
      <c r="AE4762" s="384">
        <v>18</v>
      </c>
      <c r="AF4762" s="385">
        <v>0.33333333333333331</v>
      </c>
      <c r="AG4762" s="386">
        <v>16.3</v>
      </c>
      <c r="AH4762" s="387">
        <f t="shared" si="89"/>
        <v>16</v>
      </c>
    </row>
    <row r="4763" spans="11:34" ht="14.5" x14ac:dyDescent="0.35">
      <c r="K4763" s="4"/>
      <c r="AC4763" s="384">
        <v>2022</v>
      </c>
      <c r="AD4763" s="384">
        <v>7</v>
      </c>
      <c r="AE4763" s="384">
        <v>18</v>
      </c>
      <c r="AF4763" s="385">
        <v>0.375</v>
      </c>
      <c r="AG4763" s="386">
        <v>16.100000000000001</v>
      </c>
      <c r="AH4763" s="387">
        <f t="shared" si="89"/>
        <v>16</v>
      </c>
    </row>
    <row r="4764" spans="11:34" ht="14.5" x14ac:dyDescent="0.35">
      <c r="K4764" s="4"/>
      <c r="AC4764" s="384">
        <v>2022</v>
      </c>
      <c r="AD4764" s="384">
        <v>7</v>
      </c>
      <c r="AE4764" s="384">
        <v>18</v>
      </c>
      <c r="AF4764" s="385">
        <v>0.41666666666666669</v>
      </c>
      <c r="AG4764" s="386">
        <v>14.8</v>
      </c>
      <c r="AH4764" s="387">
        <f t="shared" si="89"/>
        <v>15</v>
      </c>
    </row>
    <row r="4765" spans="11:34" ht="14.5" x14ac:dyDescent="0.35">
      <c r="K4765" s="4"/>
      <c r="AC4765" s="384">
        <v>2022</v>
      </c>
      <c r="AD4765" s="384">
        <v>7</v>
      </c>
      <c r="AE4765" s="384">
        <v>18</v>
      </c>
      <c r="AF4765" s="385">
        <v>0.45833333333333331</v>
      </c>
      <c r="AG4765" s="386">
        <v>12.9</v>
      </c>
      <c r="AH4765" s="387">
        <f t="shared" si="89"/>
        <v>13</v>
      </c>
    </row>
    <row r="4766" spans="11:34" ht="14.5" x14ac:dyDescent="0.35">
      <c r="K4766" s="4"/>
      <c r="AC4766" s="384">
        <v>2022</v>
      </c>
      <c r="AD4766" s="384">
        <v>7</v>
      </c>
      <c r="AE4766" s="384">
        <v>18</v>
      </c>
      <c r="AF4766" s="385">
        <v>0.5</v>
      </c>
      <c r="AG4766" s="386">
        <v>13.2</v>
      </c>
      <c r="AH4766" s="387">
        <f t="shared" si="89"/>
        <v>13</v>
      </c>
    </row>
    <row r="4767" spans="11:34" ht="14.5" x14ac:dyDescent="0.35">
      <c r="K4767" s="4"/>
      <c r="AC4767" s="384">
        <v>2022</v>
      </c>
      <c r="AD4767" s="384">
        <v>7</v>
      </c>
      <c r="AE4767" s="384">
        <v>18</v>
      </c>
      <c r="AF4767" s="385">
        <v>0.54166666666666663</v>
      </c>
      <c r="AG4767" s="386">
        <v>13.2</v>
      </c>
      <c r="AH4767" s="387">
        <f t="shared" si="89"/>
        <v>13</v>
      </c>
    </row>
    <row r="4768" spans="11:34" ht="14.5" x14ac:dyDescent="0.35">
      <c r="K4768" s="4"/>
      <c r="AC4768" s="384">
        <v>2022</v>
      </c>
      <c r="AD4768" s="384">
        <v>7</v>
      </c>
      <c r="AE4768" s="384">
        <v>18</v>
      </c>
      <c r="AF4768" s="385">
        <v>0.58333333333333337</v>
      </c>
      <c r="AG4768" s="386">
        <v>14.7</v>
      </c>
      <c r="AH4768" s="387">
        <f t="shared" si="89"/>
        <v>15</v>
      </c>
    </row>
    <row r="4769" spans="11:34" ht="14.5" x14ac:dyDescent="0.35">
      <c r="K4769" s="4"/>
      <c r="AC4769" s="384">
        <v>2022</v>
      </c>
      <c r="AD4769" s="384">
        <v>7</v>
      </c>
      <c r="AE4769" s="384">
        <v>18</v>
      </c>
      <c r="AF4769" s="385">
        <v>0.625</v>
      </c>
      <c r="AG4769" s="386">
        <v>15.4</v>
      </c>
      <c r="AH4769" s="387">
        <f t="shared" si="89"/>
        <v>15</v>
      </c>
    </row>
    <row r="4770" spans="11:34" ht="14.5" x14ac:dyDescent="0.35">
      <c r="K4770" s="4"/>
      <c r="AC4770" s="384">
        <v>2022</v>
      </c>
      <c r="AD4770" s="384">
        <v>7</v>
      </c>
      <c r="AE4770" s="384">
        <v>18</v>
      </c>
      <c r="AF4770" s="385">
        <v>0.66666666666666663</v>
      </c>
      <c r="AG4770" s="386">
        <v>16.7</v>
      </c>
      <c r="AH4770" s="387">
        <f t="shared" si="89"/>
        <v>17</v>
      </c>
    </row>
    <row r="4771" spans="11:34" ht="14.5" x14ac:dyDescent="0.35">
      <c r="K4771" s="4"/>
      <c r="AC4771" s="384">
        <v>2022</v>
      </c>
      <c r="AD4771" s="384">
        <v>7</v>
      </c>
      <c r="AE4771" s="384">
        <v>18</v>
      </c>
      <c r="AF4771" s="385">
        <v>0.70833333333333337</v>
      </c>
      <c r="AG4771" s="386">
        <v>17.8</v>
      </c>
      <c r="AH4771" s="387">
        <f t="shared" si="89"/>
        <v>18</v>
      </c>
    </row>
    <row r="4772" spans="11:34" ht="14.5" x14ac:dyDescent="0.35">
      <c r="K4772" s="4"/>
      <c r="AC4772" s="384">
        <v>2022</v>
      </c>
      <c r="AD4772" s="384">
        <v>7</v>
      </c>
      <c r="AE4772" s="384">
        <v>18</v>
      </c>
      <c r="AF4772" s="385">
        <v>0.75</v>
      </c>
      <c r="AG4772" s="386">
        <v>19.2</v>
      </c>
      <c r="AH4772" s="387">
        <f t="shared" si="89"/>
        <v>19</v>
      </c>
    </row>
    <row r="4773" spans="11:34" ht="14.5" x14ac:dyDescent="0.35">
      <c r="K4773" s="4"/>
      <c r="AC4773" s="384">
        <v>2022</v>
      </c>
      <c r="AD4773" s="384">
        <v>7</v>
      </c>
      <c r="AE4773" s="384">
        <v>18</v>
      </c>
      <c r="AF4773" s="385">
        <v>0.79166666666666663</v>
      </c>
      <c r="AG4773" s="386">
        <v>18.7</v>
      </c>
      <c r="AH4773" s="387">
        <f t="shared" si="89"/>
        <v>19</v>
      </c>
    </row>
    <row r="4774" spans="11:34" ht="14.5" x14ac:dyDescent="0.35">
      <c r="K4774" s="4"/>
      <c r="AC4774" s="384">
        <v>2022</v>
      </c>
      <c r="AD4774" s="384">
        <v>7</v>
      </c>
      <c r="AE4774" s="384">
        <v>18</v>
      </c>
      <c r="AF4774" s="385">
        <v>0.83333333333333337</v>
      </c>
      <c r="AG4774" s="386">
        <v>17.8</v>
      </c>
      <c r="AH4774" s="387">
        <f t="shared" si="89"/>
        <v>18</v>
      </c>
    </row>
    <row r="4775" spans="11:34" ht="14.5" x14ac:dyDescent="0.35">
      <c r="K4775" s="4"/>
      <c r="AC4775" s="384">
        <v>2022</v>
      </c>
      <c r="AD4775" s="384">
        <v>7</v>
      </c>
      <c r="AE4775" s="384">
        <v>18</v>
      </c>
      <c r="AF4775" s="385">
        <v>0.875</v>
      </c>
      <c r="AG4775" s="386">
        <v>16.100000000000001</v>
      </c>
      <c r="AH4775" s="387">
        <f t="shared" si="89"/>
        <v>16</v>
      </c>
    </row>
    <row r="4776" spans="11:34" ht="14.5" x14ac:dyDescent="0.35">
      <c r="K4776" s="4"/>
      <c r="AC4776" s="384">
        <v>2022</v>
      </c>
      <c r="AD4776" s="384">
        <v>7</v>
      </c>
      <c r="AE4776" s="384">
        <v>18</v>
      </c>
      <c r="AF4776" s="385">
        <v>0.91666666666666663</v>
      </c>
      <c r="AG4776" s="386">
        <v>14.9</v>
      </c>
      <c r="AH4776" s="387">
        <f t="shared" si="89"/>
        <v>15</v>
      </c>
    </row>
    <row r="4777" spans="11:34" ht="14.5" x14ac:dyDescent="0.35">
      <c r="K4777" s="4"/>
      <c r="AC4777" s="384">
        <v>2022</v>
      </c>
      <c r="AD4777" s="384">
        <v>7</v>
      </c>
      <c r="AE4777" s="384">
        <v>18</v>
      </c>
      <c r="AF4777" s="385">
        <v>0.95833333333333337</v>
      </c>
      <c r="AG4777" s="386">
        <v>13.9</v>
      </c>
      <c r="AH4777" s="387">
        <f t="shared" si="89"/>
        <v>14</v>
      </c>
    </row>
    <row r="4778" spans="11:34" ht="14.5" x14ac:dyDescent="0.35">
      <c r="K4778" s="4"/>
      <c r="AC4778" s="384">
        <v>2022</v>
      </c>
      <c r="AD4778" s="384">
        <v>7</v>
      </c>
      <c r="AE4778" s="384">
        <v>19</v>
      </c>
      <c r="AF4778" s="385">
        <v>0</v>
      </c>
      <c r="AG4778" s="386">
        <v>13.8</v>
      </c>
      <c r="AH4778" s="387">
        <f t="shared" si="89"/>
        <v>14</v>
      </c>
    </row>
    <row r="4779" spans="11:34" ht="14.5" x14ac:dyDescent="0.35">
      <c r="K4779" s="4"/>
      <c r="AC4779" s="384">
        <v>2022</v>
      </c>
      <c r="AD4779" s="384">
        <v>7</v>
      </c>
      <c r="AE4779" s="384">
        <v>19</v>
      </c>
      <c r="AF4779" s="385">
        <v>4.1666666666666664E-2</v>
      </c>
      <c r="AG4779" s="386">
        <v>16.3</v>
      </c>
      <c r="AH4779" s="387">
        <f t="shared" si="89"/>
        <v>16</v>
      </c>
    </row>
    <row r="4780" spans="11:34" ht="14.5" x14ac:dyDescent="0.35">
      <c r="K4780" s="4"/>
      <c r="AC4780" s="384">
        <v>2022</v>
      </c>
      <c r="AD4780" s="384">
        <v>7</v>
      </c>
      <c r="AE4780" s="384">
        <v>19</v>
      </c>
      <c r="AF4780" s="385">
        <v>8.3333333333333329E-2</v>
      </c>
      <c r="AG4780" s="386">
        <v>16.399999999999999</v>
      </c>
      <c r="AH4780" s="387">
        <f t="shared" si="89"/>
        <v>16</v>
      </c>
    </row>
    <row r="4781" spans="11:34" ht="14.5" x14ac:dyDescent="0.35">
      <c r="K4781" s="4"/>
      <c r="AC4781" s="384">
        <v>2022</v>
      </c>
      <c r="AD4781" s="384">
        <v>7</v>
      </c>
      <c r="AE4781" s="384">
        <v>19</v>
      </c>
      <c r="AF4781" s="385">
        <v>0.125</v>
      </c>
      <c r="AG4781" s="386">
        <v>17.600000000000001</v>
      </c>
      <c r="AH4781" s="387">
        <f t="shared" si="89"/>
        <v>18</v>
      </c>
    </row>
    <row r="4782" spans="11:34" ht="14.5" x14ac:dyDescent="0.35">
      <c r="K4782" s="4"/>
      <c r="AC4782" s="384">
        <v>2022</v>
      </c>
      <c r="AD4782" s="384">
        <v>7</v>
      </c>
      <c r="AE4782" s="384">
        <v>19</v>
      </c>
      <c r="AF4782" s="385">
        <v>0.16666666666666666</v>
      </c>
      <c r="AG4782" s="386">
        <v>15.6</v>
      </c>
      <c r="AH4782" s="387">
        <f t="shared" si="89"/>
        <v>16</v>
      </c>
    </row>
    <row r="4783" spans="11:34" ht="14.5" x14ac:dyDescent="0.35">
      <c r="K4783" s="4"/>
      <c r="AC4783" s="384">
        <v>2022</v>
      </c>
      <c r="AD4783" s="384">
        <v>7</v>
      </c>
      <c r="AE4783" s="384">
        <v>19</v>
      </c>
      <c r="AF4783" s="385">
        <v>0.20833333333333334</v>
      </c>
      <c r="AG4783" s="386">
        <v>15.3</v>
      </c>
      <c r="AH4783" s="387">
        <f t="shared" si="89"/>
        <v>15</v>
      </c>
    </row>
    <row r="4784" spans="11:34" ht="14.5" x14ac:dyDescent="0.35">
      <c r="K4784" s="4"/>
      <c r="AC4784" s="384">
        <v>2022</v>
      </c>
      <c r="AD4784" s="384">
        <v>7</v>
      </c>
      <c r="AE4784" s="384">
        <v>19</v>
      </c>
      <c r="AF4784" s="385">
        <v>0.25</v>
      </c>
      <c r="AG4784" s="386">
        <v>16.600000000000001</v>
      </c>
      <c r="AH4784" s="387">
        <f t="shared" si="89"/>
        <v>17</v>
      </c>
    </row>
    <row r="4785" spans="11:34" ht="14.5" x14ac:dyDescent="0.35">
      <c r="K4785" s="4"/>
      <c r="AC4785" s="384">
        <v>2022</v>
      </c>
      <c r="AD4785" s="384">
        <v>7</v>
      </c>
      <c r="AE4785" s="384">
        <v>19</v>
      </c>
      <c r="AF4785" s="385">
        <v>0.29166666666666669</v>
      </c>
      <c r="AG4785" s="386">
        <v>19</v>
      </c>
      <c r="AH4785" s="387">
        <f t="shared" si="89"/>
        <v>19</v>
      </c>
    </row>
    <row r="4786" spans="11:34" ht="14.5" x14ac:dyDescent="0.35">
      <c r="K4786" s="4"/>
      <c r="AC4786" s="384">
        <v>2022</v>
      </c>
      <c r="AD4786" s="384">
        <v>7</v>
      </c>
      <c r="AE4786" s="384">
        <v>19</v>
      </c>
      <c r="AF4786" s="385">
        <v>0.33333333333333331</v>
      </c>
      <c r="AG4786" s="386">
        <v>20.399999999999999</v>
      </c>
      <c r="AH4786" s="387">
        <f t="shared" si="89"/>
        <v>20</v>
      </c>
    </row>
    <row r="4787" spans="11:34" ht="14.5" x14ac:dyDescent="0.35">
      <c r="K4787" s="4"/>
      <c r="AC4787" s="384">
        <v>2022</v>
      </c>
      <c r="AD4787" s="384">
        <v>7</v>
      </c>
      <c r="AE4787" s="384">
        <v>19</v>
      </c>
      <c r="AF4787" s="385">
        <v>0.375</v>
      </c>
      <c r="AG4787" s="386">
        <v>22.1</v>
      </c>
      <c r="AH4787" s="387">
        <f t="shared" si="89"/>
        <v>22</v>
      </c>
    </row>
    <row r="4788" spans="11:34" ht="14.5" x14ac:dyDescent="0.35">
      <c r="K4788" s="4"/>
      <c r="AC4788" s="384">
        <v>2022</v>
      </c>
      <c r="AD4788" s="384">
        <v>7</v>
      </c>
      <c r="AE4788" s="384">
        <v>19</v>
      </c>
      <c r="AF4788" s="385">
        <v>0.41666666666666669</v>
      </c>
      <c r="AG4788" s="386">
        <v>24.1</v>
      </c>
      <c r="AH4788" s="387">
        <f t="shared" si="89"/>
        <v>24</v>
      </c>
    </row>
    <row r="4789" spans="11:34" ht="14.5" x14ac:dyDescent="0.35">
      <c r="K4789" s="4"/>
      <c r="AC4789" s="384">
        <v>2022</v>
      </c>
      <c r="AD4789" s="384">
        <v>7</v>
      </c>
      <c r="AE4789" s="384">
        <v>19</v>
      </c>
      <c r="AF4789" s="385">
        <v>0.45833333333333331</v>
      </c>
      <c r="AG4789" s="386">
        <v>25.3</v>
      </c>
      <c r="AH4789" s="387">
        <f t="shared" si="89"/>
        <v>25</v>
      </c>
    </row>
    <row r="4790" spans="11:34" ht="14.5" x14ac:dyDescent="0.35">
      <c r="K4790" s="4"/>
      <c r="AC4790" s="384">
        <v>2022</v>
      </c>
      <c r="AD4790" s="384">
        <v>7</v>
      </c>
      <c r="AE4790" s="384">
        <v>19</v>
      </c>
      <c r="AF4790" s="385">
        <v>0.5</v>
      </c>
      <c r="AG4790" s="386">
        <v>25.8</v>
      </c>
      <c r="AH4790" s="387">
        <f t="shared" si="89"/>
        <v>26</v>
      </c>
    </row>
    <row r="4791" spans="11:34" ht="14.5" x14ac:dyDescent="0.35">
      <c r="K4791" s="4"/>
      <c r="AC4791" s="384">
        <v>2022</v>
      </c>
      <c r="AD4791" s="384">
        <v>7</v>
      </c>
      <c r="AE4791" s="384">
        <v>19</v>
      </c>
      <c r="AF4791" s="385">
        <v>0.54166666666666663</v>
      </c>
      <c r="AG4791" s="386">
        <v>26.7</v>
      </c>
      <c r="AH4791" s="387">
        <f t="shared" si="89"/>
        <v>27</v>
      </c>
    </row>
    <row r="4792" spans="11:34" ht="14.5" x14ac:dyDescent="0.35">
      <c r="K4792" s="4"/>
      <c r="AC4792" s="384">
        <v>2022</v>
      </c>
      <c r="AD4792" s="384">
        <v>7</v>
      </c>
      <c r="AE4792" s="384">
        <v>19</v>
      </c>
      <c r="AF4792" s="385">
        <v>0.58333333333333337</v>
      </c>
      <c r="AG4792" s="386">
        <v>27.3</v>
      </c>
      <c r="AH4792" s="387">
        <f t="shared" si="89"/>
        <v>27</v>
      </c>
    </row>
    <row r="4793" spans="11:34" ht="14.5" x14ac:dyDescent="0.35">
      <c r="K4793" s="4"/>
      <c r="AC4793" s="384">
        <v>2022</v>
      </c>
      <c r="AD4793" s="384">
        <v>7</v>
      </c>
      <c r="AE4793" s="384">
        <v>19</v>
      </c>
      <c r="AF4793" s="385">
        <v>0.625</v>
      </c>
      <c r="AG4793" s="386">
        <v>27.9</v>
      </c>
      <c r="AH4793" s="387">
        <f t="shared" si="89"/>
        <v>28</v>
      </c>
    </row>
    <row r="4794" spans="11:34" ht="14.5" x14ac:dyDescent="0.35">
      <c r="K4794" s="4"/>
      <c r="AC4794" s="384">
        <v>2022</v>
      </c>
      <c r="AD4794" s="384">
        <v>7</v>
      </c>
      <c r="AE4794" s="384">
        <v>19</v>
      </c>
      <c r="AF4794" s="385">
        <v>0.66666666666666663</v>
      </c>
      <c r="AG4794" s="386">
        <v>27.8</v>
      </c>
      <c r="AH4794" s="387">
        <f t="shared" si="89"/>
        <v>28</v>
      </c>
    </row>
    <row r="4795" spans="11:34" ht="14.5" x14ac:dyDescent="0.35">
      <c r="K4795" s="4"/>
      <c r="AC4795" s="384">
        <v>2022</v>
      </c>
      <c r="AD4795" s="384">
        <v>7</v>
      </c>
      <c r="AE4795" s="384">
        <v>19</v>
      </c>
      <c r="AF4795" s="385">
        <v>0.70833333333333337</v>
      </c>
      <c r="AG4795" s="386">
        <v>27.7</v>
      </c>
      <c r="AH4795" s="387">
        <f t="shared" si="89"/>
        <v>28</v>
      </c>
    </row>
    <row r="4796" spans="11:34" ht="14.5" x14ac:dyDescent="0.35">
      <c r="K4796" s="4"/>
      <c r="AC4796" s="384">
        <v>2022</v>
      </c>
      <c r="AD4796" s="384">
        <v>7</v>
      </c>
      <c r="AE4796" s="384">
        <v>19</v>
      </c>
      <c r="AF4796" s="385">
        <v>0.75</v>
      </c>
      <c r="AG4796" s="386">
        <v>27.3</v>
      </c>
      <c r="AH4796" s="387">
        <f t="shared" si="89"/>
        <v>27</v>
      </c>
    </row>
    <row r="4797" spans="11:34" ht="14.5" x14ac:dyDescent="0.35">
      <c r="K4797" s="4"/>
      <c r="AC4797" s="384">
        <v>2022</v>
      </c>
      <c r="AD4797" s="384">
        <v>7</v>
      </c>
      <c r="AE4797" s="384">
        <v>19</v>
      </c>
      <c r="AF4797" s="385">
        <v>0.79166666666666663</v>
      </c>
      <c r="AG4797" s="386">
        <v>26.4</v>
      </c>
      <c r="AH4797" s="387">
        <f t="shared" si="89"/>
        <v>26</v>
      </c>
    </row>
    <row r="4798" spans="11:34" ht="14.5" x14ac:dyDescent="0.35">
      <c r="K4798" s="4"/>
      <c r="AC4798" s="384">
        <v>2022</v>
      </c>
      <c r="AD4798" s="384">
        <v>7</v>
      </c>
      <c r="AE4798" s="384">
        <v>19</v>
      </c>
      <c r="AF4798" s="385">
        <v>0.83333333333333337</v>
      </c>
      <c r="AG4798" s="386">
        <v>23.1</v>
      </c>
      <c r="AH4798" s="387">
        <f t="shared" si="89"/>
        <v>23</v>
      </c>
    </row>
    <row r="4799" spans="11:34" ht="14.5" x14ac:dyDescent="0.35">
      <c r="K4799" s="4"/>
      <c r="AC4799" s="384">
        <v>2022</v>
      </c>
      <c r="AD4799" s="384">
        <v>7</v>
      </c>
      <c r="AE4799" s="384">
        <v>19</v>
      </c>
      <c r="AF4799" s="385">
        <v>0.875</v>
      </c>
      <c r="AG4799" s="386">
        <v>18.7</v>
      </c>
      <c r="AH4799" s="387">
        <f t="shared" si="89"/>
        <v>19</v>
      </c>
    </row>
    <row r="4800" spans="11:34" ht="14.5" x14ac:dyDescent="0.35">
      <c r="K4800" s="4"/>
      <c r="AC4800" s="384">
        <v>2022</v>
      </c>
      <c r="AD4800" s="384">
        <v>7</v>
      </c>
      <c r="AE4800" s="384">
        <v>19</v>
      </c>
      <c r="AF4800" s="385">
        <v>0.91666666666666663</v>
      </c>
      <c r="AG4800" s="386">
        <v>15.7</v>
      </c>
      <c r="AH4800" s="387">
        <f t="shared" si="89"/>
        <v>16</v>
      </c>
    </row>
    <row r="4801" spans="11:34" ht="14.5" x14ac:dyDescent="0.35">
      <c r="K4801" s="4"/>
      <c r="AC4801" s="384">
        <v>2022</v>
      </c>
      <c r="AD4801" s="384">
        <v>7</v>
      </c>
      <c r="AE4801" s="384">
        <v>19</v>
      </c>
      <c r="AF4801" s="385">
        <v>0.95833333333333337</v>
      </c>
      <c r="AG4801" s="386">
        <v>13.7</v>
      </c>
      <c r="AH4801" s="387">
        <f t="shared" si="89"/>
        <v>14</v>
      </c>
    </row>
    <row r="4802" spans="11:34" ht="14.5" x14ac:dyDescent="0.35">
      <c r="K4802" s="4"/>
      <c r="AC4802" s="384">
        <v>2022</v>
      </c>
      <c r="AD4802" s="384">
        <v>7</v>
      </c>
      <c r="AE4802" s="384">
        <v>20</v>
      </c>
      <c r="AF4802" s="385">
        <v>0</v>
      </c>
      <c r="AG4802" s="386">
        <v>13.5</v>
      </c>
      <c r="AH4802" s="387">
        <f t="shared" si="89"/>
        <v>14</v>
      </c>
    </row>
    <row r="4803" spans="11:34" ht="14.5" x14ac:dyDescent="0.35">
      <c r="K4803" s="4"/>
      <c r="AC4803" s="384">
        <v>2022</v>
      </c>
      <c r="AD4803" s="384">
        <v>7</v>
      </c>
      <c r="AE4803" s="384">
        <v>20</v>
      </c>
      <c r="AF4803" s="385">
        <v>4.1666666666666664E-2</v>
      </c>
      <c r="AG4803" s="386">
        <v>12.9</v>
      </c>
      <c r="AH4803" s="387">
        <f t="shared" si="89"/>
        <v>13</v>
      </c>
    </row>
    <row r="4804" spans="11:34" ht="14.5" x14ac:dyDescent="0.35">
      <c r="K4804" s="4"/>
      <c r="AC4804" s="384">
        <v>2022</v>
      </c>
      <c r="AD4804" s="384">
        <v>7</v>
      </c>
      <c r="AE4804" s="384">
        <v>20</v>
      </c>
      <c r="AF4804" s="385">
        <v>8.3333333333333329E-2</v>
      </c>
      <c r="AG4804" s="386">
        <v>12.5</v>
      </c>
      <c r="AH4804" s="387">
        <f t="shared" si="89"/>
        <v>13</v>
      </c>
    </row>
    <row r="4805" spans="11:34" ht="14.5" x14ac:dyDescent="0.35">
      <c r="K4805" s="4"/>
      <c r="AC4805" s="384">
        <v>2022</v>
      </c>
      <c r="AD4805" s="384">
        <v>7</v>
      </c>
      <c r="AE4805" s="384">
        <v>20</v>
      </c>
      <c r="AF4805" s="385">
        <v>0.125</v>
      </c>
      <c r="AG4805" s="386">
        <v>10.5</v>
      </c>
      <c r="AH4805" s="387">
        <f t="shared" si="89"/>
        <v>11</v>
      </c>
    </row>
    <row r="4806" spans="11:34" ht="14.5" x14ac:dyDescent="0.35">
      <c r="K4806" s="4"/>
      <c r="AC4806" s="384">
        <v>2022</v>
      </c>
      <c r="AD4806" s="384">
        <v>7</v>
      </c>
      <c r="AE4806" s="384">
        <v>20</v>
      </c>
      <c r="AF4806" s="385">
        <v>0.16666666666666666</v>
      </c>
      <c r="AG4806" s="386">
        <v>10.1</v>
      </c>
      <c r="AH4806" s="387">
        <f t="shared" si="89"/>
        <v>10</v>
      </c>
    </row>
    <row r="4807" spans="11:34" ht="14.5" x14ac:dyDescent="0.35">
      <c r="K4807" s="4"/>
      <c r="AC4807" s="384">
        <v>2022</v>
      </c>
      <c r="AD4807" s="384">
        <v>7</v>
      </c>
      <c r="AE4807" s="384">
        <v>20</v>
      </c>
      <c r="AF4807" s="385">
        <v>0.20833333333333334</v>
      </c>
      <c r="AG4807" s="386">
        <v>9.6999999999999993</v>
      </c>
      <c r="AH4807" s="387">
        <f t="shared" si="89"/>
        <v>10</v>
      </c>
    </row>
    <row r="4808" spans="11:34" ht="14.5" x14ac:dyDescent="0.35">
      <c r="K4808" s="4"/>
      <c r="AC4808" s="384">
        <v>2022</v>
      </c>
      <c r="AD4808" s="384">
        <v>7</v>
      </c>
      <c r="AE4808" s="384">
        <v>20</v>
      </c>
      <c r="AF4808" s="385">
        <v>0.25</v>
      </c>
      <c r="AG4808" s="386">
        <v>11.9</v>
      </c>
      <c r="AH4808" s="387">
        <f t="shared" si="89"/>
        <v>12</v>
      </c>
    </row>
    <row r="4809" spans="11:34" ht="14.5" x14ac:dyDescent="0.35">
      <c r="K4809" s="4"/>
      <c r="AC4809" s="384">
        <v>2022</v>
      </c>
      <c r="AD4809" s="384">
        <v>7</v>
      </c>
      <c r="AE4809" s="384">
        <v>20</v>
      </c>
      <c r="AF4809" s="385">
        <v>0.29166666666666669</v>
      </c>
      <c r="AG4809" s="386">
        <v>14.9</v>
      </c>
      <c r="AH4809" s="387">
        <f t="shared" si="89"/>
        <v>15</v>
      </c>
    </row>
    <row r="4810" spans="11:34" ht="14.5" x14ac:dyDescent="0.35">
      <c r="K4810" s="4"/>
      <c r="AC4810" s="384">
        <v>2022</v>
      </c>
      <c r="AD4810" s="384">
        <v>7</v>
      </c>
      <c r="AE4810" s="384">
        <v>20</v>
      </c>
      <c r="AF4810" s="385">
        <v>0.33333333333333331</v>
      </c>
      <c r="AG4810" s="386">
        <v>17.3</v>
      </c>
      <c r="AH4810" s="387">
        <f t="shared" si="89"/>
        <v>17</v>
      </c>
    </row>
    <row r="4811" spans="11:34" ht="14.5" x14ac:dyDescent="0.35">
      <c r="K4811" s="4"/>
      <c r="AC4811" s="384">
        <v>2022</v>
      </c>
      <c r="AD4811" s="384">
        <v>7</v>
      </c>
      <c r="AE4811" s="384">
        <v>20</v>
      </c>
      <c r="AF4811" s="385">
        <v>0.375</v>
      </c>
      <c r="AG4811" s="386">
        <v>18.100000000000001</v>
      </c>
      <c r="AH4811" s="387">
        <f t="shared" ref="AH4811:AH4874" si="90">ROUND(AG4811,0)</f>
        <v>18</v>
      </c>
    </row>
    <row r="4812" spans="11:34" ht="14.5" x14ac:dyDescent="0.35">
      <c r="K4812" s="4"/>
      <c r="AC4812" s="384">
        <v>2022</v>
      </c>
      <c r="AD4812" s="384">
        <v>7</v>
      </c>
      <c r="AE4812" s="384">
        <v>20</v>
      </c>
      <c r="AF4812" s="385">
        <v>0.41666666666666669</v>
      </c>
      <c r="AG4812" s="386">
        <v>19.100000000000001</v>
      </c>
      <c r="AH4812" s="387">
        <f t="shared" si="90"/>
        <v>19</v>
      </c>
    </row>
    <row r="4813" spans="11:34" ht="14.5" x14ac:dyDescent="0.35">
      <c r="K4813" s="4"/>
      <c r="AC4813" s="384">
        <v>2022</v>
      </c>
      <c r="AD4813" s="384">
        <v>7</v>
      </c>
      <c r="AE4813" s="384">
        <v>20</v>
      </c>
      <c r="AF4813" s="385">
        <v>0.45833333333333331</v>
      </c>
      <c r="AG4813" s="386">
        <v>20.6</v>
      </c>
      <c r="AH4813" s="387">
        <f t="shared" si="90"/>
        <v>21</v>
      </c>
    </row>
    <row r="4814" spans="11:34" ht="14.5" x14ac:dyDescent="0.35">
      <c r="K4814" s="4"/>
      <c r="AC4814" s="384">
        <v>2022</v>
      </c>
      <c r="AD4814" s="384">
        <v>7</v>
      </c>
      <c r="AE4814" s="384">
        <v>20</v>
      </c>
      <c r="AF4814" s="385">
        <v>0.5</v>
      </c>
      <c r="AG4814" s="386">
        <v>21.5</v>
      </c>
      <c r="AH4814" s="387">
        <f t="shared" si="90"/>
        <v>22</v>
      </c>
    </row>
    <row r="4815" spans="11:34" ht="14.5" x14ac:dyDescent="0.35">
      <c r="K4815" s="4"/>
      <c r="AC4815" s="384">
        <v>2022</v>
      </c>
      <c r="AD4815" s="384">
        <v>7</v>
      </c>
      <c r="AE4815" s="384">
        <v>20</v>
      </c>
      <c r="AF4815" s="385">
        <v>0.54166666666666663</v>
      </c>
      <c r="AG4815" s="386">
        <v>23</v>
      </c>
      <c r="AH4815" s="387">
        <f t="shared" si="90"/>
        <v>23</v>
      </c>
    </row>
    <row r="4816" spans="11:34" ht="14.5" x14ac:dyDescent="0.35">
      <c r="K4816" s="4"/>
      <c r="AC4816" s="384">
        <v>2022</v>
      </c>
      <c r="AD4816" s="384">
        <v>7</v>
      </c>
      <c r="AE4816" s="384">
        <v>20</v>
      </c>
      <c r="AF4816" s="385">
        <v>0.58333333333333337</v>
      </c>
      <c r="AG4816" s="386">
        <v>24.1</v>
      </c>
      <c r="AH4816" s="387">
        <f t="shared" si="90"/>
        <v>24</v>
      </c>
    </row>
    <row r="4817" spans="11:34" ht="14.5" x14ac:dyDescent="0.35">
      <c r="K4817" s="4"/>
      <c r="AC4817" s="384">
        <v>2022</v>
      </c>
      <c r="AD4817" s="384">
        <v>7</v>
      </c>
      <c r="AE4817" s="384">
        <v>20</v>
      </c>
      <c r="AF4817" s="385">
        <v>0.625</v>
      </c>
      <c r="AG4817" s="386">
        <v>24.3</v>
      </c>
      <c r="AH4817" s="387">
        <f t="shared" si="90"/>
        <v>24</v>
      </c>
    </row>
    <row r="4818" spans="11:34" ht="14.5" x14ac:dyDescent="0.35">
      <c r="K4818" s="4"/>
      <c r="AC4818" s="384">
        <v>2022</v>
      </c>
      <c r="AD4818" s="384">
        <v>7</v>
      </c>
      <c r="AE4818" s="384">
        <v>20</v>
      </c>
      <c r="AF4818" s="385">
        <v>0.66666666666666663</v>
      </c>
      <c r="AG4818" s="386">
        <v>24.3</v>
      </c>
      <c r="AH4818" s="387">
        <f t="shared" si="90"/>
        <v>24</v>
      </c>
    </row>
    <row r="4819" spans="11:34" ht="14.5" x14ac:dyDescent="0.35">
      <c r="K4819" s="4"/>
      <c r="AC4819" s="384">
        <v>2022</v>
      </c>
      <c r="AD4819" s="384">
        <v>7</v>
      </c>
      <c r="AE4819" s="384">
        <v>20</v>
      </c>
      <c r="AF4819" s="385">
        <v>0.70833333333333337</v>
      </c>
      <c r="AG4819" s="386">
        <v>24.5</v>
      </c>
      <c r="AH4819" s="387">
        <f t="shared" si="90"/>
        <v>25</v>
      </c>
    </row>
    <row r="4820" spans="11:34" ht="14.5" x14ac:dyDescent="0.35">
      <c r="K4820" s="4"/>
      <c r="AC4820" s="384">
        <v>2022</v>
      </c>
      <c r="AD4820" s="384">
        <v>7</v>
      </c>
      <c r="AE4820" s="384">
        <v>20</v>
      </c>
      <c r="AF4820" s="385">
        <v>0.75</v>
      </c>
      <c r="AG4820" s="386">
        <v>23.8</v>
      </c>
      <c r="AH4820" s="387">
        <f t="shared" si="90"/>
        <v>24</v>
      </c>
    </row>
    <row r="4821" spans="11:34" ht="14.5" x14ac:dyDescent="0.35">
      <c r="K4821" s="4"/>
      <c r="AC4821" s="384">
        <v>2022</v>
      </c>
      <c r="AD4821" s="384">
        <v>7</v>
      </c>
      <c r="AE4821" s="384">
        <v>20</v>
      </c>
      <c r="AF4821" s="385">
        <v>0.79166666666666663</v>
      </c>
      <c r="AG4821" s="386">
        <v>23.2</v>
      </c>
      <c r="AH4821" s="387">
        <f t="shared" si="90"/>
        <v>23</v>
      </c>
    </row>
    <row r="4822" spans="11:34" ht="14.5" x14ac:dyDescent="0.35">
      <c r="K4822" s="4"/>
      <c r="AC4822" s="384">
        <v>2022</v>
      </c>
      <c r="AD4822" s="384">
        <v>7</v>
      </c>
      <c r="AE4822" s="384">
        <v>20</v>
      </c>
      <c r="AF4822" s="385">
        <v>0.83333333333333337</v>
      </c>
      <c r="AG4822" s="386">
        <v>21.4</v>
      </c>
      <c r="AH4822" s="387">
        <f t="shared" si="90"/>
        <v>21</v>
      </c>
    </row>
    <row r="4823" spans="11:34" ht="14.5" x14ac:dyDescent="0.35">
      <c r="K4823" s="4"/>
      <c r="AC4823" s="384">
        <v>2022</v>
      </c>
      <c r="AD4823" s="384">
        <v>7</v>
      </c>
      <c r="AE4823" s="384">
        <v>20</v>
      </c>
      <c r="AF4823" s="385">
        <v>0.875</v>
      </c>
      <c r="AG4823" s="386">
        <v>18.899999999999999</v>
      </c>
      <c r="AH4823" s="387">
        <f t="shared" si="90"/>
        <v>19</v>
      </c>
    </row>
    <row r="4824" spans="11:34" ht="14.5" x14ac:dyDescent="0.35">
      <c r="K4824" s="4"/>
      <c r="AC4824" s="384">
        <v>2022</v>
      </c>
      <c r="AD4824" s="384">
        <v>7</v>
      </c>
      <c r="AE4824" s="384">
        <v>20</v>
      </c>
      <c r="AF4824" s="385">
        <v>0.91666666666666663</v>
      </c>
      <c r="AG4824" s="386">
        <v>17.8</v>
      </c>
      <c r="AH4824" s="387">
        <f t="shared" si="90"/>
        <v>18</v>
      </c>
    </row>
    <row r="4825" spans="11:34" ht="14.5" x14ac:dyDescent="0.35">
      <c r="K4825" s="4"/>
      <c r="AC4825" s="384">
        <v>2022</v>
      </c>
      <c r="AD4825" s="384">
        <v>7</v>
      </c>
      <c r="AE4825" s="384">
        <v>20</v>
      </c>
      <c r="AF4825" s="385">
        <v>0.95833333333333337</v>
      </c>
      <c r="AG4825" s="386">
        <v>16.100000000000001</v>
      </c>
      <c r="AH4825" s="387">
        <f t="shared" si="90"/>
        <v>16</v>
      </c>
    </row>
    <row r="4826" spans="11:34" ht="14.5" x14ac:dyDescent="0.35">
      <c r="K4826" s="4"/>
      <c r="AC4826" s="384">
        <v>2022</v>
      </c>
      <c r="AD4826" s="384">
        <v>7</v>
      </c>
      <c r="AE4826" s="384">
        <v>21</v>
      </c>
      <c r="AF4826" s="385">
        <v>0</v>
      </c>
      <c r="AG4826" s="386">
        <v>16</v>
      </c>
      <c r="AH4826" s="387">
        <f t="shared" si="90"/>
        <v>16</v>
      </c>
    </row>
    <row r="4827" spans="11:34" ht="14.5" x14ac:dyDescent="0.35">
      <c r="K4827" s="4"/>
      <c r="AC4827" s="384">
        <v>2022</v>
      </c>
      <c r="AD4827" s="384">
        <v>7</v>
      </c>
      <c r="AE4827" s="384">
        <v>21</v>
      </c>
      <c r="AF4827" s="385">
        <v>4.1666666666666664E-2</v>
      </c>
      <c r="AG4827" s="386">
        <v>13.4</v>
      </c>
      <c r="AH4827" s="387">
        <f t="shared" si="90"/>
        <v>13</v>
      </c>
    </row>
    <row r="4828" spans="11:34" ht="14.5" x14ac:dyDescent="0.35">
      <c r="K4828" s="4"/>
      <c r="AC4828" s="384">
        <v>2022</v>
      </c>
      <c r="AD4828" s="384">
        <v>7</v>
      </c>
      <c r="AE4828" s="384">
        <v>21</v>
      </c>
      <c r="AF4828" s="385">
        <v>8.3333333333333329E-2</v>
      </c>
      <c r="AG4828" s="386">
        <v>12.8</v>
      </c>
      <c r="AH4828" s="387">
        <f t="shared" si="90"/>
        <v>13</v>
      </c>
    </row>
    <row r="4829" spans="11:34" ht="14.5" x14ac:dyDescent="0.35">
      <c r="K4829" s="4"/>
      <c r="AC4829" s="384">
        <v>2022</v>
      </c>
      <c r="AD4829" s="384">
        <v>7</v>
      </c>
      <c r="AE4829" s="384">
        <v>21</v>
      </c>
      <c r="AF4829" s="385">
        <v>0.125</v>
      </c>
      <c r="AG4829" s="386">
        <v>11.9</v>
      </c>
      <c r="AH4829" s="387">
        <f t="shared" si="90"/>
        <v>12</v>
      </c>
    </row>
    <row r="4830" spans="11:34" ht="14.5" x14ac:dyDescent="0.35">
      <c r="K4830" s="4"/>
      <c r="AC4830" s="384">
        <v>2022</v>
      </c>
      <c r="AD4830" s="384">
        <v>7</v>
      </c>
      <c r="AE4830" s="384">
        <v>21</v>
      </c>
      <c r="AF4830" s="385">
        <v>0.16666666666666666</v>
      </c>
      <c r="AG4830" s="386">
        <v>11.7</v>
      </c>
      <c r="AH4830" s="387">
        <f t="shared" si="90"/>
        <v>12</v>
      </c>
    </row>
    <row r="4831" spans="11:34" ht="14.5" x14ac:dyDescent="0.35">
      <c r="K4831" s="4"/>
      <c r="AC4831" s="384">
        <v>2022</v>
      </c>
      <c r="AD4831" s="384">
        <v>7</v>
      </c>
      <c r="AE4831" s="384">
        <v>21</v>
      </c>
      <c r="AF4831" s="385">
        <v>0.20833333333333334</v>
      </c>
      <c r="AG4831" s="386">
        <v>12.2</v>
      </c>
      <c r="AH4831" s="387">
        <f t="shared" si="90"/>
        <v>12</v>
      </c>
    </row>
    <row r="4832" spans="11:34" ht="14.5" x14ac:dyDescent="0.35">
      <c r="K4832" s="4"/>
      <c r="AC4832" s="384">
        <v>2022</v>
      </c>
      <c r="AD4832" s="384">
        <v>7</v>
      </c>
      <c r="AE4832" s="384">
        <v>21</v>
      </c>
      <c r="AF4832" s="385">
        <v>0.25</v>
      </c>
      <c r="AG4832" s="386">
        <v>13.7</v>
      </c>
      <c r="AH4832" s="387">
        <f t="shared" si="90"/>
        <v>14</v>
      </c>
    </row>
    <row r="4833" spans="11:34" ht="14.5" x14ac:dyDescent="0.35">
      <c r="K4833" s="4"/>
      <c r="AC4833" s="384">
        <v>2022</v>
      </c>
      <c r="AD4833" s="384">
        <v>7</v>
      </c>
      <c r="AE4833" s="384">
        <v>21</v>
      </c>
      <c r="AF4833" s="385">
        <v>0.29166666666666669</v>
      </c>
      <c r="AG4833" s="386">
        <v>17.3</v>
      </c>
      <c r="AH4833" s="387">
        <f t="shared" si="90"/>
        <v>17</v>
      </c>
    </row>
    <row r="4834" spans="11:34" ht="14.5" x14ac:dyDescent="0.35">
      <c r="K4834" s="4"/>
      <c r="AC4834" s="384">
        <v>2022</v>
      </c>
      <c r="AD4834" s="384">
        <v>7</v>
      </c>
      <c r="AE4834" s="384">
        <v>21</v>
      </c>
      <c r="AF4834" s="385">
        <v>0.33333333333333331</v>
      </c>
      <c r="AG4834" s="386">
        <v>20.100000000000001</v>
      </c>
      <c r="AH4834" s="387">
        <f t="shared" si="90"/>
        <v>20</v>
      </c>
    </row>
    <row r="4835" spans="11:34" ht="14.5" x14ac:dyDescent="0.35">
      <c r="K4835" s="4"/>
      <c r="AC4835" s="384">
        <v>2022</v>
      </c>
      <c r="AD4835" s="384">
        <v>7</v>
      </c>
      <c r="AE4835" s="384">
        <v>21</v>
      </c>
      <c r="AF4835" s="385">
        <v>0.375</v>
      </c>
      <c r="AG4835" s="386">
        <v>21.8</v>
      </c>
      <c r="AH4835" s="387">
        <f t="shared" si="90"/>
        <v>22</v>
      </c>
    </row>
    <row r="4836" spans="11:34" ht="14.5" x14ac:dyDescent="0.35">
      <c r="K4836" s="4"/>
      <c r="AC4836" s="384">
        <v>2022</v>
      </c>
      <c r="AD4836" s="384">
        <v>7</v>
      </c>
      <c r="AE4836" s="384">
        <v>21</v>
      </c>
      <c r="AF4836" s="385">
        <v>0.41666666666666669</v>
      </c>
      <c r="AG4836" s="386">
        <v>23.6</v>
      </c>
      <c r="AH4836" s="387">
        <f t="shared" si="90"/>
        <v>24</v>
      </c>
    </row>
    <row r="4837" spans="11:34" ht="14.5" x14ac:dyDescent="0.35">
      <c r="K4837" s="4"/>
      <c r="AC4837" s="384">
        <v>2022</v>
      </c>
      <c r="AD4837" s="384">
        <v>7</v>
      </c>
      <c r="AE4837" s="384">
        <v>21</v>
      </c>
      <c r="AF4837" s="385">
        <v>0.45833333333333331</v>
      </c>
      <c r="AG4837" s="386">
        <v>25</v>
      </c>
      <c r="AH4837" s="387">
        <f t="shared" si="90"/>
        <v>25</v>
      </c>
    </row>
    <row r="4838" spans="11:34" ht="14.5" x14ac:dyDescent="0.35">
      <c r="K4838" s="4"/>
      <c r="AC4838" s="384">
        <v>2022</v>
      </c>
      <c r="AD4838" s="384">
        <v>7</v>
      </c>
      <c r="AE4838" s="384">
        <v>21</v>
      </c>
      <c r="AF4838" s="385">
        <v>0.5</v>
      </c>
      <c r="AG4838" s="386">
        <v>25.7</v>
      </c>
      <c r="AH4838" s="387">
        <f t="shared" si="90"/>
        <v>26</v>
      </c>
    </row>
    <row r="4839" spans="11:34" ht="14.5" x14ac:dyDescent="0.35">
      <c r="K4839" s="4"/>
      <c r="AC4839" s="384">
        <v>2022</v>
      </c>
      <c r="AD4839" s="384">
        <v>7</v>
      </c>
      <c r="AE4839" s="384">
        <v>21</v>
      </c>
      <c r="AF4839" s="385">
        <v>0.54166666666666663</v>
      </c>
      <c r="AG4839" s="386">
        <v>26.2</v>
      </c>
      <c r="AH4839" s="387">
        <f t="shared" si="90"/>
        <v>26</v>
      </c>
    </row>
    <row r="4840" spans="11:34" ht="14.5" x14ac:dyDescent="0.35">
      <c r="K4840" s="4"/>
      <c r="AC4840" s="384">
        <v>2022</v>
      </c>
      <c r="AD4840" s="384">
        <v>7</v>
      </c>
      <c r="AE4840" s="384">
        <v>21</v>
      </c>
      <c r="AF4840" s="385">
        <v>0.58333333333333337</v>
      </c>
      <c r="AG4840" s="386">
        <v>26.7</v>
      </c>
      <c r="AH4840" s="387">
        <f t="shared" si="90"/>
        <v>27</v>
      </c>
    </row>
    <row r="4841" spans="11:34" ht="14.5" x14ac:dyDescent="0.35">
      <c r="K4841" s="4"/>
      <c r="AC4841" s="384">
        <v>2022</v>
      </c>
      <c r="AD4841" s="384">
        <v>7</v>
      </c>
      <c r="AE4841" s="384">
        <v>21</v>
      </c>
      <c r="AF4841" s="385">
        <v>0.625</v>
      </c>
      <c r="AG4841" s="386">
        <v>27</v>
      </c>
      <c r="AH4841" s="387">
        <f t="shared" si="90"/>
        <v>27</v>
      </c>
    </row>
    <row r="4842" spans="11:34" ht="14.5" x14ac:dyDescent="0.35">
      <c r="K4842" s="4"/>
      <c r="AC4842" s="384">
        <v>2022</v>
      </c>
      <c r="AD4842" s="384">
        <v>7</v>
      </c>
      <c r="AE4842" s="384">
        <v>21</v>
      </c>
      <c r="AF4842" s="385">
        <v>0.66666666666666663</v>
      </c>
      <c r="AG4842" s="386">
        <v>27</v>
      </c>
      <c r="AH4842" s="387">
        <f t="shared" si="90"/>
        <v>27</v>
      </c>
    </row>
    <row r="4843" spans="11:34" ht="14.5" x14ac:dyDescent="0.35">
      <c r="K4843" s="4"/>
      <c r="AC4843" s="384">
        <v>2022</v>
      </c>
      <c r="AD4843" s="384">
        <v>7</v>
      </c>
      <c r="AE4843" s="384">
        <v>21</v>
      </c>
      <c r="AF4843" s="385">
        <v>0.70833333333333337</v>
      </c>
      <c r="AG4843" s="386">
        <v>27</v>
      </c>
      <c r="AH4843" s="387">
        <f t="shared" si="90"/>
        <v>27</v>
      </c>
    </row>
    <row r="4844" spans="11:34" ht="14.5" x14ac:dyDescent="0.35">
      <c r="K4844" s="4"/>
      <c r="AC4844" s="384">
        <v>2022</v>
      </c>
      <c r="AD4844" s="384">
        <v>7</v>
      </c>
      <c r="AE4844" s="384">
        <v>21</v>
      </c>
      <c r="AF4844" s="385">
        <v>0.75</v>
      </c>
      <c r="AG4844" s="386">
        <v>26.3</v>
      </c>
      <c r="AH4844" s="387">
        <f t="shared" si="90"/>
        <v>26</v>
      </c>
    </row>
    <row r="4845" spans="11:34" ht="14.5" x14ac:dyDescent="0.35">
      <c r="K4845" s="4"/>
      <c r="AC4845" s="384">
        <v>2022</v>
      </c>
      <c r="AD4845" s="384">
        <v>7</v>
      </c>
      <c r="AE4845" s="384">
        <v>21</v>
      </c>
      <c r="AF4845" s="385">
        <v>0.79166666666666663</v>
      </c>
      <c r="AG4845" s="386">
        <v>25.2</v>
      </c>
      <c r="AH4845" s="387">
        <f t="shared" si="90"/>
        <v>25</v>
      </c>
    </row>
    <row r="4846" spans="11:34" ht="14.5" x14ac:dyDescent="0.35">
      <c r="K4846" s="4"/>
      <c r="AC4846" s="384">
        <v>2022</v>
      </c>
      <c r="AD4846" s="384">
        <v>7</v>
      </c>
      <c r="AE4846" s="384">
        <v>21</v>
      </c>
      <c r="AF4846" s="385">
        <v>0.83333333333333337</v>
      </c>
      <c r="AG4846" s="386">
        <v>23</v>
      </c>
      <c r="AH4846" s="387">
        <f t="shared" si="90"/>
        <v>23</v>
      </c>
    </row>
    <row r="4847" spans="11:34" ht="14.5" x14ac:dyDescent="0.35">
      <c r="K4847" s="4"/>
      <c r="AC4847" s="384">
        <v>2022</v>
      </c>
      <c r="AD4847" s="384">
        <v>7</v>
      </c>
      <c r="AE4847" s="384">
        <v>21</v>
      </c>
      <c r="AF4847" s="385">
        <v>0.875</v>
      </c>
      <c r="AG4847" s="386">
        <v>20.5</v>
      </c>
      <c r="AH4847" s="387">
        <f t="shared" si="90"/>
        <v>21</v>
      </c>
    </row>
    <row r="4848" spans="11:34" ht="14.5" x14ac:dyDescent="0.35">
      <c r="K4848" s="4"/>
      <c r="AC4848" s="384">
        <v>2022</v>
      </c>
      <c r="AD4848" s="384">
        <v>7</v>
      </c>
      <c r="AE4848" s="384">
        <v>21</v>
      </c>
      <c r="AF4848" s="385">
        <v>0.91666666666666663</v>
      </c>
      <c r="AG4848" s="386">
        <v>16.399999999999999</v>
      </c>
      <c r="AH4848" s="387">
        <f t="shared" si="90"/>
        <v>16</v>
      </c>
    </row>
    <row r="4849" spans="11:34" ht="14.5" x14ac:dyDescent="0.35">
      <c r="K4849" s="4"/>
      <c r="AC4849" s="384">
        <v>2022</v>
      </c>
      <c r="AD4849" s="384">
        <v>7</v>
      </c>
      <c r="AE4849" s="384">
        <v>21</v>
      </c>
      <c r="AF4849" s="385">
        <v>0.95833333333333337</v>
      </c>
      <c r="AG4849" s="386">
        <v>16.7</v>
      </c>
      <c r="AH4849" s="387">
        <f t="shared" si="90"/>
        <v>17</v>
      </c>
    </row>
    <row r="4850" spans="11:34" ht="14.5" x14ac:dyDescent="0.35">
      <c r="K4850" s="4"/>
      <c r="AC4850" s="384">
        <v>2022</v>
      </c>
      <c r="AD4850" s="384">
        <v>7</v>
      </c>
      <c r="AE4850" s="384">
        <v>22</v>
      </c>
      <c r="AF4850" s="385">
        <v>0</v>
      </c>
      <c r="AG4850" s="386">
        <v>15.7</v>
      </c>
      <c r="AH4850" s="387">
        <f t="shared" si="90"/>
        <v>16</v>
      </c>
    </row>
    <row r="4851" spans="11:34" ht="14.5" x14ac:dyDescent="0.35">
      <c r="K4851" s="4"/>
      <c r="AC4851" s="384">
        <v>2022</v>
      </c>
      <c r="AD4851" s="384">
        <v>7</v>
      </c>
      <c r="AE4851" s="384">
        <v>22</v>
      </c>
      <c r="AF4851" s="385">
        <v>4.1666666666666664E-2</v>
      </c>
      <c r="AG4851" s="386">
        <v>13.9</v>
      </c>
      <c r="AH4851" s="387">
        <f t="shared" si="90"/>
        <v>14</v>
      </c>
    </row>
    <row r="4852" spans="11:34" ht="14.5" x14ac:dyDescent="0.35">
      <c r="K4852" s="4"/>
      <c r="AC4852" s="384">
        <v>2022</v>
      </c>
      <c r="AD4852" s="384">
        <v>7</v>
      </c>
      <c r="AE4852" s="384">
        <v>22</v>
      </c>
      <c r="AF4852" s="385">
        <v>8.3333333333333329E-2</v>
      </c>
      <c r="AG4852" s="386">
        <v>14.1</v>
      </c>
      <c r="AH4852" s="387">
        <f t="shared" si="90"/>
        <v>14</v>
      </c>
    </row>
    <row r="4853" spans="11:34" ht="14.5" x14ac:dyDescent="0.35">
      <c r="K4853" s="4"/>
      <c r="AC4853" s="384">
        <v>2022</v>
      </c>
      <c r="AD4853" s="384">
        <v>7</v>
      </c>
      <c r="AE4853" s="384">
        <v>22</v>
      </c>
      <c r="AF4853" s="385">
        <v>0.125</v>
      </c>
      <c r="AG4853" s="386">
        <v>14.6</v>
      </c>
      <c r="AH4853" s="387">
        <f t="shared" si="90"/>
        <v>15</v>
      </c>
    </row>
    <row r="4854" spans="11:34" ht="14.5" x14ac:dyDescent="0.35">
      <c r="K4854" s="4"/>
      <c r="AC4854" s="384">
        <v>2022</v>
      </c>
      <c r="AD4854" s="384">
        <v>7</v>
      </c>
      <c r="AE4854" s="384">
        <v>22</v>
      </c>
      <c r="AF4854" s="385">
        <v>0.16666666666666666</v>
      </c>
      <c r="AG4854" s="386">
        <v>13.2</v>
      </c>
      <c r="AH4854" s="387">
        <f t="shared" si="90"/>
        <v>13</v>
      </c>
    </row>
    <row r="4855" spans="11:34" ht="14.5" x14ac:dyDescent="0.35">
      <c r="K4855" s="4"/>
      <c r="AC4855" s="384">
        <v>2022</v>
      </c>
      <c r="AD4855" s="384">
        <v>7</v>
      </c>
      <c r="AE4855" s="384">
        <v>22</v>
      </c>
      <c r="AF4855" s="385">
        <v>0.20833333333333334</v>
      </c>
      <c r="AG4855" s="386">
        <v>11.9</v>
      </c>
      <c r="AH4855" s="387">
        <f t="shared" si="90"/>
        <v>12</v>
      </c>
    </row>
    <row r="4856" spans="11:34" ht="14.5" x14ac:dyDescent="0.35">
      <c r="K4856" s="4"/>
      <c r="AC4856" s="384">
        <v>2022</v>
      </c>
      <c r="AD4856" s="384">
        <v>7</v>
      </c>
      <c r="AE4856" s="384">
        <v>22</v>
      </c>
      <c r="AF4856" s="385">
        <v>0.25</v>
      </c>
      <c r="AG4856" s="386">
        <v>13</v>
      </c>
      <c r="AH4856" s="387">
        <f t="shared" si="90"/>
        <v>13</v>
      </c>
    </row>
    <row r="4857" spans="11:34" ht="14.5" x14ac:dyDescent="0.35">
      <c r="K4857" s="4"/>
      <c r="AC4857" s="384">
        <v>2022</v>
      </c>
      <c r="AD4857" s="384">
        <v>7</v>
      </c>
      <c r="AE4857" s="384">
        <v>22</v>
      </c>
      <c r="AF4857" s="385">
        <v>0.29166666666666669</v>
      </c>
      <c r="AG4857" s="386">
        <v>15.5</v>
      </c>
      <c r="AH4857" s="387">
        <f t="shared" si="90"/>
        <v>16</v>
      </c>
    </row>
    <row r="4858" spans="11:34" ht="14.5" x14ac:dyDescent="0.35">
      <c r="K4858" s="4"/>
      <c r="AC4858" s="384">
        <v>2022</v>
      </c>
      <c r="AD4858" s="384">
        <v>7</v>
      </c>
      <c r="AE4858" s="384">
        <v>22</v>
      </c>
      <c r="AF4858" s="385">
        <v>0.33333333333333331</v>
      </c>
      <c r="AG4858" s="386">
        <v>16.600000000000001</v>
      </c>
      <c r="AH4858" s="387">
        <f t="shared" si="90"/>
        <v>17</v>
      </c>
    </row>
    <row r="4859" spans="11:34" ht="14.5" x14ac:dyDescent="0.35">
      <c r="K4859" s="4"/>
      <c r="AC4859" s="384">
        <v>2022</v>
      </c>
      <c r="AD4859" s="384">
        <v>7</v>
      </c>
      <c r="AE4859" s="384">
        <v>22</v>
      </c>
      <c r="AF4859" s="385">
        <v>0.375</v>
      </c>
      <c r="AG4859" s="386">
        <v>18.600000000000001</v>
      </c>
      <c r="AH4859" s="387">
        <f t="shared" si="90"/>
        <v>19</v>
      </c>
    </row>
    <row r="4860" spans="11:34" ht="14.5" x14ac:dyDescent="0.35">
      <c r="K4860" s="4"/>
      <c r="AC4860" s="384">
        <v>2022</v>
      </c>
      <c r="AD4860" s="384">
        <v>7</v>
      </c>
      <c r="AE4860" s="384">
        <v>22</v>
      </c>
      <c r="AF4860" s="385">
        <v>0.41666666666666669</v>
      </c>
      <c r="AG4860" s="386">
        <v>19.399999999999999</v>
      </c>
      <c r="AH4860" s="387">
        <f t="shared" si="90"/>
        <v>19</v>
      </c>
    </row>
    <row r="4861" spans="11:34" ht="14.5" x14ac:dyDescent="0.35">
      <c r="K4861" s="4"/>
      <c r="AC4861" s="384">
        <v>2022</v>
      </c>
      <c r="AD4861" s="384">
        <v>7</v>
      </c>
      <c r="AE4861" s="384">
        <v>22</v>
      </c>
      <c r="AF4861" s="385">
        <v>0.45833333333333331</v>
      </c>
      <c r="AG4861" s="386">
        <v>21.2</v>
      </c>
      <c r="AH4861" s="387">
        <f t="shared" si="90"/>
        <v>21</v>
      </c>
    </row>
    <row r="4862" spans="11:34" ht="14.5" x14ac:dyDescent="0.35">
      <c r="K4862" s="4"/>
      <c r="AC4862" s="384">
        <v>2022</v>
      </c>
      <c r="AD4862" s="384">
        <v>7</v>
      </c>
      <c r="AE4862" s="384">
        <v>22</v>
      </c>
      <c r="AF4862" s="385">
        <v>0.5</v>
      </c>
      <c r="AG4862" s="386">
        <v>21.7</v>
      </c>
      <c r="AH4862" s="387">
        <f t="shared" si="90"/>
        <v>22</v>
      </c>
    </row>
    <row r="4863" spans="11:34" ht="14.5" x14ac:dyDescent="0.35">
      <c r="K4863" s="4"/>
      <c r="AC4863" s="384">
        <v>2022</v>
      </c>
      <c r="AD4863" s="384">
        <v>7</v>
      </c>
      <c r="AE4863" s="384">
        <v>22</v>
      </c>
      <c r="AF4863" s="385">
        <v>0.54166666666666663</v>
      </c>
      <c r="AG4863" s="386">
        <v>21.7</v>
      </c>
      <c r="AH4863" s="387">
        <f t="shared" si="90"/>
        <v>22</v>
      </c>
    </row>
    <row r="4864" spans="11:34" ht="14.5" x14ac:dyDescent="0.35">
      <c r="K4864" s="4"/>
      <c r="AC4864" s="384">
        <v>2022</v>
      </c>
      <c r="AD4864" s="384">
        <v>7</v>
      </c>
      <c r="AE4864" s="384">
        <v>22</v>
      </c>
      <c r="AF4864" s="385">
        <v>0.58333333333333337</v>
      </c>
      <c r="AG4864" s="386">
        <v>22.4</v>
      </c>
      <c r="AH4864" s="387">
        <f t="shared" si="90"/>
        <v>22</v>
      </c>
    </row>
    <row r="4865" spans="11:34" ht="14.5" x14ac:dyDescent="0.35">
      <c r="K4865" s="4"/>
      <c r="AC4865" s="384">
        <v>2022</v>
      </c>
      <c r="AD4865" s="384">
        <v>7</v>
      </c>
      <c r="AE4865" s="384">
        <v>22</v>
      </c>
      <c r="AF4865" s="385">
        <v>0.625</v>
      </c>
      <c r="AG4865" s="386">
        <v>21.1</v>
      </c>
      <c r="AH4865" s="387">
        <f t="shared" si="90"/>
        <v>21</v>
      </c>
    </row>
    <row r="4866" spans="11:34" ht="14.5" x14ac:dyDescent="0.35">
      <c r="K4866" s="4"/>
      <c r="AC4866" s="384">
        <v>2022</v>
      </c>
      <c r="AD4866" s="384">
        <v>7</v>
      </c>
      <c r="AE4866" s="384">
        <v>22</v>
      </c>
      <c r="AF4866" s="385">
        <v>0.66666666666666663</v>
      </c>
      <c r="AG4866" s="386">
        <v>15.6</v>
      </c>
      <c r="AH4866" s="387">
        <f t="shared" si="90"/>
        <v>16</v>
      </c>
    </row>
    <row r="4867" spans="11:34" ht="14.5" x14ac:dyDescent="0.35">
      <c r="K4867" s="4"/>
      <c r="AC4867" s="384">
        <v>2022</v>
      </c>
      <c r="AD4867" s="384">
        <v>7</v>
      </c>
      <c r="AE4867" s="384">
        <v>22</v>
      </c>
      <c r="AF4867" s="385">
        <v>0.70833333333333337</v>
      </c>
      <c r="AG4867" s="386">
        <v>14.9</v>
      </c>
      <c r="AH4867" s="387">
        <f t="shared" si="90"/>
        <v>15</v>
      </c>
    </row>
    <row r="4868" spans="11:34" ht="14.5" x14ac:dyDescent="0.35">
      <c r="K4868" s="4"/>
      <c r="AC4868" s="384">
        <v>2022</v>
      </c>
      <c r="AD4868" s="384">
        <v>7</v>
      </c>
      <c r="AE4868" s="384">
        <v>22</v>
      </c>
      <c r="AF4868" s="385">
        <v>0.75</v>
      </c>
      <c r="AG4868" s="386">
        <v>15.4</v>
      </c>
      <c r="AH4868" s="387">
        <f t="shared" si="90"/>
        <v>15</v>
      </c>
    </row>
    <row r="4869" spans="11:34" ht="14.5" x14ac:dyDescent="0.35">
      <c r="K4869" s="4"/>
      <c r="AC4869" s="384">
        <v>2022</v>
      </c>
      <c r="AD4869" s="384">
        <v>7</v>
      </c>
      <c r="AE4869" s="384">
        <v>22</v>
      </c>
      <c r="AF4869" s="385">
        <v>0.79166666666666663</v>
      </c>
      <c r="AG4869" s="386">
        <v>15.5</v>
      </c>
      <c r="AH4869" s="387">
        <f t="shared" si="90"/>
        <v>16</v>
      </c>
    </row>
    <row r="4870" spans="11:34" ht="14.5" x14ac:dyDescent="0.35">
      <c r="K4870" s="4"/>
      <c r="AC4870" s="384">
        <v>2022</v>
      </c>
      <c r="AD4870" s="384">
        <v>7</v>
      </c>
      <c r="AE4870" s="384">
        <v>22</v>
      </c>
      <c r="AF4870" s="385">
        <v>0.83333333333333337</v>
      </c>
      <c r="AG4870" s="386">
        <v>15.2</v>
      </c>
      <c r="AH4870" s="387">
        <f t="shared" si="90"/>
        <v>15</v>
      </c>
    </row>
    <row r="4871" spans="11:34" ht="14.5" x14ac:dyDescent="0.35">
      <c r="K4871" s="4"/>
      <c r="AC4871" s="384">
        <v>2022</v>
      </c>
      <c r="AD4871" s="384">
        <v>7</v>
      </c>
      <c r="AE4871" s="384">
        <v>22</v>
      </c>
      <c r="AF4871" s="385">
        <v>0.875</v>
      </c>
      <c r="AG4871" s="386">
        <v>14.4</v>
      </c>
      <c r="AH4871" s="387">
        <f t="shared" si="90"/>
        <v>14</v>
      </c>
    </row>
    <row r="4872" spans="11:34" ht="14.5" x14ac:dyDescent="0.35">
      <c r="K4872" s="4"/>
      <c r="AC4872" s="384">
        <v>2022</v>
      </c>
      <c r="AD4872" s="384">
        <v>7</v>
      </c>
      <c r="AE4872" s="384">
        <v>22</v>
      </c>
      <c r="AF4872" s="385">
        <v>0.91666666666666663</v>
      </c>
      <c r="AG4872" s="386">
        <v>14.1</v>
      </c>
      <c r="AH4872" s="387">
        <f t="shared" si="90"/>
        <v>14</v>
      </c>
    </row>
    <row r="4873" spans="11:34" ht="14.5" x14ac:dyDescent="0.35">
      <c r="K4873" s="4"/>
      <c r="AC4873" s="384">
        <v>2022</v>
      </c>
      <c r="AD4873" s="384">
        <v>7</v>
      </c>
      <c r="AE4873" s="384">
        <v>22</v>
      </c>
      <c r="AF4873" s="385">
        <v>0.95833333333333337</v>
      </c>
      <c r="AG4873" s="386">
        <v>13.9</v>
      </c>
      <c r="AH4873" s="387">
        <f t="shared" si="90"/>
        <v>14</v>
      </c>
    </row>
    <row r="4874" spans="11:34" ht="14.5" x14ac:dyDescent="0.35">
      <c r="K4874" s="4"/>
      <c r="AC4874" s="384">
        <v>2022</v>
      </c>
      <c r="AD4874" s="384">
        <v>7</v>
      </c>
      <c r="AE4874" s="384">
        <v>23</v>
      </c>
      <c r="AF4874" s="385">
        <v>0</v>
      </c>
      <c r="AG4874" s="386">
        <v>13.8</v>
      </c>
      <c r="AH4874" s="387">
        <f t="shared" si="90"/>
        <v>14</v>
      </c>
    </row>
    <row r="4875" spans="11:34" ht="14.5" x14ac:dyDescent="0.35">
      <c r="K4875" s="4"/>
      <c r="AC4875" s="384">
        <v>2022</v>
      </c>
      <c r="AD4875" s="384">
        <v>7</v>
      </c>
      <c r="AE4875" s="384">
        <v>23</v>
      </c>
      <c r="AF4875" s="385">
        <v>4.1666666666666664E-2</v>
      </c>
      <c r="AG4875" s="386">
        <v>13.8</v>
      </c>
      <c r="AH4875" s="387">
        <f t="shared" ref="AH4875:AH4938" si="91">ROUND(AG4875,0)</f>
        <v>14</v>
      </c>
    </row>
    <row r="4876" spans="11:34" ht="14.5" x14ac:dyDescent="0.35">
      <c r="K4876" s="4"/>
      <c r="AC4876" s="384">
        <v>2022</v>
      </c>
      <c r="AD4876" s="384">
        <v>7</v>
      </c>
      <c r="AE4876" s="384">
        <v>23</v>
      </c>
      <c r="AF4876" s="385">
        <v>8.3333333333333329E-2</v>
      </c>
      <c r="AG4876" s="386">
        <v>13.1</v>
      </c>
      <c r="AH4876" s="387">
        <f t="shared" si="91"/>
        <v>13</v>
      </c>
    </row>
    <row r="4877" spans="11:34" ht="14.5" x14ac:dyDescent="0.35">
      <c r="K4877" s="4"/>
      <c r="AC4877" s="384">
        <v>2022</v>
      </c>
      <c r="AD4877" s="384">
        <v>7</v>
      </c>
      <c r="AE4877" s="384">
        <v>23</v>
      </c>
      <c r="AF4877" s="385">
        <v>0.125</v>
      </c>
      <c r="AG4877" s="386">
        <v>12.1</v>
      </c>
      <c r="AH4877" s="387">
        <f t="shared" si="91"/>
        <v>12</v>
      </c>
    </row>
    <row r="4878" spans="11:34" ht="14.5" x14ac:dyDescent="0.35">
      <c r="K4878" s="4"/>
      <c r="AC4878" s="384">
        <v>2022</v>
      </c>
      <c r="AD4878" s="384">
        <v>7</v>
      </c>
      <c r="AE4878" s="384">
        <v>23</v>
      </c>
      <c r="AF4878" s="385">
        <v>0.16666666666666666</v>
      </c>
      <c r="AG4878" s="386">
        <v>12.5</v>
      </c>
      <c r="AH4878" s="387">
        <f t="shared" si="91"/>
        <v>13</v>
      </c>
    </row>
    <row r="4879" spans="11:34" ht="14.5" x14ac:dyDescent="0.35">
      <c r="K4879" s="4"/>
      <c r="AC4879" s="384">
        <v>2022</v>
      </c>
      <c r="AD4879" s="384">
        <v>7</v>
      </c>
      <c r="AE4879" s="384">
        <v>23</v>
      </c>
      <c r="AF4879" s="385">
        <v>0.20833333333333334</v>
      </c>
      <c r="AG4879" s="386">
        <v>12.2</v>
      </c>
      <c r="AH4879" s="387">
        <f t="shared" si="91"/>
        <v>12</v>
      </c>
    </row>
    <row r="4880" spans="11:34" ht="14.5" x14ac:dyDescent="0.35">
      <c r="K4880" s="4"/>
      <c r="AC4880" s="384">
        <v>2022</v>
      </c>
      <c r="AD4880" s="384">
        <v>7</v>
      </c>
      <c r="AE4880" s="384">
        <v>23</v>
      </c>
      <c r="AF4880" s="385">
        <v>0.25</v>
      </c>
      <c r="AG4880" s="386">
        <v>12.2</v>
      </c>
      <c r="AH4880" s="387">
        <f t="shared" si="91"/>
        <v>12</v>
      </c>
    </row>
    <row r="4881" spans="11:34" ht="14.5" x14ac:dyDescent="0.35">
      <c r="K4881" s="4"/>
      <c r="AC4881" s="384">
        <v>2022</v>
      </c>
      <c r="AD4881" s="384">
        <v>7</v>
      </c>
      <c r="AE4881" s="384">
        <v>23</v>
      </c>
      <c r="AF4881" s="385">
        <v>0.29166666666666669</v>
      </c>
      <c r="AG4881" s="386">
        <v>13.8</v>
      </c>
      <c r="AH4881" s="387">
        <f t="shared" si="91"/>
        <v>14</v>
      </c>
    </row>
    <row r="4882" spans="11:34" ht="14.5" x14ac:dyDescent="0.35">
      <c r="K4882" s="4"/>
      <c r="AC4882" s="384">
        <v>2022</v>
      </c>
      <c r="AD4882" s="384">
        <v>7</v>
      </c>
      <c r="AE4882" s="384">
        <v>23</v>
      </c>
      <c r="AF4882" s="385">
        <v>0.33333333333333331</v>
      </c>
      <c r="AG4882" s="386">
        <v>16.3</v>
      </c>
      <c r="AH4882" s="387">
        <f t="shared" si="91"/>
        <v>16</v>
      </c>
    </row>
    <row r="4883" spans="11:34" ht="14.5" x14ac:dyDescent="0.35">
      <c r="K4883" s="4"/>
      <c r="AC4883" s="384">
        <v>2022</v>
      </c>
      <c r="AD4883" s="384">
        <v>7</v>
      </c>
      <c r="AE4883" s="384">
        <v>23</v>
      </c>
      <c r="AF4883" s="385">
        <v>0.375</v>
      </c>
      <c r="AG4883" s="386">
        <v>17.8</v>
      </c>
      <c r="AH4883" s="387">
        <f t="shared" si="91"/>
        <v>18</v>
      </c>
    </row>
    <row r="4884" spans="11:34" ht="14.5" x14ac:dyDescent="0.35">
      <c r="K4884" s="4"/>
      <c r="AC4884" s="384">
        <v>2022</v>
      </c>
      <c r="AD4884" s="384">
        <v>7</v>
      </c>
      <c r="AE4884" s="384">
        <v>23</v>
      </c>
      <c r="AF4884" s="385">
        <v>0.41666666666666669</v>
      </c>
      <c r="AG4884" s="386">
        <v>19.600000000000001</v>
      </c>
      <c r="AH4884" s="387">
        <f t="shared" si="91"/>
        <v>20</v>
      </c>
    </row>
    <row r="4885" spans="11:34" ht="14.5" x14ac:dyDescent="0.35">
      <c r="K4885" s="4"/>
      <c r="AC4885" s="384">
        <v>2022</v>
      </c>
      <c r="AD4885" s="384">
        <v>7</v>
      </c>
      <c r="AE4885" s="384">
        <v>23</v>
      </c>
      <c r="AF4885" s="385">
        <v>0.45833333333333331</v>
      </c>
      <c r="AG4885" s="386">
        <v>20.7</v>
      </c>
      <c r="AH4885" s="387">
        <f t="shared" si="91"/>
        <v>21</v>
      </c>
    </row>
    <row r="4886" spans="11:34" ht="14.5" x14ac:dyDescent="0.35">
      <c r="K4886" s="4"/>
      <c r="AC4886" s="384">
        <v>2022</v>
      </c>
      <c r="AD4886" s="384">
        <v>7</v>
      </c>
      <c r="AE4886" s="384">
        <v>23</v>
      </c>
      <c r="AF4886" s="385">
        <v>0.5</v>
      </c>
      <c r="AG4886" s="386">
        <v>22.1</v>
      </c>
      <c r="AH4886" s="387">
        <f t="shared" si="91"/>
        <v>22</v>
      </c>
    </row>
    <row r="4887" spans="11:34" ht="14.5" x14ac:dyDescent="0.35">
      <c r="K4887" s="4"/>
      <c r="AC4887" s="384">
        <v>2022</v>
      </c>
      <c r="AD4887" s="384">
        <v>7</v>
      </c>
      <c r="AE4887" s="384">
        <v>23</v>
      </c>
      <c r="AF4887" s="385">
        <v>0.54166666666666663</v>
      </c>
      <c r="AG4887" s="386">
        <v>22.8</v>
      </c>
      <c r="AH4887" s="387">
        <f t="shared" si="91"/>
        <v>23</v>
      </c>
    </row>
    <row r="4888" spans="11:34" ht="14.5" x14ac:dyDescent="0.35">
      <c r="K4888" s="4"/>
      <c r="AC4888" s="384">
        <v>2022</v>
      </c>
      <c r="AD4888" s="384">
        <v>7</v>
      </c>
      <c r="AE4888" s="384">
        <v>23</v>
      </c>
      <c r="AF4888" s="385">
        <v>0.58333333333333337</v>
      </c>
      <c r="AG4888" s="386">
        <v>23.4</v>
      </c>
      <c r="AH4888" s="387">
        <f t="shared" si="91"/>
        <v>23</v>
      </c>
    </row>
    <row r="4889" spans="11:34" ht="14.5" x14ac:dyDescent="0.35">
      <c r="K4889" s="4"/>
      <c r="AC4889" s="384">
        <v>2022</v>
      </c>
      <c r="AD4889" s="384">
        <v>7</v>
      </c>
      <c r="AE4889" s="384">
        <v>23</v>
      </c>
      <c r="AF4889" s="385">
        <v>0.625</v>
      </c>
      <c r="AG4889" s="386">
        <v>24</v>
      </c>
      <c r="AH4889" s="387">
        <f t="shared" si="91"/>
        <v>24</v>
      </c>
    </row>
    <row r="4890" spans="11:34" ht="14.5" x14ac:dyDescent="0.35">
      <c r="K4890" s="4"/>
      <c r="AC4890" s="384">
        <v>2022</v>
      </c>
      <c r="AD4890" s="384">
        <v>7</v>
      </c>
      <c r="AE4890" s="384">
        <v>23</v>
      </c>
      <c r="AF4890" s="385">
        <v>0.66666666666666663</v>
      </c>
      <c r="AG4890" s="386">
        <v>23.6</v>
      </c>
      <c r="AH4890" s="387">
        <f t="shared" si="91"/>
        <v>24</v>
      </c>
    </row>
    <row r="4891" spans="11:34" ht="14.5" x14ac:dyDescent="0.35">
      <c r="K4891" s="4"/>
      <c r="AC4891" s="384">
        <v>2022</v>
      </c>
      <c r="AD4891" s="384">
        <v>7</v>
      </c>
      <c r="AE4891" s="384">
        <v>23</v>
      </c>
      <c r="AF4891" s="385">
        <v>0.70833333333333337</v>
      </c>
      <c r="AG4891" s="386">
        <v>22.9</v>
      </c>
      <c r="AH4891" s="387">
        <f t="shared" si="91"/>
        <v>23</v>
      </c>
    </row>
    <row r="4892" spans="11:34" ht="14.5" x14ac:dyDescent="0.35">
      <c r="K4892" s="4"/>
      <c r="AC4892" s="384">
        <v>2022</v>
      </c>
      <c r="AD4892" s="384">
        <v>7</v>
      </c>
      <c r="AE4892" s="384">
        <v>23</v>
      </c>
      <c r="AF4892" s="385">
        <v>0.75</v>
      </c>
      <c r="AG4892" s="386">
        <v>22.3</v>
      </c>
      <c r="AH4892" s="387">
        <f t="shared" si="91"/>
        <v>22</v>
      </c>
    </row>
    <row r="4893" spans="11:34" ht="14.5" x14ac:dyDescent="0.35">
      <c r="K4893" s="4"/>
      <c r="AC4893" s="384">
        <v>2022</v>
      </c>
      <c r="AD4893" s="384">
        <v>7</v>
      </c>
      <c r="AE4893" s="384">
        <v>23</v>
      </c>
      <c r="AF4893" s="385">
        <v>0.79166666666666663</v>
      </c>
      <c r="AG4893" s="386">
        <v>21</v>
      </c>
      <c r="AH4893" s="387">
        <f t="shared" si="91"/>
        <v>21</v>
      </c>
    </row>
    <row r="4894" spans="11:34" ht="14.5" x14ac:dyDescent="0.35">
      <c r="K4894" s="4"/>
      <c r="AC4894" s="384">
        <v>2022</v>
      </c>
      <c r="AD4894" s="384">
        <v>7</v>
      </c>
      <c r="AE4894" s="384">
        <v>23</v>
      </c>
      <c r="AF4894" s="385">
        <v>0.83333333333333337</v>
      </c>
      <c r="AG4894" s="386">
        <v>20.100000000000001</v>
      </c>
      <c r="AH4894" s="387">
        <f t="shared" si="91"/>
        <v>20</v>
      </c>
    </row>
    <row r="4895" spans="11:34" ht="14.5" x14ac:dyDescent="0.35">
      <c r="K4895" s="4"/>
      <c r="AC4895" s="384">
        <v>2022</v>
      </c>
      <c r="AD4895" s="384">
        <v>7</v>
      </c>
      <c r="AE4895" s="384">
        <v>23</v>
      </c>
      <c r="AF4895" s="385">
        <v>0.875</v>
      </c>
      <c r="AG4895" s="386">
        <v>17.8</v>
      </c>
      <c r="AH4895" s="387">
        <f t="shared" si="91"/>
        <v>18</v>
      </c>
    </row>
    <row r="4896" spans="11:34" ht="14.5" x14ac:dyDescent="0.35">
      <c r="K4896" s="4"/>
      <c r="AC4896" s="384">
        <v>2022</v>
      </c>
      <c r="AD4896" s="384">
        <v>7</v>
      </c>
      <c r="AE4896" s="384">
        <v>23</v>
      </c>
      <c r="AF4896" s="385">
        <v>0.91666666666666663</v>
      </c>
      <c r="AG4896" s="386">
        <v>16.7</v>
      </c>
      <c r="AH4896" s="387">
        <f t="shared" si="91"/>
        <v>17</v>
      </c>
    </row>
    <row r="4897" spans="11:34" ht="14.5" x14ac:dyDescent="0.35">
      <c r="K4897" s="4"/>
      <c r="AC4897" s="384">
        <v>2022</v>
      </c>
      <c r="AD4897" s="384">
        <v>7</v>
      </c>
      <c r="AE4897" s="384">
        <v>23</v>
      </c>
      <c r="AF4897" s="385">
        <v>0.95833333333333337</v>
      </c>
      <c r="AG4897" s="386">
        <v>15.7</v>
      </c>
      <c r="AH4897" s="387">
        <f t="shared" si="91"/>
        <v>16</v>
      </c>
    </row>
    <row r="4898" spans="11:34" ht="14.5" x14ac:dyDescent="0.35">
      <c r="K4898" s="4"/>
      <c r="AC4898" s="384">
        <v>2022</v>
      </c>
      <c r="AD4898" s="384">
        <v>7</v>
      </c>
      <c r="AE4898" s="384">
        <v>24</v>
      </c>
      <c r="AF4898" s="385">
        <v>0</v>
      </c>
      <c r="AG4898" s="386">
        <v>15.1</v>
      </c>
      <c r="AH4898" s="387">
        <f t="shared" si="91"/>
        <v>15</v>
      </c>
    </row>
    <row r="4899" spans="11:34" ht="14.5" x14ac:dyDescent="0.35">
      <c r="K4899" s="4"/>
      <c r="AC4899" s="384">
        <v>2022</v>
      </c>
      <c r="AD4899" s="384">
        <v>7</v>
      </c>
      <c r="AE4899" s="384">
        <v>24</v>
      </c>
      <c r="AF4899" s="385">
        <v>4.1666666666666664E-2</v>
      </c>
      <c r="AG4899" s="386">
        <v>14.8</v>
      </c>
      <c r="AH4899" s="387">
        <f t="shared" si="91"/>
        <v>15</v>
      </c>
    </row>
    <row r="4900" spans="11:34" ht="14.5" x14ac:dyDescent="0.35">
      <c r="K4900" s="4"/>
      <c r="AC4900" s="384">
        <v>2022</v>
      </c>
      <c r="AD4900" s="384">
        <v>7</v>
      </c>
      <c r="AE4900" s="384">
        <v>24</v>
      </c>
      <c r="AF4900" s="385">
        <v>8.3333333333333329E-2</v>
      </c>
      <c r="AG4900" s="386">
        <v>13.9</v>
      </c>
      <c r="AH4900" s="387">
        <f t="shared" si="91"/>
        <v>14</v>
      </c>
    </row>
    <row r="4901" spans="11:34" ht="14.5" x14ac:dyDescent="0.35">
      <c r="K4901" s="4"/>
      <c r="AC4901" s="384">
        <v>2022</v>
      </c>
      <c r="AD4901" s="384">
        <v>7</v>
      </c>
      <c r="AE4901" s="384">
        <v>24</v>
      </c>
      <c r="AF4901" s="385">
        <v>0.125</v>
      </c>
      <c r="AG4901" s="386">
        <v>13.7</v>
      </c>
      <c r="AH4901" s="387">
        <f t="shared" si="91"/>
        <v>14</v>
      </c>
    </row>
    <row r="4902" spans="11:34" ht="14.5" x14ac:dyDescent="0.35">
      <c r="K4902" s="4"/>
      <c r="AC4902" s="384">
        <v>2022</v>
      </c>
      <c r="AD4902" s="384">
        <v>7</v>
      </c>
      <c r="AE4902" s="384">
        <v>24</v>
      </c>
      <c r="AF4902" s="385">
        <v>0.16666666666666666</v>
      </c>
      <c r="AG4902" s="386">
        <v>12.5</v>
      </c>
      <c r="AH4902" s="387">
        <f t="shared" si="91"/>
        <v>13</v>
      </c>
    </row>
    <row r="4903" spans="11:34" ht="14.5" x14ac:dyDescent="0.35">
      <c r="K4903" s="4"/>
      <c r="AC4903" s="384">
        <v>2022</v>
      </c>
      <c r="AD4903" s="384">
        <v>7</v>
      </c>
      <c r="AE4903" s="384">
        <v>24</v>
      </c>
      <c r="AF4903" s="385">
        <v>0.20833333333333334</v>
      </c>
      <c r="AG4903" s="386">
        <v>12.2</v>
      </c>
      <c r="AH4903" s="387">
        <f t="shared" si="91"/>
        <v>12</v>
      </c>
    </row>
    <row r="4904" spans="11:34" ht="14.5" x14ac:dyDescent="0.35">
      <c r="K4904" s="4"/>
      <c r="AC4904" s="384">
        <v>2022</v>
      </c>
      <c r="AD4904" s="384">
        <v>7</v>
      </c>
      <c r="AE4904" s="384">
        <v>24</v>
      </c>
      <c r="AF4904" s="385">
        <v>0.25</v>
      </c>
      <c r="AG4904" s="386">
        <v>13.5</v>
      </c>
      <c r="AH4904" s="387">
        <f t="shared" si="91"/>
        <v>14</v>
      </c>
    </row>
    <row r="4905" spans="11:34" ht="14.5" x14ac:dyDescent="0.35">
      <c r="K4905" s="4"/>
      <c r="AC4905" s="384">
        <v>2022</v>
      </c>
      <c r="AD4905" s="384">
        <v>7</v>
      </c>
      <c r="AE4905" s="384">
        <v>24</v>
      </c>
      <c r="AF4905" s="385">
        <v>0.29166666666666669</v>
      </c>
      <c r="AG4905" s="386">
        <v>15.1</v>
      </c>
      <c r="AH4905" s="387">
        <f t="shared" si="91"/>
        <v>15</v>
      </c>
    </row>
    <row r="4906" spans="11:34" ht="14.5" x14ac:dyDescent="0.35">
      <c r="K4906" s="4"/>
      <c r="AC4906" s="384">
        <v>2022</v>
      </c>
      <c r="AD4906" s="384">
        <v>7</v>
      </c>
      <c r="AE4906" s="384">
        <v>24</v>
      </c>
      <c r="AF4906" s="385">
        <v>0.33333333333333331</v>
      </c>
      <c r="AG4906" s="386">
        <v>18.100000000000001</v>
      </c>
      <c r="AH4906" s="387">
        <f t="shared" si="91"/>
        <v>18</v>
      </c>
    </row>
    <row r="4907" spans="11:34" ht="14.5" x14ac:dyDescent="0.35">
      <c r="K4907" s="4"/>
      <c r="AC4907" s="384">
        <v>2022</v>
      </c>
      <c r="AD4907" s="384">
        <v>7</v>
      </c>
      <c r="AE4907" s="384">
        <v>24</v>
      </c>
      <c r="AF4907" s="385">
        <v>0.375</v>
      </c>
      <c r="AG4907" s="386">
        <v>21.8</v>
      </c>
      <c r="AH4907" s="387">
        <f t="shared" si="91"/>
        <v>22</v>
      </c>
    </row>
    <row r="4908" spans="11:34" ht="14.5" x14ac:dyDescent="0.35">
      <c r="K4908" s="4"/>
      <c r="AC4908" s="384">
        <v>2022</v>
      </c>
      <c r="AD4908" s="384">
        <v>7</v>
      </c>
      <c r="AE4908" s="384">
        <v>24</v>
      </c>
      <c r="AF4908" s="385">
        <v>0.41666666666666669</v>
      </c>
      <c r="AG4908" s="386">
        <v>23.6</v>
      </c>
      <c r="AH4908" s="387">
        <f t="shared" si="91"/>
        <v>24</v>
      </c>
    </row>
    <row r="4909" spans="11:34" ht="14.5" x14ac:dyDescent="0.35">
      <c r="K4909" s="4"/>
      <c r="AC4909" s="384">
        <v>2022</v>
      </c>
      <c r="AD4909" s="384">
        <v>7</v>
      </c>
      <c r="AE4909" s="384">
        <v>24</v>
      </c>
      <c r="AF4909" s="385">
        <v>0.45833333333333331</v>
      </c>
      <c r="AG4909" s="386">
        <v>25.1</v>
      </c>
      <c r="AH4909" s="387">
        <f t="shared" si="91"/>
        <v>25</v>
      </c>
    </row>
    <row r="4910" spans="11:34" ht="14.5" x14ac:dyDescent="0.35">
      <c r="K4910" s="4"/>
      <c r="AC4910" s="384">
        <v>2022</v>
      </c>
      <c r="AD4910" s="384">
        <v>7</v>
      </c>
      <c r="AE4910" s="384">
        <v>24</v>
      </c>
      <c r="AF4910" s="385">
        <v>0.5</v>
      </c>
      <c r="AG4910" s="386">
        <v>26</v>
      </c>
      <c r="AH4910" s="387">
        <f t="shared" si="91"/>
        <v>26</v>
      </c>
    </row>
    <row r="4911" spans="11:34" ht="14.5" x14ac:dyDescent="0.35">
      <c r="K4911" s="4"/>
      <c r="AC4911" s="384">
        <v>2022</v>
      </c>
      <c r="AD4911" s="384">
        <v>7</v>
      </c>
      <c r="AE4911" s="384">
        <v>24</v>
      </c>
      <c r="AF4911" s="385">
        <v>0.54166666666666663</v>
      </c>
      <c r="AG4911" s="386">
        <v>26.1</v>
      </c>
      <c r="AH4911" s="387">
        <f t="shared" si="91"/>
        <v>26</v>
      </c>
    </row>
    <row r="4912" spans="11:34" ht="14.5" x14ac:dyDescent="0.35">
      <c r="K4912" s="4"/>
      <c r="AC4912" s="384">
        <v>2022</v>
      </c>
      <c r="AD4912" s="384">
        <v>7</v>
      </c>
      <c r="AE4912" s="384">
        <v>24</v>
      </c>
      <c r="AF4912" s="385">
        <v>0.58333333333333337</v>
      </c>
      <c r="AG4912" s="386">
        <v>25.8</v>
      </c>
      <c r="AH4912" s="387">
        <f t="shared" si="91"/>
        <v>26</v>
      </c>
    </row>
    <row r="4913" spans="11:34" ht="14.5" x14ac:dyDescent="0.35">
      <c r="K4913" s="4"/>
      <c r="AC4913" s="384">
        <v>2022</v>
      </c>
      <c r="AD4913" s="384">
        <v>7</v>
      </c>
      <c r="AE4913" s="384">
        <v>24</v>
      </c>
      <c r="AF4913" s="385">
        <v>0.625</v>
      </c>
      <c r="AG4913" s="386">
        <v>25.9</v>
      </c>
      <c r="AH4913" s="387">
        <f t="shared" si="91"/>
        <v>26</v>
      </c>
    </row>
    <row r="4914" spans="11:34" ht="14.5" x14ac:dyDescent="0.35">
      <c r="K4914" s="4"/>
      <c r="AC4914" s="384">
        <v>2022</v>
      </c>
      <c r="AD4914" s="384">
        <v>7</v>
      </c>
      <c r="AE4914" s="384">
        <v>24</v>
      </c>
      <c r="AF4914" s="385">
        <v>0.66666666666666663</v>
      </c>
      <c r="AG4914" s="386">
        <v>26.3</v>
      </c>
      <c r="AH4914" s="387">
        <f t="shared" si="91"/>
        <v>26</v>
      </c>
    </row>
    <row r="4915" spans="11:34" ht="14.5" x14ac:dyDescent="0.35">
      <c r="K4915" s="4"/>
      <c r="AC4915" s="384">
        <v>2022</v>
      </c>
      <c r="AD4915" s="384">
        <v>7</v>
      </c>
      <c r="AE4915" s="384">
        <v>24</v>
      </c>
      <c r="AF4915" s="385">
        <v>0.70833333333333337</v>
      </c>
      <c r="AG4915" s="386">
        <v>25</v>
      </c>
      <c r="AH4915" s="387">
        <f t="shared" si="91"/>
        <v>25</v>
      </c>
    </row>
    <row r="4916" spans="11:34" ht="14.5" x14ac:dyDescent="0.35">
      <c r="K4916" s="4"/>
      <c r="AC4916" s="384">
        <v>2022</v>
      </c>
      <c r="AD4916" s="384">
        <v>7</v>
      </c>
      <c r="AE4916" s="384">
        <v>24</v>
      </c>
      <c r="AF4916" s="385">
        <v>0.75</v>
      </c>
      <c r="AG4916" s="386">
        <v>24.5</v>
      </c>
      <c r="AH4916" s="387">
        <f t="shared" si="91"/>
        <v>25</v>
      </c>
    </row>
    <row r="4917" spans="11:34" ht="14.5" x14ac:dyDescent="0.35">
      <c r="K4917" s="4"/>
      <c r="AC4917" s="384">
        <v>2022</v>
      </c>
      <c r="AD4917" s="384">
        <v>7</v>
      </c>
      <c r="AE4917" s="384">
        <v>24</v>
      </c>
      <c r="AF4917" s="385">
        <v>0.79166666666666663</v>
      </c>
      <c r="AG4917" s="386">
        <v>22.7</v>
      </c>
      <c r="AH4917" s="387">
        <f t="shared" si="91"/>
        <v>23</v>
      </c>
    </row>
    <row r="4918" spans="11:34" ht="14.5" x14ac:dyDescent="0.35">
      <c r="K4918" s="4"/>
      <c r="AC4918" s="384">
        <v>2022</v>
      </c>
      <c r="AD4918" s="384">
        <v>7</v>
      </c>
      <c r="AE4918" s="384">
        <v>24</v>
      </c>
      <c r="AF4918" s="385">
        <v>0.83333333333333337</v>
      </c>
      <c r="AG4918" s="386">
        <v>21.2</v>
      </c>
      <c r="AH4918" s="387">
        <f t="shared" si="91"/>
        <v>21</v>
      </c>
    </row>
    <row r="4919" spans="11:34" ht="14.5" x14ac:dyDescent="0.35">
      <c r="K4919" s="4"/>
      <c r="AC4919" s="384">
        <v>2022</v>
      </c>
      <c r="AD4919" s="384">
        <v>7</v>
      </c>
      <c r="AE4919" s="384">
        <v>24</v>
      </c>
      <c r="AF4919" s="385">
        <v>0.875</v>
      </c>
      <c r="AG4919" s="386">
        <v>19.899999999999999</v>
      </c>
      <c r="AH4919" s="387">
        <f t="shared" si="91"/>
        <v>20</v>
      </c>
    </row>
    <row r="4920" spans="11:34" ht="14.5" x14ac:dyDescent="0.35">
      <c r="K4920" s="4"/>
      <c r="AC4920" s="384">
        <v>2022</v>
      </c>
      <c r="AD4920" s="384">
        <v>7</v>
      </c>
      <c r="AE4920" s="384">
        <v>24</v>
      </c>
      <c r="AF4920" s="385">
        <v>0.91666666666666663</v>
      </c>
      <c r="AG4920" s="386">
        <v>18.600000000000001</v>
      </c>
      <c r="AH4920" s="387">
        <f t="shared" si="91"/>
        <v>19</v>
      </c>
    </row>
    <row r="4921" spans="11:34" ht="14.5" x14ac:dyDescent="0.35">
      <c r="K4921" s="4"/>
      <c r="AC4921" s="384">
        <v>2022</v>
      </c>
      <c r="AD4921" s="384">
        <v>7</v>
      </c>
      <c r="AE4921" s="384">
        <v>24</v>
      </c>
      <c r="AF4921" s="385">
        <v>0.95833333333333337</v>
      </c>
      <c r="AG4921" s="386">
        <v>18.600000000000001</v>
      </c>
      <c r="AH4921" s="387">
        <f t="shared" si="91"/>
        <v>19</v>
      </c>
    </row>
    <row r="4922" spans="11:34" ht="14.5" x14ac:dyDescent="0.35">
      <c r="K4922" s="4"/>
      <c r="AC4922" s="384">
        <v>2022</v>
      </c>
      <c r="AD4922" s="384">
        <v>7</v>
      </c>
      <c r="AE4922" s="384">
        <v>25</v>
      </c>
      <c r="AF4922" s="385">
        <v>0</v>
      </c>
      <c r="AG4922" s="386">
        <v>18</v>
      </c>
      <c r="AH4922" s="387">
        <f t="shared" si="91"/>
        <v>18</v>
      </c>
    </row>
    <row r="4923" spans="11:34" ht="14.5" x14ac:dyDescent="0.35">
      <c r="K4923" s="4"/>
      <c r="AC4923" s="384">
        <v>2022</v>
      </c>
      <c r="AD4923" s="384">
        <v>7</v>
      </c>
      <c r="AE4923" s="384">
        <v>25</v>
      </c>
      <c r="AF4923" s="385">
        <v>4.1666666666666664E-2</v>
      </c>
      <c r="AG4923" s="386">
        <v>16.5</v>
      </c>
      <c r="AH4923" s="387">
        <f t="shared" si="91"/>
        <v>17</v>
      </c>
    </row>
    <row r="4924" spans="11:34" ht="14.5" x14ac:dyDescent="0.35">
      <c r="K4924" s="4"/>
      <c r="AC4924" s="384">
        <v>2022</v>
      </c>
      <c r="AD4924" s="384">
        <v>7</v>
      </c>
      <c r="AE4924" s="384">
        <v>25</v>
      </c>
      <c r="AF4924" s="385">
        <v>8.3333333333333329E-2</v>
      </c>
      <c r="AG4924" s="386">
        <v>14.8</v>
      </c>
      <c r="AH4924" s="387">
        <f t="shared" si="91"/>
        <v>15</v>
      </c>
    </row>
    <row r="4925" spans="11:34" ht="14.5" x14ac:dyDescent="0.35">
      <c r="K4925" s="4"/>
      <c r="AC4925" s="384">
        <v>2022</v>
      </c>
      <c r="AD4925" s="384">
        <v>7</v>
      </c>
      <c r="AE4925" s="384">
        <v>25</v>
      </c>
      <c r="AF4925" s="385">
        <v>0.125</v>
      </c>
      <c r="AG4925" s="386">
        <v>14</v>
      </c>
      <c r="AH4925" s="387">
        <f t="shared" si="91"/>
        <v>14</v>
      </c>
    </row>
    <row r="4926" spans="11:34" ht="14.5" x14ac:dyDescent="0.35">
      <c r="K4926" s="4"/>
      <c r="AC4926" s="384">
        <v>2022</v>
      </c>
      <c r="AD4926" s="384">
        <v>7</v>
      </c>
      <c r="AE4926" s="384">
        <v>25</v>
      </c>
      <c r="AF4926" s="385">
        <v>0.16666666666666666</v>
      </c>
      <c r="AG4926" s="386">
        <v>13.7</v>
      </c>
      <c r="AH4926" s="387">
        <f t="shared" si="91"/>
        <v>14</v>
      </c>
    </row>
    <row r="4927" spans="11:34" ht="14.5" x14ac:dyDescent="0.35">
      <c r="K4927" s="4"/>
      <c r="AC4927" s="384">
        <v>2022</v>
      </c>
      <c r="AD4927" s="384">
        <v>7</v>
      </c>
      <c r="AE4927" s="384">
        <v>25</v>
      </c>
      <c r="AF4927" s="385">
        <v>0.20833333333333334</v>
      </c>
      <c r="AG4927" s="386">
        <v>13.2</v>
      </c>
      <c r="AH4927" s="387">
        <f t="shared" si="91"/>
        <v>13</v>
      </c>
    </row>
    <row r="4928" spans="11:34" ht="14.5" x14ac:dyDescent="0.35">
      <c r="K4928" s="4"/>
      <c r="AC4928" s="384">
        <v>2022</v>
      </c>
      <c r="AD4928" s="384">
        <v>7</v>
      </c>
      <c r="AE4928" s="384">
        <v>25</v>
      </c>
      <c r="AF4928" s="385">
        <v>0.25</v>
      </c>
      <c r="AG4928" s="386">
        <v>13.1</v>
      </c>
      <c r="AH4928" s="387">
        <f t="shared" si="91"/>
        <v>13</v>
      </c>
    </row>
    <row r="4929" spans="11:34" ht="14.5" x14ac:dyDescent="0.35">
      <c r="K4929" s="4"/>
      <c r="AC4929" s="384">
        <v>2022</v>
      </c>
      <c r="AD4929" s="384">
        <v>7</v>
      </c>
      <c r="AE4929" s="384">
        <v>25</v>
      </c>
      <c r="AF4929" s="385">
        <v>0.29166666666666669</v>
      </c>
      <c r="AG4929" s="386">
        <v>13.2</v>
      </c>
      <c r="AH4929" s="387">
        <f t="shared" si="91"/>
        <v>13</v>
      </c>
    </row>
    <row r="4930" spans="11:34" ht="14.5" x14ac:dyDescent="0.35">
      <c r="K4930" s="4"/>
      <c r="AC4930" s="384">
        <v>2022</v>
      </c>
      <c r="AD4930" s="384">
        <v>7</v>
      </c>
      <c r="AE4930" s="384">
        <v>25</v>
      </c>
      <c r="AF4930" s="385">
        <v>0.33333333333333331</v>
      </c>
      <c r="AG4930" s="386">
        <v>13.7</v>
      </c>
      <c r="AH4930" s="387">
        <f t="shared" si="91"/>
        <v>14</v>
      </c>
    </row>
    <row r="4931" spans="11:34" ht="14.5" x14ac:dyDescent="0.35">
      <c r="K4931" s="4"/>
      <c r="AC4931" s="384">
        <v>2022</v>
      </c>
      <c r="AD4931" s="384">
        <v>7</v>
      </c>
      <c r="AE4931" s="384">
        <v>25</v>
      </c>
      <c r="AF4931" s="385">
        <v>0.375</v>
      </c>
      <c r="AG4931" s="386">
        <v>14.8</v>
      </c>
      <c r="AH4931" s="387">
        <f t="shared" si="91"/>
        <v>15</v>
      </c>
    </row>
    <row r="4932" spans="11:34" ht="14.5" x14ac:dyDescent="0.35">
      <c r="K4932" s="4"/>
      <c r="AC4932" s="384">
        <v>2022</v>
      </c>
      <c r="AD4932" s="384">
        <v>7</v>
      </c>
      <c r="AE4932" s="384">
        <v>25</v>
      </c>
      <c r="AF4932" s="385">
        <v>0.41666666666666669</v>
      </c>
      <c r="AG4932" s="386">
        <v>16</v>
      </c>
      <c r="AH4932" s="387">
        <f t="shared" si="91"/>
        <v>16</v>
      </c>
    </row>
    <row r="4933" spans="11:34" ht="14.5" x14ac:dyDescent="0.35">
      <c r="K4933" s="4"/>
      <c r="AC4933" s="384">
        <v>2022</v>
      </c>
      <c r="AD4933" s="384">
        <v>7</v>
      </c>
      <c r="AE4933" s="384">
        <v>25</v>
      </c>
      <c r="AF4933" s="385">
        <v>0.45833333333333331</v>
      </c>
      <c r="AG4933" s="386">
        <v>17.3</v>
      </c>
      <c r="AH4933" s="387">
        <f t="shared" si="91"/>
        <v>17</v>
      </c>
    </row>
    <row r="4934" spans="11:34" ht="14.5" x14ac:dyDescent="0.35">
      <c r="K4934" s="4"/>
      <c r="AC4934" s="384">
        <v>2022</v>
      </c>
      <c r="AD4934" s="384">
        <v>7</v>
      </c>
      <c r="AE4934" s="384">
        <v>25</v>
      </c>
      <c r="AF4934" s="385">
        <v>0.5</v>
      </c>
      <c r="AG4934" s="386">
        <v>18</v>
      </c>
      <c r="AH4934" s="387">
        <f t="shared" si="91"/>
        <v>18</v>
      </c>
    </row>
    <row r="4935" spans="11:34" ht="14.5" x14ac:dyDescent="0.35">
      <c r="K4935" s="4"/>
      <c r="AC4935" s="384">
        <v>2022</v>
      </c>
      <c r="AD4935" s="384">
        <v>7</v>
      </c>
      <c r="AE4935" s="384">
        <v>25</v>
      </c>
      <c r="AF4935" s="385">
        <v>0.54166666666666663</v>
      </c>
      <c r="AG4935" s="386">
        <v>20.2</v>
      </c>
      <c r="AH4935" s="387">
        <f t="shared" si="91"/>
        <v>20</v>
      </c>
    </row>
    <row r="4936" spans="11:34" ht="14.5" x14ac:dyDescent="0.35">
      <c r="K4936" s="4"/>
      <c r="AC4936" s="384">
        <v>2022</v>
      </c>
      <c r="AD4936" s="384">
        <v>7</v>
      </c>
      <c r="AE4936" s="384">
        <v>25</v>
      </c>
      <c r="AF4936" s="385">
        <v>0.58333333333333337</v>
      </c>
      <c r="AG4936" s="386">
        <v>21.1</v>
      </c>
      <c r="AH4936" s="387">
        <f t="shared" si="91"/>
        <v>21</v>
      </c>
    </row>
    <row r="4937" spans="11:34" ht="14.5" x14ac:dyDescent="0.35">
      <c r="K4937" s="4"/>
      <c r="AC4937" s="384">
        <v>2022</v>
      </c>
      <c r="AD4937" s="384">
        <v>7</v>
      </c>
      <c r="AE4937" s="384">
        <v>25</v>
      </c>
      <c r="AF4937" s="385">
        <v>0.625</v>
      </c>
      <c r="AG4937" s="386">
        <v>20.9</v>
      </c>
      <c r="AH4937" s="387">
        <f t="shared" si="91"/>
        <v>21</v>
      </c>
    </row>
    <row r="4938" spans="11:34" ht="14.5" x14ac:dyDescent="0.35">
      <c r="K4938" s="4"/>
      <c r="AC4938" s="384">
        <v>2022</v>
      </c>
      <c r="AD4938" s="384">
        <v>7</v>
      </c>
      <c r="AE4938" s="384">
        <v>25</v>
      </c>
      <c r="AF4938" s="385">
        <v>0.66666666666666663</v>
      </c>
      <c r="AG4938" s="386">
        <v>20.2</v>
      </c>
      <c r="AH4938" s="387">
        <f t="shared" si="91"/>
        <v>20</v>
      </c>
    </row>
    <row r="4939" spans="11:34" ht="14.5" x14ac:dyDescent="0.35">
      <c r="K4939" s="4"/>
      <c r="AC4939" s="384">
        <v>2022</v>
      </c>
      <c r="AD4939" s="384">
        <v>7</v>
      </c>
      <c r="AE4939" s="384">
        <v>25</v>
      </c>
      <c r="AF4939" s="385">
        <v>0.70833333333333337</v>
      </c>
      <c r="AG4939" s="386">
        <v>19.5</v>
      </c>
      <c r="AH4939" s="387">
        <f t="shared" ref="AH4939:AH5002" si="92">ROUND(AG4939,0)</f>
        <v>20</v>
      </c>
    </row>
    <row r="4940" spans="11:34" ht="14.5" x14ac:dyDescent="0.35">
      <c r="K4940" s="4"/>
      <c r="AC4940" s="384">
        <v>2022</v>
      </c>
      <c r="AD4940" s="384">
        <v>7</v>
      </c>
      <c r="AE4940" s="384">
        <v>25</v>
      </c>
      <c r="AF4940" s="385">
        <v>0.75</v>
      </c>
      <c r="AG4940" s="386">
        <v>19</v>
      </c>
      <c r="AH4940" s="387">
        <f t="shared" si="92"/>
        <v>19</v>
      </c>
    </row>
    <row r="4941" spans="11:34" ht="14.5" x14ac:dyDescent="0.35">
      <c r="K4941" s="4"/>
      <c r="AC4941" s="384">
        <v>2022</v>
      </c>
      <c r="AD4941" s="384">
        <v>7</v>
      </c>
      <c r="AE4941" s="384">
        <v>25</v>
      </c>
      <c r="AF4941" s="385">
        <v>0.79166666666666663</v>
      </c>
      <c r="AG4941" s="386">
        <v>19</v>
      </c>
      <c r="AH4941" s="387">
        <f t="shared" si="92"/>
        <v>19</v>
      </c>
    </row>
    <row r="4942" spans="11:34" ht="14.5" x14ac:dyDescent="0.35">
      <c r="K4942" s="4"/>
      <c r="AC4942" s="384">
        <v>2022</v>
      </c>
      <c r="AD4942" s="384">
        <v>7</v>
      </c>
      <c r="AE4942" s="384">
        <v>25</v>
      </c>
      <c r="AF4942" s="385">
        <v>0.83333333333333337</v>
      </c>
      <c r="AG4942" s="386">
        <v>18.3</v>
      </c>
      <c r="AH4942" s="387">
        <f t="shared" si="92"/>
        <v>18</v>
      </c>
    </row>
    <row r="4943" spans="11:34" ht="14.5" x14ac:dyDescent="0.35">
      <c r="K4943" s="4"/>
      <c r="AC4943" s="384">
        <v>2022</v>
      </c>
      <c r="AD4943" s="384">
        <v>7</v>
      </c>
      <c r="AE4943" s="384">
        <v>25</v>
      </c>
      <c r="AF4943" s="385">
        <v>0.875</v>
      </c>
      <c r="AG4943" s="386">
        <v>17.3</v>
      </c>
      <c r="AH4943" s="387">
        <f t="shared" si="92"/>
        <v>17</v>
      </c>
    </row>
    <row r="4944" spans="11:34" ht="14.5" x14ac:dyDescent="0.35">
      <c r="K4944" s="4"/>
      <c r="AC4944" s="384">
        <v>2022</v>
      </c>
      <c r="AD4944" s="384">
        <v>7</v>
      </c>
      <c r="AE4944" s="384">
        <v>25</v>
      </c>
      <c r="AF4944" s="385">
        <v>0.91666666666666663</v>
      </c>
      <c r="AG4944" s="386">
        <v>16.899999999999999</v>
      </c>
      <c r="AH4944" s="387">
        <f t="shared" si="92"/>
        <v>17</v>
      </c>
    </row>
    <row r="4945" spans="11:34" ht="14.5" x14ac:dyDescent="0.35">
      <c r="K4945" s="4"/>
      <c r="AC4945" s="384">
        <v>2022</v>
      </c>
      <c r="AD4945" s="384">
        <v>7</v>
      </c>
      <c r="AE4945" s="384">
        <v>25</v>
      </c>
      <c r="AF4945" s="385">
        <v>0.95833333333333337</v>
      </c>
      <c r="AG4945" s="386">
        <v>16</v>
      </c>
      <c r="AH4945" s="387">
        <f t="shared" si="92"/>
        <v>16</v>
      </c>
    </row>
    <row r="4946" spans="11:34" ht="14.5" x14ac:dyDescent="0.35">
      <c r="K4946" s="4"/>
      <c r="AC4946" s="384">
        <v>2022</v>
      </c>
      <c r="AD4946" s="384">
        <v>7</v>
      </c>
      <c r="AE4946" s="384">
        <v>26</v>
      </c>
      <c r="AF4946" s="385">
        <v>0</v>
      </c>
      <c r="AG4946" s="386">
        <v>15.4</v>
      </c>
      <c r="AH4946" s="387">
        <f t="shared" si="92"/>
        <v>15</v>
      </c>
    </row>
    <row r="4947" spans="11:34" ht="14.5" x14ac:dyDescent="0.35">
      <c r="K4947" s="4"/>
      <c r="AC4947" s="384">
        <v>2022</v>
      </c>
      <c r="AD4947" s="384">
        <v>7</v>
      </c>
      <c r="AE4947" s="384">
        <v>26</v>
      </c>
      <c r="AF4947" s="385">
        <v>4.1666666666666664E-2</v>
      </c>
      <c r="AG4947" s="386">
        <v>14.6</v>
      </c>
      <c r="AH4947" s="387">
        <f t="shared" si="92"/>
        <v>15</v>
      </c>
    </row>
    <row r="4948" spans="11:34" ht="14.5" x14ac:dyDescent="0.35">
      <c r="K4948" s="4"/>
      <c r="AC4948" s="384">
        <v>2022</v>
      </c>
      <c r="AD4948" s="384">
        <v>7</v>
      </c>
      <c r="AE4948" s="384">
        <v>26</v>
      </c>
      <c r="AF4948" s="385">
        <v>8.3333333333333329E-2</v>
      </c>
      <c r="AG4948" s="386">
        <v>13.4</v>
      </c>
      <c r="AH4948" s="387">
        <f t="shared" si="92"/>
        <v>13</v>
      </c>
    </row>
    <row r="4949" spans="11:34" ht="14.5" x14ac:dyDescent="0.35">
      <c r="K4949" s="4"/>
      <c r="AC4949" s="384">
        <v>2022</v>
      </c>
      <c r="AD4949" s="384">
        <v>7</v>
      </c>
      <c r="AE4949" s="384">
        <v>26</v>
      </c>
      <c r="AF4949" s="385">
        <v>0.125</v>
      </c>
      <c r="AG4949" s="386">
        <v>13.1</v>
      </c>
      <c r="AH4949" s="387">
        <f t="shared" si="92"/>
        <v>13</v>
      </c>
    </row>
    <row r="4950" spans="11:34" ht="14.5" x14ac:dyDescent="0.35">
      <c r="K4950" s="4"/>
      <c r="AC4950" s="384">
        <v>2022</v>
      </c>
      <c r="AD4950" s="384">
        <v>7</v>
      </c>
      <c r="AE4950" s="384">
        <v>26</v>
      </c>
      <c r="AF4950" s="385">
        <v>0.16666666666666666</v>
      </c>
      <c r="AG4950" s="386">
        <v>14</v>
      </c>
      <c r="AH4950" s="387">
        <f t="shared" si="92"/>
        <v>14</v>
      </c>
    </row>
    <row r="4951" spans="11:34" ht="14.5" x14ac:dyDescent="0.35">
      <c r="K4951" s="4"/>
      <c r="AC4951" s="384">
        <v>2022</v>
      </c>
      <c r="AD4951" s="384">
        <v>7</v>
      </c>
      <c r="AE4951" s="384">
        <v>26</v>
      </c>
      <c r="AF4951" s="385">
        <v>0.20833333333333334</v>
      </c>
      <c r="AG4951" s="386">
        <v>13.9</v>
      </c>
      <c r="AH4951" s="387">
        <f t="shared" si="92"/>
        <v>14</v>
      </c>
    </row>
    <row r="4952" spans="11:34" ht="14.5" x14ac:dyDescent="0.35">
      <c r="K4952" s="4"/>
      <c r="AC4952" s="384">
        <v>2022</v>
      </c>
      <c r="AD4952" s="384">
        <v>7</v>
      </c>
      <c r="AE4952" s="384">
        <v>26</v>
      </c>
      <c r="AF4952" s="385">
        <v>0.25</v>
      </c>
      <c r="AG4952" s="386">
        <v>14.4</v>
      </c>
      <c r="AH4952" s="387">
        <f t="shared" si="92"/>
        <v>14</v>
      </c>
    </row>
    <row r="4953" spans="11:34" ht="14.5" x14ac:dyDescent="0.35">
      <c r="K4953" s="4"/>
      <c r="AC4953" s="384">
        <v>2022</v>
      </c>
      <c r="AD4953" s="384">
        <v>7</v>
      </c>
      <c r="AE4953" s="384">
        <v>26</v>
      </c>
      <c r="AF4953" s="385">
        <v>0.29166666666666669</v>
      </c>
      <c r="AG4953" s="386">
        <v>15.8</v>
      </c>
      <c r="AH4953" s="387">
        <f t="shared" si="92"/>
        <v>16</v>
      </c>
    </row>
    <row r="4954" spans="11:34" ht="14.5" x14ac:dyDescent="0.35">
      <c r="K4954" s="4"/>
      <c r="AC4954" s="384">
        <v>2022</v>
      </c>
      <c r="AD4954" s="384">
        <v>7</v>
      </c>
      <c r="AE4954" s="384">
        <v>26</v>
      </c>
      <c r="AF4954" s="385">
        <v>0.33333333333333331</v>
      </c>
      <c r="AG4954" s="386">
        <v>17</v>
      </c>
      <c r="AH4954" s="387">
        <f t="shared" si="92"/>
        <v>17</v>
      </c>
    </row>
    <row r="4955" spans="11:34" ht="14.5" x14ac:dyDescent="0.35">
      <c r="K4955" s="4"/>
      <c r="AC4955" s="384">
        <v>2022</v>
      </c>
      <c r="AD4955" s="384">
        <v>7</v>
      </c>
      <c r="AE4955" s="384">
        <v>26</v>
      </c>
      <c r="AF4955" s="385">
        <v>0.375</v>
      </c>
      <c r="AG4955" s="386">
        <v>18.7</v>
      </c>
      <c r="AH4955" s="387">
        <f t="shared" si="92"/>
        <v>19</v>
      </c>
    </row>
    <row r="4956" spans="11:34" ht="14.5" x14ac:dyDescent="0.35">
      <c r="K4956" s="4"/>
      <c r="AC4956" s="384">
        <v>2022</v>
      </c>
      <c r="AD4956" s="384">
        <v>7</v>
      </c>
      <c r="AE4956" s="384">
        <v>26</v>
      </c>
      <c r="AF4956" s="385">
        <v>0.41666666666666669</v>
      </c>
      <c r="AG4956" s="386">
        <v>18.8</v>
      </c>
      <c r="AH4956" s="387">
        <f t="shared" si="92"/>
        <v>19</v>
      </c>
    </row>
    <row r="4957" spans="11:34" ht="14.5" x14ac:dyDescent="0.35">
      <c r="K4957" s="4"/>
      <c r="AC4957" s="384">
        <v>2022</v>
      </c>
      <c r="AD4957" s="384">
        <v>7</v>
      </c>
      <c r="AE4957" s="384">
        <v>26</v>
      </c>
      <c r="AF4957" s="385">
        <v>0.45833333333333331</v>
      </c>
      <c r="AG4957" s="386">
        <v>19.2</v>
      </c>
      <c r="AH4957" s="387">
        <f t="shared" si="92"/>
        <v>19</v>
      </c>
    </row>
    <row r="4958" spans="11:34" ht="14.5" x14ac:dyDescent="0.35">
      <c r="K4958" s="4"/>
      <c r="AC4958" s="384">
        <v>2022</v>
      </c>
      <c r="AD4958" s="384">
        <v>7</v>
      </c>
      <c r="AE4958" s="384">
        <v>26</v>
      </c>
      <c r="AF4958" s="385">
        <v>0.5</v>
      </c>
      <c r="AG4958" s="386">
        <v>20.9</v>
      </c>
      <c r="AH4958" s="387">
        <f t="shared" si="92"/>
        <v>21</v>
      </c>
    </row>
    <row r="4959" spans="11:34" ht="14.5" x14ac:dyDescent="0.35">
      <c r="K4959" s="4"/>
      <c r="AC4959" s="384">
        <v>2022</v>
      </c>
      <c r="AD4959" s="384">
        <v>7</v>
      </c>
      <c r="AE4959" s="384">
        <v>26</v>
      </c>
      <c r="AF4959" s="385">
        <v>0.54166666666666663</v>
      </c>
      <c r="AG4959" s="386">
        <v>22.3</v>
      </c>
      <c r="AH4959" s="387">
        <f t="shared" si="92"/>
        <v>22</v>
      </c>
    </row>
    <row r="4960" spans="11:34" ht="14.5" x14ac:dyDescent="0.35">
      <c r="K4960" s="4"/>
      <c r="AC4960" s="384">
        <v>2022</v>
      </c>
      <c r="AD4960" s="384">
        <v>7</v>
      </c>
      <c r="AE4960" s="384">
        <v>26</v>
      </c>
      <c r="AF4960" s="385">
        <v>0.58333333333333337</v>
      </c>
      <c r="AG4960" s="386">
        <v>22.2</v>
      </c>
      <c r="AH4960" s="387">
        <f t="shared" si="92"/>
        <v>22</v>
      </c>
    </row>
    <row r="4961" spans="11:34" ht="14.5" x14ac:dyDescent="0.35">
      <c r="K4961" s="4"/>
      <c r="AC4961" s="384">
        <v>2022</v>
      </c>
      <c r="AD4961" s="384">
        <v>7</v>
      </c>
      <c r="AE4961" s="384">
        <v>26</v>
      </c>
      <c r="AF4961" s="385">
        <v>0.625</v>
      </c>
      <c r="AG4961" s="386">
        <v>22.8</v>
      </c>
      <c r="AH4961" s="387">
        <f t="shared" si="92"/>
        <v>23</v>
      </c>
    </row>
    <row r="4962" spans="11:34" ht="14.5" x14ac:dyDescent="0.35">
      <c r="K4962" s="4"/>
      <c r="AC4962" s="384">
        <v>2022</v>
      </c>
      <c r="AD4962" s="384">
        <v>7</v>
      </c>
      <c r="AE4962" s="384">
        <v>26</v>
      </c>
      <c r="AF4962" s="385">
        <v>0.66666666666666663</v>
      </c>
      <c r="AG4962" s="386">
        <v>23.2</v>
      </c>
      <c r="AH4962" s="387">
        <f t="shared" si="92"/>
        <v>23</v>
      </c>
    </row>
    <row r="4963" spans="11:34" ht="14.5" x14ac:dyDescent="0.35">
      <c r="K4963" s="4"/>
      <c r="AC4963" s="384">
        <v>2022</v>
      </c>
      <c r="AD4963" s="384">
        <v>7</v>
      </c>
      <c r="AE4963" s="384">
        <v>26</v>
      </c>
      <c r="AF4963" s="385">
        <v>0.70833333333333337</v>
      </c>
      <c r="AG4963" s="386">
        <v>23.4</v>
      </c>
      <c r="AH4963" s="387">
        <f t="shared" si="92"/>
        <v>23</v>
      </c>
    </row>
    <row r="4964" spans="11:34" ht="14.5" x14ac:dyDescent="0.35">
      <c r="K4964" s="4"/>
      <c r="AC4964" s="384">
        <v>2022</v>
      </c>
      <c r="AD4964" s="384">
        <v>7</v>
      </c>
      <c r="AE4964" s="384">
        <v>26</v>
      </c>
      <c r="AF4964" s="385">
        <v>0.75</v>
      </c>
      <c r="AG4964" s="386">
        <v>23</v>
      </c>
      <c r="AH4964" s="387">
        <f t="shared" si="92"/>
        <v>23</v>
      </c>
    </row>
    <row r="4965" spans="11:34" ht="14.5" x14ac:dyDescent="0.35">
      <c r="K4965" s="4"/>
      <c r="AC4965" s="384">
        <v>2022</v>
      </c>
      <c r="AD4965" s="384">
        <v>7</v>
      </c>
      <c r="AE4965" s="384">
        <v>26</v>
      </c>
      <c r="AF4965" s="385">
        <v>0.79166666666666663</v>
      </c>
      <c r="AG4965" s="386">
        <v>21</v>
      </c>
      <c r="AH4965" s="387">
        <f t="shared" si="92"/>
        <v>21</v>
      </c>
    </row>
    <row r="4966" spans="11:34" ht="14.5" x14ac:dyDescent="0.35">
      <c r="K4966" s="4"/>
      <c r="AC4966" s="384">
        <v>2022</v>
      </c>
      <c r="AD4966" s="384">
        <v>7</v>
      </c>
      <c r="AE4966" s="384">
        <v>26</v>
      </c>
      <c r="AF4966" s="385">
        <v>0.83333333333333337</v>
      </c>
      <c r="AG4966" s="386">
        <v>19.600000000000001</v>
      </c>
      <c r="AH4966" s="387">
        <f t="shared" si="92"/>
        <v>20</v>
      </c>
    </row>
    <row r="4967" spans="11:34" ht="14.5" x14ac:dyDescent="0.35">
      <c r="K4967" s="4"/>
      <c r="AC4967" s="384">
        <v>2022</v>
      </c>
      <c r="AD4967" s="384">
        <v>7</v>
      </c>
      <c r="AE4967" s="384">
        <v>26</v>
      </c>
      <c r="AF4967" s="385">
        <v>0.875</v>
      </c>
      <c r="AG4967" s="386">
        <v>18.5</v>
      </c>
      <c r="AH4967" s="387">
        <f t="shared" si="92"/>
        <v>19</v>
      </c>
    </row>
    <row r="4968" spans="11:34" ht="14.5" x14ac:dyDescent="0.35">
      <c r="K4968" s="4"/>
      <c r="AC4968" s="384">
        <v>2022</v>
      </c>
      <c r="AD4968" s="384">
        <v>7</v>
      </c>
      <c r="AE4968" s="384">
        <v>26</v>
      </c>
      <c r="AF4968" s="385">
        <v>0.91666666666666663</v>
      </c>
      <c r="AG4968" s="386">
        <v>16.399999999999999</v>
      </c>
      <c r="AH4968" s="387">
        <f t="shared" si="92"/>
        <v>16</v>
      </c>
    </row>
    <row r="4969" spans="11:34" ht="14.5" x14ac:dyDescent="0.35">
      <c r="K4969" s="4"/>
      <c r="AC4969" s="384">
        <v>2022</v>
      </c>
      <c r="AD4969" s="384">
        <v>7</v>
      </c>
      <c r="AE4969" s="384">
        <v>26</v>
      </c>
      <c r="AF4969" s="385">
        <v>0.95833333333333337</v>
      </c>
      <c r="AG4969" s="386">
        <v>15.5</v>
      </c>
      <c r="AH4969" s="387">
        <f t="shared" si="92"/>
        <v>16</v>
      </c>
    </row>
    <row r="4970" spans="11:34" ht="14.5" x14ac:dyDescent="0.35">
      <c r="K4970" s="4"/>
      <c r="AC4970" s="384">
        <v>2022</v>
      </c>
      <c r="AD4970" s="384">
        <v>7</v>
      </c>
      <c r="AE4970" s="384">
        <v>27</v>
      </c>
      <c r="AF4970" s="385">
        <v>0</v>
      </c>
      <c r="AG4970" s="386">
        <v>15.7</v>
      </c>
      <c r="AH4970" s="387">
        <f t="shared" si="92"/>
        <v>16</v>
      </c>
    </row>
    <row r="4971" spans="11:34" ht="14.5" x14ac:dyDescent="0.35">
      <c r="K4971" s="4"/>
      <c r="AC4971" s="384">
        <v>2022</v>
      </c>
      <c r="AD4971" s="384">
        <v>7</v>
      </c>
      <c r="AE4971" s="384">
        <v>27</v>
      </c>
      <c r="AF4971" s="385">
        <v>4.1666666666666664E-2</v>
      </c>
      <c r="AG4971" s="386">
        <v>16.3</v>
      </c>
      <c r="AH4971" s="387">
        <f t="shared" si="92"/>
        <v>16</v>
      </c>
    </row>
    <row r="4972" spans="11:34" ht="14.5" x14ac:dyDescent="0.35">
      <c r="K4972" s="4"/>
      <c r="AC4972" s="384">
        <v>2022</v>
      </c>
      <c r="AD4972" s="384">
        <v>7</v>
      </c>
      <c r="AE4972" s="384">
        <v>27</v>
      </c>
      <c r="AF4972" s="385">
        <v>8.3333333333333329E-2</v>
      </c>
      <c r="AG4972" s="386">
        <v>16.3</v>
      </c>
      <c r="AH4972" s="387">
        <f t="shared" si="92"/>
        <v>16</v>
      </c>
    </row>
    <row r="4973" spans="11:34" ht="14.5" x14ac:dyDescent="0.35">
      <c r="K4973" s="4"/>
      <c r="AC4973" s="384">
        <v>2022</v>
      </c>
      <c r="AD4973" s="384">
        <v>7</v>
      </c>
      <c r="AE4973" s="384">
        <v>27</v>
      </c>
      <c r="AF4973" s="385">
        <v>0.125</v>
      </c>
      <c r="AG4973" s="386">
        <v>14.5</v>
      </c>
      <c r="AH4973" s="387">
        <f t="shared" si="92"/>
        <v>15</v>
      </c>
    </row>
    <row r="4974" spans="11:34" ht="14.5" x14ac:dyDescent="0.35">
      <c r="K4974" s="4"/>
      <c r="AC4974" s="384">
        <v>2022</v>
      </c>
      <c r="AD4974" s="384">
        <v>7</v>
      </c>
      <c r="AE4974" s="384">
        <v>27</v>
      </c>
      <c r="AF4974" s="385">
        <v>0.16666666666666666</v>
      </c>
      <c r="AG4974" s="386">
        <v>13.8</v>
      </c>
      <c r="AH4974" s="387">
        <f t="shared" si="92"/>
        <v>14</v>
      </c>
    </row>
    <row r="4975" spans="11:34" ht="14.5" x14ac:dyDescent="0.35">
      <c r="K4975" s="4"/>
      <c r="AC4975" s="384">
        <v>2022</v>
      </c>
      <c r="AD4975" s="384">
        <v>7</v>
      </c>
      <c r="AE4975" s="384">
        <v>27</v>
      </c>
      <c r="AF4975" s="385">
        <v>0.20833333333333334</v>
      </c>
      <c r="AG4975" s="386">
        <v>13.6</v>
      </c>
      <c r="AH4975" s="387">
        <f t="shared" si="92"/>
        <v>14</v>
      </c>
    </row>
    <row r="4976" spans="11:34" ht="14.5" x14ac:dyDescent="0.35">
      <c r="K4976" s="4"/>
      <c r="AC4976" s="384">
        <v>2022</v>
      </c>
      <c r="AD4976" s="384">
        <v>7</v>
      </c>
      <c r="AE4976" s="384">
        <v>27</v>
      </c>
      <c r="AF4976" s="385">
        <v>0.25</v>
      </c>
      <c r="AG4976" s="386">
        <v>15.1</v>
      </c>
      <c r="AH4976" s="387">
        <f t="shared" si="92"/>
        <v>15</v>
      </c>
    </row>
    <row r="4977" spans="11:34" ht="14.5" x14ac:dyDescent="0.35">
      <c r="K4977" s="4"/>
      <c r="AC4977" s="384">
        <v>2022</v>
      </c>
      <c r="AD4977" s="384">
        <v>7</v>
      </c>
      <c r="AE4977" s="384">
        <v>27</v>
      </c>
      <c r="AF4977" s="385">
        <v>0.29166666666666669</v>
      </c>
      <c r="AG4977" s="386">
        <v>17.2</v>
      </c>
      <c r="AH4977" s="387">
        <f t="shared" si="92"/>
        <v>17</v>
      </c>
    </row>
    <row r="4978" spans="11:34" ht="14.5" x14ac:dyDescent="0.35">
      <c r="K4978" s="4"/>
      <c r="AC4978" s="384">
        <v>2022</v>
      </c>
      <c r="AD4978" s="384">
        <v>7</v>
      </c>
      <c r="AE4978" s="384">
        <v>27</v>
      </c>
      <c r="AF4978" s="385">
        <v>0.33333333333333331</v>
      </c>
      <c r="AG4978" s="386">
        <v>19</v>
      </c>
      <c r="AH4978" s="387">
        <f t="shared" si="92"/>
        <v>19</v>
      </c>
    </row>
    <row r="4979" spans="11:34" ht="14.5" x14ac:dyDescent="0.35">
      <c r="K4979" s="4"/>
      <c r="AC4979" s="384">
        <v>2022</v>
      </c>
      <c r="AD4979" s="384">
        <v>7</v>
      </c>
      <c r="AE4979" s="384">
        <v>27</v>
      </c>
      <c r="AF4979" s="385">
        <v>0.375</v>
      </c>
      <c r="AG4979" s="386">
        <v>20</v>
      </c>
      <c r="AH4979" s="387">
        <f t="shared" si="92"/>
        <v>20</v>
      </c>
    </row>
    <row r="4980" spans="11:34" ht="14.5" x14ac:dyDescent="0.35">
      <c r="K4980" s="4"/>
      <c r="AC4980" s="384">
        <v>2022</v>
      </c>
      <c r="AD4980" s="384">
        <v>7</v>
      </c>
      <c r="AE4980" s="384">
        <v>27</v>
      </c>
      <c r="AF4980" s="385">
        <v>0.41666666666666669</v>
      </c>
      <c r="AG4980" s="386">
        <v>23</v>
      </c>
      <c r="AH4980" s="387">
        <f t="shared" si="92"/>
        <v>23</v>
      </c>
    </row>
    <row r="4981" spans="11:34" ht="14.5" x14ac:dyDescent="0.35">
      <c r="K4981" s="4"/>
      <c r="AC4981" s="384">
        <v>2022</v>
      </c>
      <c r="AD4981" s="384">
        <v>7</v>
      </c>
      <c r="AE4981" s="384">
        <v>27</v>
      </c>
      <c r="AF4981" s="385">
        <v>0.45833333333333331</v>
      </c>
      <c r="AG4981" s="386">
        <v>24.9</v>
      </c>
      <c r="AH4981" s="387">
        <f t="shared" si="92"/>
        <v>25</v>
      </c>
    </row>
    <row r="4982" spans="11:34" ht="14.5" x14ac:dyDescent="0.35">
      <c r="K4982" s="4"/>
      <c r="AC4982" s="384">
        <v>2022</v>
      </c>
      <c r="AD4982" s="384">
        <v>7</v>
      </c>
      <c r="AE4982" s="384">
        <v>27</v>
      </c>
      <c r="AF4982" s="385">
        <v>0.5</v>
      </c>
      <c r="AG4982" s="386">
        <v>25.4</v>
      </c>
      <c r="AH4982" s="387">
        <f t="shared" si="92"/>
        <v>25</v>
      </c>
    </row>
    <row r="4983" spans="11:34" ht="14.5" x14ac:dyDescent="0.35">
      <c r="K4983" s="4"/>
      <c r="AC4983" s="384">
        <v>2022</v>
      </c>
      <c r="AD4983" s="384">
        <v>7</v>
      </c>
      <c r="AE4983" s="384">
        <v>27</v>
      </c>
      <c r="AF4983" s="385">
        <v>0.54166666666666663</v>
      </c>
      <c r="AG4983" s="386">
        <v>26.8</v>
      </c>
      <c r="AH4983" s="387">
        <f t="shared" si="92"/>
        <v>27</v>
      </c>
    </row>
    <row r="4984" spans="11:34" ht="14.5" x14ac:dyDescent="0.35">
      <c r="K4984" s="4"/>
      <c r="AC4984" s="384">
        <v>2022</v>
      </c>
      <c r="AD4984" s="384">
        <v>7</v>
      </c>
      <c r="AE4984" s="384">
        <v>27</v>
      </c>
      <c r="AF4984" s="385">
        <v>0.58333333333333337</v>
      </c>
      <c r="AG4984" s="386">
        <v>27</v>
      </c>
      <c r="AH4984" s="387">
        <f t="shared" si="92"/>
        <v>27</v>
      </c>
    </row>
    <row r="4985" spans="11:34" ht="14.5" x14ac:dyDescent="0.35">
      <c r="K4985" s="4"/>
      <c r="AC4985" s="384">
        <v>2022</v>
      </c>
      <c r="AD4985" s="384">
        <v>7</v>
      </c>
      <c r="AE4985" s="384">
        <v>27</v>
      </c>
      <c r="AF4985" s="385">
        <v>0.625</v>
      </c>
      <c r="AG4985" s="386">
        <v>26.8</v>
      </c>
      <c r="AH4985" s="387">
        <f t="shared" si="92"/>
        <v>27</v>
      </c>
    </row>
    <row r="4986" spans="11:34" ht="14.5" x14ac:dyDescent="0.35">
      <c r="K4986" s="4"/>
      <c r="AC4986" s="384">
        <v>2022</v>
      </c>
      <c r="AD4986" s="384">
        <v>7</v>
      </c>
      <c r="AE4986" s="384">
        <v>27</v>
      </c>
      <c r="AF4986" s="385">
        <v>0.66666666666666663</v>
      </c>
      <c r="AG4986" s="386">
        <v>26.9</v>
      </c>
      <c r="AH4986" s="387">
        <f t="shared" si="92"/>
        <v>27</v>
      </c>
    </row>
    <row r="4987" spans="11:34" ht="14.5" x14ac:dyDescent="0.35">
      <c r="K4987" s="4"/>
      <c r="AC4987" s="384">
        <v>2022</v>
      </c>
      <c r="AD4987" s="384">
        <v>7</v>
      </c>
      <c r="AE4987" s="384">
        <v>27</v>
      </c>
      <c r="AF4987" s="385">
        <v>0.70833333333333337</v>
      </c>
      <c r="AG4987" s="386">
        <v>27.1</v>
      </c>
      <c r="AH4987" s="387">
        <f t="shared" si="92"/>
        <v>27</v>
      </c>
    </row>
    <row r="4988" spans="11:34" ht="14.5" x14ac:dyDescent="0.35">
      <c r="K4988" s="4"/>
      <c r="AC4988" s="384">
        <v>2022</v>
      </c>
      <c r="AD4988" s="384">
        <v>7</v>
      </c>
      <c r="AE4988" s="384">
        <v>27</v>
      </c>
      <c r="AF4988" s="385">
        <v>0.75</v>
      </c>
      <c r="AG4988" s="386">
        <v>26.2</v>
      </c>
      <c r="AH4988" s="387">
        <f t="shared" si="92"/>
        <v>26</v>
      </c>
    </row>
    <row r="4989" spans="11:34" ht="14.5" x14ac:dyDescent="0.35">
      <c r="K4989" s="4"/>
      <c r="AC4989" s="384">
        <v>2022</v>
      </c>
      <c r="AD4989" s="384">
        <v>7</v>
      </c>
      <c r="AE4989" s="384">
        <v>27</v>
      </c>
      <c r="AF4989" s="385">
        <v>0.79166666666666663</v>
      </c>
      <c r="AG4989" s="386">
        <v>24.6</v>
      </c>
      <c r="AH4989" s="387">
        <f t="shared" si="92"/>
        <v>25</v>
      </c>
    </row>
    <row r="4990" spans="11:34" ht="14.5" x14ac:dyDescent="0.35">
      <c r="K4990" s="4"/>
      <c r="AC4990" s="384">
        <v>2022</v>
      </c>
      <c r="AD4990" s="384">
        <v>7</v>
      </c>
      <c r="AE4990" s="384">
        <v>27</v>
      </c>
      <c r="AF4990" s="385">
        <v>0.83333333333333337</v>
      </c>
      <c r="AG4990" s="386">
        <v>22.7</v>
      </c>
      <c r="AH4990" s="387">
        <f t="shared" si="92"/>
        <v>23</v>
      </c>
    </row>
    <row r="4991" spans="11:34" ht="14.5" x14ac:dyDescent="0.35">
      <c r="K4991" s="4"/>
      <c r="AC4991" s="384">
        <v>2022</v>
      </c>
      <c r="AD4991" s="384">
        <v>7</v>
      </c>
      <c r="AE4991" s="384">
        <v>27</v>
      </c>
      <c r="AF4991" s="385">
        <v>0.875</v>
      </c>
      <c r="AG4991" s="386">
        <v>20.8</v>
      </c>
      <c r="AH4991" s="387">
        <f t="shared" si="92"/>
        <v>21</v>
      </c>
    </row>
    <row r="4992" spans="11:34" ht="14.5" x14ac:dyDescent="0.35">
      <c r="K4992" s="4"/>
      <c r="AC4992" s="384">
        <v>2022</v>
      </c>
      <c r="AD4992" s="384">
        <v>7</v>
      </c>
      <c r="AE4992" s="384">
        <v>27</v>
      </c>
      <c r="AF4992" s="385">
        <v>0.91666666666666663</v>
      </c>
      <c r="AG4992" s="386">
        <v>19.7</v>
      </c>
      <c r="AH4992" s="387">
        <f t="shared" si="92"/>
        <v>20</v>
      </c>
    </row>
    <row r="4993" spans="11:34" ht="14.5" x14ac:dyDescent="0.35">
      <c r="K4993" s="4"/>
      <c r="AC4993" s="384">
        <v>2022</v>
      </c>
      <c r="AD4993" s="384">
        <v>7</v>
      </c>
      <c r="AE4993" s="384">
        <v>27</v>
      </c>
      <c r="AF4993" s="385">
        <v>0.95833333333333337</v>
      </c>
      <c r="AG4993" s="386">
        <v>18.2</v>
      </c>
      <c r="AH4993" s="387">
        <f t="shared" si="92"/>
        <v>18</v>
      </c>
    </row>
    <row r="4994" spans="11:34" ht="14.5" x14ac:dyDescent="0.35">
      <c r="K4994" s="4"/>
      <c r="AC4994" s="384">
        <v>2022</v>
      </c>
      <c r="AD4994" s="384">
        <v>7</v>
      </c>
      <c r="AE4994" s="384">
        <v>28</v>
      </c>
      <c r="AF4994" s="385">
        <v>0</v>
      </c>
      <c r="AG4994" s="386">
        <v>16.7</v>
      </c>
      <c r="AH4994" s="387">
        <f t="shared" si="92"/>
        <v>17</v>
      </c>
    </row>
    <row r="4995" spans="11:34" ht="14.5" x14ac:dyDescent="0.35">
      <c r="K4995" s="4"/>
      <c r="AC4995" s="384">
        <v>2022</v>
      </c>
      <c r="AD4995" s="384">
        <v>7</v>
      </c>
      <c r="AE4995" s="384">
        <v>28</v>
      </c>
      <c r="AF4995" s="385">
        <v>4.1666666666666664E-2</v>
      </c>
      <c r="AG4995" s="386">
        <v>16.100000000000001</v>
      </c>
      <c r="AH4995" s="387">
        <f t="shared" si="92"/>
        <v>16</v>
      </c>
    </row>
    <row r="4996" spans="11:34" ht="14.5" x14ac:dyDescent="0.35">
      <c r="K4996" s="4"/>
      <c r="AC4996" s="384">
        <v>2022</v>
      </c>
      <c r="AD4996" s="384">
        <v>7</v>
      </c>
      <c r="AE4996" s="384">
        <v>28</v>
      </c>
      <c r="AF4996" s="385">
        <v>8.3333333333333329E-2</v>
      </c>
      <c r="AG4996" s="386">
        <v>15.1</v>
      </c>
      <c r="AH4996" s="387">
        <f t="shared" si="92"/>
        <v>15</v>
      </c>
    </row>
    <row r="4997" spans="11:34" ht="14.5" x14ac:dyDescent="0.35">
      <c r="K4997" s="4"/>
      <c r="AC4997" s="384">
        <v>2022</v>
      </c>
      <c r="AD4997" s="384">
        <v>7</v>
      </c>
      <c r="AE4997" s="384">
        <v>28</v>
      </c>
      <c r="AF4997" s="385">
        <v>0.125</v>
      </c>
      <c r="AG4997" s="386">
        <v>14.7</v>
      </c>
      <c r="AH4997" s="387">
        <f t="shared" si="92"/>
        <v>15</v>
      </c>
    </row>
    <row r="4998" spans="11:34" ht="14.5" x14ac:dyDescent="0.35">
      <c r="K4998" s="4"/>
      <c r="AC4998" s="384">
        <v>2022</v>
      </c>
      <c r="AD4998" s="384">
        <v>7</v>
      </c>
      <c r="AE4998" s="384">
        <v>28</v>
      </c>
      <c r="AF4998" s="385">
        <v>0.16666666666666666</v>
      </c>
      <c r="AG4998" s="386">
        <v>14.5</v>
      </c>
      <c r="AH4998" s="387">
        <f t="shared" si="92"/>
        <v>15</v>
      </c>
    </row>
    <row r="4999" spans="11:34" ht="14.5" x14ac:dyDescent="0.35">
      <c r="K4999" s="4"/>
      <c r="AC4999" s="384">
        <v>2022</v>
      </c>
      <c r="AD4999" s="384">
        <v>7</v>
      </c>
      <c r="AE4999" s="384">
        <v>28</v>
      </c>
      <c r="AF4999" s="385">
        <v>0.20833333333333334</v>
      </c>
      <c r="AG4999" s="386">
        <v>14</v>
      </c>
      <c r="AH4999" s="387">
        <f t="shared" si="92"/>
        <v>14</v>
      </c>
    </row>
    <row r="5000" spans="11:34" ht="14.5" x14ac:dyDescent="0.35">
      <c r="K5000" s="4"/>
      <c r="AC5000" s="384">
        <v>2022</v>
      </c>
      <c r="AD5000" s="384">
        <v>7</v>
      </c>
      <c r="AE5000" s="384">
        <v>28</v>
      </c>
      <c r="AF5000" s="385">
        <v>0.25</v>
      </c>
      <c r="AG5000" s="386">
        <v>15.2</v>
      </c>
      <c r="AH5000" s="387">
        <f t="shared" si="92"/>
        <v>15</v>
      </c>
    </row>
    <row r="5001" spans="11:34" ht="14.5" x14ac:dyDescent="0.35">
      <c r="K5001" s="4"/>
      <c r="AC5001" s="384">
        <v>2022</v>
      </c>
      <c r="AD5001" s="384">
        <v>7</v>
      </c>
      <c r="AE5001" s="384">
        <v>28</v>
      </c>
      <c r="AF5001" s="385">
        <v>0.29166666666666669</v>
      </c>
      <c r="AG5001" s="386">
        <v>17.3</v>
      </c>
      <c r="AH5001" s="387">
        <f t="shared" si="92"/>
        <v>17</v>
      </c>
    </row>
    <row r="5002" spans="11:34" ht="14.5" x14ac:dyDescent="0.35">
      <c r="K5002" s="4"/>
      <c r="AC5002" s="384">
        <v>2022</v>
      </c>
      <c r="AD5002" s="384">
        <v>7</v>
      </c>
      <c r="AE5002" s="384">
        <v>28</v>
      </c>
      <c r="AF5002" s="385">
        <v>0.33333333333333331</v>
      </c>
      <c r="AG5002" s="386">
        <v>19.100000000000001</v>
      </c>
      <c r="AH5002" s="387">
        <f t="shared" si="92"/>
        <v>19</v>
      </c>
    </row>
    <row r="5003" spans="11:34" ht="14.5" x14ac:dyDescent="0.35">
      <c r="K5003" s="4"/>
      <c r="AC5003" s="384">
        <v>2022</v>
      </c>
      <c r="AD5003" s="384">
        <v>7</v>
      </c>
      <c r="AE5003" s="384">
        <v>28</v>
      </c>
      <c r="AF5003" s="385">
        <v>0.375</v>
      </c>
      <c r="AG5003" s="386">
        <v>21.5</v>
      </c>
      <c r="AH5003" s="387">
        <f t="shared" ref="AH5003:AH5066" si="93">ROUND(AG5003,0)</f>
        <v>22</v>
      </c>
    </row>
    <row r="5004" spans="11:34" ht="14.5" x14ac:dyDescent="0.35">
      <c r="K5004" s="4"/>
      <c r="AC5004" s="384">
        <v>2022</v>
      </c>
      <c r="AD5004" s="384">
        <v>7</v>
      </c>
      <c r="AE5004" s="384">
        <v>28</v>
      </c>
      <c r="AF5004" s="385">
        <v>0.41666666666666669</v>
      </c>
      <c r="AG5004" s="386">
        <v>23.8</v>
      </c>
      <c r="AH5004" s="387">
        <f t="shared" si="93"/>
        <v>24</v>
      </c>
    </row>
    <row r="5005" spans="11:34" ht="14.5" x14ac:dyDescent="0.35">
      <c r="K5005" s="4"/>
      <c r="AC5005" s="384">
        <v>2022</v>
      </c>
      <c r="AD5005" s="384">
        <v>7</v>
      </c>
      <c r="AE5005" s="384">
        <v>28</v>
      </c>
      <c r="AF5005" s="385">
        <v>0.45833333333333331</v>
      </c>
      <c r="AG5005" s="386">
        <v>25.6</v>
      </c>
      <c r="AH5005" s="387">
        <f t="shared" si="93"/>
        <v>26</v>
      </c>
    </row>
    <row r="5006" spans="11:34" ht="14.5" x14ac:dyDescent="0.35">
      <c r="K5006" s="4"/>
      <c r="AC5006" s="384">
        <v>2022</v>
      </c>
      <c r="AD5006" s="384">
        <v>7</v>
      </c>
      <c r="AE5006" s="384">
        <v>28</v>
      </c>
      <c r="AF5006" s="385">
        <v>0.5</v>
      </c>
      <c r="AG5006" s="386">
        <v>26.8</v>
      </c>
      <c r="AH5006" s="387">
        <f t="shared" si="93"/>
        <v>27</v>
      </c>
    </row>
    <row r="5007" spans="11:34" ht="14.5" x14ac:dyDescent="0.35">
      <c r="K5007" s="4"/>
      <c r="AC5007" s="384">
        <v>2022</v>
      </c>
      <c r="AD5007" s="384">
        <v>7</v>
      </c>
      <c r="AE5007" s="384">
        <v>28</v>
      </c>
      <c r="AF5007" s="385">
        <v>0.54166666666666663</v>
      </c>
      <c r="AG5007" s="386">
        <v>28.3</v>
      </c>
      <c r="AH5007" s="387">
        <f t="shared" si="93"/>
        <v>28</v>
      </c>
    </row>
    <row r="5008" spans="11:34" ht="14.5" x14ac:dyDescent="0.35">
      <c r="K5008" s="4"/>
      <c r="AC5008" s="384">
        <v>2022</v>
      </c>
      <c r="AD5008" s="384">
        <v>7</v>
      </c>
      <c r="AE5008" s="384">
        <v>28</v>
      </c>
      <c r="AF5008" s="385">
        <v>0.58333333333333337</v>
      </c>
      <c r="AG5008" s="386">
        <v>29</v>
      </c>
      <c r="AH5008" s="387">
        <f t="shared" si="93"/>
        <v>29</v>
      </c>
    </row>
    <row r="5009" spans="11:34" ht="14.5" x14ac:dyDescent="0.35">
      <c r="K5009" s="4"/>
      <c r="AC5009" s="384">
        <v>2022</v>
      </c>
      <c r="AD5009" s="384">
        <v>7</v>
      </c>
      <c r="AE5009" s="384">
        <v>28</v>
      </c>
      <c r="AF5009" s="385">
        <v>0.625</v>
      </c>
      <c r="AG5009" s="386">
        <v>30.3</v>
      </c>
      <c r="AH5009" s="387">
        <f t="shared" si="93"/>
        <v>30</v>
      </c>
    </row>
    <row r="5010" spans="11:34" ht="14.5" x14ac:dyDescent="0.35">
      <c r="K5010" s="4"/>
      <c r="AC5010" s="384">
        <v>2022</v>
      </c>
      <c r="AD5010" s="384">
        <v>7</v>
      </c>
      <c r="AE5010" s="384">
        <v>28</v>
      </c>
      <c r="AF5010" s="385">
        <v>0.66666666666666663</v>
      </c>
      <c r="AG5010" s="386">
        <v>30.2</v>
      </c>
      <c r="AH5010" s="387">
        <f t="shared" si="93"/>
        <v>30</v>
      </c>
    </row>
    <row r="5011" spans="11:34" ht="14.5" x14ac:dyDescent="0.35">
      <c r="K5011" s="4"/>
      <c r="AC5011" s="384">
        <v>2022</v>
      </c>
      <c r="AD5011" s="384">
        <v>7</v>
      </c>
      <c r="AE5011" s="384">
        <v>28</v>
      </c>
      <c r="AF5011" s="385">
        <v>0.70833333333333337</v>
      </c>
      <c r="AG5011" s="386">
        <v>29.5</v>
      </c>
      <c r="AH5011" s="387">
        <f t="shared" si="93"/>
        <v>30</v>
      </c>
    </row>
    <row r="5012" spans="11:34" ht="14.5" x14ac:dyDescent="0.35">
      <c r="K5012" s="4"/>
      <c r="AC5012" s="384">
        <v>2022</v>
      </c>
      <c r="AD5012" s="384">
        <v>7</v>
      </c>
      <c r="AE5012" s="384">
        <v>28</v>
      </c>
      <c r="AF5012" s="385">
        <v>0.75</v>
      </c>
      <c r="AG5012" s="386">
        <v>27.5</v>
      </c>
      <c r="AH5012" s="387">
        <f t="shared" si="93"/>
        <v>28</v>
      </c>
    </row>
    <row r="5013" spans="11:34" ht="14.5" x14ac:dyDescent="0.35">
      <c r="K5013" s="4"/>
      <c r="AC5013" s="384">
        <v>2022</v>
      </c>
      <c r="AD5013" s="384">
        <v>7</v>
      </c>
      <c r="AE5013" s="384">
        <v>28</v>
      </c>
      <c r="AF5013" s="385">
        <v>0.79166666666666663</v>
      </c>
      <c r="AG5013" s="386">
        <v>25.8</v>
      </c>
      <c r="AH5013" s="387">
        <f t="shared" si="93"/>
        <v>26</v>
      </c>
    </row>
    <row r="5014" spans="11:34" ht="14.5" x14ac:dyDescent="0.35">
      <c r="K5014" s="4"/>
      <c r="AC5014" s="384">
        <v>2022</v>
      </c>
      <c r="AD5014" s="384">
        <v>7</v>
      </c>
      <c r="AE5014" s="384">
        <v>28</v>
      </c>
      <c r="AF5014" s="385">
        <v>0.83333333333333337</v>
      </c>
      <c r="AG5014" s="386">
        <v>24.5</v>
      </c>
      <c r="AH5014" s="387">
        <f t="shared" si="93"/>
        <v>25</v>
      </c>
    </row>
    <row r="5015" spans="11:34" ht="14.5" x14ac:dyDescent="0.35">
      <c r="K5015" s="4"/>
      <c r="AC5015" s="384">
        <v>2022</v>
      </c>
      <c r="AD5015" s="384">
        <v>7</v>
      </c>
      <c r="AE5015" s="384">
        <v>28</v>
      </c>
      <c r="AF5015" s="385">
        <v>0.875</v>
      </c>
      <c r="AG5015" s="386">
        <v>22.6</v>
      </c>
      <c r="AH5015" s="387">
        <f t="shared" si="93"/>
        <v>23</v>
      </c>
    </row>
    <row r="5016" spans="11:34" ht="14.5" x14ac:dyDescent="0.35">
      <c r="K5016" s="4"/>
      <c r="AC5016" s="384">
        <v>2022</v>
      </c>
      <c r="AD5016" s="384">
        <v>7</v>
      </c>
      <c r="AE5016" s="384">
        <v>28</v>
      </c>
      <c r="AF5016" s="385">
        <v>0.91666666666666663</v>
      </c>
      <c r="AG5016" s="386">
        <v>21.1</v>
      </c>
      <c r="AH5016" s="387">
        <f t="shared" si="93"/>
        <v>21</v>
      </c>
    </row>
    <row r="5017" spans="11:34" ht="14.5" x14ac:dyDescent="0.35">
      <c r="K5017" s="4"/>
      <c r="AC5017" s="384">
        <v>2022</v>
      </c>
      <c r="AD5017" s="384">
        <v>7</v>
      </c>
      <c r="AE5017" s="384">
        <v>28</v>
      </c>
      <c r="AF5017" s="385">
        <v>0.95833333333333337</v>
      </c>
      <c r="AG5017" s="386">
        <v>20.399999999999999</v>
      </c>
      <c r="AH5017" s="387">
        <f t="shared" si="93"/>
        <v>20</v>
      </c>
    </row>
    <row r="5018" spans="11:34" ht="14.5" x14ac:dyDescent="0.35">
      <c r="K5018" s="4"/>
      <c r="AC5018" s="384">
        <v>2022</v>
      </c>
      <c r="AD5018" s="384">
        <v>7</v>
      </c>
      <c r="AE5018" s="384">
        <v>29</v>
      </c>
      <c r="AF5018" s="385">
        <v>0</v>
      </c>
      <c r="AG5018" s="386">
        <v>19.399999999999999</v>
      </c>
      <c r="AH5018" s="387">
        <f t="shared" si="93"/>
        <v>19</v>
      </c>
    </row>
    <row r="5019" spans="11:34" ht="14.5" x14ac:dyDescent="0.35">
      <c r="K5019" s="4"/>
      <c r="AC5019" s="384">
        <v>2022</v>
      </c>
      <c r="AD5019" s="384">
        <v>7</v>
      </c>
      <c r="AE5019" s="384">
        <v>29</v>
      </c>
      <c r="AF5019" s="385">
        <v>4.1666666666666664E-2</v>
      </c>
      <c r="AG5019" s="386">
        <v>19.3</v>
      </c>
      <c r="AH5019" s="387">
        <f t="shared" si="93"/>
        <v>19</v>
      </c>
    </row>
    <row r="5020" spans="11:34" ht="14.5" x14ac:dyDescent="0.35">
      <c r="K5020" s="4"/>
      <c r="AC5020" s="384">
        <v>2022</v>
      </c>
      <c r="AD5020" s="384">
        <v>7</v>
      </c>
      <c r="AE5020" s="384">
        <v>29</v>
      </c>
      <c r="AF5020" s="385">
        <v>8.3333333333333329E-2</v>
      </c>
      <c r="AG5020" s="386">
        <v>16.7</v>
      </c>
      <c r="AH5020" s="387">
        <f t="shared" si="93"/>
        <v>17</v>
      </c>
    </row>
    <row r="5021" spans="11:34" ht="14.5" x14ac:dyDescent="0.35">
      <c r="K5021" s="4"/>
      <c r="AC5021" s="384">
        <v>2022</v>
      </c>
      <c r="AD5021" s="384">
        <v>7</v>
      </c>
      <c r="AE5021" s="384">
        <v>29</v>
      </c>
      <c r="AF5021" s="385">
        <v>0.125</v>
      </c>
      <c r="AG5021" s="386">
        <v>16.2</v>
      </c>
      <c r="AH5021" s="387">
        <f t="shared" si="93"/>
        <v>16</v>
      </c>
    </row>
    <row r="5022" spans="11:34" ht="14.5" x14ac:dyDescent="0.35">
      <c r="K5022" s="4"/>
      <c r="AC5022" s="384">
        <v>2022</v>
      </c>
      <c r="AD5022" s="384">
        <v>7</v>
      </c>
      <c r="AE5022" s="384">
        <v>29</v>
      </c>
      <c r="AF5022" s="385">
        <v>0.16666666666666666</v>
      </c>
      <c r="AG5022" s="386">
        <v>15.9</v>
      </c>
      <c r="AH5022" s="387">
        <f t="shared" si="93"/>
        <v>16</v>
      </c>
    </row>
    <row r="5023" spans="11:34" ht="14.5" x14ac:dyDescent="0.35">
      <c r="K5023" s="4"/>
      <c r="AC5023" s="384">
        <v>2022</v>
      </c>
      <c r="AD5023" s="384">
        <v>7</v>
      </c>
      <c r="AE5023" s="384">
        <v>29</v>
      </c>
      <c r="AF5023" s="385">
        <v>0.20833333333333334</v>
      </c>
      <c r="AG5023" s="386">
        <v>15.8</v>
      </c>
      <c r="AH5023" s="387">
        <f t="shared" si="93"/>
        <v>16</v>
      </c>
    </row>
    <row r="5024" spans="11:34" ht="14.5" x14ac:dyDescent="0.35">
      <c r="K5024" s="4"/>
      <c r="AC5024" s="384">
        <v>2022</v>
      </c>
      <c r="AD5024" s="384">
        <v>7</v>
      </c>
      <c r="AE5024" s="384">
        <v>29</v>
      </c>
      <c r="AF5024" s="385">
        <v>0.25</v>
      </c>
      <c r="AG5024" s="386">
        <v>17.399999999999999</v>
      </c>
      <c r="AH5024" s="387">
        <f t="shared" si="93"/>
        <v>17</v>
      </c>
    </row>
    <row r="5025" spans="11:34" ht="14.5" x14ac:dyDescent="0.35">
      <c r="K5025" s="4"/>
      <c r="AC5025" s="384">
        <v>2022</v>
      </c>
      <c r="AD5025" s="384">
        <v>7</v>
      </c>
      <c r="AE5025" s="384">
        <v>29</v>
      </c>
      <c r="AF5025" s="385">
        <v>0.29166666666666669</v>
      </c>
      <c r="AG5025" s="386">
        <v>19.899999999999999</v>
      </c>
      <c r="AH5025" s="387">
        <f t="shared" si="93"/>
        <v>20</v>
      </c>
    </row>
    <row r="5026" spans="11:34" ht="14.5" x14ac:dyDescent="0.35">
      <c r="K5026" s="4"/>
      <c r="AC5026" s="384">
        <v>2022</v>
      </c>
      <c r="AD5026" s="384">
        <v>7</v>
      </c>
      <c r="AE5026" s="384">
        <v>29</v>
      </c>
      <c r="AF5026" s="385">
        <v>0.33333333333333331</v>
      </c>
      <c r="AG5026" s="386">
        <v>22.6</v>
      </c>
      <c r="AH5026" s="387">
        <f t="shared" si="93"/>
        <v>23</v>
      </c>
    </row>
    <row r="5027" spans="11:34" ht="14.5" x14ac:dyDescent="0.35">
      <c r="K5027" s="4"/>
      <c r="AC5027" s="384">
        <v>2022</v>
      </c>
      <c r="AD5027" s="384">
        <v>7</v>
      </c>
      <c r="AE5027" s="384">
        <v>29</v>
      </c>
      <c r="AF5027" s="385">
        <v>0.375</v>
      </c>
      <c r="AG5027" s="386">
        <v>25.5</v>
      </c>
      <c r="AH5027" s="387">
        <f t="shared" si="93"/>
        <v>26</v>
      </c>
    </row>
    <row r="5028" spans="11:34" ht="14.5" x14ac:dyDescent="0.35">
      <c r="K5028" s="4"/>
      <c r="AC5028" s="384">
        <v>2022</v>
      </c>
      <c r="AD5028" s="384">
        <v>7</v>
      </c>
      <c r="AE5028" s="384">
        <v>29</v>
      </c>
      <c r="AF5028" s="385">
        <v>0.41666666666666669</v>
      </c>
      <c r="AG5028" s="386">
        <v>27.3</v>
      </c>
      <c r="AH5028" s="387">
        <f t="shared" si="93"/>
        <v>27</v>
      </c>
    </row>
    <row r="5029" spans="11:34" ht="14.5" x14ac:dyDescent="0.35">
      <c r="K5029" s="4"/>
      <c r="AC5029" s="384">
        <v>2022</v>
      </c>
      <c r="AD5029" s="384">
        <v>7</v>
      </c>
      <c r="AE5029" s="384">
        <v>29</v>
      </c>
      <c r="AF5029" s="385">
        <v>0.45833333333333331</v>
      </c>
      <c r="AG5029" s="386">
        <v>28.8</v>
      </c>
      <c r="AH5029" s="387">
        <f t="shared" si="93"/>
        <v>29</v>
      </c>
    </row>
    <row r="5030" spans="11:34" ht="14.5" x14ac:dyDescent="0.35">
      <c r="K5030" s="4"/>
      <c r="AC5030" s="384">
        <v>2022</v>
      </c>
      <c r="AD5030" s="384">
        <v>7</v>
      </c>
      <c r="AE5030" s="384">
        <v>29</v>
      </c>
      <c r="AF5030" s="385">
        <v>0.5</v>
      </c>
      <c r="AG5030" s="386">
        <v>29.5</v>
      </c>
      <c r="AH5030" s="387">
        <f t="shared" si="93"/>
        <v>30</v>
      </c>
    </row>
    <row r="5031" spans="11:34" ht="14.5" x14ac:dyDescent="0.35">
      <c r="K5031" s="4"/>
      <c r="AC5031" s="384">
        <v>2022</v>
      </c>
      <c r="AD5031" s="384">
        <v>7</v>
      </c>
      <c r="AE5031" s="384">
        <v>29</v>
      </c>
      <c r="AF5031" s="385">
        <v>0.54166666666666663</v>
      </c>
      <c r="AG5031" s="386">
        <v>29.3</v>
      </c>
      <c r="AH5031" s="387">
        <f t="shared" si="93"/>
        <v>29</v>
      </c>
    </row>
    <row r="5032" spans="11:34" ht="14.5" x14ac:dyDescent="0.35">
      <c r="K5032" s="4"/>
      <c r="AC5032" s="384">
        <v>2022</v>
      </c>
      <c r="AD5032" s="384">
        <v>7</v>
      </c>
      <c r="AE5032" s="384">
        <v>29</v>
      </c>
      <c r="AF5032" s="385">
        <v>0.58333333333333337</v>
      </c>
      <c r="AG5032" s="386">
        <v>30.4</v>
      </c>
      <c r="AH5032" s="387">
        <f t="shared" si="93"/>
        <v>30</v>
      </c>
    </row>
    <row r="5033" spans="11:34" ht="14.5" x14ac:dyDescent="0.35">
      <c r="K5033" s="4"/>
      <c r="AC5033" s="384">
        <v>2022</v>
      </c>
      <c r="AD5033" s="384">
        <v>7</v>
      </c>
      <c r="AE5033" s="384">
        <v>29</v>
      </c>
      <c r="AF5033" s="385">
        <v>0.625</v>
      </c>
      <c r="AG5033" s="386">
        <v>31</v>
      </c>
      <c r="AH5033" s="387">
        <f t="shared" si="93"/>
        <v>31</v>
      </c>
    </row>
    <row r="5034" spans="11:34" ht="14.5" x14ac:dyDescent="0.35">
      <c r="K5034" s="4"/>
      <c r="AC5034" s="384">
        <v>2022</v>
      </c>
      <c r="AD5034" s="384">
        <v>7</v>
      </c>
      <c r="AE5034" s="384">
        <v>29</v>
      </c>
      <c r="AF5034" s="385">
        <v>0.66666666666666663</v>
      </c>
      <c r="AG5034" s="386">
        <v>30.8</v>
      </c>
      <c r="AH5034" s="387">
        <f t="shared" si="93"/>
        <v>31</v>
      </c>
    </row>
    <row r="5035" spans="11:34" ht="14.5" x14ac:dyDescent="0.35">
      <c r="K5035" s="4"/>
      <c r="AC5035" s="384">
        <v>2022</v>
      </c>
      <c r="AD5035" s="384">
        <v>7</v>
      </c>
      <c r="AE5035" s="384">
        <v>29</v>
      </c>
      <c r="AF5035" s="385">
        <v>0.70833333333333337</v>
      </c>
      <c r="AG5035" s="386">
        <v>28.5</v>
      </c>
      <c r="AH5035" s="387">
        <f t="shared" si="93"/>
        <v>29</v>
      </c>
    </row>
    <row r="5036" spans="11:34" ht="14.5" x14ac:dyDescent="0.35">
      <c r="K5036" s="4"/>
      <c r="AC5036" s="384">
        <v>2022</v>
      </c>
      <c r="AD5036" s="384">
        <v>7</v>
      </c>
      <c r="AE5036" s="384">
        <v>29</v>
      </c>
      <c r="AF5036" s="385">
        <v>0.75</v>
      </c>
      <c r="AG5036" s="386">
        <v>17.899999999999999</v>
      </c>
      <c r="AH5036" s="387">
        <f t="shared" si="93"/>
        <v>18</v>
      </c>
    </row>
    <row r="5037" spans="11:34" ht="14.5" x14ac:dyDescent="0.35">
      <c r="K5037" s="4"/>
      <c r="AC5037" s="384">
        <v>2022</v>
      </c>
      <c r="AD5037" s="384">
        <v>7</v>
      </c>
      <c r="AE5037" s="384">
        <v>29</v>
      </c>
      <c r="AF5037" s="385">
        <v>0.79166666666666663</v>
      </c>
      <c r="AG5037" s="386">
        <v>19.899999999999999</v>
      </c>
      <c r="AH5037" s="387">
        <f t="shared" si="93"/>
        <v>20</v>
      </c>
    </row>
    <row r="5038" spans="11:34" ht="14.5" x14ac:dyDescent="0.35">
      <c r="K5038" s="4"/>
      <c r="AC5038" s="384">
        <v>2022</v>
      </c>
      <c r="AD5038" s="384">
        <v>7</v>
      </c>
      <c r="AE5038" s="384">
        <v>29</v>
      </c>
      <c r="AF5038" s="385">
        <v>0.83333333333333337</v>
      </c>
      <c r="AG5038" s="386">
        <v>22</v>
      </c>
      <c r="AH5038" s="387">
        <f t="shared" si="93"/>
        <v>22</v>
      </c>
    </row>
    <row r="5039" spans="11:34" ht="14.5" x14ac:dyDescent="0.35">
      <c r="K5039" s="4"/>
      <c r="AC5039" s="384">
        <v>2022</v>
      </c>
      <c r="AD5039" s="384">
        <v>7</v>
      </c>
      <c r="AE5039" s="384">
        <v>29</v>
      </c>
      <c r="AF5039" s="385">
        <v>0.875</v>
      </c>
      <c r="AG5039" s="386">
        <v>17.2</v>
      </c>
      <c r="AH5039" s="387">
        <f t="shared" si="93"/>
        <v>17</v>
      </c>
    </row>
    <row r="5040" spans="11:34" ht="14.5" x14ac:dyDescent="0.35">
      <c r="K5040" s="4"/>
      <c r="AC5040" s="384">
        <v>2022</v>
      </c>
      <c r="AD5040" s="384">
        <v>7</v>
      </c>
      <c r="AE5040" s="384">
        <v>29</v>
      </c>
      <c r="AF5040" s="385">
        <v>0.91666666666666663</v>
      </c>
      <c r="AG5040" s="386">
        <v>17.100000000000001</v>
      </c>
      <c r="AH5040" s="387">
        <f t="shared" si="93"/>
        <v>17</v>
      </c>
    </row>
    <row r="5041" spans="11:34" ht="14.5" x14ac:dyDescent="0.35">
      <c r="K5041" s="4"/>
      <c r="AC5041" s="384">
        <v>2022</v>
      </c>
      <c r="AD5041" s="384">
        <v>7</v>
      </c>
      <c r="AE5041" s="384">
        <v>29</v>
      </c>
      <c r="AF5041" s="385">
        <v>0.95833333333333337</v>
      </c>
      <c r="AG5041" s="386">
        <v>17</v>
      </c>
      <c r="AH5041" s="387">
        <f t="shared" si="93"/>
        <v>17</v>
      </c>
    </row>
    <row r="5042" spans="11:34" ht="14.5" x14ac:dyDescent="0.35">
      <c r="K5042" s="4"/>
      <c r="AC5042" s="384">
        <v>2022</v>
      </c>
      <c r="AD5042" s="384">
        <v>7</v>
      </c>
      <c r="AE5042" s="384">
        <v>30</v>
      </c>
      <c r="AF5042" s="385">
        <v>0</v>
      </c>
      <c r="AG5042" s="386">
        <v>17</v>
      </c>
      <c r="AH5042" s="387">
        <f t="shared" si="93"/>
        <v>17</v>
      </c>
    </row>
    <row r="5043" spans="11:34" ht="14.5" x14ac:dyDescent="0.35">
      <c r="K5043" s="4"/>
      <c r="AC5043" s="384">
        <v>2022</v>
      </c>
      <c r="AD5043" s="384">
        <v>7</v>
      </c>
      <c r="AE5043" s="384">
        <v>30</v>
      </c>
      <c r="AF5043" s="385">
        <v>4.1666666666666664E-2</v>
      </c>
      <c r="AG5043" s="386">
        <v>16.100000000000001</v>
      </c>
      <c r="AH5043" s="387">
        <f t="shared" si="93"/>
        <v>16</v>
      </c>
    </row>
    <row r="5044" spans="11:34" ht="14.5" x14ac:dyDescent="0.35">
      <c r="K5044" s="4"/>
      <c r="AC5044" s="384">
        <v>2022</v>
      </c>
      <c r="AD5044" s="384">
        <v>7</v>
      </c>
      <c r="AE5044" s="384">
        <v>30</v>
      </c>
      <c r="AF5044" s="385">
        <v>8.3333333333333329E-2</v>
      </c>
      <c r="AG5044" s="386">
        <v>15.9</v>
      </c>
      <c r="AH5044" s="387">
        <f t="shared" si="93"/>
        <v>16</v>
      </c>
    </row>
    <row r="5045" spans="11:34" ht="14.5" x14ac:dyDescent="0.35">
      <c r="K5045" s="4"/>
      <c r="AC5045" s="384">
        <v>2022</v>
      </c>
      <c r="AD5045" s="384">
        <v>7</v>
      </c>
      <c r="AE5045" s="384">
        <v>30</v>
      </c>
      <c r="AF5045" s="385">
        <v>0.125</v>
      </c>
      <c r="AG5045" s="386">
        <v>15.3</v>
      </c>
      <c r="AH5045" s="387">
        <f t="shared" si="93"/>
        <v>15</v>
      </c>
    </row>
    <row r="5046" spans="11:34" ht="14.5" x14ac:dyDescent="0.35">
      <c r="K5046" s="4"/>
      <c r="AC5046" s="384">
        <v>2022</v>
      </c>
      <c r="AD5046" s="384">
        <v>7</v>
      </c>
      <c r="AE5046" s="384">
        <v>30</v>
      </c>
      <c r="AF5046" s="385">
        <v>0.16666666666666666</v>
      </c>
      <c r="AG5046" s="386">
        <v>15.1</v>
      </c>
      <c r="AH5046" s="387">
        <f t="shared" si="93"/>
        <v>15</v>
      </c>
    </row>
    <row r="5047" spans="11:34" ht="14.5" x14ac:dyDescent="0.35">
      <c r="K5047" s="4"/>
      <c r="AC5047" s="384">
        <v>2022</v>
      </c>
      <c r="AD5047" s="384">
        <v>7</v>
      </c>
      <c r="AE5047" s="384">
        <v>30</v>
      </c>
      <c r="AF5047" s="385">
        <v>0.20833333333333334</v>
      </c>
      <c r="AG5047" s="386">
        <v>14.6</v>
      </c>
      <c r="AH5047" s="387">
        <f t="shared" si="93"/>
        <v>15</v>
      </c>
    </row>
    <row r="5048" spans="11:34" ht="14.5" x14ac:dyDescent="0.35">
      <c r="K5048" s="4"/>
      <c r="AC5048" s="384">
        <v>2022</v>
      </c>
      <c r="AD5048" s="384">
        <v>7</v>
      </c>
      <c r="AE5048" s="384">
        <v>30</v>
      </c>
      <c r="AF5048" s="385">
        <v>0.25</v>
      </c>
      <c r="AG5048" s="386">
        <v>14.9</v>
      </c>
      <c r="AH5048" s="387">
        <f t="shared" si="93"/>
        <v>15</v>
      </c>
    </row>
    <row r="5049" spans="11:34" ht="14.5" x14ac:dyDescent="0.35">
      <c r="K5049" s="4"/>
      <c r="AC5049" s="384">
        <v>2022</v>
      </c>
      <c r="AD5049" s="384">
        <v>7</v>
      </c>
      <c r="AE5049" s="384">
        <v>30</v>
      </c>
      <c r="AF5049" s="385">
        <v>0.29166666666666669</v>
      </c>
      <c r="AG5049" s="386">
        <v>17.7</v>
      </c>
      <c r="AH5049" s="387">
        <f t="shared" si="93"/>
        <v>18</v>
      </c>
    </row>
    <row r="5050" spans="11:34" ht="14.5" x14ac:dyDescent="0.35">
      <c r="K5050" s="4"/>
      <c r="AC5050" s="384">
        <v>2022</v>
      </c>
      <c r="AD5050" s="384">
        <v>7</v>
      </c>
      <c r="AE5050" s="384">
        <v>30</v>
      </c>
      <c r="AF5050" s="385">
        <v>0.33333333333333331</v>
      </c>
      <c r="AG5050" s="386">
        <v>20.7</v>
      </c>
      <c r="AH5050" s="387">
        <f t="shared" si="93"/>
        <v>21</v>
      </c>
    </row>
    <row r="5051" spans="11:34" ht="14.5" x14ac:dyDescent="0.35">
      <c r="K5051" s="4"/>
      <c r="AC5051" s="384">
        <v>2022</v>
      </c>
      <c r="AD5051" s="384">
        <v>7</v>
      </c>
      <c r="AE5051" s="384">
        <v>30</v>
      </c>
      <c r="AF5051" s="385">
        <v>0.375</v>
      </c>
      <c r="AG5051" s="386">
        <v>22.2</v>
      </c>
      <c r="AH5051" s="387">
        <f t="shared" si="93"/>
        <v>22</v>
      </c>
    </row>
    <row r="5052" spans="11:34" ht="14.5" x14ac:dyDescent="0.35">
      <c r="K5052" s="4"/>
      <c r="AC5052" s="384">
        <v>2022</v>
      </c>
      <c r="AD5052" s="384">
        <v>7</v>
      </c>
      <c r="AE5052" s="384">
        <v>30</v>
      </c>
      <c r="AF5052" s="385">
        <v>0.41666666666666669</v>
      </c>
      <c r="AG5052" s="386">
        <v>24.1</v>
      </c>
      <c r="AH5052" s="387">
        <f t="shared" si="93"/>
        <v>24</v>
      </c>
    </row>
    <row r="5053" spans="11:34" ht="14.5" x14ac:dyDescent="0.35">
      <c r="K5053" s="4"/>
      <c r="AC5053" s="384">
        <v>2022</v>
      </c>
      <c r="AD5053" s="384">
        <v>7</v>
      </c>
      <c r="AE5053" s="384">
        <v>30</v>
      </c>
      <c r="AF5053" s="385">
        <v>0.45833333333333331</v>
      </c>
      <c r="AG5053" s="386">
        <v>26.2</v>
      </c>
      <c r="AH5053" s="387">
        <f t="shared" si="93"/>
        <v>26</v>
      </c>
    </row>
    <row r="5054" spans="11:34" ht="14.5" x14ac:dyDescent="0.35">
      <c r="K5054" s="4"/>
      <c r="AC5054" s="384">
        <v>2022</v>
      </c>
      <c r="AD5054" s="384">
        <v>7</v>
      </c>
      <c r="AE5054" s="384">
        <v>30</v>
      </c>
      <c r="AF5054" s="385">
        <v>0.5</v>
      </c>
      <c r="AG5054" s="386">
        <v>27</v>
      </c>
      <c r="AH5054" s="387">
        <f t="shared" si="93"/>
        <v>27</v>
      </c>
    </row>
    <row r="5055" spans="11:34" ht="14.5" x14ac:dyDescent="0.35">
      <c r="K5055" s="4"/>
      <c r="AC5055" s="384">
        <v>2022</v>
      </c>
      <c r="AD5055" s="384">
        <v>7</v>
      </c>
      <c r="AE5055" s="384">
        <v>30</v>
      </c>
      <c r="AF5055" s="385">
        <v>0.54166666666666663</v>
      </c>
      <c r="AG5055" s="386">
        <v>26.6</v>
      </c>
      <c r="AH5055" s="387">
        <f t="shared" si="93"/>
        <v>27</v>
      </c>
    </row>
    <row r="5056" spans="11:34" ht="14.5" x14ac:dyDescent="0.35">
      <c r="K5056" s="4"/>
      <c r="AC5056" s="384">
        <v>2022</v>
      </c>
      <c r="AD5056" s="384">
        <v>7</v>
      </c>
      <c r="AE5056" s="384">
        <v>30</v>
      </c>
      <c r="AF5056" s="385">
        <v>0.58333333333333337</v>
      </c>
      <c r="AG5056" s="386">
        <v>25.3</v>
      </c>
      <c r="AH5056" s="387">
        <f t="shared" si="93"/>
        <v>25</v>
      </c>
    </row>
    <row r="5057" spans="11:34" ht="14.5" x14ac:dyDescent="0.35">
      <c r="K5057" s="4"/>
      <c r="AC5057" s="384">
        <v>2022</v>
      </c>
      <c r="AD5057" s="384">
        <v>7</v>
      </c>
      <c r="AE5057" s="384">
        <v>30</v>
      </c>
      <c r="AF5057" s="385">
        <v>0.625</v>
      </c>
      <c r="AG5057" s="386">
        <v>24.9</v>
      </c>
      <c r="AH5057" s="387">
        <f t="shared" si="93"/>
        <v>25</v>
      </c>
    </row>
    <row r="5058" spans="11:34" ht="14.5" x14ac:dyDescent="0.35">
      <c r="K5058" s="4"/>
      <c r="AC5058" s="384">
        <v>2022</v>
      </c>
      <c r="AD5058" s="384">
        <v>7</v>
      </c>
      <c r="AE5058" s="384">
        <v>30</v>
      </c>
      <c r="AF5058" s="385">
        <v>0.66666666666666663</v>
      </c>
      <c r="AG5058" s="386">
        <v>25.4</v>
      </c>
      <c r="AH5058" s="387">
        <f t="shared" si="93"/>
        <v>25</v>
      </c>
    </row>
    <row r="5059" spans="11:34" ht="14.5" x14ac:dyDescent="0.35">
      <c r="K5059" s="4"/>
      <c r="AC5059" s="384">
        <v>2022</v>
      </c>
      <c r="AD5059" s="384">
        <v>7</v>
      </c>
      <c r="AE5059" s="384">
        <v>30</v>
      </c>
      <c r="AF5059" s="385">
        <v>0.70833333333333337</v>
      </c>
      <c r="AG5059" s="386">
        <v>23.9</v>
      </c>
      <c r="AH5059" s="387">
        <f t="shared" si="93"/>
        <v>24</v>
      </c>
    </row>
    <row r="5060" spans="11:34" ht="14.5" x14ac:dyDescent="0.35">
      <c r="K5060" s="4"/>
      <c r="AC5060" s="384">
        <v>2022</v>
      </c>
      <c r="AD5060" s="384">
        <v>7</v>
      </c>
      <c r="AE5060" s="384">
        <v>30</v>
      </c>
      <c r="AF5060" s="385">
        <v>0.75</v>
      </c>
      <c r="AG5060" s="386">
        <v>21.5</v>
      </c>
      <c r="AH5060" s="387">
        <f t="shared" si="93"/>
        <v>22</v>
      </c>
    </row>
    <row r="5061" spans="11:34" ht="14.5" x14ac:dyDescent="0.35">
      <c r="K5061" s="4"/>
      <c r="AC5061" s="384">
        <v>2022</v>
      </c>
      <c r="AD5061" s="384">
        <v>7</v>
      </c>
      <c r="AE5061" s="384">
        <v>30</v>
      </c>
      <c r="AF5061" s="385">
        <v>0.79166666666666663</v>
      </c>
      <c r="AG5061" s="386">
        <v>16.600000000000001</v>
      </c>
      <c r="AH5061" s="387">
        <f t="shared" si="93"/>
        <v>17</v>
      </c>
    </row>
    <row r="5062" spans="11:34" ht="14.5" x14ac:dyDescent="0.35">
      <c r="K5062" s="4"/>
      <c r="AC5062" s="384">
        <v>2022</v>
      </c>
      <c r="AD5062" s="384">
        <v>7</v>
      </c>
      <c r="AE5062" s="384">
        <v>30</v>
      </c>
      <c r="AF5062" s="385">
        <v>0.83333333333333337</v>
      </c>
      <c r="AG5062" s="386">
        <v>16.7</v>
      </c>
      <c r="AH5062" s="387">
        <f t="shared" si="93"/>
        <v>17</v>
      </c>
    </row>
    <row r="5063" spans="11:34" ht="14.5" x14ac:dyDescent="0.35">
      <c r="K5063" s="4"/>
      <c r="AC5063" s="384">
        <v>2022</v>
      </c>
      <c r="AD5063" s="384">
        <v>7</v>
      </c>
      <c r="AE5063" s="384">
        <v>30</v>
      </c>
      <c r="AF5063" s="385">
        <v>0.875</v>
      </c>
      <c r="AG5063" s="386">
        <v>16.600000000000001</v>
      </c>
      <c r="AH5063" s="387">
        <f t="shared" si="93"/>
        <v>17</v>
      </c>
    </row>
    <row r="5064" spans="11:34" ht="14.5" x14ac:dyDescent="0.35">
      <c r="K5064" s="4"/>
      <c r="AC5064" s="384">
        <v>2022</v>
      </c>
      <c r="AD5064" s="384">
        <v>7</v>
      </c>
      <c r="AE5064" s="384">
        <v>30</v>
      </c>
      <c r="AF5064" s="385">
        <v>0.91666666666666663</v>
      </c>
      <c r="AG5064" s="386">
        <v>15.3</v>
      </c>
      <c r="AH5064" s="387">
        <f t="shared" si="93"/>
        <v>15</v>
      </c>
    </row>
    <row r="5065" spans="11:34" ht="14.5" x14ac:dyDescent="0.35">
      <c r="K5065" s="4"/>
      <c r="AC5065" s="384">
        <v>2022</v>
      </c>
      <c r="AD5065" s="384">
        <v>7</v>
      </c>
      <c r="AE5065" s="384">
        <v>30</v>
      </c>
      <c r="AF5065" s="385">
        <v>0.95833333333333337</v>
      </c>
      <c r="AG5065" s="386">
        <v>14.6</v>
      </c>
      <c r="AH5065" s="387">
        <f t="shared" si="93"/>
        <v>15</v>
      </c>
    </row>
    <row r="5066" spans="11:34" ht="14.5" x14ac:dyDescent="0.35">
      <c r="K5066" s="4"/>
      <c r="AC5066" s="384">
        <v>2022</v>
      </c>
      <c r="AD5066" s="384">
        <v>7</v>
      </c>
      <c r="AE5066" s="384">
        <v>31</v>
      </c>
      <c r="AF5066" s="385">
        <v>0</v>
      </c>
      <c r="AG5066" s="386">
        <v>14.4</v>
      </c>
      <c r="AH5066" s="387">
        <f t="shared" si="93"/>
        <v>14</v>
      </c>
    </row>
    <row r="5067" spans="11:34" ht="14.5" x14ac:dyDescent="0.35">
      <c r="K5067" s="4"/>
      <c r="AC5067" s="384">
        <v>2022</v>
      </c>
      <c r="AD5067" s="384">
        <v>7</v>
      </c>
      <c r="AE5067" s="384">
        <v>31</v>
      </c>
      <c r="AF5067" s="385">
        <v>4.1666666666666664E-2</v>
      </c>
      <c r="AG5067" s="386">
        <v>13.2</v>
      </c>
      <c r="AH5067" s="387">
        <f t="shared" ref="AH5067:AH5130" si="94">ROUND(AG5067,0)</f>
        <v>13</v>
      </c>
    </row>
    <row r="5068" spans="11:34" ht="14.5" x14ac:dyDescent="0.35">
      <c r="K5068" s="4"/>
      <c r="AC5068" s="384">
        <v>2022</v>
      </c>
      <c r="AD5068" s="384">
        <v>7</v>
      </c>
      <c r="AE5068" s="384">
        <v>31</v>
      </c>
      <c r="AF5068" s="385">
        <v>8.3333333333333329E-2</v>
      </c>
      <c r="AG5068" s="386">
        <v>13.2</v>
      </c>
      <c r="AH5068" s="387">
        <f t="shared" si="94"/>
        <v>13</v>
      </c>
    </row>
    <row r="5069" spans="11:34" ht="14.5" x14ac:dyDescent="0.35">
      <c r="K5069" s="4"/>
      <c r="AC5069" s="384">
        <v>2022</v>
      </c>
      <c r="AD5069" s="384">
        <v>7</v>
      </c>
      <c r="AE5069" s="384">
        <v>31</v>
      </c>
      <c r="AF5069" s="385">
        <v>0.125</v>
      </c>
      <c r="AG5069" s="386">
        <v>12.4</v>
      </c>
      <c r="AH5069" s="387">
        <f t="shared" si="94"/>
        <v>12</v>
      </c>
    </row>
    <row r="5070" spans="11:34" ht="14.5" x14ac:dyDescent="0.35">
      <c r="K5070" s="4"/>
      <c r="AC5070" s="384">
        <v>2022</v>
      </c>
      <c r="AD5070" s="384">
        <v>7</v>
      </c>
      <c r="AE5070" s="384">
        <v>31</v>
      </c>
      <c r="AF5070" s="385">
        <v>0.16666666666666666</v>
      </c>
      <c r="AG5070" s="386">
        <v>13.8</v>
      </c>
      <c r="AH5070" s="387">
        <f t="shared" si="94"/>
        <v>14</v>
      </c>
    </row>
    <row r="5071" spans="11:34" ht="14.5" x14ac:dyDescent="0.35">
      <c r="K5071" s="4"/>
      <c r="AC5071" s="384">
        <v>2022</v>
      </c>
      <c r="AD5071" s="384">
        <v>7</v>
      </c>
      <c r="AE5071" s="384">
        <v>31</v>
      </c>
      <c r="AF5071" s="385">
        <v>0.20833333333333334</v>
      </c>
      <c r="AG5071" s="386">
        <v>14.4</v>
      </c>
      <c r="AH5071" s="387">
        <f t="shared" si="94"/>
        <v>14</v>
      </c>
    </row>
    <row r="5072" spans="11:34" ht="14.5" x14ac:dyDescent="0.35">
      <c r="K5072" s="4"/>
      <c r="AC5072" s="384">
        <v>2022</v>
      </c>
      <c r="AD5072" s="384">
        <v>7</v>
      </c>
      <c r="AE5072" s="384">
        <v>31</v>
      </c>
      <c r="AF5072" s="385">
        <v>0.25</v>
      </c>
      <c r="AG5072" s="386">
        <v>14.5</v>
      </c>
      <c r="AH5072" s="387">
        <f t="shared" si="94"/>
        <v>15</v>
      </c>
    </row>
    <row r="5073" spans="11:34" ht="14.5" x14ac:dyDescent="0.35">
      <c r="K5073" s="4"/>
      <c r="AC5073" s="384">
        <v>2022</v>
      </c>
      <c r="AD5073" s="384">
        <v>7</v>
      </c>
      <c r="AE5073" s="384">
        <v>31</v>
      </c>
      <c r="AF5073" s="385">
        <v>0.29166666666666669</v>
      </c>
      <c r="AG5073" s="386">
        <v>15.3</v>
      </c>
      <c r="AH5073" s="387">
        <f t="shared" si="94"/>
        <v>15</v>
      </c>
    </row>
    <row r="5074" spans="11:34" ht="14.5" x14ac:dyDescent="0.35">
      <c r="K5074" s="4"/>
      <c r="AC5074" s="384">
        <v>2022</v>
      </c>
      <c r="AD5074" s="384">
        <v>7</v>
      </c>
      <c r="AE5074" s="384">
        <v>31</v>
      </c>
      <c r="AF5074" s="385">
        <v>0.33333333333333331</v>
      </c>
      <c r="AG5074" s="386">
        <v>17.100000000000001</v>
      </c>
      <c r="AH5074" s="387">
        <f t="shared" si="94"/>
        <v>17</v>
      </c>
    </row>
    <row r="5075" spans="11:34" ht="14.5" x14ac:dyDescent="0.35">
      <c r="K5075" s="4"/>
      <c r="AC5075" s="384">
        <v>2022</v>
      </c>
      <c r="AD5075" s="384">
        <v>7</v>
      </c>
      <c r="AE5075" s="384">
        <v>31</v>
      </c>
      <c r="AF5075" s="385">
        <v>0.375</v>
      </c>
      <c r="AG5075" s="386">
        <v>20.100000000000001</v>
      </c>
      <c r="AH5075" s="387">
        <f t="shared" si="94"/>
        <v>20</v>
      </c>
    </row>
    <row r="5076" spans="11:34" ht="14.5" x14ac:dyDescent="0.35">
      <c r="K5076" s="4"/>
      <c r="AC5076" s="384">
        <v>2022</v>
      </c>
      <c r="AD5076" s="384">
        <v>7</v>
      </c>
      <c r="AE5076" s="384">
        <v>31</v>
      </c>
      <c r="AF5076" s="385">
        <v>0.41666666666666669</v>
      </c>
      <c r="AG5076" s="386">
        <v>22.5</v>
      </c>
      <c r="AH5076" s="387">
        <f t="shared" si="94"/>
        <v>23</v>
      </c>
    </row>
    <row r="5077" spans="11:34" ht="14.5" x14ac:dyDescent="0.35">
      <c r="K5077" s="4"/>
      <c r="AC5077" s="384">
        <v>2022</v>
      </c>
      <c r="AD5077" s="384">
        <v>7</v>
      </c>
      <c r="AE5077" s="384">
        <v>31</v>
      </c>
      <c r="AF5077" s="385">
        <v>0.45833333333333331</v>
      </c>
      <c r="AG5077" s="386">
        <v>25.1</v>
      </c>
      <c r="AH5077" s="387">
        <f t="shared" si="94"/>
        <v>25</v>
      </c>
    </row>
    <row r="5078" spans="11:34" ht="14.5" x14ac:dyDescent="0.35">
      <c r="K5078" s="4"/>
      <c r="AC5078" s="384">
        <v>2022</v>
      </c>
      <c r="AD5078" s="384">
        <v>7</v>
      </c>
      <c r="AE5078" s="384">
        <v>31</v>
      </c>
      <c r="AF5078" s="385">
        <v>0.5</v>
      </c>
      <c r="AG5078" s="386">
        <v>27.4</v>
      </c>
      <c r="AH5078" s="387">
        <f t="shared" si="94"/>
        <v>27</v>
      </c>
    </row>
    <row r="5079" spans="11:34" ht="14.5" x14ac:dyDescent="0.35">
      <c r="K5079" s="4"/>
      <c r="AC5079" s="384">
        <v>2022</v>
      </c>
      <c r="AD5079" s="384">
        <v>7</v>
      </c>
      <c r="AE5079" s="384">
        <v>31</v>
      </c>
      <c r="AF5079" s="385">
        <v>0.54166666666666663</v>
      </c>
      <c r="AG5079" s="386">
        <v>28.1</v>
      </c>
      <c r="AH5079" s="387">
        <f t="shared" si="94"/>
        <v>28</v>
      </c>
    </row>
    <row r="5080" spans="11:34" ht="14.5" x14ac:dyDescent="0.35">
      <c r="K5080" s="4"/>
      <c r="AC5080" s="384">
        <v>2022</v>
      </c>
      <c r="AD5080" s="384">
        <v>7</v>
      </c>
      <c r="AE5080" s="384">
        <v>31</v>
      </c>
      <c r="AF5080" s="385">
        <v>0.58333333333333337</v>
      </c>
      <c r="AG5080" s="386">
        <v>28.7</v>
      </c>
      <c r="AH5080" s="387">
        <f t="shared" si="94"/>
        <v>29</v>
      </c>
    </row>
    <row r="5081" spans="11:34" ht="14.5" x14ac:dyDescent="0.35">
      <c r="K5081" s="4"/>
      <c r="AC5081" s="384">
        <v>2022</v>
      </c>
      <c r="AD5081" s="384">
        <v>7</v>
      </c>
      <c r="AE5081" s="384">
        <v>31</v>
      </c>
      <c r="AF5081" s="385">
        <v>0.625</v>
      </c>
      <c r="AG5081" s="386">
        <v>28.8</v>
      </c>
      <c r="AH5081" s="387">
        <f t="shared" si="94"/>
        <v>29</v>
      </c>
    </row>
    <row r="5082" spans="11:34" ht="14.5" x14ac:dyDescent="0.35">
      <c r="K5082" s="4"/>
      <c r="AC5082" s="384">
        <v>2022</v>
      </c>
      <c r="AD5082" s="384">
        <v>7</v>
      </c>
      <c r="AE5082" s="384">
        <v>31</v>
      </c>
      <c r="AF5082" s="385">
        <v>0.66666666666666663</v>
      </c>
      <c r="AG5082" s="386">
        <v>27.8</v>
      </c>
      <c r="AH5082" s="387">
        <f t="shared" si="94"/>
        <v>28</v>
      </c>
    </row>
    <row r="5083" spans="11:34" ht="14.5" x14ac:dyDescent="0.35">
      <c r="K5083" s="4"/>
      <c r="AC5083" s="384">
        <v>2022</v>
      </c>
      <c r="AD5083" s="384">
        <v>7</v>
      </c>
      <c r="AE5083" s="384">
        <v>31</v>
      </c>
      <c r="AF5083" s="385">
        <v>0.70833333333333337</v>
      </c>
      <c r="AG5083" s="386">
        <v>26.7</v>
      </c>
      <c r="AH5083" s="387">
        <f t="shared" si="94"/>
        <v>27</v>
      </c>
    </row>
    <row r="5084" spans="11:34" ht="14.5" x14ac:dyDescent="0.35">
      <c r="K5084" s="4"/>
      <c r="AC5084" s="384">
        <v>2022</v>
      </c>
      <c r="AD5084" s="384">
        <v>7</v>
      </c>
      <c r="AE5084" s="384">
        <v>31</v>
      </c>
      <c r="AF5084" s="385">
        <v>0.75</v>
      </c>
      <c r="AG5084" s="386">
        <v>25.9</v>
      </c>
      <c r="AH5084" s="387">
        <f t="shared" si="94"/>
        <v>26</v>
      </c>
    </row>
    <row r="5085" spans="11:34" ht="14.5" x14ac:dyDescent="0.35">
      <c r="K5085" s="4"/>
      <c r="AC5085" s="384">
        <v>2022</v>
      </c>
      <c r="AD5085" s="384">
        <v>7</v>
      </c>
      <c r="AE5085" s="384">
        <v>31</v>
      </c>
      <c r="AF5085" s="385">
        <v>0.79166666666666663</v>
      </c>
      <c r="AG5085" s="386">
        <v>24.5</v>
      </c>
      <c r="AH5085" s="387">
        <f t="shared" si="94"/>
        <v>25</v>
      </c>
    </row>
    <row r="5086" spans="11:34" ht="14.5" x14ac:dyDescent="0.35">
      <c r="K5086" s="4"/>
      <c r="AC5086" s="384">
        <v>2022</v>
      </c>
      <c r="AD5086" s="384">
        <v>7</v>
      </c>
      <c r="AE5086" s="384">
        <v>31</v>
      </c>
      <c r="AF5086" s="385">
        <v>0.83333333333333337</v>
      </c>
      <c r="AG5086" s="386">
        <v>21.9</v>
      </c>
      <c r="AH5086" s="387">
        <f t="shared" si="94"/>
        <v>22</v>
      </c>
    </row>
    <row r="5087" spans="11:34" ht="14.5" x14ac:dyDescent="0.35">
      <c r="K5087" s="4"/>
      <c r="AC5087" s="384">
        <v>2022</v>
      </c>
      <c r="AD5087" s="384">
        <v>7</v>
      </c>
      <c r="AE5087" s="384">
        <v>31</v>
      </c>
      <c r="AF5087" s="385">
        <v>0.875</v>
      </c>
      <c r="AG5087" s="386">
        <v>20.399999999999999</v>
      </c>
      <c r="AH5087" s="387">
        <f t="shared" si="94"/>
        <v>20</v>
      </c>
    </row>
    <row r="5088" spans="11:34" ht="14.5" x14ac:dyDescent="0.35">
      <c r="K5088" s="4"/>
      <c r="AC5088" s="384">
        <v>2022</v>
      </c>
      <c r="AD5088" s="384">
        <v>7</v>
      </c>
      <c r="AE5088" s="384">
        <v>31</v>
      </c>
      <c r="AF5088" s="385">
        <v>0.91666666666666663</v>
      </c>
      <c r="AG5088" s="386">
        <v>18.5</v>
      </c>
      <c r="AH5088" s="387">
        <f t="shared" si="94"/>
        <v>19</v>
      </c>
    </row>
    <row r="5089" spans="11:34" ht="14.5" x14ac:dyDescent="0.35">
      <c r="K5089" s="4"/>
      <c r="AC5089" s="384">
        <v>2022</v>
      </c>
      <c r="AD5089" s="384">
        <v>7</v>
      </c>
      <c r="AE5089" s="384">
        <v>31</v>
      </c>
      <c r="AF5089" s="385">
        <v>0.95833333333333337</v>
      </c>
      <c r="AG5089" s="386">
        <v>17.600000000000001</v>
      </c>
      <c r="AH5089" s="387">
        <f t="shared" si="94"/>
        <v>18</v>
      </c>
    </row>
    <row r="5090" spans="11:34" ht="14.5" x14ac:dyDescent="0.35">
      <c r="K5090" s="4"/>
      <c r="AC5090" s="384">
        <v>2022</v>
      </c>
      <c r="AD5090" s="384">
        <v>8</v>
      </c>
      <c r="AE5090" s="384">
        <v>1</v>
      </c>
      <c r="AF5090" s="385">
        <v>0</v>
      </c>
      <c r="AG5090" s="386">
        <v>17</v>
      </c>
      <c r="AH5090" s="387">
        <f t="shared" si="94"/>
        <v>17</v>
      </c>
    </row>
    <row r="5091" spans="11:34" ht="14.5" x14ac:dyDescent="0.35">
      <c r="K5091" s="4"/>
      <c r="AC5091" s="384">
        <v>2022</v>
      </c>
      <c r="AD5091" s="384">
        <v>8</v>
      </c>
      <c r="AE5091" s="384">
        <v>1</v>
      </c>
      <c r="AF5091" s="385">
        <v>4.1666666666666664E-2</v>
      </c>
      <c r="AG5091" s="386">
        <v>16.3</v>
      </c>
      <c r="AH5091" s="387">
        <f t="shared" si="94"/>
        <v>16</v>
      </c>
    </row>
    <row r="5092" spans="11:34" ht="14.5" x14ac:dyDescent="0.35">
      <c r="K5092" s="4"/>
      <c r="AC5092" s="384">
        <v>2022</v>
      </c>
      <c r="AD5092" s="384">
        <v>8</v>
      </c>
      <c r="AE5092" s="384">
        <v>1</v>
      </c>
      <c r="AF5092" s="385">
        <v>8.3333333333333329E-2</v>
      </c>
      <c r="AG5092" s="386">
        <v>15.5</v>
      </c>
      <c r="AH5092" s="387">
        <f t="shared" si="94"/>
        <v>16</v>
      </c>
    </row>
    <row r="5093" spans="11:34" ht="14.5" x14ac:dyDescent="0.35">
      <c r="K5093" s="4"/>
      <c r="AC5093" s="384">
        <v>2022</v>
      </c>
      <c r="AD5093" s="384">
        <v>8</v>
      </c>
      <c r="AE5093" s="384">
        <v>1</v>
      </c>
      <c r="AF5093" s="385">
        <v>0.125</v>
      </c>
      <c r="AG5093" s="386">
        <v>15.3</v>
      </c>
      <c r="AH5093" s="387">
        <f t="shared" si="94"/>
        <v>15</v>
      </c>
    </row>
    <row r="5094" spans="11:34" ht="14.5" x14ac:dyDescent="0.35">
      <c r="K5094" s="4"/>
      <c r="AC5094" s="384">
        <v>2022</v>
      </c>
      <c r="AD5094" s="384">
        <v>8</v>
      </c>
      <c r="AE5094" s="384">
        <v>1</v>
      </c>
      <c r="AF5094" s="385">
        <v>0.16666666666666666</v>
      </c>
      <c r="AG5094" s="386">
        <v>15.5</v>
      </c>
      <c r="AH5094" s="387">
        <f t="shared" si="94"/>
        <v>16</v>
      </c>
    </row>
    <row r="5095" spans="11:34" ht="14.5" x14ac:dyDescent="0.35">
      <c r="K5095" s="4"/>
      <c r="AC5095" s="384">
        <v>2022</v>
      </c>
      <c r="AD5095" s="384">
        <v>8</v>
      </c>
      <c r="AE5095" s="384">
        <v>1</v>
      </c>
      <c r="AF5095" s="385">
        <v>0.20833333333333334</v>
      </c>
      <c r="AG5095" s="386">
        <v>15.3</v>
      </c>
      <c r="AH5095" s="387">
        <f t="shared" si="94"/>
        <v>15</v>
      </c>
    </row>
    <row r="5096" spans="11:34" ht="14.5" x14ac:dyDescent="0.35">
      <c r="K5096" s="4"/>
      <c r="AC5096" s="384">
        <v>2022</v>
      </c>
      <c r="AD5096" s="384">
        <v>8</v>
      </c>
      <c r="AE5096" s="384">
        <v>1</v>
      </c>
      <c r="AF5096" s="385">
        <v>0.25</v>
      </c>
      <c r="AG5096" s="386">
        <v>14.6</v>
      </c>
      <c r="AH5096" s="387">
        <f t="shared" si="94"/>
        <v>15</v>
      </c>
    </row>
    <row r="5097" spans="11:34" ht="14.5" x14ac:dyDescent="0.35">
      <c r="K5097" s="4"/>
      <c r="AC5097" s="384">
        <v>2022</v>
      </c>
      <c r="AD5097" s="384">
        <v>8</v>
      </c>
      <c r="AE5097" s="384">
        <v>1</v>
      </c>
      <c r="AF5097" s="385">
        <v>0.29166666666666669</v>
      </c>
      <c r="AG5097" s="386">
        <v>16.3</v>
      </c>
      <c r="AH5097" s="387">
        <f t="shared" si="94"/>
        <v>16</v>
      </c>
    </row>
    <row r="5098" spans="11:34" ht="14.5" x14ac:dyDescent="0.35">
      <c r="K5098" s="4"/>
      <c r="AC5098" s="384">
        <v>2022</v>
      </c>
      <c r="AD5098" s="384">
        <v>8</v>
      </c>
      <c r="AE5098" s="384">
        <v>1</v>
      </c>
      <c r="AF5098" s="385">
        <v>0.33333333333333331</v>
      </c>
      <c r="AG5098" s="386">
        <v>18.8</v>
      </c>
      <c r="AH5098" s="387">
        <f t="shared" si="94"/>
        <v>19</v>
      </c>
    </row>
    <row r="5099" spans="11:34" ht="14.5" x14ac:dyDescent="0.35">
      <c r="K5099" s="4"/>
      <c r="AC5099" s="384">
        <v>2022</v>
      </c>
      <c r="AD5099" s="384">
        <v>8</v>
      </c>
      <c r="AE5099" s="384">
        <v>1</v>
      </c>
      <c r="AF5099" s="385">
        <v>0.375</v>
      </c>
      <c r="AG5099" s="386">
        <v>21.1</v>
      </c>
      <c r="AH5099" s="387">
        <f t="shared" si="94"/>
        <v>21</v>
      </c>
    </row>
    <row r="5100" spans="11:34" ht="14.5" x14ac:dyDescent="0.35">
      <c r="K5100" s="4"/>
      <c r="AC5100" s="384">
        <v>2022</v>
      </c>
      <c r="AD5100" s="384">
        <v>8</v>
      </c>
      <c r="AE5100" s="384">
        <v>1</v>
      </c>
      <c r="AF5100" s="385">
        <v>0.41666666666666669</v>
      </c>
      <c r="AG5100" s="386">
        <v>23.2</v>
      </c>
      <c r="AH5100" s="387">
        <f t="shared" si="94"/>
        <v>23</v>
      </c>
    </row>
    <row r="5101" spans="11:34" ht="14.5" x14ac:dyDescent="0.35">
      <c r="K5101" s="4"/>
      <c r="AC5101" s="384">
        <v>2022</v>
      </c>
      <c r="AD5101" s="384">
        <v>8</v>
      </c>
      <c r="AE5101" s="384">
        <v>1</v>
      </c>
      <c r="AF5101" s="385">
        <v>0.45833333333333331</v>
      </c>
      <c r="AG5101" s="386">
        <v>24.6</v>
      </c>
      <c r="AH5101" s="387">
        <f t="shared" si="94"/>
        <v>25</v>
      </c>
    </row>
    <row r="5102" spans="11:34" ht="14.5" x14ac:dyDescent="0.35">
      <c r="K5102" s="4"/>
      <c r="AC5102" s="384">
        <v>2022</v>
      </c>
      <c r="AD5102" s="384">
        <v>8</v>
      </c>
      <c r="AE5102" s="384">
        <v>1</v>
      </c>
      <c r="AF5102" s="385">
        <v>0.5</v>
      </c>
      <c r="AG5102" s="386">
        <v>26.8</v>
      </c>
      <c r="AH5102" s="387">
        <f t="shared" si="94"/>
        <v>27</v>
      </c>
    </row>
    <row r="5103" spans="11:34" ht="14.5" x14ac:dyDescent="0.35">
      <c r="K5103" s="4"/>
      <c r="AC5103" s="384">
        <v>2022</v>
      </c>
      <c r="AD5103" s="384">
        <v>8</v>
      </c>
      <c r="AE5103" s="384">
        <v>1</v>
      </c>
      <c r="AF5103" s="385">
        <v>0.54166666666666663</v>
      </c>
      <c r="AG5103" s="386">
        <v>28.1</v>
      </c>
      <c r="AH5103" s="387">
        <f t="shared" si="94"/>
        <v>28</v>
      </c>
    </row>
    <row r="5104" spans="11:34" ht="14.5" x14ac:dyDescent="0.35">
      <c r="K5104" s="4"/>
      <c r="AC5104" s="384">
        <v>2022</v>
      </c>
      <c r="AD5104" s="384">
        <v>8</v>
      </c>
      <c r="AE5104" s="384">
        <v>1</v>
      </c>
      <c r="AF5104" s="385">
        <v>0.58333333333333337</v>
      </c>
      <c r="AG5104" s="386">
        <v>29.3</v>
      </c>
      <c r="AH5104" s="387">
        <f t="shared" si="94"/>
        <v>29</v>
      </c>
    </row>
    <row r="5105" spans="11:34" ht="14.5" x14ac:dyDescent="0.35">
      <c r="K5105" s="4"/>
      <c r="AC5105" s="384">
        <v>2022</v>
      </c>
      <c r="AD5105" s="384">
        <v>8</v>
      </c>
      <c r="AE5105" s="384">
        <v>1</v>
      </c>
      <c r="AF5105" s="385">
        <v>0.625</v>
      </c>
      <c r="AG5105" s="386">
        <v>29.5</v>
      </c>
      <c r="AH5105" s="387">
        <f t="shared" si="94"/>
        <v>30</v>
      </c>
    </row>
    <row r="5106" spans="11:34" ht="14.5" x14ac:dyDescent="0.35">
      <c r="K5106" s="4"/>
      <c r="AC5106" s="384">
        <v>2022</v>
      </c>
      <c r="AD5106" s="384">
        <v>8</v>
      </c>
      <c r="AE5106" s="384">
        <v>1</v>
      </c>
      <c r="AF5106" s="385">
        <v>0.66666666666666663</v>
      </c>
      <c r="AG5106" s="386">
        <v>29.6</v>
      </c>
      <c r="AH5106" s="387">
        <f t="shared" si="94"/>
        <v>30</v>
      </c>
    </row>
    <row r="5107" spans="11:34" ht="14.5" x14ac:dyDescent="0.35">
      <c r="K5107" s="4"/>
      <c r="AC5107" s="384">
        <v>2022</v>
      </c>
      <c r="AD5107" s="384">
        <v>8</v>
      </c>
      <c r="AE5107" s="384">
        <v>1</v>
      </c>
      <c r="AF5107" s="385">
        <v>0.70833333333333337</v>
      </c>
      <c r="AG5107" s="386">
        <v>29.3</v>
      </c>
      <c r="AH5107" s="387">
        <f t="shared" si="94"/>
        <v>29</v>
      </c>
    </row>
    <row r="5108" spans="11:34" ht="14.5" x14ac:dyDescent="0.35">
      <c r="K5108" s="4"/>
      <c r="AC5108" s="384">
        <v>2022</v>
      </c>
      <c r="AD5108" s="384">
        <v>8</v>
      </c>
      <c r="AE5108" s="384">
        <v>1</v>
      </c>
      <c r="AF5108" s="385">
        <v>0.75</v>
      </c>
      <c r="AG5108" s="386">
        <v>27.9</v>
      </c>
      <c r="AH5108" s="387">
        <f t="shared" si="94"/>
        <v>28</v>
      </c>
    </row>
    <row r="5109" spans="11:34" ht="14.5" x14ac:dyDescent="0.35">
      <c r="K5109" s="4"/>
      <c r="AC5109" s="384">
        <v>2022</v>
      </c>
      <c r="AD5109" s="384">
        <v>8</v>
      </c>
      <c r="AE5109" s="384">
        <v>1</v>
      </c>
      <c r="AF5109" s="385">
        <v>0.79166666666666663</v>
      </c>
      <c r="AG5109" s="386">
        <v>26.7</v>
      </c>
      <c r="AH5109" s="387">
        <f t="shared" si="94"/>
        <v>27</v>
      </c>
    </row>
    <row r="5110" spans="11:34" ht="14.5" x14ac:dyDescent="0.35">
      <c r="K5110" s="4"/>
      <c r="AC5110" s="384">
        <v>2022</v>
      </c>
      <c r="AD5110" s="384">
        <v>8</v>
      </c>
      <c r="AE5110" s="384">
        <v>1</v>
      </c>
      <c r="AF5110" s="385">
        <v>0.83333333333333337</v>
      </c>
      <c r="AG5110" s="386">
        <v>23.6</v>
      </c>
      <c r="AH5110" s="387">
        <f t="shared" si="94"/>
        <v>24</v>
      </c>
    </row>
    <row r="5111" spans="11:34" ht="14.5" x14ac:dyDescent="0.35">
      <c r="K5111" s="4"/>
      <c r="AC5111" s="384">
        <v>2022</v>
      </c>
      <c r="AD5111" s="384">
        <v>8</v>
      </c>
      <c r="AE5111" s="384">
        <v>1</v>
      </c>
      <c r="AF5111" s="385">
        <v>0.875</v>
      </c>
      <c r="AG5111" s="386">
        <v>17.3</v>
      </c>
      <c r="AH5111" s="387">
        <f t="shared" si="94"/>
        <v>17</v>
      </c>
    </row>
    <row r="5112" spans="11:34" ht="14.5" x14ac:dyDescent="0.35">
      <c r="K5112" s="4"/>
      <c r="AC5112" s="384">
        <v>2022</v>
      </c>
      <c r="AD5112" s="384">
        <v>8</v>
      </c>
      <c r="AE5112" s="384">
        <v>1</v>
      </c>
      <c r="AF5112" s="385">
        <v>0.91666666666666663</v>
      </c>
      <c r="AG5112" s="386">
        <v>14.7</v>
      </c>
      <c r="AH5112" s="387">
        <f t="shared" si="94"/>
        <v>15</v>
      </c>
    </row>
    <row r="5113" spans="11:34" ht="14.5" x14ac:dyDescent="0.35">
      <c r="K5113" s="4"/>
      <c r="AC5113" s="384">
        <v>2022</v>
      </c>
      <c r="AD5113" s="384">
        <v>8</v>
      </c>
      <c r="AE5113" s="384">
        <v>1</v>
      </c>
      <c r="AF5113" s="385">
        <v>0.95833333333333337</v>
      </c>
      <c r="AG5113" s="386">
        <v>13.9</v>
      </c>
      <c r="AH5113" s="387">
        <f t="shared" si="94"/>
        <v>14</v>
      </c>
    </row>
    <row r="5114" spans="11:34" ht="14.5" x14ac:dyDescent="0.35">
      <c r="K5114" s="4"/>
      <c r="AC5114" s="384">
        <v>2022</v>
      </c>
      <c r="AD5114" s="384">
        <v>8</v>
      </c>
      <c r="AE5114" s="384">
        <v>2</v>
      </c>
      <c r="AF5114" s="385">
        <v>0</v>
      </c>
      <c r="AG5114" s="386">
        <v>14.9</v>
      </c>
      <c r="AH5114" s="387">
        <f t="shared" si="94"/>
        <v>15</v>
      </c>
    </row>
    <row r="5115" spans="11:34" ht="14.5" x14ac:dyDescent="0.35">
      <c r="K5115" s="4"/>
      <c r="AC5115" s="384">
        <v>2022</v>
      </c>
      <c r="AD5115" s="384">
        <v>8</v>
      </c>
      <c r="AE5115" s="384">
        <v>2</v>
      </c>
      <c r="AF5115" s="385">
        <v>4.1666666666666664E-2</v>
      </c>
      <c r="AG5115" s="386">
        <v>14.5</v>
      </c>
      <c r="AH5115" s="387">
        <f t="shared" si="94"/>
        <v>15</v>
      </c>
    </row>
    <row r="5116" spans="11:34" ht="14.5" x14ac:dyDescent="0.35">
      <c r="K5116" s="4"/>
      <c r="AC5116" s="384">
        <v>2022</v>
      </c>
      <c r="AD5116" s="384">
        <v>8</v>
      </c>
      <c r="AE5116" s="384">
        <v>2</v>
      </c>
      <c r="AF5116" s="385">
        <v>8.3333333333333329E-2</v>
      </c>
      <c r="AG5116" s="386">
        <v>14.5</v>
      </c>
      <c r="AH5116" s="387">
        <f t="shared" si="94"/>
        <v>15</v>
      </c>
    </row>
    <row r="5117" spans="11:34" ht="14.5" x14ac:dyDescent="0.35">
      <c r="K5117" s="4"/>
      <c r="AC5117" s="384">
        <v>2022</v>
      </c>
      <c r="AD5117" s="384">
        <v>8</v>
      </c>
      <c r="AE5117" s="384">
        <v>2</v>
      </c>
      <c r="AF5117" s="385">
        <v>0.125</v>
      </c>
      <c r="AG5117" s="386">
        <v>13.5</v>
      </c>
      <c r="AH5117" s="387">
        <f t="shared" si="94"/>
        <v>14</v>
      </c>
    </row>
    <row r="5118" spans="11:34" ht="14.5" x14ac:dyDescent="0.35">
      <c r="K5118" s="4"/>
      <c r="AC5118" s="384">
        <v>2022</v>
      </c>
      <c r="AD5118" s="384">
        <v>8</v>
      </c>
      <c r="AE5118" s="384">
        <v>2</v>
      </c>
      <c r="AF5118" s="385">
        <v>0.16666666666666666</v>
      </c>
      <c r="AG5118" s="386">
        <v>14.6</v>
      </c>
      <c r="AH5118" s="387">
        <f t="shared" si="94"/>
        <v>15</v>
      </c>
    </row>
    <row r="5119" spans="11:34" ht="14.5" x14ac:dyDescent="0.35">
      <c r="K5119" s="4"/>
      <c r="AC5119" s="384">
        <v>2022</v>
      </c>
      <c r="AD5119" s="384">
        <v>8</v>
      </c>
      <c r="AE5119" s="384">
        <v>2</v>
      </c>
      <c r="AF5119" s="385">
        <v>0.20833333333333334</v>
      </c>
      <c r="AG5119" s="386">
        <v>13.6</v>
      </c>
      <c r="AH5119" s="387">
        <f t="shared" si="94"/>
        <v>14</v>
      </c>
    </row>
    <row r="5120" spans="11:34" ht="14.5" x14ac:dyDescent="0.35">
      <c r="K5120" s="4"/>
      <c r="AC5120" s="384">
        <v>2022</v>
      </c>
      <c r="AD5120" s="384">
        <v>8</v>
      </c>
      <c r="AE5120" s="384">
        <v>2</v>
      </c>
      <c r="AF5120" s="385">
        <v>0.25</v>
      </c>
      <c r="AG5120" s="386">
        <v>14.4</v>
      </c>
      <c r="AH5120" s="387">
        <f t="shared" si="94"/>
        <v>14</v>
      </c>
    </row>
    <row r="5121" spans="11:34" ht="14.5" x14ac:dyDescent="0.35">
      <c r="K5121" s="4"/>
      <c r="AC5121" s="384">
        <v>2022</v>
      </c>
      <c r="AD5121" s="384">
        <v>8</v>
      </c>
      <c r="AE5121" s="384">
        <v>2</v>
      </c>
      <c r="AF5121" s="385">
        <v>0.29166666666666669</v>
      </c>
      <c r="AG5121" s="386">
        <v>15.3</v>
      </c>
      <c r="AH5121" s="387">
        <f t="shared" si="94"/>
        <v>15</v>
      </c>
    </row>
    <row r="5122" spans="11:34" ht="14.5" x14ac:dyDescent="0.35">
      <c r="K5122" s="4"/>
      <c r="AC5122" s="384">
        <v>2022</v>
      </c>
      <c r="AD5122" s="384">
        <v>8</v>
      </c>
      <c r="AE5122" s="384">
        <v>2</v>
      </c>
      <c r="AF5122" s="385">
        <v>0.33333333333333331</v>
      </c>
      <c r="AG5122" s="386">
        <v>15.9</v>
      </c>
      <c r="AH5122" s="387">
        <f t="shared" si="94"/>
        <v>16</v>
      </c>
    </row>
    <row r="5123" spans="11:34" ht="14.5" x14ac:dyDescent="0.35">
      <c r="K5123" s="4"/>
      <c r="AC5123" s="384">
        <v>2022</v>
      </c>
      <c r="AD5123" s="384">
        <v>8</v>
      </c>
      <c r="AE5123" s="384">
        <v>2</v>
      </c>
      <c r="AF5123" s="385">
        <v>0.375</v>
      </c>
      <c r="AG5123" s="386">
        <v>17.100000000000001</v>
      </c>
      <c r="AH5123" s="387">
        <f t="shared" si="94"/>
        <v>17</v>
      </c>
    </row>
    <row r="5124" spans="11:34" ht="14.5" x14ac:dyDescent="0.35">
      <c r="K5124" s="4"/>
      <c r="AC5124" s="384">
        <v>2022</v>
      </c>
      <c r="AD5124" s="384">
        <v>8</v>
      </c>
      <c r="AE5124" s="384">
        <v>2</v>
      </c>
      <c r="AF5124" s="385">
        <v>0.41666666666666669</v>
      </c>
      <c r="AG5124" s="386">
        <v>18.7</v>
      </c>
      <c r="AH5124" s="387">
        <f t="shared" si="94"/>
        <v>19</v>
      </c>
    </row>
    <row r="5125" spans="11:34" ht="14.5" x14ac:dyDescent="0.35">
      <c r="K5125" s="4"/>
      <c r="AC5125" s="384">
        <v>2022</v>
      </c>
      <c r="AD5125" s="384">
        <v>8</v>
      </c>
      <c r="AE5125" s="384">
        <v>2</v>
      </c>
      <c r="AF5125" s="385">
        <v>0.45833333333333331</v>
      </c>
      <c r="AG5125" s="386">
        <v>21.3</v>
      </c>
      <c r="AH5125" s="387">
        <f t="shared" si="94"/>
        <v>21</v>
      </c>
    </row>
    <row r="5126" spans="11:34" ht="14.5" x14ac:dyDescent="0.35">
      <c r="K5126" s="4"/>
      <c r="AC5126" s="384">
        <v>2022</v>
      </c>
      <c r="AD5126" s="384">
        <v>8</v>
      </c>
      <c r="AE5126" s="384">
        <v>2</v>
      </c>
      <c r="AF5126" s="385">
        <v>0.5</v>
      </c>
      <c r="AG5126" s="386">
        <v>21.8</v>
      </c>
      <c r="AH5126" s="387">
        <f t="shared" si="94"/>
        <v>22</v>
      </c>
    </row>
    <row r="5127" spans="11:34" ht="14.5" x14ac:dyDescent="0.35">
      <c r="K5127" s="4"/>
      <c r="AC5127" s="384">
        <v>2022</v>
      </c>
      <c r="AD5127" s="384">
        <v>8</v>
      </c>
      <c r="AE5127" s="384">
        <v>2</v>
      </c>
      <c r="AF5127" s="385">
        <v>0.54166666666666663</v>
      </c>
      <c r="AG5127" s="386">
        <v>21.3</v>
      </c>
      <c r="AH5127" s="387">
        <f t="shared" si="94"/>
        <v>21</v>
      </c>
    </row>
    <row r="5128" spans="11:34" ht="14.5" x14ac:dyDescent="0.35">
      <c r="K5128" s="4"/>
      <c r="AC5128" s="384">
        <v>2022</v>
      </c>
      <c r="AD5128" s="384">
        <v>8</v>
      </c>
      <c r="AE5128" s="384">
        <v>2</v>
      </c>
      <c r="AF5128" s="385">
        <v>0.58333333333333337</v>
      </c>
      <c r="AG5128" s="386">
        <v>22.3</v>
      </c>
      <c r="AH5128" s="387">
        <f t="shared" si="94"/>
        <v>22</v>
      </c>
    </row>
    <row r="5129" spans="11:34" ht="14.5" x14ac:dyDescent="0.35">
      <c r="K5129" s="4"/>
      <c r="AC5129" s="384">
        <v>2022</v>
      </c>
      <c r="AD5129" s="384">
        <v>8</v>
      </c>
      <c r="AE5129" s="384">
        <v>2</v>
      </c>
      <c r="AF5129" s="385">
        <v>0.625</v>
      </c>
      <c r="AG5129" s="386">
        <v>22.4</v>
      </c>
      <c r="AH5129" s="387">
        <f t="shared" si="94"/>
        <v>22</v>
      </c>
    </row>
    <row r="5130" spans="11:34" ht="14.5" x14ac:dyDescent="0.35">
      <c r="K5130" s="4"/>
      <c r="AC5130" s="384">
        <v>2022</v>
      </c>
      <c r="AD5130" s="384">
        <v>8</v>
      </c>
      <c r="AE5130" s="384">
        <v>2</v>
      </c>
      <c r="AF5130" s="385">
        <v>0.66666666666666663</v>
      </c>
      <c r="AG5130" s="386">
        <v>23.1</v>
      </c>
      <c r="AH5130" s="387">
        <f t="shared" si="94"/>
        <v>23</v>
      </c>
    </row>
    <row r="5131" spans="11:34" ht="14.5" x14ac:dyDescent="0.35">
      <c r="K5131" s="4"/>
      <c r="AC5131" s="384">
        <v>2022</v>
      </c>
      <c r="AD5131" s="384">
        <v>8</v>
      </c>
      <c r="AE5131" s="384">
        <v>2</v>
      </c>
      <c r="AF5131" s="385">
        <v>0.70833333333333337</v>
      </c>
      <c r="AG5131" s="386">
        <v>22</v>
      </c>
      <c r="AH5131" s="387">
        <f t="shared" ref="AH5131:AH5194" si="95">ROUND(AG5131,0)</f>
        <v>22</v>
      </c>
    </row>
    <row r="5132" spans="11:34" ht="14.5" x14ac:dyDescent="0.35">
      <c r="K5132" s="4"/>
      <c r="AC5132" s="384">
        <v>2022</v>
      </c>
      <c r="AD5132" s="384">
        <v>8</v>
      </c>
      <c r="AE5132" s="384">
        <v>2</v>
      </c>
      <c r="AF5132" s="385">
        <v>0.75</v>
      </c>
      <c r="AG5132" s="386">
        <v>21.2</v>
      </c>
      <c r="AH5132" s="387">
        <f t="shared" si="95"/>
        <v>21</v>
      </c>
    </row>
    <row r="5133" spans="11:34" ht="14.5" x14ac:dyDescent="0.35">
      <c r="K5133" s="4"/>
      <c r="AC5133" s="384">
        <v>2022</v>
      </c>
      <c r="AD5133" s="384">
        <v>8</v>
      </c>
      <c r="AE5133" s="384">
        <v>2</v>
      </c>
      <c r="AF5133" s="385">
        <v>0.79166666666666663</v>
      </c>
      <c r="AG5133" s="386">
        <v>20</v>
      </c>
      <c r="AH5133" s="387">
        <f t="shared" si="95"/>
        <v>20</v>
      </c>
    </row>
    <row r="5134" spans="11:34" ht="14.5" x14ac:dyDescent="0.35">
      <c r="K5134" s="4"/>
      <c r="AC5134" s="384">
        <v>2022</v>
      </c>
      <c r="AD5134" s="384">
        <v>8</v>
      </c>
      <c r="AE5134" s="384">
        <v>2</v>
      </c>
      <c r="AF5134" s="385">
        <v>0.83333333333333337</v>
      </c>
      <c r="AG5134" s="386">
        <v>18.100000000000001</v>
      </c>
      <c r="AH5134" s="387">
        <f t="shared" si="95"/>
        <v>18</v>
      </c>
    </row>
    <row r="5135" spans="11:34" ht="14.5" x14ac:dyDescent="0.35">
      <c r="K5135" s="4"/>
      <c r="AC5135" s="384">
        <v>2022</v>
      </c>
      <c r="AD5135" s="384">
        <v>8</v>
      </c>
      <c r="AE5135" s="384">
        <v>2</v>
      </c>
      <c r="AF5135" s="385">
        <v>0.875</v>
      </c>
      <c r="AG5135" s="386">
        <v>15.7</v>
      </c>
      <c r="AH5135" s="387">
        <f t="shared" si="95"/>
        <v>16</v>
      </c>
    </row>
    <row r="5136" spans="11:34" ht="14.5" x14ac:dyDescent="0.35">
      <c r="K5136" s="4"/>
      <c r="AC5136" s="384">
        <v>2022</v>
      </c>
      <c r="AD5136" s="384">
        <v>8</v>
      </c>
      <c r="AE5136" s="384">
        <v>2</v>
      </c>
      <c r="AF5136" s="385">
        <v>0.91666666666666663</v>
      </c>
      <c r="AG5136" s="386">
        <v>14.4</v>
      </c>
      <c r="AH5136" s="387">
        <f t="shared" si="95"/>
        <v>14</v>
      </c>
    </row>
    <row r="5137" spans="11:34" ht="14.5" x14ac:dyDescent="0.35">
      <c r="K5137" s="4"/>
      <c r="AC5137" s="384">
        <v>2022</v>
      </c>
      <c r="AD5137" s="384">
        <v>8</v>
      </c>
      <c r="AE5137" s="384">
        <v>2</v>
      </c>
      <c r="AF5137" s="385">
        <v>0.95833333333333337</v>
      </c>
      <c r="AG5137" s="386">
        <v>13.6</v>
      </c>
      <c r="AH5137" s="387">
        <f t="shared" si="95"/>
        <v>14</v>
      </c>
    </row>
    <row r="5138" spans="11:34" ht="14.5" x14ac:dyDescent="0.35">
      <c r="K5138" s="4"/>
      <c r="AC5138" s="384">
        <v>2022</v>
      </c>
      <c r="AD5138" s="384">
        <v>8</v>
      </c>
      <c r="AE5138" s="384">
        <v>3</v>
      </c>
      <c r="AF5138" s="385">
        <v>0</v>
      </c>
      <c r="AG5138" s="386">
        <v>13</v>
      </c>
      <c r="AH5138" s="387">
        <f t="shared" si="95"/>
        <v>13</v>
      </c>
    </row>
    <row r="5139" spans="11:34" ht="14.5" x14ac:dyDescent="0.35">
      <c r="K5139" s="4"/>
      <c r="AC5139" s="384">
        <v>2022</v>
      </c>
      <c r="AD5139" s="384">
        <v>8</v>
      </c>
      <c r="AE5139" s="384">
        <v>3</v>
      </c>
      <c r="AF5139" s="385">
        <v>4.1666666666666664E-2</v>
      </c>
      <c r="AG5139" s="386">
        <v>14.3</v>
      </c>
      <c r="AH5139" s="387">
        <f t="shared" si="95"/>
        <v>14</v>
      </c>
    </row>
    <row r="5140" spans="11:34" ht="14.5" x14ac:dyDescent="0.35">
      <c r="K5140" s="4"/>
      <c r="AC5140" s="384">
        <v>2022</v>
      </c>
      <c r="AD5140" s="384">
        <v>8</v>
      </c>
      <c r="AE5140" s="384">
        <v>3</v>
      </c>
      <c r="AF5140" s="385">
        <v>8.3333333333333329E-2</v>
      </c>
      <c r="AG5140" s="386">
        <v>15.1</v>
      </c>
      <c r="AH5140" s="387">
        <f t="shared" si="95"/>
        <v>15</v>
      </c>
    </row>
    <row r="5141" spans="11:34" ht="14.5" x14ac:dyDescent="0.35">
      <c r="K5141" s="4"/>
      <c r="AC5141" s="384">
        <v>2022</v>
      </c>
      <c r="AD5141" s="384">
        <v>8</v>
      </c>
      <c r="AE5141" s="384">
        <v>3</v>
      </c>
      <c r="AF5141" s="385">
        <v>0.125</v>
      </c>
      <c r="AG5141" s="386">
        <v>15.3</v>
      </c>
      <c r="AH5141" s="387">
        <f t="shared" si="95"/>
        <v>15</v>
      </c>
    </row>
    <row r="5142" spans="11:34" ht="14.5" x14ac:dyDescent="0.35">
      <c r="K5142" s="4"/>
      <c r="AC5142" s="384">
        <v>2022</v>
      </c>
      <c r="AD5142" s="384">
        <v>8</v>
      </c>
      <c r="AE5142" s="384">
        <v>3</v>
      </c>
      <c r="AF5142" s="385">
        <v>0.16666666666666666</v>
      </c>
      <c r="AG5142" s="386">
        <v>14.9</v>
      </c>
      <c r="AH5142" s="387">
        <f t="shared" si="95"/>
        <v>15</v>
      </c>
    </row>
    <row r="5143" spans="11:34" ht="14.5" x14ac:dyDescent="0.35">
      <c r="K5143" s="4"/>
      <c r="AC5143" s="384">
        <v>2022</v>
      </c>
      <c r="AD5143" s="384">
        <v>8</v>
      </c>
      <c r="AE5143" s="384">
        <v>3</v>
      </c>
      <c r="AF5143" s="385">
        <v>0.20833333333333334</v>
      </c>
      <c r="AG5143" s="386">
        <v>15</v>
      </c>
      <c r="AH5143" s="387">
        <f t="shared" si="95"/>
        <v>15</v>
      </c>
    </row>
    <row r="5144" spans="11:34" ht="14.5" x14ac:dyDescent="0.35">
      <c r="K5144" s="4"/>
      <c r="AC5144" s="384">
        <v>2022</v>
      </c>
      <c r="AD5144" s="384">
        <v>8</v>
      </c>
      <c r="AE5144" s="384">
        <v>3</v>
      </c>
      <c r="AF5144" s="385">
        <v>0.25</v>
      </c>
      <c r="AG5144" s="386">
        <v>14.8</v>
      </c>
      <c r="AH5144" s="387">
        <f t="shared" si="95"/>
        <v>15</v>
      </c>
    </row>
    <row r="5145" spans="11:34" ht="14.5" x14ac:dyDescent="0.35">
      <c r="K5145" s="4"/>
      <c r="AC5145" s="384">
        <v>2022</v>
      </c>
      <c r="AD5145" s="384">
        <v>8</v>
      </c>
      <c r="AE5145" s="384">
        <v>3</v>
      </c>
      <c r="AF5145" s="385">
        <v>0.29166666666666669</v>
      </c>
      <c r="AG5145" s="386">
        <v>15.7</v>
      </c>
      <c r="AH5145" s="387">
        <f t="shared" si="95"/>
        <v>16</v>
      </c>
    </row>
    <row r="5146" spans="11:34" ht="14.5" x14ac:dyDescent="0.35">
      <c r="K5146" s="4"/>
      <c r="AC5146" s="384">
        <v>2022</v>
      </c>
      <c r="AD5146" s="384">
        <v>8</v>
      </c>
      <c r="AE5146" s="384">
        <v>3</v>
      </c>
      <c r="AF5146" s="385">
        <v>0.33333333333333331</v>
      </c>
      <c r="AG5146" s="386">
        <v>17.3</v>
      </c>
      <c r="AH5146" s="387">
        <f t="shared" si="95"/>
        <v>17</v>
      </c>
    </row>
    <row r="5147" spans="11:34" ht="14.5" x14ac:dyDescent="0.35">
      <c r="K5147" s="4"/>
      <c r="AC5147" s="384">
        <v>2022</v>
      </c>
      <c r="AD5147" s="384">
        <v>8</v>
      </c>
      <c r="AE5147" s="384">
        <v>3</v>
      </c>
      <c r="AF5147" s="385">
        <v>0.375</v>
      </c>
      <c r="AG5147" s="386">
        <v>19.5</v>
      </c>
      <c r="AH5147" s="387">
        <f t="shared" si="95"/>
        <v>20</v>
      </c>
    </row>
    <row r="5148" spans="11:34" ht="14.5" x14ac:dyDescent="0.35">
      <c r="K5148" s="4"/>
      <c r="AC5148" s="384">
        <v>2022</v>
      </c>
      <c r="AD5148" s="384">
        <v>8</v>
      </c>
      <c r="AE5148" s="384">
        <v>3</v>
      </c>
      <c r="AF5148" s="385">
        <v>0.41666666666666669</v>
      </c>
      <c r="AG5148" s="386">
        <v>20.2</v>
      </c>
      <c r="AH5148" s="387">
        <f t="shared" si="95"/>
        <v>20</v>
      </c>
    </row>
    <row r="5149" spans="11:34" ht="14.5" x14ac:dyDescent="0.35">
      <c r="K5149" s="4"/>
      <c r="AC5149" s="384">
        <v>2022</v>
      </c>
      <c r="AD5149" s="384">
        <v>8</v>
      </c>
      <c r="AE5149" s="384">
        <v>3</v>
      </c>
      <c r="AF5149" s="385">
        <v>0.45833333333333331</v>
      </c>
      <c r="AG5149" s="386">
        <v>21.4</v>
      </c>
      <c r="AH5149" s="387">
        <f t="shared" si="95"/>
        <v>21</v>
      </c>
    </row>
    <row r="5150" spans="11:34" ht="14.5" x14ac:dyDescent="0.35">
      <c r="K5150" s="4"/>
      <c r="AC5150" s="384">
        <v>2022</v>
      </c>
      <c r="AD5150" s="384">
        <v>8</v>
      </c>
      <c r="AE5150" s="384">
        <v>3</v>
      </c>
      <c r="AF5150" s="385">
        <v>0.5</v>
      </c>
      <c r="AG5150" s="386">
        <v>23.3</v>
      </c>
      <c r="AH5150" s="387">
        <f t="shared" si="95"/>
        <v>23</v>
      </c>
    </row>
    <row r="5151" spans="11:34" ht="14.5" x14ac:dyDescent="0.35">
      <c r="K5151" s="4"/>
      <c r="AC5151" s="384">
        <v>2022</v>
      </c>
      <c r="AD5151" s="384">
        <v>8</v>
      </c>
      <c r="AE5151" s="384">
        <v>3</v>
      </c>
      <c r="AF5151" s="385">
        <v>0.54166666666666663</v>
      </c>
      <c r="AG5151" s="386">
        <v>24.8</v>
      </c>
      <c r="AH5151" s="387">
        <f t="shared" si="95"/>
        <v>25</v>
      </c>
    </row>
    <row r="5152" spans="11:34" ht="14.5" x14ac:dyDescent="0.35">
      <c r="K5152" s="4"/>
      <c r="AC5152" s="384">
        <v>2022</v>
      </c>
      <c r="AD5152" s="384">
        <v>8</v>
      </c>
      <c r="AE5152" s="384">
        <v>3</v>
      </c>
      <c r="AF5152" s="385">
        <v>0.58333333333333337</v>
      </c>
      <c r="AG5152" s="386">
        <v>25.9</v>
      </c>
      <c r="AH5152" s="387">
        <f t="shared" si="95"/>
        <v>26</v>
      </c>
    </row>
    <row r="5153" spans="11:34" ht="14.5" x14ac:dyDescent="0.35">
      <c r="K5153" s="4"/>
      <c r="AC5153" s="384">
        <v>2022</v>
      </c>
      <c r="AD5153" s="384">
        <v>8</v>
      </c>
      <c r="AE5153" s="384">
        <v>3</v>
      </c>
      <c r="AF5153" s="385">
        <v>0.625</v>
      </c>
      <c r="AG5153" s="386">
        <v>27.7</v>
      </c>
      <c r="AH5153" s="387">
        <f t="shared" si="95"/>
        <v>28</v>
      </c>
    </row>
    <row r="5154" spans="11:34" ht="14.5" x14ac:dyDescent="0.35">
      <c r="K5154" s="4"/>
      <c r="AC5154" s="384">
        <v>2022</v>
      </c>
      <c r="AD5154" s="384">
        <v>8</v>
      </c>
      <c r="AE5154" s="384">
        <v>3</v>
      </c>
      <c r="AF5154" s="385">
        <v>0.66666666666666663</v>
      </c>
      <c r="AG5154" s="386">
        <v>25.9</v>
      </c>
      <c r="AH5154" s="387">
        <f t="shared" si="95"/>
        <v>26</v>
      </c>
    </row>
    <row r="5155" spans="11:34" ht="14.5" x14ac:dyDescent="0.35">
      <c r="K5155" s="4"/>
      <c r="AC5155" s="384">
        <v>2022</v>
      </c>
      <c r="AD5155" s="384">
        <v>8</v>
      </c>
      <c r="AE5155" s="384">
        <v>3</v>
      </c>
      <c r="AF5155" s="385">
        <v>0.70833333333333337</v>
      </c>
      <c r="AG5155" s="386">
        <v>25.7</v>
      </c>
      <c r="AH5155" s="387">
        <f t="shared" si="95"/>
        <v>26</v>
      </c>
    </row>
    <row r="5156" spans="11:34" ht="14.5" x14ac:dyDescent="0.35">
      <c r="K5156" s="4"/>
      <c r="AC5156" s="384">
        <v>2022</v>
      </c>
      <c r="AD5156" s="384">
        <v>8</v>
      </c>
      <c r="AE5156" s="384">
        <v>3</v>
      </c>
      <c r="AF5156" s="385">
        <v>0.75</v>
      </c>
      <c r="AG5156" s="386">
        <v>22.2</v>
      </c>
      <c r="AH5156" s="387">
        <f t="shared" si="95"/>
        <v>22</v>
      </c>
    </row>
    <row r="5157" spans="11:34" ht="14.5" x14ac:dyDescent="0.35">
      <c r="K5157" s="4"/>
      <c r="AC5157" s="384">
        <v>2022</v>
      </c>
      <c r="AD5157" s="384">
        <v>8</v>
      </c>
      <c r="AE5157" s="384">
        <v>3</v>
      </c>
      <c r="AF5157" s="385">
        <v>0.79166666666666663</v>
      </c>
      <c r="AG5157" s="386">
        <v>20.399999999999999</v>
      </c>
      <c r="AH5157" s="387">
        <f t="shared" si="95"/>
        <v>20</v>
      </c>
    </row>
    <row r="5158" spans="11:34" ht="14.5" x14ac:dyDescent="0.35">
      <c r="K5158" s="4"/>
      <c r="AC5158" s="384">
        <v>2022</v>
      </c>
      <c r="AD5158" s="384">
        <v>8</v>
      </c>
      <c r="AE5158" s="384">
        <v>3</v>
      </c>
      <c r="AF5158" s="385">
        <v>0.83333333333333337</v>
      </c>
      <c r="AG5158" s="386">
        <v>19</v>
      </c>
      <c r="AH5158" s="387">
        <f t="shared" si="95"/>
        <v>19</v>
      </c>
    </row>
    <row r="5159" spans="11:34" ht="14.5" x14ac:dyDescent="0.35">
      <c r="K5159" s="4"/>
      <c r="AC5159" s="384">
        <v>2022</v>
      </c>
      <c r="AD5159" s="384">
        <v>8</v>
      </c>
      <c r="AE5159" s="384">
        <v>3</v>
      </c>
      <c r="AF5159" s="385">
        <v>0.875</v>
      </c>
      <c r="AG5159" s="386">
        <v>17.100000000000001</v>
      </c>
      <c r="AH5159" s="387">
        <f t="shared" si="95"/>
        <v>17</v>
      </c>
    </row>
    <row r="5160" spans="11:34" ht="14.5" x14ac:dyDescent="0.35">
      <c r="K5160" s="4"/>
      <c r="AC5160" s="384">
        <v>2022</v>
      </c>
      <c r="AD5160" s="384">
        <v>8</v>
      </c>
      <c r="AE5160" s="384">
        <v>3</v>
      </c>
      <c r="AF5160" s="385">
        <v>0.91666666666666663</v>
      </c>
      <c r="AG5160" s="386">
        <v>16.3</v>
      </c>
      <c r="AH5160" s="387">
        <f t="shared" si="95"/>
        <v>16</v>
      </c>
    </row>
    <row r="5161" spans="11:34" ht="14.5" x14ac:dyDescent="0.35">
      <c r="K5161" s="4"/>
      <c r="AC5161" s="384">
        <v>2022</v>
      </c>
      <c r="AD5161" s="384">
        <v>8</v>
      </c>
      <c r="AE5161" s="384">
        <v>3</v>
      </c>
      <c r="AF5161" s="385">
        <v>0.95833333333333337</v>
      </c>
      <c r="AG5161" s="386">
        <v>15</v>
      </c>
      <c r="AH5161" s="387">
        <f t="shared" si="95"/>
        <v>15</v>
      </c>
    </row>
    <row r="5162" spans="11:34" ht="14.5" x14ac:dyDescent="0.35">
      <c r="K5162" s="4"/>
      <c r="AC5162" s="384">
        <v>2022</v>
      </c>
      <c r="AD5162" s="384">
        <v>8</v>
      </c>
      <c r="AE5162" s="384">
        <v>4</v>
      </c>
      <c r="AF5162" s="385">
        <v>0</v>
      </c>
      <c r="AG5162" s="386">
        <v>14.8</v>
      </c>
      <c r="AH5162" s="387">
        <f t="shared" si="95"/>
        <v>15</v>
      </c>
    </row>
    <row r="5163" spans="11:34" ht="14.5" x14ac:dyDescent="0.35">
      <c r="K5163" s="4"/>
      <c r="AC5163" s="384">
        <v>2022</v>
      </c>
      <c r="AD5163" s="384">
        <v>8</v>
      </c>
      <c r="AE5163" s="384">
        <v>4</v>
      </c>
      <c r="AF5163" s="385">
        <v>4.1666666666666664E-2</v>
      </c>
      <c r="AG5163" s="386">
        <v>13.2</v>
      </c>
      <c r="AH5163" s="387">
        <f t="shared" si="95"/>
        <v>13</v>
      </c>
    </row>
    <row r="5164" spans="11:34" ht="14.5" x14ac:dyDescent="0.35">
      <c r="K5164" s="4"/>
      <c r="AC5164" s="384">
        <v>2022</v>
      </c>
      <c r="AD5164" s="384">
        <v>8</v>
      </c>
      <c r="AE5164" s="384">
        <v>4</v>
      </c>
      <c r="AF5164" s="385">
        <v>8.3333333333333329E-2</v>
      </c>
      <c r="AG5164" s="386">
        <v>12.9</v>
      </c>
      <c r="AH5164" s="387">
        <f t="shared" si="95"/>
        <v>13</v>
      </c>
    </row>
    <row r="5165" spans="11:34" ht="14.5" x14ac:dyDescent="0.35">
      <c r="K5165" s="4"/>
      <c r="AC5165" s="384">
        <v>2022</v>
      </c>
      <c r="AD5165" s="384">
        <v>8</v>
      </c>
      <c r="AE5165" s="384">
        <v>4</v>
      </c>
      <c r="AF5165" s="385">
        <v>0.125</v>
      </c>
      <c r="AG5165" s="386">
        <v>11.2</v>
      </c>
      <c r="AH5165" s="387">
        <f t="shared" si="95"/>
        <v>11</v>
      </c>
    </row>
    <row r="5166" spans="11:34" ht="14.5" x14ac:dyDescent="0.35">
      <c r="K5166" s="4"/>
      <c r="AC5166" s="384">
        <v>2022</v>
      </c>
      <c r="AD5166" s="384">
        <v>8</v>
      </c>
      <c r="AE5166" s="384">
        <v>4</v>
      </c>
      <c r="AF5166" s="385">
        <v>0.16666666666666666</v>
      </c>
      <c r="AG5166" s="386">
        <v>11.4</v>
      </c>
      <c r="AH5166" s="387">
        <f t="shared" si="95"/>
        <v>11</v>
      </c>
    </row>
    <row r="5167" spans="11:34" ht="14.5" x14ac:dyDescent="0.35">
      <c r="K5167" s="4"/>
      <c r="AC5167" s="384">
        <v>2022</v>
      </c>
      <c r="AD5167" s="384">
        <v>8</v>
      </c>
      <c r="AE5167" s="384">
        <v>4</v>
      </c>
      <c r="AF5167" s="385">
        <v>0.20833333333333334</v>
      </c>
      <c r="AG5167" s="386">
        <v>9.4</v>
      </c>
      <c r="AH5167" s="387">
        <f t="shared" si="95"/>
        <v>9</v>
      </c>
    </row>
    <row r="5168" spans="11:34" ht="14.5" x14ac:dyDescent="0.35">
      <c r="K5168" s="4"/>
      <c r="AC5168" s="384">
        <v>2022</v>
      </c>
      <c r="AD5168" s="384">
        <v>8</v>
      </c>
      <c r="AE5168" s="384">
        <v>4</v>
      </c>
      <c r="AF5168" s="385">
        <v>0.25</v>
      </c>
      <c r="AG5168" s="386">
        <v>10.4</v>
      </c>
      <c r="AH5168" s="387">
        <f t="shared" si="95"/>
        <v>10</v>
      </c>
    </row>
    <row r="5169" spans="11:34" ht="14.5" x14ac:dyDescent="0.35">
      <c r="K5169" s="4"/>
      <c r="AC5169" s="384">
        <v>2022</v>
      </c>
      <c r="AD5169" s="384">
        <v>8</v>
      </c>
      <c r="AE5169" s="384">
        <v>4</v>
      </c>
      <c r="AF5169" s="385">
        <v>0.29166666666666669</v>
      </c>
      <c r="AG5169" s="386">
        <v>12.2</v>
      </c>
      <c r="AH5169" s="387">
        <f t="shared" si="95"/>
        <v>12</v>
      </c>
    </row>
    <row r="5170" spans="11:34" ht="14.5" x14ac:dyDescent="0.35">
      <c r="K5170" s="4"/>
      <c r="AC5170" s="384">
        <v>2022</v>
      </c>
      <c r="AD5170" s="384">
        <v>8</v>
      </c>
      <c r="AE5170" s="384">
        <v>4</v>
      </c>
      <c r="AF5170" s="385">
        <v>0.33333333333333331</v>
      </c>
      <c r="AG5170" s="386">
        <v>14.7</v>
      </c>
      <c r="AH5170" s="387">
        <f t="shared" si="95"/>
        <v>15</v>
      </c>
    </row>
    <row r="5171" spans="11:34" ht="14.5" x14ac:dyDescent="0.35">
      <c r="K5171" s="4"/>
      <c r="AC5171" s="384">
        <v>2022</v>
      </c>
      <c r="AD5171" s="384">
        <v>8</v>
      </c>
      <c r="AE5171" s="384">
        <v>4</v>
      </c>
      <c r="AF5171" s="385">
        <v>0.375</v>
      </c>
      <c r="AG5171" s="386">
        <v>14.8</v>
      </c>
      <c r="AH5171" s="387">
        <f t="shared" si="95"/>
        <v>15</v>
      </c>
    </row>
    <row r="5172" spans="11:34" ht="14.5" x14ac:dyDescent="0.35">
      <c r="K5172" s="4"/>
      <c r="AC5172" s="384">
        <v>2022</v>
      </c>
      <c r="AD5172" s="384">
        <v>8</v>
      </c>
      <c r="AE5172" s="384">
        <v>4</v>
      </c>
      <c r="AF5172" s="385">
        <v>0.41666666666666669</v>
      </c>
      <c r="AG5172" s="386">
        <v>16.399999999999999</v>
      </c>
      <c r="AH5172" s="387">
        <f t="shared" si="95"/>
        <v>16</v>
      </c>
    </row>
    <row r="5173" spans="11:34" ht="14.5" x14ac:dyDescent="0.35">
      <c r="K5173" s="4"/>
      <c r="AC5173" s="384">
        <v>2022</v>
      </c>
      <c r="AD5173" s="384">
        <v>8</v>
      </c>
      <c r="AE5173" s="384">
        <v>4</v>
      </c>
      <c r="AF5173" s="385">
        <v>0.45833333333333331</v>
      </c>
      <c r="AG5173" s="386">
        <v>17.600000000000001</v>
      </c>
      <c r="AH5173" s="387">
        <f t="shared" si="95"/>
        <v>18</v>
      </c>
    </row>
    <row r="5174" spans="11:34" ht="14.5" x14ac:dyDescent="0.35">
      <c r="K5174" s="4"/>
      <c r="AC5174" s="384">
        <v>2022</v>
      </c>
      <c r="AD5174" s="384">
        <v>8</v>
      </c>
      <c r="AE5174" s="384">
        <v>4</v>
      </c>
      <c r="AF5174" s="385">
        <v>0.5</v>
      </c>
      <c r="AG5174" s="386">
        <v>18</v>
      </c>
      <c r="AH5174" s="387">
        <f t="shared" si="95"/>
        <v>18</v>
      </c>
    </row>
    <row r="5175" spans="11:34" ht="14.5" x14ac:dyDescent="0.35">
      <c r="K5175" s="4"/>
      <c r="AC5175" s="384">
        <v>2022</v>
      </c>
      <c r="AD5175" s="384">
        <v>8</v>
      </c>
      <c r="AE5175" s="384">
        <v>4</v>
      </c>
      <c r="AF5175" s="385">
        <v>0.54166666666666663</v>
      </c>
      <c r="AG5175" s="386">
        <v>18.7</v>
      </c>
      <c r="AH5175" s="387">
        <f t="shared" si="95"/>
        <v>19</v>
      </c>
    </row>
    <row r="5176" spans="11:34" ht="14.5" x14ac:dyDescent="0.35">
      <c r="K5176" s="4"/>
      <c r="AC5176" s="384">
        <v>2022</v>
      </c>
      <c r="AD5176" s="384">
        <v>8</v>
      </c>
      <c r="AE5176" s="384">
        <v>4</v>
      </c>
      <c r="AF5176" s="385">
        <v>0.58333333333333337</v>
      </c>
      <c r="AG5176" s="386">
        <v>19.399999999999999</v>
      </c>
      <c r="AH5176" s="387">
        <f t="shared" si="95"/>
        <v>19</v>
      </c>
    </row>
    <row r="5177" spans="11:34" ht="14.5" x14ac:dyDescent="0.35">
      <c r="K5177" s="4"/>
      <c r="AC5177" s="384">
        <v>2022</v>
      </c>
      <c r="AD5177" s="384">
        <v>8</v>
      </c>
      <c r="AE5177" s="384">
        <v>4</v>
      </c>
      <c r="AF5177" s="385">
        <v>0.625</v>
      </c>
      <c r="AG5177" s="386">
        <v>15.7</v>
      </c>
      <c r="AH5177" s="387">
        <f t="shared" si="95"/>
        <v>16</v>
      </c>
    </row>
    <row r="5178" spans="11:34" ht="14.5" x14ac:dyDescent="0.35">
      <c r="K5178" s="4"/>
      <c r="AC5178" s="384">
        <v>2022</v>
      </c>
      <c r="AD5178" s="384">
        <v>8</v>
      </c>
      <c r="AE5178" s="384">
        <v>4</v>
      </c>
      <c r="AF5178" s="385">
        <v>0.66666666666666663</v>
      </c>
      <c r="AG5178" s="386">
        <v>17.600000000000001</v>
      </c>
      <c r="AH5178" s="387">
        <f t="shared" si="95"/>
        <v>18</v>
      </c>
    </row>
    <row r="5179" spans="11:34" ht="14.5" x14ac:dyDescent="0.35">
      <c r="K5179" s="4"/>
      <c r="AC5179" s="384">
        <v>2022</v>
      </c>
      <c r="AD5179" s="384">
        <v>8</v>
      </c>
      <c r="AE5179" s="384">
        <v>4</v>
      </c>
      <c r="AF5179" s="385">
        <v>0.70833333333333337</v>
      </c>
      <c r="AG5179" s="386">
        <v>16.7</v>
      </c>
      <c r="AH5179" s="387">
        <f t="shared" si="95"/>
        <v>17</v>
      </c>
    </row>
    <row r="5180" spans="11:34" ht="14.5" x14ac:dyDescent="0.35">
      <c r="K5180" s="4"/>
      <c r="AC5180" s="384">
        <v>2022</v>
      </c>
      <c r="AD5180" s="384">
        <v>8</v>
      </c>
      <c r="AE5180" s="384">
        <v>4</v>
      </c>
      <c r="AF5180" s="385">
        <v>0.75</v>
      </c>
      <c r="AG5180" s="386">
        <v>14.6</v>
      </c>
      <c r="AH5180" s="387">
        <f t="shared" si="95"/>
        <v>15</v>
      </c>
    </row>
    <row r="5181" spans="11:34" ht="14.5" x14ac:dyDescent="0.35">
      <c r="K5181" s="4"/>
      <c r="AC5181" s="384">
        <v>2022</v>
      </c>
      <c r="AD5181" s="384">
        <v>8</v>
      </c>
      <c r="AE5181" s="384">
        <v>4</v>
      </c>
      <c r="AF5181" s="385">
        <v>0.79166666666666663</v>
      </c>
      <c r="AG5181" s="386">
        <v>12.7</v>
      </c>
      <c r="AH5181" s="387">
        <f t="shared" si="95"/>
        <v>13</v>
      </c>
    </row>
    <row r="5182" spans="11:34" ht="14.5" x14ac:dyDescent="0.35">
      <c r="K5182" s="4"/>
      <c r="AC5182" s="384">
        <v>2022</v>
      </c>
      <c r="AD5182" s="384">
        <v>8</v>
      </c>
      <c r="AE5182" s="384">
        <v>4</v>
      </c>
      <c r="AF5182" s="385">
        <v>0.83333333333333337</v>
      </c>
      <c r="AG5182" s="386">
        <v>12.3</v>
      </c>
      <c r="AH5182" s="387">
        <f t="shared" si="95"/>
        <v>12</v>
      </c>
    </row>
    <row r="5183" spans="11:34" ht="14.5" x14ac:dyDescent="0.35">
      <c r="K5183" s="4"/>
      <c r="AC5183" s="384">
        <v>2022</v>
      </c>
      <c r="AD5183" s="384">
        <v>8</v>
      </c>
      <c r="AE5183" s="384">
        <v>4</v>
      </c>
      <c r="AF5183" s="385">
        <v>0.875</v>
      </c>
      <c r="AG5183" s="386">
        <v>11.7</v>
      </c>
      <c r="AH5183" s="387">
        <f t="shared" si="95"/>
        <v>12</v>
      </c>
    </row>
    <row r="5184" spans="11:34" ht="14.5" x14ac:dyDescent="0.35">
      <c r="K5184" s="4"/>
      <c r="AC5184" s="384">
        <v>2022</v>
      </c>
      <c r="AD5184" s="384">
        <v>8</v>
      </c>
      <c r="AE5184" s="384">
        <v>4</v>
      </c>
      <c r="AF5184" s="385">
        <v>0.91666666666666663</v>
      </c>
      <c r="AG5184" s="386">
        <v>11.5</v>
      </c>
      <c r="AH5184" s="387">
        <f t="shared" si="95"/>
        <v>12</v>
      </c>
    </row>
    <row r="5185" spans="11:34" ht="14.5" x14ac:dyDescent="0.35">
      <c r="K5185" s="4"/>
      <c r="AC5185" s="384">
        <v>2022</v>
      </c>
      <c r="AD5185" s="384">
        <v>8</v>
      </c>
      <c r="AE5185" s="384">
        <v>4</v>
      </c>
      <c r="AF5185" s="385">
        <v>0.95833333333333337</v>
      </c>
      <c r="AG5185" s="386">
        <v>10.1</v>
      </c>
      <c r="AH5185" s="387">
        <f t="shared" si="95"/>
        <v>10</v>
      </c>
    </row>
    <row r="5186" spans="11:34" ht="14.5" x14ac:dyDescent="0.35">
      <c r="K5186" s="4"/>
      <c r="AC5186" s="384">
        <v>2022</v>
      </c>
      <c r="AD5186" s="384">
        <v>8</v>
      </c>
      <c r="AE5186" s="384">
        <v>5</v>
      </c>
      <c r="AF5186" s="385">
        <v>0</v>
      </c>
      <c r="AG5186" s="386">
        <v>9.3000000000000007</v>
      </c>
      <c r="AH5186" s="387">
        <f t="shared" si="95"/>
        <v>9</v>
      </c>
    </row>
    <row r="5187" spans="11:34" ht="14.5" x14ac:dyDescent="0.35">
      <c r="K5187" s="4"/>
      <c r="AC5187" s="384">
        <v>2022</v>
      </c>
      <c r="AD5187" s="384">
        <v>8</v>
      </c>
      <c r="AE5187" s="384">
        <v>5</v>
      </c>
      <c r="AF5187" s="385">
        <v>4.1666666666666664E-2</v>
      </c>
      <c r="AG5187" s="386">
        <v>9.9</v>
      </c>
      <c r="AH5187" s="387">
        <f t="shared" si="95"/>
        <v>10</v>
      </c>
    </row>
    <row r="5188" spans="11:34" ht="14.5" x14ac:dyDescent="0.35">
      <c r="K5188" s="4"/>
      <c r="AC5188" s="384">
        <v>2022</v>
      </c>
      <c r="AD5188" s="384">
        <v>8</v>
      </c>
      <c r="AE5188" s="384">
        <v>5</v>
      </c>
      <c r="AF5188" s="385">
        <v>8.3333333333333329E-2</v>
      </c>
      <c r="AG5188" s="386">
        <v>9.3000000000000007</v>
      </c>
      <c r="AH5188" s="387">
        <f t="shared" si="95"/>
        <v>9</v>
      </c>
    </row>
    <row r="5189" spans="11:34" ht="14.5" x14ac:dyDescent="0.35">
      <c r="K5189" s="4"/>
      <c r="AC5189" s="384">
        <v>2022</v>
      </c>
      <c r="AD5189" s="384">
        <v>8</v>
      </c>
      <c r="AE5189" s="384">
        <v>5</v>
      </c>
      <c r="AF5189" s="385">
        <v>0.125</v>
      </c>
      <c r="AG5189" s="386">
        <v>8.1</v>
      </c>
      <c r="AH5189" s="387">
        <f t="shared" si="95"/>
        <v>8</v>
      </c>
    </row>
    <row r="5190" spans="11:34" ht="14.5" x14ac:dyDescent="0.35">
      <c r="K5190" s="4"/>
      <c r="AC5190" s="384">
        <v>2022</v>
      </c>
      <c r="AD5190" s="384">
        <v>8</v>
      </c>
      <c r="AE5190" s="384">
        <v>5</v>
      </c>
      <c r="AF5190" s="385">
        <v>0.16666666666666666</v>
      </c>
      <c r="AG5190" s="386">
        <v>8.6</v>
      </c>
      <c r="AH5190" s="387">
        <f t="shared" si="95"/>
        <v>9</v>
      </c>
    </row>
    <row r="5191" spans="11:34" ht="14.5" x14ac:dyDescent="0.35">
      <c r="K5191" s="4"/>
      <c r="AC5191" s="384">
        <v>2022</v>
      </c>
      <c r="AD5191" s="384">
        <v>8</v>
      </c>
      <c r="AE5191" s="384">
        <v>5</v>
      </c>
      <c r="AF5191" s="385">
        <v>0.20833333333333334</v>
      </c>
      <c r="AG5191" s="386">
        <v>10.4</v>
      </c>
      <c r="AH5191" s="387">
        <f t="shared" si="95"/>
        <v>10</v>
      </c>
    </row>
    <row r="5192" spans="11:34" ht="14.5" x14ac:dyDescent="0.35">
      <c r="K5192" s="4"/>
      <c r="AC5192" s="384">
        <v>2022</v>
      </c>
      <c r="AD5192" s="384">
        <v>8</v>
      </c>
      <c r="AE5192" s="384">
        <v>5</v>
      </c>
      <c r="AF5192" s="385">
        <v>0.25</v>
      </c>
      <c r="AG5192" s="386">
        <v>9.1</v>
      </c>
      <c r="AH5192" s="387">
        <f t="shared" si="95"/>
        <v>9</v>
      </c>
    </row>
    <row r="5193" spans="11:34" ht="14.5" x14ac:dyDescent="0.35">
      <c r="K5193" s="4"/>
      <c r="AC5193" s="384">
        <v>2022</v>
      </c>
      <c r="AD5193" s="384">
        <v>8</v>
      </c>
      <c r="AE5193" s="384">
        <v>5</v>
      </c>
      <c r="AF5193" s="385">
        <v>0.29166666666666669</v>
      </c>
      <c r="AG5193" s="386">
        <v>10.199999999999999</v>
      </c>
      <c r="AH5193" s="387">
        <f t="shared" si="95"/>
        <v>10</v>
      </c>
    </row>
    <row r="5194" spans="11:34" ht="14.5" x14ac:dyDescent="0.35">
      <c r="K5194" s="4"/>
      <c r="AC5194" s="384">
        <v>2022</v>
      </c>
      <c r="AD5194" s="384">
        <v>8</v>
      </c>
      <c r="AE5194" s="384">
        <v>5</v>
      </c>
      <c r="AF5194" s="385">
        <v>0.33333333333333331</v>
      </c>
      <c r="AG5194" s="386">
        <v>11.4</v>
      </c>
      <c r="AH5194" s="387">
        <f t="shared" si="95"/>
        <v>11</v>
      </c>
    </row>
    <row r="5195" spans="11:34" ht="14.5" x14ac:dyDescent="0.35">
      <c r="K5195" s="4"/>
      <c r="AC5195" s="384">
        <v>2022</v>
      </c>
      <c r="AD5195" s="384">
        <v>8</v>
      </c>
      <c r="AE5195" s="384">
        <v>5</v>
      </c>
      <c r="AF5195" s="385">
        <v>0.375</v>
      </c>
      <c r="AG5195" s="386">
        <v>12.8</v>
      </c>
      <c r="AH5195" s="387">
        <f t="shared" ref="AH5195:AH5258" si="96">ROUND(AG5195,0)</f>
        <v>13</v>
      </c>
    </row>
    <row r="5196" spans="11:34" ht="14.5" x14ac:dyDescent="0.35">
      <c r="K5196" s="4"/>
      <c r="AC5196" s="384">
        <v>2022</v>
      </c>
      <c r="AD5196" s="384">
        <v>8</v>
      </c>
      <c r="AE5196" s="384">
        <v>5</v>
      </c>
      <c r="AF5196" s="385">
        <v>0.41666666666666669</v>
      </c>
      <c r="AG5196" s="386">
        <v>12.8</v>
      </c>
      <c r="AH5196" s="387">
        <f t="shared" si="96"/>
        <v>13</v>
      </c>
    </row>
    <row r="5197" spans="11:34" ht="14.5" x14ac:dyDescent="0.35">
      <c r="K5197" s="4"/>
      <c r="AC5197" s="384">
        <v>2022</v>
      </c>
      <c r="AD5197" s="384">
        <v>8</v>
      </c>
      <c r="AE5197" s="384">
        <v>5</v>
      </c>
      <c r="AF5197" s="385">
        <v>0.45833333333333331</v>
      </c>
      <c r="AG5197" s="386">
        <v>13.9</v>
      </c>
      <c r="AH5197" s="387">
        <f t="shared" si="96"/>
        <v>14</v>
      </c>
    </row>
    <row r="5198" spans="11:34" ht="14.5" x14ac:dyDescent="0.35">
      <c r="K5198" s="4"/>
      <c r="AC5198" s="384">
        <v>2022</v>
      </c>
      <c r="AD5198" s="384">
        <v>8</v>
      </c>
      <c r="AE5198" s="384">
        <v>5</v>
      </c>
      <c r="AF5198" s="385">
        <v>0.5</v>
      </c>
      <c r="AG5198" s="386">
        <v>15</v>
      </c>
      <c r="AH5198" s="387">
        <f t="shared" si="96"/>
        <v>15</v>
      </c>
    </row>
    <row r="5199" spans="11:34" ht="14.5" x14ac:dyDescent="0.35">
      <c r="K5199" s="4"/>
      <c r="AC5199" s="384">
        <v>2022</v>
      </c>
      <c r="AD5199" s="384">
        <v>8</v>
      </c>
      <c r="AE5199" s="384">
        <v>5</v>
      </c>
      <c r="AF5199" s="385">
        <v>0.54166666666666663</v>
      </c>
      <c r="AG5199" s="386">
        <v>16</v>
      </c>
      <c r="AH5199" s="387">
        <f t="shared" si="96"/>
        <v>16</v>
      </c>
    </row>
    <row r="5200" spans="11:34" ht="14.5" x14ac:dyDescent="0.35">
      <c r="K5200" s="4"/>
      <c r="AC5200" s="384">
        <v>2022</v>
      </c>
      <c r="AD5200" s="384">
        <v>8</v>
      </c>
      <c r="AE5200" s="384">
        <v>5</v>
      </c>
      <c r="AF5200" s="385">
        <v>0.58333333333333337</v>
      </c>
      <c r="AG5200" s="386">
        <v>17.2</v>
      </c>
      <c r="AH5200" s="387">
        <f t="shared" si="96"/>
        <v>17</v>
      </c>
    </row>
    <row r="5201" spans="11:34" ht="14.5" x14ac:dyDescent="0.35">
      <c r="K5201" s="4"/>
      <c r="AC5201" s="384">
        <v>2022</v>
      </c>
      <c r="AD5201" s="384">
        <v>8</v>
      </c>
      <c r="AE5201" s="384">
        <v>5</v>
      </c>
      <c r="AF5201" s="385">
        <v>0.625</v>
      </c>
      <c r="AG5201" s="386">
        <v>17.399999999999999</v>
      </c>
      <c r="AH5201" s="387">
        <f t="shared" si="96"/>
        <v>17</v>
      </c>
    </row>
    <row r="5202" spans="11:34" ht="14.5" x14ac:dyDescent="0.35">
      <c r="K5202" s="4"/>
      <c r="AC5202" s="384">
        <v>2022</v>
      </c>
      <c r="AD5202" s="384">
        <v>8</v>
      </c>
      <c r="AE5202" s="384">
        <v>5</v>
      </c>
      <c r="AF5202" s="385">
        <v>0.66666666666666663</v>
      </c>
      <c r="AG5202" s="386">
        <v>17.5</v>
      </c>
      <c r="AH5202" s="387">
        <f t="shared" si="96"/>
        <v>18</v>
      </c>
    </row>
    <row r="5203" spans="11:34" ht="14.5" x14ac:dyDescent="0.35">
      <c r="K5203" s="4"/>
      <c r="AC5203" s="384">
        <v>2022</v>
      </c>
      <c r="AD5203" s="384">
        <v>8</v>
      </c>
      <c r="AE5203" s="384">
        <v>5</v>
      </c>
      <c r="AF5203" s="385">
        <v>0.70833333333333337</v>
      </c>
      <c r="AG5203" s="386">
        <v>17.600000000000001</v>
      </c>
      <c r="AH5203" s="387">
        <f t="shared" si="96"/>
        <v>18</v>
      </c>
    </row>
    <row r="5204" spans="11:34" ht="14.5" x14ac:dyDescent="0.35">
      <c r="K5204" s="4"/>
      <c r="AC5204" s="384">
        <v>2022</v>
      </c>
      <c r="AD5204" s="384">
        <v>8</v>
      </c>
      <c r="AE5204" s="384">
        <v>5</v>
      </c>
      <c r="AF5204" s="385">
        <v>0.75</v>
      </c>
      <c r="AG5204" s="386">
        <v>17</v>
      </c>
      <c r="AH5204" s="387">
        <f t="shared" si="96"/>
        <v>17</v>
      </c>
    </row>
    <row r="5205" spans="11:34" ht="14.5" x14ac:dyDescent="0.35">
      <c r="K5205" s="4"/>
      <c r="AC5205" s="384">
        <v>2022</v>
      </c>
      <c r="AD5205" s="384">
        <v>8</v>
      </c>
      <c r="AE5205" s="384">
        <v>5</v>
      </c>
      <c r="AF5205" s="385">
        <v>0.79166666666666663</v>
      </c>
      <c r="AG5205" s="386">
        <v>16.100000000000001</v>
      </c>
      <c r="AH5205" s="387">
        <f t="shared" si="96"/>
        <v>16</v>
      </c>
    </row>
    <row r="5206" spans="11:34" ht="14.5" x14ac:dyDescent="0.35">
      <c r="K5206" s="4"/>
      <c r="AC5206" s="384">
        <v>2022</v>
      </c>
      <c r="AD5206" s="384">
        <v>8</v>
      </c>
      <c r="AE5206" s="384">
        <v>5</v>
      </c>
      <c r="AF5206" s="385">
        <v>0.83333333333333337</v>
      </c>
      <c r="AG5206" s="386">
        <v>14.1</v>
      </c>
      <c r="AH5206" s="387">
        <f t="shared" si="96"/>
        <v>14</v>
      </c>
    </row>
    <row r="5207" spans="11:34" ht="14.5" x14ac:dyDescent="0.35">
      <c r="K5207" s="4"/>
      <c r="AC5207" s="384">
        <v>2022</v>
      </c>
      <c r="AD5207" s="384">
        <v>8</v>
      </c>
      <c r="AE5207" s="384">
        <v>5</v>
      </c>
      <c r="AF5207" s="385">
        <v>0.875</v>
      </c>
      <c r="AG5207" s="386">
        <v>12.4</v>
      </c>
      <c r="AH5207" s="387">
        <f t="shared" si="96"/>
        <v>12</v>
      </c>
    </row>
    <row r="5208" spans="11:34" ht="14.5" x14ac:dyDescent="0.35">
      <c r="K5208" s="4"/>
      <c r="AC5208" s="384">
        <v>2022</v>
      </c>
      <c r="AD5208" s="384">
        <v>8</v>
      </c>
      <c r="AE5208" s="384">
        <v>5</v>
      </c>
      <c r="AF5208" s="385">
        <v>0.91666666666666663</v>
      </c>
      <c r="AG5208" s="386">
        <v>10.6</v>
      </c>
      <c r="AH5208" s="387">
        <f t="shared" si="96"/>
        <v>11</v>
      </c>
    </row>
    <row r="5209" spans="11:34" ht="14.5" x14ac:dyDescent="0.35">
      <c r="K5209" s="4"/>
      <c r="AC5209" s="384">
        <v>2022</v>
      </c>
      <c r="AD5209" s="384">
        <v>8</v>
      </c>
      <c r="AE5209" s="384">
        <v>5</v>
      </c>
      <c r="AF5209" s="385">
        <v>0.95833333333333337</v>
      </c>
      <c r="AG5209" s="386">
        <v>10.9</v>
      </c>
      <c r="AH5209" s="387">
        <f t="shared" si="96"/>
        <v>11</v>
      </c>
    </row>
    <row r="5210" spans="11:34" ht="14.5" x14ac:dyDescent="0.35">
      <c r="K5210" s="4"/>
      <c r="AC5210" s="384">
        <v>2022</v>
      </c>
      <c r="AD5210" s="384">
        <v>8</v>
      </c>
      <c r="AE5210" s="384">
        <v>6</v>
      </c>
      <c r="AF5210" s="385">
        <v>0</v>
      </c>
      <c r="AG5210" s="386">
        <v>10</v>
      </c>
      <c r="AH5210" s="387">
        <f t="shared" si="96"/>
        <v>10</v>
      </c>
    </row>
    <row r="5211" spans="11:34" ht="14.5" x14ac:dyDescent="0.35">
      <c r="K5211" s="4"/>
      <c r="AC5211" s="384">
        <v>2022</v>
      </c>
      <c r="AD5211" s="384">
        <v>8</v>
      </c>
      <c r="AE5211" s="384">
        <v>6</v>
      </c>
      <c r="AF5211" s="385">
        <v>4.1666666666666664E-2</v>
      </c>
      <c r="AG5211" s="386">
        <v>9.5</v>
      </c>
      <c r="AH5211" s="387">
        <f t="shared" si="96"/>
        <v>10</v>
      </c>
    </row>
    <row r="5212" spans="11:34" ht="14.5" x14ac:dyDescent="0.35">
      <c r="K5212" s="4"/>
      <c r="AC5212" s="384">
        <v>2022</v>
      </c>
      <c r="AD5212" s="384">
        <v>8</v>
      </c>
      <c r="AE5212" s="384">
        <v>6</v>
      </c>
      <c r="AF5212" s="385">
        <v>8.3333333333333329E-2</v>
      </c>
      <c r="AG5212" s="386">
        <v>9.8000000000000007</v>
      </c>
      <c r="AH5212" s="387">
        <f t="shared" si="96"/>
        <v>10</v>
      </c>
    </row>
    <row r="5213" spans="11:34" ht="14.5" x14ac:dyDescent="0.35">
      <c r="K5213" s="4"/>
      <c r="AC5213" s="384">
        <v>2022</v>
      </c>
      <c r="AD5213" s="384">
        <v>8</v>
      </c>
      <c r="AE5213" s="384">
        <v>6</v>
      </c>
      <c r="AF5213" s="385">
        <v>0.125</v>
      </c>
      <c r="AG5213" s="386">
        <v>7.8</v>
      </c>
      <c r="AH5213" s="387">
        <f t="shared" si="96"/>
        <v>8</v>
      </c>
    </row>
    <row r="5214" spans="11:34" ht="14.5" x14ac:dyDescent="0.35">
      <c r="K5214" s="4"/>
      <c r="AC5214" s="384">
        <v>2022</v>
      </c>
      <c r="AD5214" s="384">
        <v>8</v>
      </c>
      <c r="AE5214" s="384">
        <v>6</v>
      </c>
      <c r="AF5214" s="385">
        <v>0.16666666666666666</v>
      </c>
      <c r="AG5214" s="386">
        <v>7</v>
      </c>
      <c r="AH5214" s="387">
        <f t="shared" si="96"/>
        <v>7</v>
      </c>
    </row>
    <row r="5215" spans="11:34" ht="14.5" x14ac:dyDescent="0.35">
      <c r="K5215" s="4"/>
      <c r="AC5215" s="384">
        <v>2022</v>
      </c>
      <c r="AD5215" s="384">
        <v>8</v>
      </c>
      <c r="AE5215" s="384">
        <v>6</v>
      </c>
      <c r="AF5215" s="385">
        <v>0.20833333333333334</v>
      </c>
      <c r="AG5215" s="386">
        <v>8.1999999999999993</v>
      </c>
      <c r="AH5215" s="387">
        <f t="shared" si="96"/>
        <v>8</v>
      </c>
    </row>
    <row r="5216" spans="11:34" ht="14.5" x14ac:dyDescent="0.35">
      <c r="K5216" s="4"/>
      <c r="AC5216" s="384">
        <v>2022</v>
      </c>
      <c r="AD5216" s="384">
        <v>8</v>
      </c>
      <c r="AE5216" s="384">
        <v>6</v>
      </c>
      <c r="AF5216" s="385">
        <v>0.25</v>
      </c>
      <c r="AG5216" s="386">
        <v>8.9</v>
      </c>
      <c r="AH5216" s="387">
        <f t="shared" si="96"/>
        <v>9</v>
      </c>
    </row>
    <row r="5217" spans="11:34" ht="14.5" x14ac:dyDescent="0.35">
      <c r="K5217" s="4"/>
      <c r="AC5217" s="384">
        <v>2022</v>
      </c>
      <c r="AD5217" s="384">
        <v>8</v>
      </c>
      <c r="AE5217" s="384">
        <v>6</v>
      </c>
      <c r="AF5217" s="385">
        <v>0.29166666666666669</v>
      </c>
      <c r="AG5217" s="386">
        <v>10.6</v>
      </c>
      <c r="AH5217" s="387">
        <f t="shared" si="96"/>
        <v>11</v>
      </c>
    </row>
    <row r="5218" spans="11:34" ht="14.5" x14ac:dyDescent="0.35">
      <c r="K5218" s="4"/>
      <c r="AC5218" s="384">
        <v>2022</v>
      </c>
      <c r="AD5218" s="384">
        <v>8</v>
      </c>
      <c r="AE5218" s="384">
        <v>6</v>
      </c>
      <c r="AF5218" s="385">
        <v>0.33333333333333331</v>
      </c>
      <c r="AG5218" s="386">
        <v>13.2</v>
      </c>
      <c r="AH5218" s="387">
        <f t="shared" si="96"/>
        <v>13</v>
      </c>
    </row>
    <row r="5219" spans="11:34" ht="14.5" x14ac:dyDescent="0.35">
      <c r="K5219" s="4"/>
      <c r="AC5219" s="384">
        <v>2022</v>
      </c>
      <c r="AD5219" s="384">
        <v>8</v>
      </c>
      <c r="AE5219" s="384">
        <v>6</v>
      </c>
      <c r="AF5219" s="385">
        <v>0.375</v>
      </c>
      <c r="AG5219" s="386">
        <v>16.2</v>
      </c>
      <c r="AH5219" s="387">
        <f t="shared" si="96"/>
        <v>16</v>
      </c>
    </row>
    <row r="5220" spans="11:34" ht="14.5" x14ac:dyDescent="0.35">
      <c r="K5220" s="4"/>
      <c r="AC5220" s="384">
        <v>2022</v>
      </c>
      <c r="AD5220" s="384">
        <v>8</v>
      </c>
      <c r="AE5220" s="384">
        <v>6</v>
      </c>
      <c r="AF5220" s="385">
        <v>0.41666666666666669</v>
      </c>
      <c r="AG5220" s="386">
        <v>18.7</v>
      </c>
      <c r="AH5220" s="387">
        <f t="shared" si="96"/>
        <v>19</v>
      </c>
    </row>
    <row r="5221" spans="11:34" ht="14.5" x14ac:dyDescent="0.35">
      <c r="K5221" s="4"/>
      <c r="AC5221" s="384">
        <v>2022</v>
      </c>
      <c r="AD5221" s="384">
        <v>8</v>
      </c>
      <c r="AE5221" s="384">
        <v>6</v>
      </c>
      <c r="AF5221" s="385">
        <v>0.45833333333333331</v>
      </c>
      <c r="AG5221" s="386">
        <v>21.2</v>
      </c>
      <c r="AH5221" s="387">
        <f t="shared" si="96"/>
        <v>21</v>
      </c>
    </row>
    <row r="5222" spans="11:34" ht="14.5" x14ac:dyDescent="0.35">
      <c r="K5222" s="4"/>
      <c r="AC5222" s="384">
        <v>2022</v>
      </c>
      <c r="AD5222" s="384">
        <v>8</v>
      </c>
      <c r="AE5222" s="384">
        <v>6</v>
      </c>
      <c r="AF5222" s="385">
        <v>0.5</v>
      </c>
      <c r="AG5222" s="386">
        <v>22.4</v>
      </c>
      <c r="AH5222" s="387">
        <f t="shared" si="96"/>
        <v>22</v>
      </c>
    </row>
    <row r="5223" spans="11:34" ht="14.5" x14ac:dyDescent="0.35">
      <c r="K5223" s="4"/>
      <c r="AC5223" s="384">
        <v>2022</v>
      </c>
      <c r="AD5223" s="384">
        <v>8</v>
      </c>
      <c r="AE5223" s="384">
        <v>6</v>
      </c>
      <c r="AF5223" s="385">
        <v>0.54166666666666663</v>
      </c>
      <c r="AG5223" s="386">
        <v>23.4</v>
      </c>
      <c r="AH5223" s="387">
        <f t="shared" si="96"/>
        <v>23</v>
      </c>
    </row>
    <row r="5224" spans="11:34" ht="14.5" x14ac:dyDescent="0.35">
      <c r="K5224" s="4"/>
      <c r="AC5224" s="384">
        <v>2022</v>
      </c>
      <c r="AD5224" s="384">
        <v>8</v>
      </c>
      <c r="AE5224" s="384">
        <v>6</v>
      </c>
      <c r="AF5224" s="385">
        <v>0.58333333333333337</v>
      </c>
      <c r="AG5224" s="386">
        <v>24.4</v>
      </c>
      <c r="AH5224" s="387">
        <f t="shared" si="96"/>
        <v>24</v>
      </c>
    </row>
    <row r="5225" spans="11:34" ht="14.5" x14ac:dyDescent="0.35">
      <c r="K5225" s="4"/>
      <c r="AC5225" s="384">
        <v>2022</v>
      </c>
      <c r="AD5225" s="384">
        <v>8</v>
      </c>
      <c r="AE5225" s="384">
        <v>6</v>
      </c>
      <c r="AF5225" s="385">
        <v>0.625</v>
      </c>
      <c r="AG5225" s="386">
        <v>24.5</v>
      </c>
      <c r="AH5225" s="387">
        <f t="shared" si="96"/>
        <v>25</v>
      </c>
    </row>
    <row r="5226" spans="11:34" ht="14.5" x14ac:dyDescent="0.35">
      <c r="K5226" s="4"/>
      <c r="AC5226" s="384">
        <v>2022</v>
      </c>
      <c r="AD5226" s="384">
        <v>8</v>
      </c>
      <c r="AE5226" s="384">
        <v>6</v>
      </c>
      <c r="AF5226" s="385">
        <v>0.66666666666666663</v>
      </c>
      <c r="AG5226" s="386">
        <v>25.1</v>
      </c>
      <c r="AH5226" s="387">
        <f t="shared" si="96"/>
        <v>25</v>
      </c>
    </row>
    <row r="5227" spans="11:34" ht="14.5" x14ac:dyDescent="0.35">
      <c r="K5227" s="4"/>
      <c r="AC5227" s="384">
        <v>2022</v>
      </c>
      <c r="AD5227" s="384">
        <v>8</v>
      </c>
      <c r="AE5227" s="384">
        <v>6</v>
      </c>
      <c r="AF5227" s="385">
        <v>0.70833333333333337</v>
      </c>
      <c r="AG5227" s="386">
        <v>25.1</v>
      </c>
      <c r="AH5227" s="387">
        <f t="shared" si="96"/>
        <v>25</v>
      </c>
    </row>
    <row r="5228" spans="11:34" ht="14.5" x14ac:dyDescent="0.35">
      <c r="K5228" s="4"/>
      <c r="AC5228" s="384">
        <v>2022</v>
      </c>
      <c r="AD5228" s="384">
        <v>8</v>
      </c>
      <c r="AE5228" s="384">
        <v>6</v>
      </c>
      <c r="AF5228" s="385">
        <v>0.75</v>
      </c>
      <c r="AG5228" s="386">
        <v>24.5</v>
      </c>
      <c r="AH5228" s="387">
        <f t="shared" si="96"/>
        <v>25</v>
      </c>
    </row>
    <row r="5229" spans="11:34" ht="14.5" x14ac:dyDescent="0.35">
      <c r="K5229" s="4"/>
      <c r="AC5229" s="384">
        <v>2022</v>
      </c>
      <c r="AD5229" s="384">
        <v>8</v>
      </c>
      <c r="AE5229" s="384">
        <v>6</v>
      </c>
      <c r="AF5229" s="385">
        <v>0.79166666666666663</v>
      </c>
      <c r="AG5229" s="386">
        <v>23.3</v>
      </c>
      <c r="AH5229" s="387">
        <f t="shared" si="96"/>
        <v>23</v>
      </c>
    </row>
    <row r="5230" spans="11:34" ht="14.5" x14ac:dyDescent="0.35">
      <c r="K5230" s="4"/>
      <c r="AC5230" s="384">
        <v>2022</v>
      </c>
      <c r="AD5230" s="384">
        <v>8</v>
      </c>
      <c r="AE5230" s="384">
        <v>6</v>
      </c>
      <c r="AF5230" s="385">
        <v>0.83333333333333337</v>
      </c>
      <c r="AG5230" s="386">
        <v>21.2</v>
      </c>
      <c r="AH5230" s="387">
        <f t="shared" si="96"/>
        <v>21</v>
      </c>
    </row>
    <row r="5231" spans="11:34" ht="14.5" x14ac:dyDescent="0.35">
      <c r="K5231" s="4"/>
      <c r="AC5231" s="384">
        <v>2022</v>
      </c>
      <c r="AD5231" s="384">
        <v>8</v>
      </c>
      <c r="AE5231" s="384">
        <v>6</v>
      </c>
      <c r="AF5231" s="385">
        <v>0.875</v>
      </c>
      <c r="AG5231" s="386">
        <v>18.5</v>
      </c>
      <c r="AH5231" s="387">
        <f t="shared" si="96"/>
        <v>19</v>
      </c>
    </row>
    <row r="5232" spans="11:34" ht="14.5" x14ac:dyDescent="0.35">
      <c r="K5232" s="4"/>
      <c r="AC5232" s="384">
        <v>2022</v>
      </c>
      <c r="AD5232" s="384">
        <v>8</v>
      </c>
      <c r="AE5232" s="384">
        <v>6</v>
      </c>
      <c r="AF5232" s="385">
        <v>0.91666666666666663</v>
      </c>
      <c r="AG5232" s="386">
        <v>17.3</v>
      </c>
      <c r="AH5232" s="387">
        <f t="shared" si="96"/>
        <v>17</v>
      </c>
    </row>
    <row r="5233" spans="11:34" ht="14.5" x14ac:dyDescent="0.35">
      <c r="K5233" s="4"/>
      <c r="AC5233" s="384">
        <v>2022</v>
      </c>
      <c r="AD5233" s="384">
        <v>8</v>
      </c>
      <c r="AE5233" s="384">
        <v>6</v>
      </c>
      <c r="AF5233" s="385">
        <v>0.95833333333333337</v>
      </c>
      <c r="AG5233" s="386">
        <v>15.9</v>
      </c>
      <c r="AH5233" s="387">
        <f t="shared" si="96"/>
        <v>16</v>
      </c>
    </row>
    <row r="5234" spans="11:34" ht="14.5" x14ac:dyDescent="0.35">
      <c r="K5234" s="4"/>
      <c r="AC5234" s="384">
        <v>2022</v>
      </c>
      <c r="AD5234" s="384">
        <v>8</v>
      </c>
      <c r="AE5234" s="384">
        <v>7</v>
      </c>
      <c r="AF5234" s="385">
        <v>0</v>
      </c>
      <c r="AG5234" s="386">
        <v>17.2</v>
      </c>
      <c r="AH5234" s="387">
        <f t="shared" si="96"/>
        <v>17</v>
      </c>
    </row>
    <row r="5235" spans="11:34" ht="14.5" x14ac:dyDescent="0.35">
      <c r="K5235" s="4"/>
      <c r="AC5235" s="384">
        <v>2022</v>
      </c>
      <c r="AD5235" s="384">
        <v>8</v>
      </c>
      <c r="AE5235" s="384">
        <v>7</v>
      </c>
      <c r="AF5235" s="385">
        <v>4.1666666666666664E-2</v>
      </c>
      <c r="AG5235" s="386">
        <v>14.3</v>
      </c>
      <c r="AH5235" s="387">
        <f t="shared" si="96"/>
        <v>14</v>
      </c>
    </row>
    <row r="5236" spans="11:34" ht="14.5" x14ac:dyDescent="0.35">
      <c r="K5236" s="4"/>
      <c r="AC5236" s="384">
        <v>2022</v>
      </c>
      <c r="AD5236" s="384">
        <v>8</v>
      </c>
      <c r="AE5236" s="384">
        <v>7</v>
      </c>
      <c r="AF5236" s="385">
        <v>8.3333333333333329E-2</v>
      </c>
      <c r="AG5236" s="386">
        <v>15.1</v>
      </c>
      <c r="AH5236" s="387">
        <f t="shared" si="96"/>
        <v>15</v>
      </c>
    </row>
    <row r="5237" spans="11:34" ht="14.5" x14ac:dyDescent="0.35">
      <c r="K5237" s="4"/>
      <c r="AC5237" s="384">
        <v>2022</v>
      </c>
      <c r="AD5237" s="384">
        <v>8</v>
      </c>
      <c r="AE5237" s="384">
        <v>7</v>
      </c>
      <c r="AF5237" s="385">
        <v>0.125</v>
      </c>
      <c r="AG5237" s="386">
        <v>11.7</v>
      </c>
      <c r="AH5237" s="387">
        <f t="shared" si="96"/>
        <v>12</v>
      </c>
    </row>
    <row r="5238" spans="11:34" ht="14.5" x14ac:dyDescent="0.35">
      <c r="K5238" s="4"/>
      <c r="AC5238" s="384">
        <v>2022</v>
      </c>
      <c r="AD5238" s="384">
        <v>8</v>
      </c>
      <c r="AE5238" s="384">
        <v>7</v>
      </c>
      <c r="AF5238" s="385">
        <v>0.16666666666666666</v>
      </c>
      <c r="AG5238" s="386">
        <v>13.6</v>
      </c>
      <c r="AH5238" s="387">
        <f t="shared" si="96"/>
        <v>14</v>
      </c>
    </row>
    <row r="5239" spans="11:34" ht="14.5" x14ac:dyDescent="0.35">
      <c r="K5239" s="4"/>
      <c r="AC5239" s="384">
        <v>2022</v>
      </c>
      <c r="AD5239" s="384">
        <v>8</v>
      </c>
      <c r="AE5239" s="384">
        <v>7</v>
      </c>
      <c r="AF5239" s="385">
        <v>0.20833333333333334</v>
      </c>
      <c r="AG5239" s="386">
        <v>13.3</v>
      </c>
      <c r="AH5239" s="387">
        <f t="shared" si="96"/>
        <v>13</v>
      </c>
    </row>
    <row r="5240" spans="11:34" ht="14.5" x14ac:dyDescent="0.35">
      <c r="K5240" s="4"/>
      <c r="AC5240" s="384">
        <v>2022</v>
      </c>
      <c r="AD5240" s="384">
        <v>8</v>
      </c>
      <c r="AE5240" s="384">
        <v>7</v>
      </c>
      <c r="AF5240" s="385">
        <v>0.25</v>
      </c>
      <c r="AG5240" s="386">
        <v>13.4</v>
      </c>
      <c r="AH5240" s="387">
        <f t="shared" si="96"/>
        <v>13</v>
      </c>
    </row>
    <row r="5241" spans="11:34" ht="14.5" x14ac:dyDescent="0.35">
      <c r="K5241" s="4"/>
      <c r="AC5241" s="384">
        <v>2022</v>
      </c>
      <c r="AD5241" s="384">
        <v>8</v>
      </c>
      <c r="AE5241" s="384">
        <v>7</v>
      </c>
      <c r="AF5241" s="385">
        <v>0.29166666666666669</v>
      </c>
      <c r="AG5241" s="386">
        <v>17</v>
      </c>
      <c r="AH5241" s="387">
        <f t="shared" si="96"/>
        <v>17</v>
      </c>
    </row>
    <row r="5242" spans="11:34" ht="14.5" x14ac:dyDescent="0.35">
      <c r="K5242" s="4"/>
      <c r="AC5242" s="384">
        <v>2022</v>
      </c>
      <c r="AD5242" s="384">
        <v>8</v>
      </c>
      <c r="AE5242" s="384">
        <v>7</v>
      </c>
      <c r="AF5242" s="385">
        <v>0.33333333333333331</v>
      </c>
      <c r="AG5242" s="386">
        <v>20.399999999999999</v>
      </c>
      <c r="AH5242" s="387">
        <f t="shared" si="96"/>
        <v>20</v>
      </c>
    </row>
    <row r="5243" spans="11:34" ht="14.5" x14ac:dyDescent="0.35">
      <c r="K5243" s="4"/>
      <c r="AC5243" s="384">
        <v>2022</v>
      </c>
      <c r="AD5243" s="384">
        <v>8</v>
      </c>
      <c r="AE5243" s="384">
        <v>7</v>
      </c>
      <c r="AF5243" s="385">
        <v>0.375</v>
      </c>
      <c r="AG5243" s="386">
        <v>22.4</v>
      </c>
      <c r="AH5243" s="387">
        <f t="shared" si="96"/>
        <v>22</v>
      </c>
    </row>
    <row r="5244" spans="11:34" ht="14.5" x14ac:dyDescent="0.35">
      <c r="K5244" s="4"/>
      <c r="AC5244" s="384">
        <v>2022</v>
      </c>
      <c r="AD5244" s="384">
        <v>8</v>
      </c>
      <c r="AE5244" s="384">
        <v>7</v>
      </c>
      <c r="AF5244" s="385">
        <v>0.41666666666666669</v>
      </c>
      <c r="AG5244" s="386">
        <v>24</v>
      </c>
      <c r="AH5244" s="387">
        <f t="shared" si="96"/>
        <v>24</v>
      </c>
    </row>
    <row r="5245" spans="11:34" ht="14.5" x14ac:dyDescent="0.35">
      <c r="K5245" s="4"/>
      <c r="AC5245" s="384">
        <v>2022</v>
      </c>
      <c r="AD5245" s="384">
        <v>8</v>
      </c>
      <c r="AE5245" s="384">
        <v>7</v>
      </c>
      <c r="AF5245" s="385">
        <v>0.45833333333333331</v>
      </c>
      <c r="AG5245" s="386">
        <v>24.7</v>
      </c>
      <c r="AH5245" s="387">
        <f t="shared" si="96"/>
        <v>25</v>
      </c>
    </row>
    <row r="5246" spans="11:34" ht="14.5" x14ac:dyDescent="0.35">
      <c r="K5246" s="4"/>
      <c r="AC5246" s="384">
        <v>2022</v>
      </c>
      <c r="AD5246" s="384">
        <v>8</v>
      </c>
      <c r="AE5246" s="384">
        <v>7</v>
      </c>
      <c r="AF5246" s="385">
        <v>0.5</v>
      </c>
      <c r="AG5246" s="386">
        <v>26.1</v>
      </c>
      <c r="AH5246" s="387">
        <f t="shared" si="96"/>
        <v>26</v>
      </c>
    </row>
    <row r="5247" spans="11:34" ht="14.5" x14ac:dyDescent="0.35">
      <c r="K5247" s="4"/>
      <c r="AC5247" s="384">
        <v>2022</v>
      </c>
      <c r="AD5247" s="384">
        <v>8</v>
      </c>
      <c r="AE5247" s="384">
        <v>7</v>
      </c>
      <c r="AF5247" s="385">
        <v>0.54166666666666663</v>
      </c>
      <c r="AG5247" s="386">
        <v>26.7</v>
      </c>
      <c r="AH5247" s="387">
        <f t="shared" si="96"/>
        <v>27</v>
      </c>
    </row>
    <row r="5248" spans="11:34" ht="14.5" x14ac:dyDescent="0.35">
      <c r="K5248" s="4"/>
      <c r="AC5248" s="384">
        <v>2022</v>
      </c>
      <c r="AD5248" s="384">
        <v>8</v>
      </c>
      <c r="AE5248" s="384">
        <v>7</v>
      </c>
      <c r="AF5248" s="385">
        <v>0.58333333333333337</v>
      </c>
      <c r="AG5248" s="386">
        <v>28.1</v>
      </c>
      <c r="AH5248" s="387">
        <f t="shared" si="96"/>
        <v>28</v>
      </c>
    </row>
    <row r="5249" spans="11:34" ht="14.5" x14ac:dyDescent="0.35">
      <c r="K5249" s="4"/>
      <c r="AC5249" s="384">
        <v>2022</v>
      </c>
      <c r="AD5249" s="384">
        <v>8</v>
      </c>
      <c r="AE5249" s="384">
        <v>7</v>
      </c>
      <c r="AF5249" s="385">
        <v>0.625</v>
      </c>
      <c r="AG5249" s="386">
        <v>29.1</v>
      </c>
      <c r="AH5249" s="387">
        <f t="shared" si="96"/>
        <v>29</v>
      </c>
    </row>
    <row r="5250" spans="11:34" ht="14.5" x14ac:dyDescent="0.35">
      <c r="K5250" s="4"/>
      <c r="AC5250" s="384">
        <v>2022</v>
      </c>
      <c r="AD5250" s="384">
        <v>8</v>
      </c>
      <c r="AE5250" s="384">
        <v>7</v>
      </c>
      <c r="AF5250" s="385">
        <v>0.66666666666666663</v>
      </c>
      <c r="AG5250" s="386">
        <v>29.2</v>
      </c>
      <c r="AH5250" s="387">
        <f t="shared" si="96"/>
        <v>29</v>
      </c>
    </row>
    <row r="5251" spans="11:34" ht="14.5" x14ac:dyDescent="0.35">
      <c r="K5251" s="4"/>
      <c r="AC5251" s="384">
        <v>2022</v>
      </c>
      <c r="AD5251" s="384">
        <v>8</v>
      </c>
      <c r="AE5251" s="384">
        <v>7</v>
      </c>
      <c r="AF5251" s="385">
        <v>0.70833333333333337</v>
      </c>
      <c r="AG5251" s="386">
        <v>29.7</v>
      </c>
      <c r="AH5251" s="387">
        <f t="shared" si="96"/>
        <v>30</v>
      </c>
    </row>
    <row r="5252" spans="11:34" ht="14.5" x14ac:dyDescent="0.35">
      <c r="K5252" s="4"/>
      <c r="AC5252" s="384">
        <v>2022</v>
      </c>
      <c r="AD5252" s="384">
        <v>8</v>
      </c>
      <c r="AE5252" s="384">
        <v>7</v>
      </c>
      <c r="AF5252" s="385">
        <v>0.75</v>
      </c>
      <c r="AG5252" s="386">
        <v>29.1</v>
      </c>
      <c r="AH5252" s="387">
        <f t="shared" si="96"/>
        <v>29</v>
      </c>
    </row>
    <row r="5253" spans="11:34" ht="14.5" x14ac:dyDescent="0.35">
      <c r="K5253" s="4"/>
      <c r="AC5253" s="384">
        <v>2022</v>
      </c>
      <c r="AD5253" s="384">
        <v>8</v>
      </c>
      <c r="AE5253" s="384">
        <v>7</v>
      </c>
      <c r="AF5253" s="385">
        <v>0.79166666666666663</v>
      </c>
      <c r="AG5253" s="386">
        <v>27.4</v>
      </c>
      <c r="AH5253" s="387">
        <f t="shared" si="96"/>
        <v>27</v>
      </c>
    </row>
    <row r="5254" spans="11:34" ht="14.5" x14ac:dyDescent="0.35">
      <c r="K5254" s="4"/>
      <c r="AC5254" s="384">
        <v>2022</v>
      </c>
      <c r="AD5254" s="384">
        <v>8</v>
      </c>
      <c r="AE5254" s="384">
        <v>7</v>
      </c>
      <c r="AF5254" s="385">
        <v>0.83333333333333337</v>
      </c>
      <c r="AG5254" s="386">
        <v>25.3</v>
      </c>
      <c r="AH5254" s="387">
        <f t="shared" si="96"/>
        <v>25</v>
      </c>
    </row>
    <row r="5255" spans="11:34" ht="14.5" x14ac:dyDescent="0.35">
      <c r="K5255" s="4"/>
      <c r="AC5255" s="384">
        <v>2022</v>
      </c>
      <c r="AD5255" s="384">
        <v>8</v>
      </c>
      <c r="AE5255" s="384">
        <v>7</v>
      </c>
      <c r="AF5255" s="385">
        <v>0.875</v>
      </c>
      <c r="AG5255" s="386">
        <v>21.8</v>
      </c>
      <c r="AH5255" s="387">
        <f t="shared" si="96"/>
        <v>22</v>
      </c>
    </row>
    <row r="5256" spans="11:34" ht="14.5" x14ac:dyDescent="0.35">
      <c r="K5256" s="4"/>
      <c r="AC5256" s="384">
        <v>2022</v>
      </c>
      <c r="AD5256" s="384">
        <v>8</v>
      </c>
      <c r="AE5256" s="384">
        <v>7</v>
      </c>
      <c r="AF5256" s="385">
        <v>0.91666666666666663</v>
      </c>
      <c r="AG5256" s="386">
        <v>19.399999999999999</v>
      </c>
      <c r="AH5256" s="387">
        <f t="shared" si="96"/>
        <v>19</v>
      </c>
    </row>
    <row r="5257" spans="11:34" ht="14.5" x14ac:dyDescent="0.35">
      <c r="K5257" s="4"/>
      <c r="AC5257" s="384">
        <v>2022</v>
      </c>
      <c r="AD5257" s="384">
        <v>8</v>
      </c>
      <c r="AE5257" s="384">
        <v>7</v>
      </c>
      <c r="AF5257" s="385">
        <v>0.95833333333333337</v>
      </c>
      <c r="AG5257" s="386">
        <v>20.8</v>
      </c>
      <c r="AH5257" s="387">
        <f t="shared" si="96"/>
        <v>21</v>
      </c>
    </row>
    <row r="5258" spans="11:34" ht="14.5" x14ac:dyDescent="0.35">
      <c r="K5258" s="4"/>
      <c r="AC5258" s="384">
        <v>2022</v>
      </c>
      <c r="AD5258" s="384">
        <v>8</v>
      </c>
      <c r="AE5258" s="384">
        <v>8</v>
      </c>
      <c r="AF5258" s="385">
        <v>0</v>
      </c>
      <c r="AG5258" s="386">
        <v>22.2</v>
      </c>
      <c r="AH5258" s="387">
        <f t="shared" si="96"/>
        <v>22</v>
      </c>
    </row>
    <row r="5259" spans="11:34" ht="14.5" x14ac:dyDescent="0.35">
      <c r="K5259" s="4"/>
      <c r="AC5259" s="384">
        <v>2022</v>
      </c>
      <c r="AD5259" s="384">
        <v>8</v>
      </c>
      <c r="AE5259" s="384">
        <v>8</v>
      </c>
      <c r="AF5259" s="385">
        <v>4.1666666666666664E-2</v>
      </c>
      <c r="AG5259" s="386">
        <v>19.2</v>
      </c>
      <c r="AH5259" s="387">
        <f t="shared" ref="AH5259:AH5322" si="97">ROUND(AG5259,0)</f>
        <v>19</v>
      </c>
    </row>
    <row r="5260" spans="11:34" ht="14.5" x14ac:dyDescent="0.35">
      <c r="K5260" s="4"/>
      <c r="AC5260" s="384">
        <v>2022</v>
      </c>
      <c r="AD5260" s="384">
        <v>8</v>
      </c>
      <c r="AE5260" s="384">
        <v>8</v>
      </c>
      <c r="AF5260" s="385">
        <v>8.3333333333333329E-2</v>
      </c>
      <c r="AG5260" s="386">
        <v>19.8</v>
      </c>
      <c r="AH5260" s="387">
        <f t="shared" si="97"/>
        <v>20</v>
      </c>
    </row>
    <row r="5261" spans="11:34" ht="14.5" x14ac:dyDescent="0.35">
      <c r="K5261" s="4"/>
      <c r="AC5261" s="384">
        <v>2022</v>
      </c>
      <c r="AD5261" s="384">
        <v>8</v>
      </c>
      <c r="AE5261" s="384">
        <v>8</v>
      </c>
      <c r="AF5261" s="385">
        <v>0.125</v>
      </c>
      <c r="AG5261" s="386">
        <v>14.6</v>
      </c>
      <c r="AH5261" s="387">
        <f t="shared" si="97"/>
        <v>15</v>
      </c>
    </row>
    <row r="5262" spans="11:34" ht="14.5" x14ac:dyDescent="0.35">
      <c r="K5262" s="4"/>
      <c r="AC5262" s="384">
        <v>2022</v>
      </c>
      <c r="AD5262" s="384">
        <v>8</v>
      </c>
      <c r="AE5262" s="384">
        <v>8</v>
      </c>
      <c r="AF5262" s="385">
        <v>0.16666666666666666</v>
      </c>
      <c r="AG5262" s="386">
        <v>13</v>
      </c>
      <c r="AH5262" s="387">
        <f t="shared" si="97"/>
        <v>13</v>
      </c>
    </row>
    <row r="5263" spans="11:34" ht="14.5" x14ac:dyDescent="0.35">
      <c r="K5263" s="4"/>
      <c r="AC5263" s="384">
        <v>2022</v>
      </c>
      <c r="AD5263" s="384">
        <v>8</v>
      </c>
      <c r="AE5263" s="384">
        <v>8</v>
      </c>
      <c r="AF5263" s="385">
        <v>0.20833333333333334</v>
      </c>
      <c r="AG5263" s="386">
        <v>12.9</v>
      </c>
      <c r="AH5263" s="387">
        <f t="shared" si="97"/>
        <v>13</v>
      </c>
    </row>
    <row r="5264" spans="11:34" ht="14.5" x14ac:dyDescent="0.35">
      <c r="K5264" s="4"/>
      <c r="AC5264" s="384">
        <v>2022</v>
      </c>
      <c r="AD5264" s="384">
        <v>8</v>
      </c>
      <c r="AE5264" s="384">
        <v>8</v>
      </c>
      <c r="AF5264" s="385">
        <v>0.25</v>
      </c>
      <c r="AG5264" s="386">
        <v>13.7</v>
      </c>
      <c r="AH5264" s="387">
        <f t="shared" si="97"/>
        <v>14</v>
      </c>
    </row>
    <row r="5265" spans="11:34" ht="14.5" x14ac:dyDescent="0.35">
      <c r="K5265" s="4"/>
      <c r="AC5265" s="384">
        <v>2022</v>
      </c>
      <c r="AD5265" s="384">
        <v>8</v>
      </c>
      <c r="AE5265" s="384">
        <v>8</v>
      </c>
      <c r="AF5265" s="385">
        <v>0.29166666666666669</v>
      </c>
      <c r="AG5265" s="386">
        <v>18.600000000000001</v>
      </c>
      <c r="AH5265" s="387">
        <f t="shared" si="97"/>
        <v>19</v>
      </c>
    </row>
    <row r="5266" spans="11:34" ht="14.5" x14ac:dyDescent="0.35">
      <c r="K5266" s="4"/>
      <c r="AC5266" s="384">
        <v>2022</v>
      </c>
      <c r="AD5266" s="384">
        <v>8</v>
      </c>
      <c r="AE5266" s="384">
        <v>8</v>
      </c>
      <c r="AF5266" s="385">
        <v>0.33333333333333331</v>
      </c>
      <c r="AG5266" s="386">
        <v>22.1</v>
      </c>
      <c r="AH5266" s="387">
        <f t="shared" si="97"/>
        <v>22</v>
      </c>
    </row>
    <row r="5267" spans="11:34" ht="14.5" x14ac:dyDescent="0.35">
      <c r="K5267" s="4"/>
      <c r="AC5267" s="384">
        <v>2022</v>
      </c>
      <c r="AD5267" s="384">
        <v>8</v>
      </c>
      <c r="AE5267" s="384">
        <v>8</v>
      </c>
      <c r="AF5267" s="385">
        <v>0.375</v>
      </c>
      <c r="AG5267" s="386">
        <v>25.9</v>
      </c>
      <c r="AH5267" s="387">
        <f t="shared" si="97"/>
        <v>26</v>
      </c>
    </row>
    <row r="5268" spans="11:34" ht="14.5" x14ac:dyDescent="0.35">
      <c r="K5268" s="4"/>
      <c r="AC5268" s="384">
        <v>2022</v>
      </c>
      <c r="AD5268" s="384">
        <v>8</v>
      </c>
      <c r="AE5268" s="384">
        <v>8</v>
      </c>
      <c r="AF5268" s="385">
        <v>0.41666666666666669</v>
      </c>
      <c r="AG5268" s="386">
        <v>27.4</v>
      </c>
      <c r="AH5268" s="387">
        <f t="shared" si="97"/>
        <v>27</v>
      </c>
    </row>
    <row r="5269" spans="11:34" ht="14.5" x14ac:dyDescent="0.35">
      <c r="K5269" s="4"/>
      <c r="AC5269" s="384">
        <v>2022</v>
      </c>
      <c r="AD5269" s="384">
        <v>8</v>
      </c>
      <c r="AE5269" s="384">
        <v>8</v>
      </c>
      <c r="AF5269" s="385">
        <v>0.45833333333333331</v>
      </c>
      <c r="AG5269" s="386">
        <v>28.7</v>
      </c>
      <c r="AH5269" s="387">
        <f t="shared" si="97"/>
        <v>29</v>
      </c>
    </row>
    <row r="5270" spans="11:34" ht="14.5" x14ac:dyDescent="0.35">
      <c r="K5270" s="4"/>
      <c r="AC5270" s="384">
        <v>2022</v>
      </c>
      <c r="AD5270" s="384">
        <v>8</v>
      </c>
      <c r="AE5270" s="384">
        <v>8</v>
      </c>
      <c r="AF5270" s="385">
        <v>0.5</v>
      </c>
      <c r="AG5270" s="386">
        <v>25.1</v>
      </c>
      <c r="AH5270" s="387">
        <f t="shared" si="97"/>
        <v>25</v>
      </c>
    </row>
    <row r="5271" spans="11:34" ht="14.5" x14ac:dyDescent="0.35">
      <c r="K5271" s="4"/>
      <c r="AC5271" s="384">
        <v>2022</v>
      </c>
      <c r="AD5271" s="384">
        <v>8</v>
      </c>
      <c r="AE5271" s="384">
        <v>8</v>
      </c>
      <c r="AF5271" s="385">
        <v>0.54166666666666663</v>
      </c>
      <c r="AG5271" s="386">
        <v>24.8</v>
      </c>
      <c r="AH5271" s="387">
        <f t="shared" si="97"/>
        <v>25</v>
      </c>
    </row>
    <row r="5272" spans="11:34" ht="14.5" x14ac:dyDescent="0.35">
      <c r="K5272" s="4"/>
      <c r="AC5272" s="384">
        <v>2022</v>
      </c>
      <c r="AD5272" s="384">
        <v>8</v>
      </c>
      <c r="AE5272" s="384">
        <v>8</v>
      </c>
      <c r="AF5272" s="385">
        <v>0.58333333333333337</v>
      </c>
      <c r="AG5272" s="386">
        <v>24.6</v>
      </c>
      <c r="AH5272" s="387">
        <f t="shared" si="97"/>
        <v>25</v>
      </c>
    </row>
    <row r="5273" spans="11:34" ht="14.5" x14ac:dyDescent="0.35">
      <c r="K5273" s="4"/>
      <c r="AC5273" s="384">
        <v>2022</v>
      </c>
      <c r="AD5273" s="384">
        <v>8</v>
      </c>
      <c r="AE5273" s="384">
        <v>8</v>
      </c>
      <c r="AF5273" s="385">
        <v>0.625</v>
      </c>
      <c r="AG5273" s="386">
        <v>24.7</v>
      </c>
      <c r="AH5273" s="387">
        <f t="shared" si="97"/>
        <v>25</v>
      </c>
    </row>
    <row r="5274" spans="11:34" ht="14.5" x14ac:dyDescent="0.35">
      <c r="K5274" s="4"/>
      <c r="AC5274" s="384">
        <v>2022</v>
      </c>
      <c r="AD5274" s="384">
        <v>8</v>
      </c>
      <c r="AE5274" s="384">
        <v>8</v>
      </c>
      <c r="AF5274" s="385">
        <v>0.66666666666666663</v>
      </c>
      <c r="AG5274" s="386">
        <v>24</v>
      </c>
      <c r="AH5274" s="387">
        <f t="shared" si="97"/>
        <v>24</v>
      </c>
    </row>
    <row r="5275" spans="11:34" ht="14.5" x14ac:dyDescent="0.35">
      <c r="K5275" s="4"/>
      <c r="AC5275" s="384">
        <v>2022</v>
      </c>
      <c r="AD5275" s="384">
        <v>8</v>
      </c>
      <c r="AE5275" s="384">
        <v>8</v>
      </c>
      <c r="AF5275" s="385">
        <v>0.70833333333333337</v>
      </c>
      <c r="AG5275" s="386">
        <v>23.1</v>
      </c>
      <c r="AH5275" s="387">
        <f t="shared" si="97"/>
        <v>23</v>
      </c>
    </row>
    <row r="5276" spans="11:34" ht="14.5" x14ac:dyDescent="0.35">
      <c r="K5276" s="4"/>
      <c r="AC5276" s="384">
        <v>2022</v>
      </c>
      <c r="AD5276" s="384">
        <v>8</v>
      </c>
      <c r="AE5276" s="384">
        <v>8</v>
      </c>
      <c r="AF5276" s="385">
        <v>0.75</v>
      </c>
      <c r="AG5276" s="386">
        <v>22</v>
      </c>
      <c r="AH5276" s="387">
        <f t="shared" si="97"/>
        <v>22</v>
      </c>
    </row>
    <row r="5277" spans="11:34" ht="14.5" x14ac:dyDescent="0.35">
      <c r="K5277" s="4"/>
      <c r="AC5277" s="384">
        <v>2022</v>
      </c>
      <c r="AD5277" s="384">
        <v>8</v>
      </c>
      <c r="AE5277" s="384">
        <v>8</v>
      </c>
      <c r="AF5277" s="385">
        <v>0.79166666666666663</v>
      </c>
      <c r="AG5277" s="386">
        <v>20.399999999999999</v>
      </c>
      <c r="AH5277" s="387">
        <f t="shared" si="97"/>
        <v>20</v>
      </c>
    </row>
    <row r="5278" spans="11:34" ht="14.5" x14ac:dyDescent="0.35">
      <c r="K5278" s="4"/>
      <c r="AC5278" s="384">
        <v>2022</v>
      </c>
      <c r="AD5278" s="384">
        <v>8</v>
      </c>
      <c r="AE5278" s="384">
        <v>8</v>
      </c>
      <c r="AF5278" s="385">
        <v>0.83333333333333337</v>
      </c>
      <c r="AG5278" s="386">
        <v>18.5</v>
      </c>
      <c r="AH5278" s="387">
        <f t="shared" si="97"/>
        <v>19</v>
      </c>
    </row>
    <row r="5279" spans="11:34" ht="14.5" x14ac:dyDescent="0.35">
      <c r="K5279" s="4"/>
      <c r="AC5279" s="384">
        <v>2022</v>
      </c>
      <c r="AD5279" s="384">
        <v>8</v>
      </c>
      <c r="AE5279" s="384">
        <v>8</v>
      </c>
      <c r="AF5279" s="385">
        <v>0.875</v>
      </c>
      <c r="AG5279" s="386">
        <v>16.8</v>
      </c>
      <c r="AH5279" s="387">
        <f t="shared" si="97"/>
        <v>17</v>
      </c>
    </row>
    <row r="5280" spans="11:34" ht="14.5" x14ac:dyDescent="0.35">
      <c r="K5280" s="4"/>
      <c r="AC5280" s="384">
        <v>2022</v>
      </c>
      <c r="AD5280" s="384">
        <v>8</v>
      </c>
      <c r="AE5280" s="384">
        <v>8</v>
      </c>
      <c r="AF5280" s="385">
        <v>0.91666666666666663</v>
      </c>
      <c r="AG5280" s="386">
        <v>16.5</v>
      </c>
      <c r="AH5280" s="387">
        <f t="shared" si="97"/>
        <v>17</v>
      </c>
    </row>
    <row r="5281" spans="11:34" ht="14.5" x14ac:dyDescent="0.35">
      <c r="K5281" s="4"/>
      <c r="AC5281" s="384">
        <v>2022</v>
      </c>
      <c r="AD5281" s="384">
        <v>8</v>
      </c>
      <c r="AE5281" s="384">
        <v>8</v>
      </c>
      <c r="AF5281" s="385">
        <v>0.95833333333333337</v>
      </c>
      <c r="AG5281" s="386">
        <v>16.899999999999999</v>
      </c>
      <c r="AH5281" s="387">
        <f t="shared" si="97"/>
        <v>17</v>
      </c>
    </row>
    <row r="5282" spans="11:34" ht="14.5" x14ac:dyDescent="0.35">
      <c r="K5282" s="4"/>
      <c r="AC5282" s="384">
        <v>2022</v>
      </c>
      <c r="AD5282" s="384">
        <v>8</v>
      </c>
      <c r="AE5282" s="384">
        <v>9</v>
      </c>
      <c r="AF5282" s="385">
        <v>0</v>
      </c>
      <c r="AG5282" s="386">
        <v>17</v>
      </c>
      <c r="AH5282" s="387">
        <f t="shared" si="97"/>
        <v>17</v>
      </c>
    </row>
    <row r="5283" spans="11:34" ht="14.5" x14ac:dyDescent="0.35">
      <c r="K5283" s="4"/>
      <c r="AC5283" s="384">
        <v>2022</v>
      </c>
      <c r="AD5283" s="384">
        <v>8</v>
      </c>
      <c r="AE5283" s="384">
        <v>9</v>
      </c>
      <c r="AF5283" s="385">
        <v>4.1666666666666664E-2</v>
      </c>
      <c r="AG5283" s="386">
        <v>15.9</v>
      </c>
      <c r="AH5283" s="387">
        <f t="shared" si="97"/>
        <v>16</v>
      </c>
    </row>
    <row r="5284" spans="11:34" ht="14.5" x14ac:dyDescent="0.35">
      <c r="K5284" s="4"/>
      <c r="AC5284" s="384">
        <v>2022</v>
      </c>
      <c r="AD5284" s="384">
        <v>8</v>
      </c>
      <c r="AE5284" s="384">
        <v>9</v>
      </c>
      <c r="AF5284" s="385">
        <v>8.3333333333333329E-2</v>
      </c>
      <c r="AG5284" s="386">
        <v>15.5</v>
      </c>
      <c r="AH5284" s="387">
        <f t="shared" si="97"/>
        <v>16</v>
      </c>
    </row>
    <row r="5285" spans="11:34" ht="14.5" x14ac:dyDescent="0.35">
      <c r="K5285" s="4"/>
      <c r="AC5285" s="384">
        <v>2022</v>
      </c>
      <c r="AD5285" s="384">
        <v>8</v>
      </c>
      <c r="AE5285" s="384">
        <v>9</v>
      </c>
      <c r="AF5285" s="385">
        <v>0.125</v>
      </c>
      <c r="AG5285" s="386">
        <v>15.4</v>
      </c>
      <c r="AH5285" s="387">
        <f t="shared" si="97"/>
        <v>15</v>
      </c>
    </row>
    <row r="5286" spans="11:34" ht="14.5" x14ac:dyDescent="0.35">
      <c r="K5286" s="4"/>
      <c r="AC5286" s="384">
        <v>2022</v>
      </c>
      <c r="AD5286" s="384">
        <v>8</v>
      </c>
      <c r="AE5286" s="384">
        <v>9</v>
      </c>
      <c r="AF5286" s="385">
        <v>0.16666666666666666</v>
      </c>
      <c r="AG5286" s="386">
        <v>15.1</v>
      </c>
      <c r="AH5286" s="387">
        <f t="shared" si="97"/>
        <v>15</v>
      </c>
    </row>
    <row r="5287" spans="11:34" ht="14.5" x14ac:dyDescent="0.35">
      <c r="K5287" s="4"/>
      <c r="AC5287" s="384">
        <v>2022</v>
      </c>
      <c r="AD5287" s="384">
        <v>8</v>
      </c>
      <c r="AE5287" s="384">
        <v>9</v>
      </c>
      <c r="AF5287" s="385">
        <v>0.20833333333333334</v>
      </c>
      <c r="AG5287" s="386">
        <v>12.2</v>
      </c>
      <c r="AH5287" s="387">
        <f t="shared" si="97"/>
        <v>12</v>
      </c>
    </row>
    <row r="5288" spans="11:34" ht="14.5" x14ac:dyDescent="0.35">
      <c r="K5288" s="4"/>
      <c r="AC5288" s="384">
        <v>2022</v>
      </c>
      <c r="AD5288" s="384">
        <v>8</v>
      </c>
      <c r="AE5288" s="384">
        <v>9</v>
      </c>
      <c r="AF5288" s="385">
        <v>0.25</v>
      </c>
      <c r="AG5288" s="386">
        <v>13.2</v>
      </c>
      <c r="AH5288" s="387">
        <f t="shared" si="97"/>
        <v>13</v>
      </c>
    </row>
    <row r="5289" spans="11:34" ht="14.5" x14ac:dyDescent="0.35">
      <c r="K5289" s="4"/>
      <c r="AC5289" s="384">
        <v>2022</v>
      </c>
      <c r="AD5289" s="384">
        <v>8</v>
      </c>
      <c r="AE5289" s="384">
        <v>9</v>
      </c>
      <c r="AF5289" s="385">
        <v>0.29166666666666669</v>
      </c>
      <c r="AG5289" s="386">
        <v>15.5</v>
      </c>
      <c r="AH5289" s="387">
        <f t="shared" si="97"/>
        <v>16</v>
      </c>
    </row>
    <row r="5290" spans="11:34" ht="14.5" x14ac:dyDescent="0.35">
      <c r="K5290" s="4"/>
      <c r="AC5290" s="384">
        <v>2022</v>
      </c>
      <c r="AD5290" s="384">
        <v>8</v>
      </c>
      <c r="AE5290" s="384">
        <v>9</v>
      </c>
      <c r="AF5290" s="385">
        <v>0.33333333333333331</v>
      </c>
      <c r="AG5290" s="386">
        <v>17</v>
      </c>
      <c r="AH5290" s="387">
        <f t="shared" si="97"/>
        <v>17</v>
      </c>
    </row>
    <row r="5291" spans="11:34" ht="14.5" x14ac:dyDescent="0.35">
      <c r="K5291" s="4"/>
      <c r="AC5291" s="384">
        <v>2022</v>
      </c>
      <c r="AD5291" s="384">
        <v>8</v>
      </c>
      <c r="AE5291" s="384">
        <v>9</v>
      </c>
      <c r="AF5291" s="385">
        <v>0.375</v>
      </c>
      <c r="AG5291" s="386">
        <v>18.600000000000001</v>
      </c>
      <c r="AH5291" s="387">
        <f t="shared" si="97"/>
        <v>19</v>
      </c>
    </row>
    <row r="5292" spans="11:34" ht="14.5" x14ac:dyDescent="0.35">
      <c r="K5292" s="4"/>
      <c r="AC5292" s="384">
        <v>2022</v>
      </c>
      <c r="AD5292" s="384">
        <v>8</v>
      </c>
      <c r="AE5292" s="384">
        <v>9</v>
      </c>
      <c r="AF5292" s="385">
        <v>0.41666666666666669</v>
      </c>
      <c r="AG5292" s="386">
        <v>20.5</v>
      </c>
      <c r="AH5292" s="387">
        <f t="shared" si="97"/>
        <v>21</v>
      </c>
    </row>
    <row r="5293" spans="11:34" ht="14.5" x14ac:dyDescent="0.35">
      <c r="K5293" s="4"/>
      <c r="AC5293" s="384">
        <v>2022</v>
      </c>
      <c r="AD5293" s="384">
        <v>8</v>
      </c>
      <c r="AE5293" s="384">
        <v>9</v>
      </c>
      <c r="AF5293" s="385">
        <v>0.45833333333333331</v>
      </c>
      <c r="AG5293" s="386">
        <v>22.6</v>
      </c>
      <c r="AH5293" s="387">
        <f t="shared" si="97"/>
        <v>23</v>
      </c>
    </row>
    <row r="5294" spans="11:34" ht="14.5" x14ac:dyDescent="0.35">
      <c r="K5294" s="4"/>
      <c r="AC5294" s="384">
        <v>2022</v>
      </c>
      <c r="AD5294" s="384">
        <v>8</v>
      </c>
      <c r="AE5294" s="384">
        <v>9</v>
      </c>
      <c r="AF5294" s="385">
        <v>0.5</v>
      </c>
      <c r="AG5294" s="386">
        <v>23.7</v>
      </c>
      <c r="AH5294" s="387">
        <f t="shared" si="97"/>
        <v>24</v>
      </c>
    </row>
    <row r="5295" spans="11:34" ht="14.5" x14ac:dyDescent="0.35">
      <c r="K5295" s="4"/>
      <c r="AC5295" s="384">
        <v>2022</v>
      </c>
      <c r="AD5295" s="384">
        <v>8</v>
      </c>
      <c r="AE5295" s="384">
        <v>9</v>
      </c>
      <c r="AF5295" s="385">
        <v>0.54166666666666663</v>
      </c>
      <c r="AG5295" s="386">
        <v>24.9</v>
      </c>
      <c r="AH5295" s="387">
        <f t="shared" si="97"/>
        <v>25</v>
      </c>
    </row>
    <row r="5296" spans="11:34" ht="14.5" x14ac:dyDescent="0.35">
      <c r="K5296" s="4"/>
      <c r="AC5296" s="384">
        <v>2022</v>
      </c>
      <c r="AD5296" s="384">
        <v>8</v>
      </c>
      <c r="AE5296" s="384">
        <v>9</v>
      </c>
      <c r="AF5296" s="385">
        <v>0.58333333333333337</v>
      </c>
      <c r="AG5296" s="386">
        <v>26</v>
      </c>
      <c r="AH5296" s="387">
        <f t="shared" si="97"/>
        <v>26</v>
      </c>
    </row>
    <row r="5297" spans="11:34" ht="14.5" x14ac:dyDescent="0.35">
      <c r="K5297" s="4"/>
      <c r="AC5297" s="384">
        <v>2022</v>
      </c>
      <c r="AD5297" s="384">
        <v>8</v>
      </c>
      <c r="AE5297" s="384">
        <v>9</v>
      </c>
      <c r="AF5297" s="385">
        <v>0.625</v>
      </c>
      <c r="AG5297" s="386">
        <v>26.5</v>
      </c>
      <c r="AH5297" s="387">
        <f t="shared" si="97"/>
        <v>27</v>
      </c>
    </row>
    <row r="5298" spans="11:34" ht="14.5" x14ac:dyDescent="0.35">
      <c r="K5298" s="4"/>
      <c r="AC5298" s="384">
        <v>2022</v>
      </c>
      <c r="AD5298" s="384">
        <v>8</v>
      </c>
      <c r="AE5298" s="384">
        <v>9</v>
      </c>
      <c r="AF5298" s="385">
        <v>0.66666666666666663</v>
      </c>
      <c r="AG5298" s="386">
        <v>26.2</v>
      </c>
      <c r="AH5298" s="387">
        <f t="shared" si="97"/>
        <v>26</v>
      </c>
    </row>
    <row r="5299" spans="11:34" ht="14.5" x14ac:dyDescent="0.35">
      <c r="K5299" s="4"/>
      <c r="AC5299" s="384">
        <v>2022</v>
      </c>
      <c r="AD5299" s="384">
        <v>8</v>
      </c>
      <c r="AE5299" s="384">
        <v>9</v>
      </c>
      <c r="AF5299" s="385">
        <v>0.70833333333333337</v>
      </c>
      <c r="AG5299" s="386">
        <v>25</v>
      </c>
      <c r="AH5299" s="387">
        <f t="shared" si="97"/>
        <v>25</v>
      </c>
    </row>
    <row r="5300" spans="11:34" ht="14.5" x14ac:dyDescent="0.35">
      <c r="K5300" s="4"/>
      <c r="AC5300" s="384">
        <v>2022</v>
      </c>
      <c r="AD5300" s="384">
        <v>8</v>
      </c>
      <c r="AE5300" s="384">
        <v>9</v>
      </c>
      <c r="AF5300" s="385">
        <v>0.75</v>
      </c>
      <c r="AG5300" s="386">
        <v>24</v>
      </c>
      <c r="AH5300" s="387">
        <f t="shared" si="97"/>
        <v>24</v>
      </c>
    </row>
    <row r="5301" spans="11:34" ht="14.5" x14ac:dyDescent="0.35">
      <c r="K5301" s="4"/>
      <c r="AC5301" s="384">
        <v>2022</v>
      </c>
      <c r="AD5301" s="384">
        <v>8</v>
      </c>
      <c r="AE5301" s="384">
        <v>9</v>
      </c>
      <c r="AF5301" s="385">
        <v>0.79166666666666663</v>
      </c>
      <c r="AG5301" s="386">
        <v>22.8</v>
      </c>
      <c r="AH5301" s="387">
        <f t="shared" si="97"/>
        <v>23</v>
      </c>
    </row>
    <row r="5302" spans="11:34" ht="14.5" x14ac:dyDescent="0.35">
      <c r="K5302" s="4"/>
      <c r="AC5302" s="384">
        <v>2022</v>
      </c>
      <c r="AD5302" s="384">
        <v>8</v>
      </c>
      <c r="AE5302" s="384">
        <v>9</v>
      </c>
      <c r="AF5302" s="385">
        <v>0.83333333333333337</v>
      </c>
      <c r="AG5302" s="386">
        <v>21.8</v>
      </c>
      <c r="AH5302" s="387">
        <f t="shared" si="97"/>
        <v>22</v>
      </c>
    </row>
    <row r="5303" spans="11:34" ht="14.5" x14ac:dyDescent="0.35">
      <c r="K5303" s="4"/>
      <c r="AC5303" s="384">
        <v>2022</v>
      </c>
      <c r="AD5303" s="384">
        <v>8</v>
      </c>
      <c r="AE5303" s="384">
        <v>9</v>
      </c>
      <c r="AF5303" s="385">
        <v>0.875</v>
      </c>
      <c r="AG5303" s="386">
        <v>21.4</v>
      </c>
      <c r="AH5303" s="387">
        <f t="shared" si="97"/>
        <v>21</v>
      </c>
    </row>
    <row r="5304" spans="11:34" ht="14.5" x14ac:dyDescent="0.35">
      <c r="K5304" s="4"/>
      <c r="AC5304" s="384">
        <v>2022</v>
      </c>
      <c r="AD5304" s="384">
        <v>8</v>
      </c>
      <c r="AE5304" s="384">
        <v>9</v>
      </c>
      <c r="AF5304" s="385">
        <v>0.91666666666666663</v>
      </c>
      <c r="AG5304" s="386">
        <v>20.3</v>
      </c>
      <c r="AH5304" s="387">
        <f t="shared" si="97"/>
        <v>20</v>
      </c>
    </row>
    <row r="5305" spans="11:34" ht="14.5" x14ac:dyDescent="0.35">
      <c r="K5305" s="4"/>
      <c r="AC5305" s="384">
        <v>2022</v>
      </c>
      <c r="AD5305" s="384">
        <v>8</v>
      </c>
      <c r="AE5305" s="384">
        <v>9</v>
      </c>
      <c r="AF5305" s="385">
        <v>0.95833333333333337</v>
      </c>
      <c r="AG5305" s="386">
        <v>20.399999999999999</v>
      </c>
      <c r="AH5305" s="387">
        <f t="shared" si="97"/>
        <v>20</v>
      </c>
    </row>
    <row r="5306" spans="11:34" ht="14.5" x14ac:dyDescent="0.35">
      <c r="K5306" s="4"/>
      <c r="AC5306" s="384">
        <v>2022</v>
      </c>
      <c r="AD5306" s="384">
        <v>8</v>
      </c>
      <c r="AE5306" s="384">
        <v>10</v>
      </c>
      <c r="AF5306" s="385">
        <v>0</v>
      </c>
      <c r="AG5306" s="386">
        <v>20.2</v>
      </c>
      <c r="AH5306" s="387">
        <f t="shared" si="97"/>
        <v>20</v>
      </c>
    </row>
    <row r="5307" spans="11:34" ht="14.5" x14ac:dyDescent="0.35">
      <c r="K5307" s="4"/>
      <c r="AC5307" s="384">
        <v>2022</v>
      </c>
      <c r="AD5307" s="384">
        <v>8</v>
      </c>
      <c r="AE5307" s="384">
        <v>10</v>
      </c>
      <c r="AF5307" s="385">
        <v>4.1666666666666664E-2</v>
      </c>
      <c r="AG5307" s="386">
        <v>18.600000000000001</v>
      </c>
      <c r="AH5307" s="387">
        <f t="shared" si="97"/>
        <v>19</v>
      </c>
    </row>
    <row r="5308" spans="11:34" ht="14.5" x14ac:dyDescent="0.35">
      <c r="K5308" s="4"/>
      <c r="AC5308" s="384">
        <v>2022</v>
      </c>
      <c r="AD5308" s="384">
        <v>8</v>
      </c>
      <c r="AE5308" s="384">
        <v>10</v>
      </c>
      <c r="AF5308" s="385">
        <v>8.3333333333333329E-2</v>
      </c>
      <c r="AG5308" s="386">
        <v>17.3</v>
      </c>
      <c r="AH5308" s="387">
        <f t="shared" si="97"/>
        <v>17</v>
      </c>
    </row>
    <row r="5309" spans="11:34" ht="14.5" x14ac:dyDescent="0.35">
      <c r="K5309" s="4"/>
      <c r="AC5309" s="384">
        <v>2022</v>
      </c>
      <c r="AD5309" s="384">
        <v>8</v>
      </c>
      <c r="AE5309" s="384">
        <v>10</v>
      </c>
      <c r="AF5309" s="385">
        <v>0.125</v>
      </c>
      <c r="AG5309" s="386">
        <v>17.3</v>
      </c>
      <c r="AH5309" s="387">
        <f t="shared" si="97"/>
        <v>17</v>
      </c>
    </row>
    <row r="5310" spans="11:34" ht="14.5" x14ac:dyDescent="0.35">
      <c r="K5310" s="4"/>
      <c r="AC5310" s="384">
        <v>2022</v>
      </c>
      <c r="AD5310" s="384">
        <v>8</v>
      </c>
      <c r="AE5310" s="384">
        <v>10</v>
      </c>
      <c r="AF5310" s="385">
        <v>0.16666666666666666</v>
      </c>
      <c r="AG5310" s="386">
        <v>16.8</v>
      </c>
      <c r="AH5310" s="387">
        <f t="shared" si="97"/>
        <v>17</v>
      </c>
    </row>
    <row r="5311" spans="11:34" ht="14.5" x14ac:dyDescent="0.35">
      <c r="K5311" s="4"/>
      <c r="AC5311" s="384">
        <v>2022</v>
      </c>
      <c r="AD5311" s="384">
        <v>8</v>
      </c>
      <c r="AE5311" s="384">
        <v>10</v>
      </c>
      <c r="AF5311" s="385">
        <v>0.20833333333333334</v>
      </c>
      <c r="AG5311" s="386">
        <v>16.100000000000001</v>
      </c>
      <c r="AH5311" s="387">
        <f t="shared" si="97"/>
        <v>16</v>
      </c>
    </row>
    <row r="5312" spans="11:34" ht="14.5" x14ac:dyDescent="0.35">
      <c r="K5312" s="4"/>
      <c r="AC5312" s="384">
        <v>2022</v>
      </c>
      <c r="AD5312" s="384">
        <v>8</v>
      </c>
      <c r="AE5312" s="384">
        <v>10</v>
      </c>
      <c r="AF5312" s="385">
        <v>0.25</v>
      </c>
      <c r="AG5312" s="386">
        <v>15.9</v>
      </c>
      <c r="AH5312" s="387">
        <f t="shared" si="97"/>
        <v>16</v>
      </c>
    </row>
    <row r="5313" spans="11:34" ht="14.5" x14ac:dyDescent="0.35">
      <c r="K5313" s="4"/>
      <c r="AC5313" s="384">
        <v>2022</v>
      </c>
      <c r="AD5313" s="384">
        <v>8</v>
      </c>
      <c r="AE5313" s="384">
        <v>10</v>
      </c>
      <c r="AF5313" s="385">
        <v>0.29166666666666669</v>
      </c>
      <c r="AG5313" s="386">
        <v>17.399999999999999</v>
      </c>
      <c r="AH5313" s="387">
        <f t="shared" si="97"/>
        <v>17</v>
      </c>
    </row>
    <row r="5314" spans="11:34" ht="14.5" x14ac:dyDescent="0.35">
      <c r="K5314" s="4"/>
      <c r="AC5314" s="384">
        <v>2022</v>
      </c>
      <c r="AD5314" s="384">
        <v>8</v>
      </c>
      <c r="AE5314" s="384">
        <v>10</v>
      </c>
      <c r="AF5314" s="385">
        <v>0.33333333333333331</v>
      </c>
      <c r="AG5314" s="386">
        <v>19.3</v>
      </c>
      <c r="AH5314" s="387">
        <f t="shared" si="97"/>
        <v>19</v>
      </c>
    </row>
    <row r="5315" spans="11:34" ht="14.5" x14ac:dyDescent="0.35">
      <c r="K5315" s="4"/>
      <c r="AC5315" s="384">
        <v>2022</v>
      </c>
      <c r="AD5315" s="384">
        <v>8</v>
      </c>
      <c r="AE5315" s="384">
        <v>10</v>
      </c>
      <c r="AF5315" s="385">
        <v>0.375</v>
      </c>
      <c r="AG5315" s="386">
        <v>20.7</v>
      </c>
      <c r="AH5315" s="387">
        <f t="shared" si="97"/>
        <v>21</v>
      </c>
    </row>
    <row r="5316" spans="11:34" ht="14.5" x14ac:dyDescent="0.35">
      <c r="K5316" s="4"/>
      <c r="AC5316" s="384">
        <v>2022</v>
      </c>
      <c r="AD5316" s="384">
        <v>8</v>
      </c>
      <c r="AE5316" s="384">
        <v>10</v>
      </c>
      <c r="AF5316" s="385">
        <v>0.41666666666666669</v>
      </c>
      <c r="AG5316" s="386">
        <v>21</v>
      </c>
      <c r="AH5316" s="387">
        <f t="shared" si="97"/>
        <v>21</v>
      </c>
    </row>
    <row r="5317" spans="11:34" ht="14.5" x14ac:dyDescent="0.35">
      <c r="K5317" s="4"/>
      <c r="AC5317" s="384">
        <v>2022</v>
      </c>
      <c r="AD5317" s="384">
        <v>8</v>
      </c>
      <c r="AE5317" s="384">
        <v>10</v>
      </c>
      <c r="AF5317" s="385">
        <v>0.45833333333333331</v>
      </c>
      <c r="AG5317" s="386">
        <v>22.4</v>
      </c>
      <c r="AH5317" s="387">
        <f t="shared" si="97"/>
        <v>22</v>
      </c>
    </row>
    <row r="5318" spans="11:34" ht="14.5" x14ac:dyDescent="0.35">
      <c r="K5318" s="4"/>
      <c r="AC5318" s="384">
        <v>2022</v>
      </c>
      <c r="AD5318" s="384">
        <v>8</v>
      </c>
      <c r="AE5318" s="384">
        <v>10</v>
      </c>
      <c r="AF5318" s="385">
        <v>0.5</v>
      </c>
      <c r="AG5318" s="386">
        <v>23.5</v>
      </c>
      <c r="AH5318" s="387">
        <f t="shared" si="97"/>
        <v>24</v>
      </c>
    </row>
    <row r="5319" spans="11:34" ht="14.5" x14ac:dyDescent="0.35">
      <c r="K5319" s="4"/>
      <c r="AC5319" s="384">
        <v>2022</v>
      </c>
      <c r="AD5319" s="384">
        <v>8</v>
      </c>
      <c r="AE5319" s="384">
        <v>10</v>
      </c>
      <c r="AF5319" s="385">
        <v>0.54166666666666663</v>
      </c>
      <c r="AG5319" s="386">
        <v>24.2</v>
      </c>
      <c r="AH5319" s="387">
        <f t="shared" si="97"/>
        <v>24</v>
      </c>
    </row>
    <row r="5320" spans="11:34" ht="14.5" x14ac:dyDescent="0.35">
      <c r="K5320" s="4"/>
      <c r="AC5320" s="384">
        <v>2022</v>
      </c>
      <c r="AD5320" s="384">
        <v>8</v>
      </c>
      <c r="AE5320" s="384">
        <v>10</v>
      </c>
      <c r="AF5320" s="385">
        <v>0.58333333333333337</v>
      </c>
      <c r="AG5320" s="386">
        <v>23.8</v>
      </c>
      <c r="AH5320" s="387">
        <f t="shared" si="97"/>
        <v>24</v>
      </c>
    </row>
    <row r="5321" spans="11:34" ht="14.5" x14ac:dyDescent="0.35">
      <c r="K5321" s="4"/>
      <c r="AC5321" s="384">
        <v>2022</v>
      </c>
      <c r="AD5321" s="384">
        <v>8</v>
      </c>
      <c r="AE5321" s="384">
        <v>10</v>
      </c>
      <c r="AF5321" s="385">
        <v>0.625</v>
      </c>
      <c r="AG5321" s="386">
        <v>26.1</v>
      </c>
      <c r="AH5321" s="387">
        <f t="shared" si="97"/>
        <v>26</v>
      </c>
    </row>
    <row r="5322" spans="11:34" ht="14.5" x14ac:dyDescent="0.35">
      <c r="K5322" s="4"/>
      <c r="AC5322" s="384">
        <v>2022</v>
      </c>
      <c r="AD5322" s="384">
        <v>8</v>
      </c>
      <c r="AE5322" s="384">
        <v>10</v>
      </c>
      <c r="AF5322" s="385">
        <v>0.66666666666666663</v>
      </c>
      <c r="AG5322" s="386">
        <v>27.1</v>
      </c>
      <c r="AH5322" s="387">
        <f t="shared" si="97"/>
        <v>27</v>
      </c>
    </row>
    <row r="5323" spans="11:34" ht="14.5" x14ac:dyDescent="0.35">
      <c r="K5323" s="4"/>
      <c r="AC5323" s="384">
        <v>2022</v>
      </c>
      <c r="AD5323" s="384">
        <v>8</v>
      </c>
      <c r="AE5323" s="384">
        <v>10</v>
      </c>
      <c r="AF5323" s="385">
        <v>0.70833333333333337</v>
      </c>
      <c r="AG5323" s="386">
        <v>26.5</v>
      </c>
      <c r="AH5323" s="387">
        <f t="shared" ref="AH5323:AH5386" si="98">ROUND(AG5323,0)</f>
        <v>27</v>
      </c>
    </row>
    <row r="5324" spans="11:34" ht="14.5" x14ac:dyDescent="0.35">
      <c r="K5324" s="4"/>
      <c r="AC5324" s="384">
        <v>2022</v>
      </c>
      <c r="AD5324" s="384">
        <v>8</v>
      </c>
      <c r="AE5324" s="384">
        <v>10</v>
      </c>
      <c r="AF5324" s="385">
        <v>0.75</v>
      </c>
      <c r="AG5324" s="386">
        <v>25.8</v>
      </c>
      <c r="AH5324" s="387">
        <f t="shared" si="98"/>
        <v>26</v>
      </c>
    </row>
    <row r="5325" spans="11:34" ht="14.5" x14ac:dyDescent="0.35">
      <c r="K5325" s="4"/>
      <c r="AC5325" s="384">
        <v>2022</v>
      </c>
      <c r="AD5325" s="384">
        <v>8</v>
      </c>
      <c r="AE5325" s="384">
        <v>10</v>
      </c>
      <c r="AF5325" s="385">
        <v>0.79166666666666663</v>
      </c>
      <c r="AG5325" s="386">
        <v>24.8</v>
      </c>
      <c r="AH5325" s="387">
        <f t="shared" si="98"/>
        <v>25</v>
      </c>
    </row>
    <row r="5326" spans="11:34" ht="14.5" x14ac:dyDescent="0.35">
      <c r="K5326" s="4"/>
      <c r="AC5326" s="384">
        <v>2022</v>
      </c>
      <c r="AD5326" s="384">
        <v>8</v>
      </c>
      <c r="AE5326" s="384">
        <v>10</v>
      </c>
      <c r="AF5326" s="385">
        <v>0.83333333333333337</v>
      </c>
      <c r="AG5326" s="386">
        <v>24.9</v>
      </c>
      <c r="AH5326" s="387">
        <f t="shared" si="98"/>
        <v>25</v>
      </c>
    </row>
    <row r="5327" spans="11:34" ht="14.5" x14ac:dyDescent="0.35">
      <c r="K5327" s="4"/>
      <c r="AC5327" s="384">
        <v>2022</v>
      </c>
      <c r="AD5327" s="384">
        <v>8</v>
      </c>
      <c r="AE5327" s="384">
        <v>10</v>
      </c>
      <c r="AF5327" s="385">
        <v>0.875</v>
      </c>
      <c r="AG5327" s="386">
        <v>23.3</v>
      </c>
      <c r="AH5327" s="387">
        <f t="shared" si="98"/>
        <v>23</v>
      </c>
    </row>
    <row r="5328" spans="11:34" ht="14.5" x14ac:dyDescent="0.35">
      <c r="K5328" s="4"/>
      <c r="AC5328" s="384">
        <v>2022</v>
      </c>
      <c r="AD5328" s="384">
        <v>8</v>
      </c>
      <c r="AE5328" s="384">
        <v>10</v>
      </c>
      <c r="AF5328" s="385">
        <v>0.91666666666666663</v>
      </c>
      <c r="AG5328" s="386">
        <v>21.1</v>
      </c>
      <c r="AH5328" s="387">
        <f t="shared" si="98"/>
        <v>21</v>
      </c>
    </row>
    <row r="5329" spans="11:34" ht="14.5" x14ac:dyDescent="0.35">
      <c r="K5329" s="4"/>
      <c r="AC5329" s="384">
        <v>2022</v>
      </c>
      <c r="AD5329" s="384">
        <v>8</v>
      </c>
      <c r="AE5329" s="384">
        <v>10</v>
      </c>
      <c r="AF5329" s="385">
        <v>0.95833333333333337</v>
      </c>
      <c r="AG5329" s="386">
        <v>19.600000000000001</v>
      </c>
      <c r="AH5329" s="387">
        <f t="shared" si="98"/>
        <v>20</v>
      </c>
    </row>
    <row r="5330" spans="11:34" ht="14.5" x14ac:dyDescent="0.35">
      <c r="K5330" s="4"/>
      <c r="AC5330" s="384">
        <v>2022</v>
      </c>
      <c r="AD5330" s="384">
        <v>8</v>
      </c>
      <c r="AE5330" s="384">
        <v>11</v>
      </c>
      <c r="AF5330" s="385">
        <v>0</v>
      </c>
      <c r="AG5330" s="386">
        <v>19.3</v>
      </c>
      <c r="AH5330" s="387">
        <f t="shared" si="98"/>
        <v>19</v>
      </c>
    </row>
    <row r="5331" spans="11:34" ht="14.5" x14ac:dyDescent="0.35">
      <c r="K5331" s="4"/>
      <c r="AC5331" s="384">
        <v>2022</v>
      </c>
      <c r="AD5331" s="384">
        <v>8</v>
      </c>
      <c r="AE5331" s="384">
        <v>11</v>
      </c>
      <c r="AF5331" s="385">
        <v>4.1666666666666664E-2</v>
      </c>
      <c r="AG5331" s="386">
        <v>17.100000000000001</v>
      </c>
      <c r="AH5331" s="387">
        <f t="shared" si="98"/>
        <v>17</v>
      </c>
    </row>
    <row r="5332" spans="11:34" ht="14.5" x14ac:dyDescent="0.35">
      <c r="K5332" s="4"/>
      <c r="AC5332" s="384">
        <v>2022</v>
      </c>
      <c r="AD5332" s="384">
        <v>8</v>
      </c>
      <c r="AE5332" s="384">
        <v>11</v>
      </c>
      <c r="AF5332" s="385">
        <v>8.3333333333333329E-2</v>
      </c>
      <c r="AG5332" s="386">
        <v>16.600000000000001</v>
      </c>
      <c r="AH5332" s="387">
        <f t="shared" si="98"/>
        <v>17</v>
      </c>
    </row>
    <row r="5333" spans="11:34" ht="14.5" x14ac:dyDescent="0.35">
      <c r="K5333" s="4"/>
      <c r="AC5333" s="384">
        <v>2022</v>
      </c>
      <c r="AD5333" s="384">
        <v>8</v>
      </c>
      <c r="AE5333" s="384">
        <v>11</v>
      </c>
      <c r="AF5333" s="385">
        <v>0.125</v>
      </c>
      <c r="AG5333" s="386">
        <v>15.9</v>
      </c>
      <c r="AH5333" s="387">
        <f t="shared" si="98"/>
        <v>16</v>
      </c>
    </row>
    <row r="5334" spans="11:34" ht="14.5" x14ac:dyDescent="0.35">
      <c r="K5334" s="4"/>
      <c r="AC5334" s="384">
        <v>2022</v>
      </c>
      <c r="AD5334" s="384">
        <v>8</v>
      </c>
      <c r="AE5334" s="384">
        <v>11</v>
      </c>
      <c r="AF5334" s="385">
        <v>0.16666666666666666</v>
      </c>
      <c r="AG5334" s="386">
        <v>15.8</v>
      </c>
      <c r="AH5334" s="387">
        <f t="shared" si="98"/>
        <v>16</v>
      </c>
    </row>
    <row r="5335" spans="11:34" ht="14.5" x14ac:dyDescent="0.35">
      <c r="K5335" s="4"/>
      <c r="AC5335" s="384">
        <v>2022</v>
      </c>
      <c r="AD5335" s="384">
        <v>8</v>
      </c>
      <c r="AE5335" s="384">
        <v>11</v>
      </c>
      <c r="AF5335" s="385">
        <v>0.20833333333333334</v>
      </c>
      <c r="AG5335" s="386">
        <v>16.7</v>
      </c>
      <c r="AH5335" s="387">
        <f t="shared" si="98"/>
        <v>17</v>
      </c>
    </row>
    <row r="5336" spans="11:34" ht="14.5" x14ac:dyDescent="0.35">
      <c r="K5336" s="4"/>
      <c r="AC5336" s="384">
        <v>2022</v>
      </c>
      <c r="AD5336" s="384">
        <v>8</v>
      </c>
      <c r="AE5336" s="384">
        <v>11</v>
      </c>
      <c r="AF5336" s="385">
        <v>0.25</v>
      </c>
      <c r="AG5336" s="386">
        <v>18.8</v>
      </c>
      <c r="AH5336" s="387">
        <f t="shared" si="98"/>
        <v>19</v>
      </c>
    </row>
    <row r="5337" spans="11:34" ht="14.5" x14ac:dyDescent="0.35">
      <c r="K5337" s="4"/>
      <c r="AC5337" s="384">
        <v>2022</v>
      </c>
      <c r="AD5337" s="384">
        <v>8</v>
      </c>
      <c r="AE5337" s="384">
        <v>11</v>
      </c>
      <c r="AF5337" s="385">
        <v>0.29166666666666669</v>
      </c>
      <c r="AG5337" s="386">
        <v>21.8</v>
      </c>
      <c r="AH5337" s="387">
        <f t="shared" si="98"/>
        <v>22</v>
      </c>
    </row>
    <row r="5338" spans="11:34" ht="14.5" x14ac:dyDescent="0.35">
      <c r="K5338" s="4"/>
      <c r="AC5338" s="384">
        <v>2022</v>
      </c>
      <c r="AD5338" s="384">
        <v>8</v>
      </c>
      <c r="AE5338" s="384">
        <v>11</v>
      </c>
      <c r="AF5338" s="385">
        <v>0.33333333333333331</v>
      </c>
      <c r="AG5338" s="386">
        <v>25.7</v>
      </c>
      <c r="AH5338" s="387">
        <f t="shared" si="98"/>
        <v>26</v>
      </c>
    </row>
    <row r="5339" spans="11:34" ht="14.5" x14ac:dyDescent="0.35">
      <c r="K5339" s="4"/>
      <c r="AC5339" s="384">
        <v>2022</v>
      </c>
      <c r="AD5339" s="384">
        <v>8</v>
      </c>
      <c r="AE5339" s="384">
        <v>11</v>
      </c>
      <c r="AF5339" s="385">
        <v>0.375</v>
      </c>
      <c r="AG5339" s="386">
        <v>27.2</v>
      </c>
      <c r="AH5339" s="387">
        <f t="shared" si="98"/>
        <v>27</v>
      </c>
    </row>
    <row r="5340" spans="11:34" ht="14.5" x14ac:dyDescent="0.35">
      <c r="K5340" s="4"/>
      <c r="AC5340" s="384">
        <v>2022</v>
      </c>
      <c r="AD5340" s="384">
        <v>8</v>
      </c>
      <c r="AE5340" s="384">
        <v>11</v>
      </c>
      <c r="AF5340" s="385">
        <v>0.41666666666666669</v>
      </c>
      <c r="AG5340" s="386">
        <v>29</v>
      </c>
      <c r="AH5340" s="387">
        <f t="shared" si="98"/>
        <v>29</v>
      </c>
    </row>
    <row r="5341" spans="11:34" ht="14.5" x14ac:dyDescent="0.35">
      <c r="K5341" s="4"/>
      <c r="AC5341" s="384">
        <v>2022</v>
      </c>
      <c r="AD5341" s="384">
        <v>8</v>
      </c>
      <c r="AE5341" s="384">
        <v>11</v>
      </c>
      <c r="AF5341" s="385">
        <v>0.45833333333333331</v>
      </c>
      <c r="AG5341" s="386">
        <v>30.1</v>
      </c>
      <c r="AH5341" s="387">
        <f t="shared" si="98"/>
        <v>30</v>
      </c>
    </row>
    <row r="5342" spans="11:34" ht="14.5" x14ac:dyDescent="0.35">
      <c r="K5342" s="4"/>
      <c r="AC5342" s="384">
        <v>2022</v>
      </c>
      <c r="AD5342" s="384">
        <v>8</v>
      </c>
      <c r="AE5342" s="384">
        <v>11</v>
      </c>
      <c r="AF5342" s="385">
        <v>0.5</v>
      </c>
      <c r="AG5342" s="386">
        <v>30.5</v>
      </c>
      <c r="AH5342" s="387">
        <f t="shared" si="98"/>
        <v>31</v>
      </c>
    </row>
    <row r="5343" spans="11:34" ht="14.5" x14ac:dyDescent="0.35">
      <c r="K5343" s="4"/>
      <c r="AC5343" s="384">
        <v>2022</v>
      </c>
      <c r="AD5343" s="384">
        <v>8</v>
      </c>
      <c r="AE5343" s="384">
        <v>11</v>
      </c>
      <c r="AF5343" s="385">
        <v>0.54166666666666663</v>
      </c>
      <c r="AG5343" s="386">
        <v>29.5</v>
      </c>
      <c r="AH5343" s="387">
        <f t="shared" si="98"/>
        <v>30</v>
      </c>
    </row>
    <row r="5344" spans="11:34" ht="14.5" x14ac:dyDescent="0.35">
      <c r="K5344" s="4"/>
      <c r="AC5344" s="384">
        <v>2022</v>
      </c>
      <c r="AD5344" s="384">
        <v>8</v>
      </c>
      <c r="AE5344" s="384">
        <v>11</v>
      </c>
      <c r="AF5344" s="385">
        <v>0.58333333333333337</v>
      </c>
      <c r="AG5344" s="386">
        <v>29.6</v>
      </c>
      <c r="AH5344" s="387">
        <f t="shared" si="98"/>
        <v>30</v>
      </c>
    </row>
    <row r="5345" spans="11:34" ht="14.5" x14ac:dyDescent="0.35">
      <c r="K5345" s="4"/>
      <c r="AC5345" s="384">
        <v>2022</v>
      </c>
      <c r="AD5345" s="384">
        <v>8</v>
      </c>
      <c r="AE5345" s="384">
        <v>11</v>
      </c>
      <c r="AF5345" s="385">
        <v>0.625</v>
      </c>
      <c r="AG5345" s="386">
        <v>28.6</v>
      </c>
      <c r="AH5345" s="387">
        <f t="shared" si="98"/>
        <v>29</v>
      </c>
    </row>
    <row r="5346" spans="11:34" ht="14.5" x14ac:dyDescent="0.35">
      <c r="K5346" s="4"/>
      <c r="AC5346" s="384">
        <v>2022</v>
      </c>
      <c r="AD5346" s="384">
        <v>8</v>
      </c>
      <c r="AE5346" s="384">
        <v>11</v>
      </c>
      <c r="AF5346" s="385">
        <v>0.66666666666666663</v>
      </c>
      <c r="AG5346" s="386">
        <v>28.2</v>
      </c>
      <c r="AH5346" s="387">
        <f t="shared" si="98"/>
        <v>28</v>
      </c>
    </row>
    <row r="5347" spans="11:34" ht="14.5" x14ac:dyDescent="0.35">
      <c r="K5347" s="4"/>
      <c r="AC5347" s="384">
        <v>2022</v>
      </c>
      <c r="AD5347" s="384">
        <v>8</v>
      </c>
      <c r="AE5347" s="384">
        <v>11</v>
      </c>
      <c r="AF5347" s="385">
        <v>0.70833333333333337</v>
      </c>
      <c r="AG5347" s="386">
        <v>27</v>
      </c>
      <c r="AH5347" s="387">
        <f t="shared" si="98"/>
        <v>27</v>
      </c>
    </row>
    <row r="5348" spans="11:34" ht="14.5" x14ac:dyDescent="0.35">
      <c r="K5348" s="4"/>
      <c r="AC5348" s="384">
        <v>2022</v>
      </c>
      <c r="AD5348" s="384">
        <v>8</v>
      </c>
      <c r="AE5348" s="384">
        <v>11</v>
      </c>
      <c r="AF5348" s="385">
        <v>0.75</v>
      </c>
      <c r="AG5348" s="386">
        <v>26.2</v>
      </c>
      <c r="AH5348" s="387">
        <f t="shared" si="98"/>
        <v>26</v>
      </c>
    </row>
    <row r="5349" spans="11:34" ht="14.5" x14ac:dyDescent="0.35">
      <c r="K5349" s="4"/>
      <c r="AC5349" s="384">
        <v>2022</v>
      </c>
      <c r="AD5349" s="384">
        <v>8</v>
      </c>
      <c r="AE5349" s="384">
        <v>11</v>
      </c>
      <c r="AF5349" s="385">
        <v>0.79166666666666663</v>
      </c>
      <c r="AG5349" s="386">
        <v>24.7</v>
      </c>
      <c r="AH5349" s="387">
        <f t="shared" si="98"/>
        <v>25</v>
      </c>
    </row>
    <row r="5350" spans="11:34" ht="14.5" x14ac:dyDescent="0.35">
      <c r="K5350" s="4"/>
      <c r="AC5350" s="384">
        <v>2022</v>
      </c>
      <c r="AD5350" s="384">
        <v>8</v>
      </c>
      <c r="AE5350" s="384">
        <v>11</v>
      </c>
      <c r="AF5350" s="385">
        <v>0.83333333333333337</v>
      </c>
      <c r="AG5350" s="386">
        <v>21.3</v>
      </c>
      <c r="AH5350" s="387">
        <f t="shared" si="98"/>
        <v>21</v>
      </c>
    </row>
    <row r="5351" spans="11:34" ht="14.5" x14ac:dyDescent="0.35">
      <c r="K5351" s="4"/>
      <c r="AC5351" s="384">
        <v>2022</v>
      </c>
      <c r="AD5351" s="384">
        <v>8</v>
      </c>
      <c r="AE5351" s="384">
        <v>11</v>
      </c>
      <c r="AF5351" s="385">
        <v>0.875</v>
      </c>
      <c r="AG5351" s="386">
        <v>20.5</v>
      </c>
      <c r="AH5351" s="387">
        <f t="shared" si="98"/>
        <v>21</v>
      </c>
    </row>
    <row r="5352" spans="11:34" ht="14.5" x14ac:dyDescent="0.35">
      <c r="K5352" s="4"/>
      <c r="AC5352" s="384">
        <v>2022</v>
      </c>
      <c r="AD5352" s="384">
        <v>8</v>
      </c>
      <c r="AE5352" s="384">
        <v>11</v>
      </c>
      <c r="AF5352" s="385">
        <v>0.91666666666666663</v>
      </c>
      <c r="AG5352" s="386">
        <v>18.8</v>
      </c>
      <c r="AH5352" s="387">
        <f t="shared" si="98"/>
        <v>19</v>
      </c>
    </row>
    <row r="5353" spans="11:34" ht="14.5" x14ac:dyDescent="0.35">
      <c r="K5353" s="4"/>
      <c r="AC5353" s="384">
        <v>2022</v>
      </c>
      <c r="AD5353" s="384">
        <v>8</v>
      </c>
      <c r="AE5353" s="384">
        <v>11</v>
      </c>
      <c r="AF5353" s="385">
        <v>0.95833333333333337</v>
      </c>
      <c r="AG5353" s="386">
        <v>18.399999999999999</v>
      </c>
      <c r="AH5353" s="387">
        <f t="shared" si="98"/>
        <v>18</v>
      </c>
    </row>
    <row r="5354" spans="11:34" ht="14.5" x14ac:dyDescent="0.35">
      <c r="K5354" s="4"/>
      <c r="AC5354" s="384">
        <v>2022</v>
      </c>
      <c r="AD5354" s="384">
        <v>8</v>
      </c>
      <c r="AE5354" s="384">
        <v>12</v>
      </c>
      <c r="AF5354" s="385">
        <v>0</v>
      </c>
      <c r="AG5354" s="386">
        <v>15.5</v>
      </c>
      <c r="AH5354" s="387">
        <f t="shared" si="98"/>
        <v>16</v>
      </c>
    </row>
    <row r="5355" spans="11:34" ht="14.5" x14ac:dyDescent="0.35">
      <c r="K5355" s="4"/>
      <c r="AC5355" s="384">
        <v>2022</v>
      </c>
      <c r="AD5355" s="384">
        <v>8</v>
      </c>
      <c r="AE5355" s="384">
        <v>12</v>
      </c>
      <c r="AF5355" s="385">
        <v>4.1666666666666664E-2</v>
      </c>
      <c r="AG5355" s="386">
        <v>14.7</v>
      </c>
      <c r="AH5355" s="387">
        <f t="shared" si="98"/>
        <v>15</v>
      </c>
    </row>
    <row r="5356" spans="11:34" ht="14.5" x14ac:dyDescent="0.35">
      <c r="K5356" s="4"/>
      <c r="AC5356" s="384">
        <v>2022</v>
      </c>
      <c r="AD5356" s="384">
        <v>8</v>
      </c>
      <c r="AE5356" s="384">
        <v>12</v>
      </c>
      <c r="AF5356" s="385">
        <v>8.3333333333333329E-2</v>
      </c>
      <c r="AG5356" s="386">
        <v>14.2</v>
      </c>
      <c r="AH5356" s="387">
        <f t="shared" si="98"/>
        <v>14</v>
      </c>
    </row>
    <row r="5357" spans="11:34" ht="14.5" x14ac:dyDescent="0.35">
      <c r="K5357" s="4"/>
      <c r="AC5357" s="384">
        <v>2022</v>
      </c>
      <c r="AD5357" s="384">
        <v>8</v>
      </c>
      <c r="AE5357" s="384">
        <v>12</v>
      </c>
      <c r="AF5357" s="385">
        <v>0.125</v>
      </c>
      <c r="AG5357" s="386">
        <v>15.4</v>
      </c>
      <c r="AH5357" s="387">
        <f t="shared" si="98"/>
        <v>15</v>
      </c>
    </row>
    <row r="5358" spans="11:34" ht="14.5" x14ac:dyDescent="0.35">
      <c r="K5358" s="4"/>
      <c r="AC5358" s="384">
        <v>2022</v>
      </c>
      <c r="AD5358" s="384">
        <v>8</v>
      </c>
      <c r="AE5358" s="384">
        <v>12</v>
      </c>
      <c r="AF5358" s="385">
        <v>0.16666666666666666</v>
      </c>
      <c r="AG5358" s="386">
        <v>14.6</v>
      </c>
      <c r="AH5358" s="387">
        <f t="shared" si="98"/>
        <v>15</v>
      </c>
    </row>
    <row r="5359" spans="11:34" ht="14.5" x14ac:dyDescent="0.35">
      <c r="K5359" s="4"/>
      <c r="AC5359" s="384">
        <v>2022</v>
      </c>
      <c r="AD5359" s="384">
        <v>8</v>
      </c>
      <c r="AE5359" s="384">
        <v>12</v>
      </c>
      <c r="AF5359" s="385">
        <v>0.20833333333333334</v>
      </c>
      <c r="AG5359" s="386">
        <v>14.6</v>
      </c>
      <c r="AH5359" s="387">
        <f t="shared" si="98"/>
        <v>15</v>
      </c>
    </row>
    <row r="5360" spans="11:34" ht="14.5" x14ac:dyDescent="0.35">
      <c r="K5360" s="4"/>
      <c r="AC5360" s="384">
        <v>2022</v>
      </c>
      <c r="AD5360" s="384">
        <v>8</v>
      </c>
      <c r="AE5360" s="384">
        <v>12</v>
      </c>
      <c r="AF5360" s="385">
        <v>0.25</v>
      </c>
      <c r="AG5360" s="386">
        <v>14.8</v>
      </c>
      <c r="AH5360" s="387">
        <f t="shared" si="98"/>
        <v>15</v>
      </c>
    </row>
    <row r="5361" spans="11:34" ht="14.5" x14ac:dyDescent="0.35">
      <c r="K5361" s="4"/>
      <c r="AC5361" s="384">
        <v>2022</v>
      </c>
      <c r="AD5361" s="384">
        <v>8</v>
      </c>
      <c r="AE5361" s="384">
        <v>12</v>
      </c>
      <c r="AF5361" s="385">
        <v>0.29166666666666669</v>
      </c>
      <c r="AG5361" s="386">
        <v>18.100000000000001</v>
      </c>
      <c r="AH5361" s="387">
        <f t="shared" si="98"/>
        <v>18</v>
      </c>
    </row>
    <row r="5362" spans="11:34" ht="14.5" x14ac:dyDescent="0.35">
      <c r="K5362" s="4"/>
      <c r="AC5362" s="384">
        <v>2022</v>
      </c>
      <c r="AD5362" s="384">
        <v>8</v>
      </c>
      <c r="AE5362" s="384">
        <v>12</v>
      </c>
      <c r="AF5362" s="385">
        <v>0.33333333333333331</v>
      </c>
      <c r="AG5362" s="386">
        <v>21</v>
      </c>
      <c r="AH5362" s="387">
        <f t="shared" si="98"/>
        <v>21</v>
      </c>
    </row>
    <row r="5363" spans="11:34" ht="14.5" x14ac:dyDescent="0.35">
      <c r="K5363" s="4"/>
      <c r="AC5363" s="384">
        <v>2022</v>
      </c>
      <c r="AD5363" s="384">
        <v>8</v>
      </c>
      <c r="AE5363" s="384">
        <v>12</v>
      </c>
      <c r="AF5363" s="385">
        <v>0.375</v>
      </c>
      <c r="AG5363" s="386">
        <v>23.7</v>
      </c>
      <c r="AH5363" s="387">
        <f t="shared" si="98"/>
        <v>24</v>
      </c>
    </row>
    <row r="5364" spans="11:34" ht="14.5" x14ac:dyDescent="0.35">
      <c r="K5364" s="4"/>
      <c r="AC5364" s="384">
        <v>2022</v>
      </c>
      <c r="AD5364" s="384">
        <v>8</v>
      </c>
      <c r="AE5364" s="384">
        <v>12</v>
      </c>
      <c r="AF5364" s="385">
        <v>0.41666666666666669</v>
      </c>
      <c r="AG5364" s="386">
        <v>25.5</v>
      </c>
      <c r="AH5364" s="387">
        <f t="shared" si="98"/>
        <v>26</v>
      </c>
    </row>
    <row r="5365" spans="11:34" ht="14.5" x14ac:dyDescent="0.35">
      <c r="K5365" s="4"/>
      <c r="AC5365" s="384">
        <v>2022</v>
      </c>
      <c r="AD5365" s="384">
        <v>8</v>
      </c>
      <c r="AE5365" s="384">
        <v>12</v>
      </c>
      <c r="AF5365" s="385">
        <v>0.45833333333333331</v>
      </c>
      <c r="AG5365" s="386">
        <v>26.4</v>
      </c>
      <c r="AH5365" s="387">
        <f t="shared" si="98"/>
        <v>26</v>
      </c>
    </row>
    <row r="5366" spans="11:34" ht="14.5" x14ac:dyDescent="0.35">
      <c r="K5366" s="4"/>
      <c r="AC5366" s="384">
        <v>2022</v>
      </c>
      <c r="AD5366" s="384">
        <v>8</v>
      </c>
      <c r="AE5366" s="384">
        <v>12</v>
      </c>
      <c r="AF5366" s="385">
        <v>0.5</v>
      </c>
      <c r="AG5366" s="386">
        <v>27.3</v>
      </c>
      <c r="AH5366" s="387">
        <f t="shared" si="98"/>
        <v>27</v>
      </c>
    </row>
    <row r="5367" spans="11:34" ht="14.5" x14ac:dyDescent="0.35">
      <c r="K5367" s="4"/>
      <c r="AC5367" s="384">
        <v>2022</v>
      </c>
      <c r="AD5367" s="384">
        <v>8</v>
      </c>
      <c r="AE5367" s="384">
        <v>12</v>
      </c>
      <c r="AF5367" s="385">
        <v>0.54166666666666663</v>
      </c>
      <c r="AG5367" s="386">
        <v>28.8</v>
      </c>
      <c r="AH5367" s="387">
        <f t="shared" si="98"/>
        <v>29</v>
      </c>
    </row>
    <row r="5368" spans="11:34" ht="14.5" x14ac:dyDescent="0.35">
      <c r="K5368" s="4"/>
      <c r="AC5368" s="384">
        <v>2022</v>
      </c>
      <c r="AD5368" s="384">
        <v>8</v>
      </c>
      <c r="AE5368" s="384">
        <v>12</v>
      </c>
      <c r="AF5368" s="385">
        <v>0.58333333333333337</v>
      </c>
      <c r="AG5368" s="386">
        <v>29.7</v>
      </c>
      <c r="AH5368" s="387">
        <f t="shared" si="98"/>
        <v>30</v>
      </c>
    </row>
    <row r="5369" spans="11:34" ht="14.5" x14ac:dyDescent="0.35">
      <c r="K5369" s="4"/>
      <c r="AC5369" s="384">
        <v>2022</v>
      </c>
      <c r="AD5369" s="384">
        <v>8</v>
      </c>
      <c r="AE5369" s="384">
        <v>12</v>
      </c>
      <c r="AF5369" s="385">
        <v>0.625</v>
      </c>
      <c r="AG5369" s="386">
        <v>30.4</v>
      </c>
      <c r="AH5369" s="387">
        <f t="shared" si="98"/>
        <v>30</v>
      </c>
    </row>
    <row r="5370" spans="11:34" ht="14.5" x14ac:dyDescent="0.35">
      <c r="K5370" s="4"/>
      <c r="AC5370" s="384">
        <v>2022</v>
      </c>
      <c r="AD5370" s="384">
        <v>8</v>
      </c>
      <c r="AE5370" s="384">
        <v>12</v>
      </c>
      <c r="AF5370" s="385">
        <v>0.66666666666666663</v>
      </c>
      <c r="AG5370" s="386">
        <v>31</v>
      </c>
      <c r="AH5370" s="387">
        <f t="shared" si="98"/>
        <v>31</v>
      </c>
    </row>
    <row r="5371" spans="11:34" ht="14.5" x14ac:dyDescent="0.35">
      <c r="K5371" s="4"/>
      <c r="AC5371" s="384">
        <v>2022</v>
      </c>
      <c r="AD5371" s="384">
        <v>8</v>
      </c>
      <c r="AE5371" s="384">
        <v>12</v>
      </c>
      <c r="AF5371" s="385">
        <v>0.70833333333333337</v>
      </c>
      <c r="AG5371" s="386">
        <v>30.5</v>
      </c>
      <c r="AH5371" s="387">
        <f t="shared" si="98"/>
        <v>31</v>
      </c>
    </row>
    <row r="5372" spans="11:34" ht="14.5" x14ac:dyDescent="0.35">
      <c r="K5372" s="4"/>
      <c r="AC5372" s="384">
        <v>2022</v>
      </c>
      <c r="AD5372" s="384">
        <v>8</v>
      </c>
      <c r="AE5372" s="384">
        <v>12</v>
      </c>
      <c r="AF5372" s="385">
        <v>0.75</v>
      </c>
      <c r="AG5372" s="386">
        <v>29.1</v>
      </c>
      <c r="AH5372" s="387">
        <f t="shared" si="98"/>
        <v>29</v>
      </c>
    </row>
    <row r="5373" spans="11:34" ht="14.5" x14ac:dyDescent="0.35">
      <c r="K5373" s="4"/>
      <c r="AC5373" s="384">
        <v>2022</v>
      </c>
      <c r="AD5373" s="384">
        <v>8</v>
      </c>
      <c r="AE5373" s="384">
        <v>12</v>
      </c>
      <c r="AF5373" s="385">
        <v>0.79166666666666663</v>
      </c>
      <c r="AG5373" s="386">
        <v>26.6</v>
      </c>
      <c r="AH5373" s="387">
        <f t="shared" si="98"/>
        <v>27</v>
      </c>
    </row>
    <row r="5374" spans="11:34" ht="14.5" x14ac:dyDescent="0.35">
      <c r="K5374" s="4"/>
      <c r="AC5374" s="384">
        <v>2022</v>
      </c>
      <c r="AD5374" s="384">
        <v>8</v>
      </c>
      <c r="AE5374" s="384">
        <v>12</v>
      </c>
      <c r="AF5374" s="385">
        <v>0.83333333333333337</v>
      </c>
      <c r="AG5374" s="386">
        <v>25.6</v>
      </c>
      <c r="AH5374" s="387">
        <f t="shared" si="98"/>
        <v>26</v>
      </c>
    </row>
    <row r="5375" spans="11:34" ht="14.5" x14ac:dyDescent="0.35">
      <c r="K5375" s="4"/>
      <c r="AC5375" s="384">
        <v>2022</v>
      </c>
      <c r="AD5375" s="384">
        <v>8</v>
      </c>
      <c r="AE5375" s="384">
        <v>12</v>
      </c>
      <c r="AF5375" s="385">
        <v>0.875</v>
      </c>
      <c r="AG5375" s="386">
        <v>19</v>
      </c>
      <c r="AH5375" s="387">
        <f t="shared" si="98"/>
        <v>19</v>
      </c>
    </row>
    <row r="5376" spans="11:34" ht="14.5" x14ac:dyDescent="0.35">
      <c r="K5376" s="4"/>
      <c r="AC5376" s="384">
        <v>2022</v>
      </c>
      <c r="AD5376" s="384">
        <v>8</v>
      </c>
      <c r="AE5376" s="384">
        <v>12</v>
      </c>
      <c r="AF5376" s="385">
        <v>0.91666666666666663</v>
      </c>
      <c r="AG5376" s="386">
        <v>20.2</v>
      </c>
      <c r="AH5376" s="387">
        <f t="shared" si="98"/>
        <v>20</v>
      </c>
    </row>
    <row r="5377" spans="11:34" ht="14.5" x14ac:dyDescent="0.35">
      <c r="K5377" s="4"/>
      <c r="AC5377" s="384">
        <v>2022</v>
      </c>
      <c r="AD5377" s="384">
        <v>8</v>
      </c>
      <c r="AE5377" s="384">
        <v>12</v>
      </c>
      <c r="AF5377" s="385">
        <v>0.95833333333333337</v>
      </c>
      <c r="AG5377" s="386">
        <v>19</v>
      </c>
      <c r="AH5377" s="387">
        <f t="shared" si="98"/>
        <v>19</v>
      </c>
    </row>
    <row r="5378" spans="11:34" ht="14.5" x14ac:dyDescent="0.35">
      <c r="K5378" s="4"/>
      <c r="AC5378" s="384">
        <v>2022</v>
      </c>
      <c r="AD5378" s="384">
        <v>8</v>
      </c>
      <c r="AE5378" s="384">
        <v>13</v>
      </c>
      <c r="AF5378" s="385">
        <v>0</v>
      </c>
      <c r="AG5378" s="386">
        <v>19.2</v>
      </c>
      <c r="AH5378" s="387">
        <f t="shared" si="98"/>
        <v>19</v>
      </c>
    </row>
    <row r="5379" spans="11:34" ht="14.5" x14ac:dyDescent="0.35">
      <c r="K5379" s="4"/>
      <c r="AC5379" s="384">
        <v>2022</v>
      </c>
      <c r="AD5379" s="384">
        <v>8</v>
      </c>
      <c r="AE5379" s="384">
        <v>13</v>
      </c>
      <c r="AF5379" s="385">
        <v>4.1666666666666664E-2</v>
      </c>
      <c r="AG5379" s="386">
        <v>15.6</v>
      </c>
      <c r="AH5379" s="387">
        <f t="shared" si="98"/>
        <v>16</v>
      </c>
    </row>
    <row r="5380" spans="11:34" ht="14.5" x14ac:dyDescent="0.35">
      <c r="K5380" s="4"/>
      <c r="AC5380" s="384">
        <v>2022</v>
      </c>
      <c r="AD5380" s="384">
        <v>8</v>
      </c>
      <c r="AE5380" s="384">
        <v>13</v>
      </c>
      <c r="AF5380" s="385">
        <v>8.3333333333333329E-2</v>
      </c>
      <c r="AG5380" s="386">
        <v>13.6</v>
      </c>
      <c r="AH5380" s="387">
        <f t="shared" si="98"/>
        <v>14</v>
      </c>
    </row>
    <row r="5381" spans="11:34" ht="14.5" x14ac:dyDescent="0.35">
      <c r="K5381" s="4"/>
      <c r="AC5381" s="384">
        <v>2022</v>
      </c>
      <c r="AD5381" s="384">
        <v>8</v>
      </c>
      <c r="AE5381" s="384">
        <v>13</v>
      </c>
      <c r="AF5381" s="385">
        <v>0.125</v>
      </c>
      <c r="AG5381" s="386">
        <v>14.6</v>
      </c>
      <c r="AH5381" s="387">
        <f t="shared" si="98"/>
        <v>15</v>
      </c>
    </row>
    <row r="5382" spans="11:34" ht="14.5" x14ac:dyDescent="0.35">
      <c r="K5382" s="4"/>
      <c r="AC5382" s="384">
        <v>2022</v>
      </c>
      <c r="AD5382" s="384">
        <v>8</v>
      </c>
      <c r="AE5382" s="384">
        <v>13</v>
      </c>
      <c r="AF5382" s="385">
        <v>0.16666666666666666</v>
      </c>
      <c r="AG5382" s="386">
        <v>14.8</v>
      </c>
      <c r="AH5382" s="387">
        <f t="shared" si="98"/>
        <v>15</v>
      </c>
    </row>
    <row r="5383" spans="11:34" ht="14.5" x14ac:dyDescent="0.35">
      <c r="K5383" s="4"/>
      <c r="AC5383" s="384">
        <v>2022</v>
      </c>
      <c r="AD5383" s="384">
        <v>8</v>
      </c>
      <c r="AE5383" s="384">
        <v>13</v>
      </c>
      <c r="AF5383" s="385">
        <v>0.20833333333333334</v>
      </c>
      <c r="AG5383" s="386">
        <v>13.5</v>
      </c>
      <c r="AH5383" s="387">
        <f t="shared" si="98"/>
        <v>14</v>
      </c>
    </row>
    <row r="5384" spans="11:34" ht="14.5" x14ac:dyDescent="0.35">
      <c r="K5384" s="4"/>
      <c r="AC5384" s="384">
        <v>2022</v>
      </c>
      <c r="AD5384" s="384">
        <v>8</v>
      </c>
      <c r="AE5384" s="384">
        <v>13</v>
      </c>
      <c r="AF5384" s="385">
        <v>0.25</v>
      </c>
      <c r="AG5384" s="386">
        <v>13.3</v>
      </c>
      <c r="AH5384" s="387">
        <f t="shared" si="98"/>
        <v>13</v>
      </c>
    </row>
    <row r="5385" spans="11:34" ht="14.5" x14ac:dyDescent="0.35">
      <c r="K5385" s="4"/>
      <c r="AC5385" s="384">
        <v>2022</v>
      </c>
      <c r="AD5385" s="384">
        <v>8</v>
      </c>
      <c r="AE5385" s="384">
        <v>13</v>
      </c>
      <c r="AF5385" s="385">
        <v>0.29166666666666669</v>
      </c>
      <c r="AG5385" s="386">
        <v>16.8</v>
      </c>
      <c r="AH5385" s="387">
        <f t="shared" si="98"/>
        <v>17</v>
      </c>
    </row>
    <row r="5386" spans="11:34" ht="14.5" x14ac:dyDescent="0.35">
      <c r="K5386" s="4"/>
      <c r="AC5386" s="384">
        <v>2022</v>
      </c>
      <c r="AD5386" s="384">
        <v>8</v>
      </c>
      <c r="AE5386" s="384">
        <v>13</v>
      </c>
      <c r="AF5386" s="385">
        <v>0.33333333333333331</v>
      </c>
      <c r="AG5386" s="386">
        <v>20</v>
      </c>
      <c r="AH5386" s="387">
        <f t="shared" si="98"/>
        <v>20</v>
      </c>
    </row>
    <row r="5387" spans="11:34" ht="14.5" x14ac:dyDescent="0.35">
      <c r="K5387" s="4"/>
      <c r="AC5387" s="384">
        <v>2022</v>
      </c>
      <c r="AD5387" s="384">
        <v>8</v>
      </c>
      <c r="AE5387" s="384">
        <v>13</v>
      </c>
      <c r="AF5387" s="385">
        <v>0.375</v>
      </c>
      <c r="AG5387" s="386">
        <v>23</v>
      </c>
      <c r="AH5387" s="387">
        <f t="shared" ref="AH5387:AH5450" si="99">ROUND(AG5387,0)</f>
        <v>23</v>
      </c>
    </row>
    <row r="5388" spans="11:34" ht="14.5" x14ac:dyDescent="0.35">
      <c r="K5388" s="4"/>
      <c r="AC5388" s="384">
        <v>2022</v>
      </c>
      <c r="AD5388" s="384">
        <v>8</v>
      </c>
      <c r="AE5388" s="384">
        <v>13</v>
      </c>
      <c r="AF5388" s="385">
        <v>0.41666666666666669</v>
      </c>
      <c r="AG5388" s="386">
        <v>25.8</v>
      </c>
      <c r="AH5388" s="387">
        <f t="shared" si="99"/>
        <v>26</v>
      </c>
    </row>
    <row r="5389" spans="11:34" ht="14.5" x14ac:dyDescent="0.35">
      <c r="K5389" s="4"/>
      <c r="AC5389" s="384">
        <v>2022</v>
      </c>
      <c r="AD5389" s="384">
        <v>8</v>
      </c>
      <c r="AE5389" s="384">
        <v>13</v>
      </c>
      <c r="AF5389" s="385">
        <v>0.45833333333333331</v>
      </c>
      <c r="AG5389" s="386">
        <v>28.5</v>
      </c>
      <c r="AH5389" s="387">
        <f t="shared" si="99"/>
        <v>29</v>
      </c>
    </row>
    <row r="5390" spans="11:34" ht="14.5" x14ac:dyDescent="0.35">
      <c r="K5390" s="4"/>
      <c r="AC5390" s="384">
        <v>2022</v>
      </c>
      <c r="AD5390" s="384">
        <v>8</v>
      </c>
      <c r="AE5390" s="384">
        <v>13</v>
      </c>
      <c r="AF5390" s="385">
        <v>0.5</v>
      </c>
      <c r="AG5390" s="386">
        <v>28.9</v>
      </c>
      <c r="AH5390" s="387">
        <f t="shared" si="99"/>
        <v>29</v>
      </c>
    </row>
    <row r="5391" spans="11:34" ht="14.5" x14ac:dyDescent="0.35">
      <c r="K5391" s="4"/>
      <c r="AC5391" s="384">
        <v>2022</v>
      </c>
      <c r="AD5391" s="384">
        <v>8</v>
      </c>
      <c r="AE5391" s="384">
        <v>13</v>
      </c>
      <c r="AF5391" s="385">
        <v>0.54166666666666663</v>
      </c>
      <c r="AG5391" s="386">
        <v>29.8</v>
      </c>
      <c r="AH5391" s="387">
        <f t="shared" si="99"/>
        <v>30</v>
      </c>
    </row>
    <row r="5392" spans="11:34" ht="14.5" x14ac:dyDescent="0.35">
      <c r="K5392" s="4"/>
      <c r="AC5392" s="384">
        <v>2022</v>
      </c>
      <c r="AD5392" s="384">
        <v>8</v>
      </c>
      <c r="AE5392" s="384">
        <v>13</v>
      </c>
      <c r="AF5392" s="385">
        <v>0.58333333333333337</v>
      </c>
      <c r="AG5392" s="386">
        <v>28.9</v>
      </c>
      <c r="AH5392" s="387">
        <f t="shared" si="99"/>
        <v>29</v>
      </c>
    </row>
    <row r="5393" spans="11:34" ht="14.5" x14ac:dyDescent="0.35">
      <c r="K5393" s="4"/>
      <c r="AC5393" s="384">
        <v>2022</v>
      </c>
      <c r="AD5393" s="384">
        <v>8</v>
      </c>
      <c r="AE5393" s="384">
        <v>13</v>
      </c>
      <c r="AF5393" s="385">
        <v>0.625</v>
      </c>
      <c r="AG5393" s="386">
        <v>28.4</v>
      </c>
      <c r="AH5393" s="387">
        <f t="shared" si="99"/>
        <v>28</v>
      </c>
    </row>
    <row r="5394" spans="11:34" ht="14.5" x14ac:dyDescent="0.35">
      <c r="K5394" s="4"/>
      <c r="AC5394" s="384">
        <v>2022</v>
      </c>
      <c r="AD5394" s="384">
        <v>8</v>
      </c>
      <c r="AE5394" s="384">
        <v>13</v>
      </c>
      <c r="AF5394" s="385">
        <v>0.66666666666666663</v>
      </c>
      <c r="AG5394" s="386">
        <v>29.2</v>
      </c>
      <c r="AH5394" s="387">
        <f t="shared" si="99"/>
        <v>29</v>
      </c>
    </row>
    <row r="5395" spans="11:34" ht="14.5" x14ac:dyDescent="0.35">
      <c r="K5395" s="4"/>
      <c r="AC5395" s="384">
        <v>2022</v>
      </c>
      <c r="AD5395" s="384">
        <v>8</v>
      </c>
      <c r="AE5395" s="384">
        <v>13</v>
      </c>
      <c r="AF5395" s="385">
        <v>0.70833333333333337</v>
      </c>
      <c r="AG5395" s="386">
        <v>28.9</v>
      </c>
      <c r="AH5395" s="387">
        <f t="shared" si="99"/>
        <v>29</v>
      </c>
    </row>
    <row r="5396" spans="11:34" ht="14.5" x14ac:dyDescent="0.35">
      <c r="K5396" s="4"/>
      <c r="AC5396" s="384">
        <v>2022</v>
      </c>
      <c r="AD5396" s="384">
        <v>8</v>
      </c>
      <c r="AE5396" s="384">
        <v>13</v>
      </c>
      <c r="AF5396" s="385">
        <v>0.75</v>
      </c>
      <c r="AG5396" s="386">
        <v>28.1</v>
      </c>
      <c r="AH5396" s="387">
        <f t="shared" si="99"/>
        <v>28</v>
      </c>
    </row>
    <row r="5397" spans="11:34" ht="14.5" x14ac:dyDescent="0.35">
      <c r="K5397" s="4"/>
      <c r="AC5397" s="384">
        <v>2022</v>
      </c>
      <c r="AD5397" s="384">
        <v>8</v>
      </c>
      <c r="AE5397" s="384">
        <v>13</v>
      </c>
      <c r="AF5397" s="385">
        <v>0.79166666666666663</v>
      </c>
      <c r="AG5397" s="386">
        <v>25.7</v>
      </c>
      <c r="AH5397" s="387">
        <f t="shared" si="99"/>
        <v>26</v>
      </c>
    </row>
    <row r="5398" spans="11:34" ht="14.5" x14ac:dyDescent="0.35">
      <c r="K5398" s="4"/>
      <c r="AC5398" s="384">
        <v>2022</v>
      </c>
      <c r="AD5398" s="384">
        <v>8</v>
      </c>
      <c r="AE5398" s="384">
        <v>13</v>
      </c>
      <c r="AF5398" s="385">
        <v>0.83333333333333337</v>
      </c>
      <c r="AG5398" s="386">
        <v>22.7</v>
      </c>
      <c r="AH5398" s="387">
        <f t="shared" si="99"/>
        <v>23</v>
      </c>
    </row>
    <row r="5399" spans="11:34" ht="14.5" x14ac:dyDescent="0.35">
      <c r="K5399" s="4"/>
      <c r="AC5399" s="384">
        <v>2022</v>
      </c>
      <c r="AD5399" s="384">
        <v>8</v>
      </c>
      <c r="AE5399" s="384">
        <v>13</v>
      </c>
      <c r="AF5399" s="385">
        <v>0.875</v>
      </c>
      <c r="AG5399" s="386">
        <v>19.8</v>
      </c>
      <c r="AH5399" s="387">
        <f t="shared" si="99"/>
        <v>20</v>
      </c>
    </row>
    <row r="5400" spans="11:34" ht="14.5" x14ac:dyDescent="0.35">
      <c r="K5400" s="4"/>
      <c r="AC5400" s="384">
        <v>2022</v>
      </c>
      <c r="AD5400" s="384">
        <v>8</v>
      </c>
      <c r="AE5400" s="384">
        <v>13</v>
      </c>
      <c r="AF5400" s="385">
        <v>0.91666666666666663</v>
      </c>
      <c r="AG5400" s="386">
        <v>16.899999999999999</v>
      </c>
      <c r="AH5400" s="387">
        <f t="shared" si="99"/>
        <v>17</v>
      </c>
    </row>
    <row r="5401" spans="11:34" ht="14.5" x14ac:dyDescent="0.35">
      <c r="K5401" s="4"/>
      <c r="AC5401" s="384">
        <v>2022</v>
      </c>
      <c r="AD5401" s="384">
        <v>8</v>
      </c>
      <c r="AE5401" s="384">
        <v>13</v>
      </c>
      <c r="AF5401" s="385">
        <v>0.95833333333333337</v>
      </c>
      <c r="AG5401" s="386">
        <v>16.5</v>
      </c>
      <c r="AH5401" s="387">
        <f t="shared" si="99"/>
        <v>17</v>
      </c>
    </row>
    <row r="5402" spans="11:34" ht="14.5" x14ac:dyDescent="0.35">
      <c r="K5402" s="4"/>
      <c r="AC5402" s="384">
        <v>2022</v>
      </c>
      <c r="AD5402" s="384">
        <v>8</v>
      </c>
      <c r="AE5402" s="384">
        <v>14</v>
      </c>
      <c r="AF5402" s="385">
        <v>0</v>
      </c>
      <c r="AG5402" s="386">
        <v>16.3</v>
      </c>
      <c r="AH5402" s="387">
        <f t="shared" si="99"/>
        <v>16</v>
      </c>
    </row>
    <row r="5403" spans="11:34" ht="14.5" x14ac:dyDescent="0.35">
      <c r="K5403" s="4"/>
      <c r="AC5403" s="384">
        <v>2022</v>
      </c>
      <c r="AD5403" s="384">
        <v>8</v>
      </c>
      <c r="AE5403" s="384">
        <v>14</v>
      </c>
      <c r="AF5403" s="385">
        <v>4.1666666666666664E-2</v>
      </c>
      <c r="AG5403" s="386">
        <v>14.9</v>
      </c>
      <c r="AH5403" s="387">
        <f t="shared" si="99"/>
        <v>15</v>
      </c>
    </row>
    <row r="5404" spans="11:34" ht="14.5" x14ac:dyDescent="0.35">
      <c r="K5404" s="4"/>
      <c r="AC5404" s="384">
        <v>2022</v>
      </c>
      <c r="AD5404" s="384">
        <v>8</v>
      </c>
      <c r="AE5404" s="384">
        <v>14</v>
      </c>
      <c r="AF5404" s="385">
        <v>8.3333333333333329E-2</v>
      </c>
      <c r="AG5404" s="386">
        <v>15.6</v>
      </c>
      <c r="AH5404" s="387">
        <f t="shared" si="99"/>
        <v>16</v>
      </c>
    </row>
    <row r="5405" spans="11:34" ht="14.5" x14ac:dyDescent="0.35">
      <c r="K5405" s="4"/>
      <c r="AC5405" s="384">
        <v>2022</v>
      </c>
      <c r="AD5405" s="384">
        <v>8</v>
      </c>
      <c r="AE5405" s="384">
        <v>14</v>
      </c>
      <c r="AF5405" s="385">
        <v>0.125</v>
      </c>
      <c r="AG5405" s="386">
        <v>13.5</v>
      </c>
      <c r="AH5405" s="387">
        <f t="shared" si="99"/>
        <v>14</v>
      </c>
    </row>
    <row r="5406" spans="11:34" ht="14.5" x14ac:dyDescent="0.35">
      <c r="K5406" s="4"/>
      <c r="AC5406" s="384">
        <v>2022</v>
      </c>
      <c r="AD5406" s="384">
        <v>8</v>
      </c>
      <c r="AE5406" s="384">
        <v>14</v>
      </c>
      <c r="AF5406" s="385">
        <v>0.16666666666666666</v>
      </c>
      <c r="AG5406" s="386">
        <v>12.4</v>
      </c>
      <c r="AH5406" s="387">
        <f t="shared" si="99"/>
        <v>12</v>
      </c>
    </row>
    <row r="5407" spans="11:34" ht="14.5" x14ac:dyDescent="0.35">
      <c r="K5407" s="4"/>
      <c r="AC5407" s="384">
        <v>2022</v>
      </c>
      <c r="AD5407" s="384">
        <v>8</v>
      </c>
      <c r="AE5407" s="384">
        <v>14</v>
      </c>
      <c r="AF5407" s="385">
        <v>0.20833333333333334</v>
      </c>
      <c r="AG5407" s="386">
        <v>11.3</v>
      </c>
      <c r="AH5407" s="387">
        <f t="shared" si="99"/>
        <v>11</v>
      </c>
    </row>
    <row r="5408" spans="11:34" ht="14.5" x14ac:dyDescent="0.35">
      <c r="K5408" s="4"/>
      <c r="AC5408" s="384">
        <v>2022</v>
      </c>
      <c r="AD5408" s="384">
        <v>8</v>
      </c>
      <c r="AE5408" s="384">
        <v>14</v>
      </c>
      <c r="AF5408" s="385">
        <v>0.25</v>
      </c>
      <c r="AG5408" s="386">
        <v>12.5</v>
      </c>
      <c r="AH5408" s="387">
        <f t="shared" si="99"/>
        <v>13</v>
      </c>
    </row>
    <row r="5409" spans="11:34" ht="14.5" x14ac:dyDescent="0.35">
      <c r="K5409" s="4"/>
      <c r="AC5409" s="384">
        <v>2022</v>
      </c>
      <c r="AD5409" s="384">
        <v>8</v>
      </c>
      <c r="AE5409" s="384">
        <v>14</v>
      </c>
      <c r="AF5409" s="385">
        <v>0.29166666666666669</v>
      </c>
      <c r="AG5409" s="386">
        <v>15.3</v>
      </c>
      <c r="AH5409" s="387">
        <f t="shared" si="99"/>
        <v>15</v>
      </c>
    </row>
    <row r="5410" spans="11:34" ht="14.5" x14ac:dyDescent="0.35">
      <c r="K5410" s="4"/>
      <c r="AC5410" s="384">
        <v>2022</v>
      </c>
      <c r="AD5410" s="384">
        <v>8</v>
      </c>
      <c r="AE5410" s="384">
        <v>14</v>
      </c>
      <c r="AF5410" s="385">
        <v>0.33333333333333331</v>
      </c>
      <c r="AG5410" s="386">
        <v>17.600000000000001</v>
      </c>
      <c r="AH5410" s="387">
        <f t="shared" si="99"/>
        <v>18</v>
      </c>
    </row>
    <row r="5411" spans="11:34" ht="14.5" x14ac:dyDescent="0.35">
      <c r="K5411" s="4"/>
      <c r="AC5411" s="384">
        <v>2022</v>
      </c>
      <c r="AD5411" s="384">
        <v>8</v>
      </c>
      <c r="AE5411" s="384">
        <v>14</v>
      </c>
      <c r="AF5411" s="385">
        <v>0.375</v>
      </c>
      <c r="AG5411" s="386">
        <v>19.8</v>
      </c>
      <c r="AH5411" s="387">
        <f t="shared" si="99"/>
        <v>20</v>
      </c>
    </row>
    <row r="5412" spans="11:34" ht="14.5" x14ac:dyDescent="0.35">
      <c r="K5412" s="4"/>
      <c r="AC5412" s="384">
        <v>2022</v>
      </c>
      <c r="AD5412" s="384">
        <v>8</v>
      </c>
      <c r="AE5412" s="384">
        <v>14</v>
      </c>
      <c r="AF5412" s="385">
        <v>0.41666666666666669</v>
      </c>
      <c r="AG5412" s="386">
        <v>21.7</v>
      </c>
      <c r="AH5412" s="387">
        <f t="shared" si="99"/>
        <v>22</v>
      </c>
    </row>
    <row r="5413" spans="11:34" ht="14.5" x14ac:dyDescent="0.35">
      <c r="K5413" s="4"/>
      <c r="AC5413" s="384">
        <v>2022</v>
      </c>
      <c r="AD5413" s="384">
        <v>8</v>
      </c>
      <c r="AE5413" s="384">
        <v>14</v>
      </c>
      <c r="AF5413" s="385">
        <v>0.45833333333333331</v>
      </c>
      <c r="AG5413" s="386">
        <v>22.7</v>
      </c>
      <c r="AH5413" s="387">
        <f t="shared" si="99"/>
        <v>23</v>
      </c>
    </row>
    <row r="5414" spans="11:34" ht="14.5" x14ac:dyDescent="0.35">
      <c r="K5414" s="4"/>
      <c r="AC5414" s="384">
        <v>2022</v>
      </c>
      <c r="AD5414" s="384">
        <v>8</v>
      </c>
      <c r="AE5414" s="384">
        <v>14</v>
      </c>
      <c r="AF5414" s="385">
        <v>0.5</v>
      </c>
      <c r="AG5414" s="386">
        <v>24</v>
      </c>
      <c r="AH5414" s="387">
        <f t="shared" si="99"/>
        <v>24</v>
      </c>
    </row>
    <row r="5415" spans="11:34" ht="14.5" x14ac:dyDescent="0.35">
      <c r="K5415" s="4"/>
      <c r="AC5415" s="384">
        <v>2022</v>
      </c>
      <c r="AD5415" s="384">
        <v>8</v>
      </c>
      <c r="AE5415" s="384">
        <v>14</v>
      </c>
      <c r="AF5415" s="385">
        <v>0.54166666666666663</v>
      </c>
      <c r="AG5415" s="386">
        <v>24.8</v>
      </c>
      <c r="AH5415" s="387">
        <f t="shared" si="99"/>
        <v>25</v>
      </c>
    </row>
    <row r="5416" spans="11:34" ht="14.5" x14ac:dyDescent="0.35">
      <c r="K5416" s="4"/>
      <c r="AC5416" s="384">
        <v>2022</v>
      </c>
      <c r="AD5416" s="384">
        <v>8</v>
      </c>
      <c r="AE5416" s="384">
        <v>14</v>
      </c>
      <c r="AF5416" s="385">
        <v>0.58333333333333337</v>
      </c>
      <c r="AG5416" s="386">
        <v>26.2</v>
      </c>
      <c r="AH5416" s="387">
        <f t="shared" si="99"/>
        <v>26</v>
      </c>
    </row>
    <row r="5417" spans="11:34" ht="14.5" x14ac:dyDescent="0.35">
      <c r="K5417" s="4"/>
      <c r="AC5417" s="384">
        <v>2022</v>
      </c>
      <c r="AD5417" s="384">
        <v>8</v>
      </c>
      <c r="AE5417" s="384">
        <v>14</v>
      </c>
      <c r="AF5417" s="385">
        <v>0.625</v>
      </c>
      <c r="AG5417" s="386">
        <v>27.1</v>
      </c>
      <c r="AH5417" s="387">
        <f t="shared" si="99"/>
        <v>27</v>
      </c>
    </row>
    <row r="5418" spans="11:34" ht="14.5" x14ac:dyDescent="0.35">
      <c r="K5418" s="4"/>
      <c r="AC5418" s="384">
        <v>2022</v>
      </c>
      <c r="AD5418" s="384">
        <v>8</v>
      </c>
      <c r="AE5418" s="384">
        <v>14</v>
      </c>
      <c r="AF5418" s="385">
        <v>0.66666666666666663</v>
      </c>
      <c r="AG5418" s="386">
        <v>27.9</v>
      </c>
      <c r="AH5418" s="387">
        <f t="shared" si="99"/>
        <v>28</v>
      </c>
    </row>
    <row r="5419" spans="11:34" ht="14.5" x14ac:dyDescent="0.35">
      <c r="K5419" s="4"/>
      <c r="AC5419" s="384">
        <v>2022</v>
      </c>
      <c r="AD5419" s="384">
        <v>8</v>
      </c>
      <c r="AE5419" s="384">
        <v>14</v>
      </c>
      <c r="AF5419" s="385">
        <v>0.70833333333333337</v>
      </c>
      <c r="AG5419" s="386">
        <v>27.6</v>
      </c>
      <c r="AH5419" s="387">
        <f t="shared" si="99"/>
        <v>28</v>
      </c>
    </row>
    <row r="5420" spans="11:34" ht="14.5" x14ac:dyDescent="0.35">
      <c r="K5420" s="4"/>
      <c r="AC5420" s="384">
        <v>2022</v>
      </c>
      <c r="AD5420" s="384">
        <v>8</v>
      </c>
      <c r="AE5420" s="384">
        <v>14</v>
      </c>
      <c r="AF5420" s="385">
        <v>0.75</v>
      </c>
      <c r="AG5420" s="386">
        <v>26.8</v>
      </c>
      <c r="AH5420" s="387">
        <f t="shared" si="99"/>
        <v>27</v>
      </c>
    </row>
    <row r="5421" spans="11:34" ht="14.5" x14ac:dyDescent="0.35">
      <c r="K5421" s="4"/>
      <c r="AC5421" s="384">
        <v>2022</v>
      </c>
      <c r="AD5421" s="384">
        <v>8</v>
      </c>
      <c r="AE5421" s="384">
        <v>14</v>
      </c>
      <c r="AF5421" s="385">
        <v>0.79166666666666663</v>
      </c>
      <c r="AG5421" s="386">
        <v>24.7</v>
      </c>
      <c r="AH5421" s="387">
        <f t="shared" si="99"/>
        <v>25</v>
      </c>
    </row>
    <row r="5422" spans="11:34" ht="14.5" x14ac:dyDescent="0.35">
      <c r="K5422" s="4"/>
      <c r="AC5422" s="384">
        <v>2022</v>
      </c>
      <c r="AD5422" s="384">
        <v>8</v>
      </c>
      <c r="AE5422" s="384">
        <v>14</v>
      </c>
      <c r="AF5422" s="385">
        <v>0.83333333333333337</v>
      </c>
      <c r="AG5422" s="386">
        <v>21.3</v>
      </c>
      <c r="AH5422" s="387">
        <f t="shared" si="99"/>
        <v>21</v>
      </c>
    </row>
    <row r="5423" spans="11:34" ht="14.5" x14ac:dyDescent="0.35">
      <c r="K5423" s="4"/>
      <c r="AC5423" s="384">
        <v>2022</v>
      </c>
      <c r="AD5423" s="384">
        <v>8</v>
      </c>
      <c r="AE5423" s="384">
        <v>14</v>
      </c>
      <c r="AF5423" s="385">
        <v>0.875</v>
      </c>
      <c r="AG5423" s="386">
        <v>20.7</v>
      </c>
      <c r="AH5423" s="387">
        <f t="shared" si="99"/>
        <v>21</v>
      </c>
    </row>
    <row r="5424" spans="11:34" ht="14.5" x14ac:dyDescent="0.35">
      <c r="K5424" s="4"/>
      <c r="AC5424" s="384">
        <v>2022</v>
      </c>
      <c r="AD5424" s="384">
        <v>8</v>
      </c>
      <c r="AE5424" s="384">
        <v>14</v>
      </c>
      <c r="AF5424" s="385">
        <v>0.91666666666666663</v>
      </c>
      <c r="AG5424" s="386">
        <v>18.8</v>
      </c>
      <c r="AH5424" s="387">
        <f t="shared" si="99"/>
        <v>19</v>
      </c>
    </row>
    <row r="5425" spans="11:34" ht="14.5" x14ac:dyDescent="0.35">
      <c r="K5425" s="4"/>
      <c r="AC5425" s="384">
        <v>2022</v>
      </c>
      <c r="AD5425" s="384">
        <v>8</v>
      </c>
      <c r="AE5425" s="384">
        <v>14</v>
      </c>
      <c r="AF5425" s="385">
        <v>0.95833333333333337</v>
      </c>
      <c r="AG5425" s="386">
        <v>16.3</v>
      </c>
      <c r="AH5425" s="387">
        <f t="shared" si="99"/>
        <v>16</v>
      </c>
    </row>
    <row r="5426" spans="11:34" ht="14.5" x14ac:dyDescent="0.35">
      <c r="K5426" s="4"/>
      <c r="AC5426" s="384">
        <v>2022</v>
      </c>
      <c r="AD5426" s="384">
        <v>8</v>
      </c>
      <c r="AE5426" s="384">
        <v>15</v>
      </c>
      <c r="AF5426" s="385">
        <v>0</v>
      </c>
      <c r="AG5426" s="386">
        <v>16.100000000000001</v>
      </c>
      <c r="AH5426" s="387">
        <f t="shared" si="99"/>
        <v>16</v>
      </c>
    </row>
    <row r="5427" spans="11:34" ht="14.5" x14ac:dyDescent="0.35">
      <c r="K5427" s="4"/>
      <c r="AC5427" s="384">
        <v>2022</v>
      </c>
      <c r="AD5427" s="384">
        <v>8</v>
      </c>
      <c r="AE5427" s="384">
        <v>15</v>
      </c>
      <c r="AF5427" s="385">
        <v>4.1666666666666664E-2</v>
      </c>
      <c r="AG5427" s="386">
        <v>14</v>
      </c>
      <c r="AH5427" s="387">
        <f t="shared" si="99"/>
        <v>14</v>
      </c>
    </row>
    <row r="5428" spans="11:34" ht="14.5" x14ac:dyDescent="0.35">
      <c r="K5428" s="4"/>
      <c r="AC5428" s="384">
        <v>2022</v>
      </c>
      <c r="AD5428" s="384">
        <v>8</v>
      </c>
      <c r="AE5428" s="384">
        <v>15</v>
      </c>
      <c r="AF5428" s="385">
        <v>8.3333333333333329E-2</v>
      </c>
      <c r="AG5428" s="386">
        <v>13.6</v>
      </c>
      <c r="AH5428" s="387">
        <f t="shared" si="99"/>
        <v>14</v>
      </c>
    </row>
    <row r="5429" spans="11:34" ht="14.5" x14ac:dyDescent="0.35">
      <c r="K5429" s="4"/>
      <c r="AC5429" s="384">
        <v>2022</v>
      </c>
      <c r="AD5429" s="384">
        <v>8</v>
      </c>
      <c r="AE5429" s="384">
        <v>15</v>
      </c>
      <c r="AF5429" s="385">
        <v>0.125</v>
      </c>
      <c r="AG5429" s="386">
        <v>12.8</v>
      </c>
      <c r="AH5429" s="387">
        <f t="shared" si="99"/>
        <v>13</v>
      </c>
    </row>
    <row r="5430" spans="11:34" ht="14.5" x14ac:dyDescent="0.35">
      <c r="K5430" s="4"/>
      <c r="AC5430" s="384">
        <v>2022</v>
      </c>
      <c r="AD5430" s="384">
        <v>8</v>
      </c>
      <c r="AE5430" s="384">
        <v>15</v>
      </c>
      <c r="AF5430" s="385">
        <v>0.16666666666666666</v>
      </c>
      <c r="AG5430" s="386">
        <v>11.8</v>
      </c>
      <c r="AH5430" s="387">
        <f t="shared" si="99"/>
        <v>12</v>
      </c>
    </row>
    <row r="5431" spans="11:34" ht="14.5" x14ac:dyDescent="0.35">
      <c r="K5431" s="4"/>
      <c r="AC5431" s="384">
        <v>2022</v>
      </c>
      <c r="AD5431" s="384">
        <v>8</v>
      </c>
      <c r="AE5431" s="384">
        <v>15</v>
      </c>
      <c r="AF5431" s="385">
        <v>0.20833333333333334</v>
      </c>
      <c r="AG5431" s="386">
        <v>10.8</v>
      </c>
      <c r="AH5431" s="387">
        <f t="shared" si="99"/>
        <v>11</v>
      </c>
    </row>
    <row r="5432" spans="11:34" ht="14.5" x14ac:dyDescent="0.35">
      <c r="K5432" s="4"/>
      <c r="AC5432" s="384">
        <v>2022</v>
      </c>
      <c r="AD5432" s="384">
        <v>8</v>
      </c>
      <c r="AE5432" s="384">
        <v>15</v>
      </c>
      <c r="AF5432" s="385">
        <v>0.25</v>
      </c>
      <c r="AG5432" s="386">
        <v>11.4</v>
      </c>
      <c r="AH5432" s="387">
        <f t="shared" si="99"/>
        <v>11</v>
      </c>
    </row>
    <row r="5433" spans="11:34" ht="14.5" x14ac:dyDescent="0.35">
      <c r="K5433" s="4"/>
      <c r="AC5433" s="384">
        <v>2022</v>
      </c>
      <c r="AD5433" s="384">
        <v>8</v>
      </c>
      <c r="AE5433" s="384">
        <v>15</v>
      </c>
      <c r="AF5433" s="385">
        <v>0.29166666666666669</v>
      </c>
      <c r="AG5433" s="386">
        <v>13.1</v>
      </c>
      <c r="AH5433" s="387">
        <f t="shared" si="99"/>
        <v>13</v>
      </c>
    </row>
    <row r="5434" spans="11:34" ht="14.5" x14ac:dyDescent="0.35">
      <c r="K5434" s="4"/>
      <c r="AC5434" s="384">
        <v>2022</v>
      </c>
      <c r="AD5434" s="384">
        <v>8</v>
      </c>
      <c r="AE5434" s="384">
        <v>15</v>
      </c>
      <c r="AF5434" s="385">
        <v>0.33333333333333331</v>
      </c>
      <c r="AG5434" s="386">
        <v>16</v>
      </c>
      <c r="AH5434" s="387">
        <f t="shared" si="99"/>
        <v>16</v>
      </c>
    </row>
    <row r="5435" spans="11:34" ht="14.5" x14ac:dyDescent="0.35">
      <c r="K5435" s="4"/>
      <c r="AC5435" s="384">
        <v>2022</v>
      </c>
      <c r="AD5435" s="384">
        <v>8</v>
      </c>
      <c r="AE5435" s="384">
        <v>15</v>
      </c>
      <c r="AF5435" s="385">
        <v>0.375</v>
      </c>
      <c r="AG5435" s="386">
        <v>18.5</v>
      </c>
      <c r="AH5435" s="387">
        <f t="shared" si="99"/>
        <v>19</v>
      </c>
    </row>
    <row r="5436" spans="11:34" ht="14.5" x14ac:dyDescent="0.35">
      <c r="K5436" s="4"/>
      <c r="AC5436" s="384">
        <v>2022</v>
      </c>
      <c r="AD5436" s="384">
        <v>8</v>
      </c>
      <c r="AE5436" s="384">
        <v>15</v>
      </c>
      <c r="AF5436" s="385">
        <v>0.41666666666666669</v>
      </c>
      <c r="AG5436" s="386">
        <v>21</v>
      </c>
      <c r="AH5436" s="387">
        <f t="shared" si="99"/>
        <v>21</v>
      </c>
    </row>
    <row r="5437" spans="11:34" ht="14.5" x14ac:dyDescent="0.35">
      <c r="K5437" s="4"/>
      <c r="AC5437" s="384">
        <v>2022</v>
      </c>
      <c r="AD5437" s="384">
        <v>8</v>
      </c>
      <c r="AE5437" s="384">
        <v>15</v>
      </c>
      <c r="AF5437" s="385">
        <v>0.45833333333333331</v>
      </c>
      <c r="AG5437" s="386">
        <v>23.7</v>
      </c>
      <c r="AH5437" s="387">
        <f t="shared" si="99"/>
        <v>24</v>
      </c>
    </row>
    <row r="5438" spans="11:34" ht="14.5" x14ac:dyDescent="0.35">
      <c r="K5438" s="4"/>
      <c r="AC5438" s="384">
        <v>2022</v>
      </c>
      <c r="AD5438" s="384">
        <v>8</v>
      </c>
      <c r="AE5438" s="384">
        <v>15</v>
      </c>
      <c r="AF5438" s="385">
        <v>0.5</v>
      </c>
      <c r="AG5438" s="386">
        <v>24.2</v>
      </c>
      <c r="AH5438" s="387">
        <f t="shared" si="99"/>
        <v>24</v>
      </c>
    </row>
    <row r="5439" spans="11:34" ht="14.5" x14ac:dyDescent="0.35">
      <c r="K5439" s="4"/>
      <c r="AC5439" s="384">
        <v>2022</v>
      </c>
      <c r="AD5439" s="384">
        <v>8</v>
      </c>
      <c r="AE5439" s="384">
        <v>15</v>
      </c>
      <c r="AF5439" s="385">
        <v>0.54166666666666663</v>
      </c>
      <c r="AG5439" s="386">
        <v>24.4</v>
      </c>
      <c r="AH5439" s="387">
        <f t="shared" si="99"/>
        <v>24</v>
      </c>
    </row>
    <row r="5440" spans="11:34" ht="14.5" x14ac:dyDescent="0.35">
      <c r="K5440" s="4"/>
      <c r="AC5440" s="384">
        <v>2022</v>
      </c>
      <c r="AD5440" s="384">
        <v>8</v>
      </c>
      <c r="AE5440" s="384">
        <v>15</v>
      </c>
      <c r="AF5440" s="385">
        <v>0.58333333333333337</v>
      </c>
      <c r="AG5440" s="386">
        <v>25.2</v>
      </c>
      <c r="AH5440" s="387">
        <f t="shared" si="99"/>
        <v>25</v>
      </c>
    </row>
    <row r="5441" spans="11:34" ht="14.5" x14ac:dyDescent="0.35">
      <c r="K5441" s="4"/>
      <c r="AC5441" s="384">
        <v>2022</v>
      </c>
      <c r="AD5441" s="384">
        <v>8</v>
      </c>
      <c r="AE5441" s="384">
        <v>15</v>
      </c>
      <c r="AF5441" s="385">
        <v>0.625</v>
      </c>
      <c r="AG5441" s="386">
        <v>25.3</v>
      </c>
      <c r="AH5441" s="387">
        <f t="shared" si="99"/>
        <v>25</v>
      </c>
    </row>
    <row r="5442" spans="11:34" ht="14.5" x14ac:dyDescent="0.35">
      <c r="K5442" s="4"/>
      <c r="AC5442" s="384">
        <v>2022</v>
      </c>
      <c r="AD5442" s="384">
        <v>8</v>
      </c>
      <c r="AE5442" s="384">
        <v>15</v>
      </c>
      <c r="AF5442" s="385">
        <v>0.66666666666666663</v>
      </c>
      <c r="AG5442" s="386">
        <v>26.4</v>
      </c>
      <c r="AH5442" s="387">
        <f t="shared" si="99"/>
        <v>26</v>
      </c>
    </row>
    <row r="5443" spans="11:34" ht="14.5" x14ac:dyDescent="0.35">
      <c r="K5443" s="4"/>
      <c r="AC5443" s="384">
        <v>2022</v>
      </c>
      <c r="AD5443" s="384">
        <v>8</v>
      </c>
      <c r="AE5443" s="384">
        <v>15</v>
      </c>
      <c r="AF5443" s="385">
        <v>0.70833333333333337</v>
      </c>
      <c r="AG5443" s="386">
        <v>26.2</v>
      </c>
      <c r="AH5443" s="387">
        <f t="shared" si="99"/>
        <v>26</v>
      </c>
    </row>
    <row r="5444" spans="11:34" ht="14.5" x14ac:dyDescent="0.35">
      <c r="K5444" s="4"/>
      <c r="AC5444" s="384">
        <v>2022</v>
      </c>
      <c r="AD5444" s="384">
        <v>8</v>
      </c>
      <c r="AE5444" s="384">
        <v>15</v>
      </c>
      <c r="AF5444" s="385">
        <v>0.75</v>
      </c>
      <c r="AG5444" s="386">
        <v>25.1</v>
      </c>
      <c r="AH5444" s="387">
        <f t="shared" si="99"/>
        <v>25</v>
      </c>
    </row>
    <row r="5445" spans="11:34" ht="14.5" x14ac:dyDescent="0.35">
      <c r="K5445" s="4"/>
      <c r="AC5445" s="384">
        <v>2022</v>
      </c>
      <c r="AD5445" s="384">
        <v>8</v>
      </c>
      <c r="AE5445" s="384">
        <v>15</v>
      </c>
      <c r="AF5445" s="385">
        <v>0.79166666666666663</v>
      </c>
      <c r="AG5445" s="386">
        <v>23.2</v>
      </c>
      <c r="AH5445" s="387">
        <f t="shared" si="99"/>
        <v>23</v>
      </c>
    </row>
    <row r="5446" spans="11:34" ht="14.5" x14ac:dyDescent="0.35">
      <c r="K5446" s="4"/>
      <c r="AC5446" s="384">
        <v>2022</v>
      </c>
      <c r="AD5446" s="384">
        <v>8</v>
      </c>
      <c r="AE5446" s="384">
        <v>15</v>
      </c>
      <c r="AF5446" s="385">
        <v>0.83333333333333337</v>
      </c>
      <c r="AG5446" s="386">
        <v>20.6</v>
      </c>
      <c r="AH5446" s="387">
        <f t="shared" si="99"/>
        <v>21</v>
      </c>
    </row>
    <row r="5447" spans="11:34" ht="14.5" x14ac:dyDescent="0.35">
      <c r="K5447" s="4"/>
      <c r="AC5447" s="384">
        <v>2022</v>
      </c>
      <c r="AD5447" s="384">
        <v>8</v>
      </c>
      <c r="AE5447" s="384">
        <v>15</v>
      </c>
      <c r="AF5447" s="385">
        <v>0.875</v>
      </c>
      <c r="AG5447" s="386">
        <v>19.3</v>
      </c>
      <c r="AH5447" s="387">
        <f t="shared" si="99"/>
        <v>19</v>
      </c>
    </row>
    <row r="5448" spans="11:34" ht="14.5" x14ac:dyDescent="0.35">
      <c r="K5448" s="4"/>
      <c r="AC5448" s="384">
        <v>2022</v>
      </c>
      <c r="AD5448" s="384">
        <v>8</v>
      </c>
      <c r="AE5448" s="384">
        <v>15</v>
      </c>
      <c r="AF5448" s="385">
        <v>0.91666666666666663</v>
      </c>
      <c r="AG5448" s="386">
        <v>16.3</v>
      </c>
      <c r="AH5448" s="387">
        <f t="shared" si="99"/>
        <v>16</v>
      </c>
    </row>
    <row r="5449" spans="11:34" ht="14.5" x14ac:dyDescent="0.35">
      <c r="K5449" s="4"/>
      <c r="AC5449" s="384">
        <v>2022</v>
      </c>
      <c r="AD5449" s="384">
        <v>8</v>
      </c>
      <c r="AE5449" s="384">
        <v>15</v>
      </c>
      <c r="AF5449" s="385">
        <v>0.95833333333333337</v>
      </c>
      <c r="AG5449" s="386">
        <v>14.4</v>
      </c>
      <c r="AH5449" s="387">
        <f t="shared" si="99"/>
        <v>14</v>
      </c>
    </row>
    <row r="5450" spans="11:34" ht="14.5" x14ac:dyDescent="0.35">
      <c r="K5450" s="4"/>
      <c r="AC5450" s="384">
        <v>2022</v>
      </c>
      <c r="AD5450" s="384">
        <v>8</v>
      </c>
      <c r="AE5450" s="384">
        <v>16</v>
      </c>
      <c r="AF5450" s="385">
        <v>0</v>
      </c>
      <c r="AG5450" s="386">
        <v>14.4</v>
      </c>
      <c r="AH5450" s="387">
        <f t="shared" si="99"/>
        <v>14</v>
      </c>
    </row>
    <row r="5451" spans="11:34" ht="14.5" x14ac:dyDescent="0.35">
      <c r="K5451" s="4"/>
      <c r="AC5451" s="384">
        <v>2022</v>
      </c>
      <c r="AD5451" s="384">
        <v>8</v>
      </c>
      <c r="AE5451" s="384">
        <v>16</v>
      </c>
      <c r="AF5451" s="385">
        <v>4.1666666666666664E-2</v>
      </c>
      <c r="AG5451" s="386">
        <v>12.9</v>
      </c>
      <c r="AH5451" s="387">
        <f t="shared" ref="AH5451:AH5514" si="100">ROUND(AG5451,0)</f>
        <v>13</v>
      </c>
    </row>
    <row r="5452" spans="11:34" ht="14.5" x14ac:dyDescent="0.35">
      <c r="K5452" s="4"/>
      <c r="AC5452" s="384">
        <v>2022</v>
      </c>
      <c r="AD5452" s="384">
        <v>8</v>
      </c>
      <c r="AE5452" s="384">
        <v>16</v>
      </c>
      <c r="AF5452" s="385">
        <v>8.3333333333333329E-2</v>
      </c>
      <c r="AG5452" s="386">
        <v>12.4</v>
      </c>
      <c r="AH5452" s="387">
        <f t="shared" si="100"/>
        <v>12</v>
      </c>
    </row>
    <row r="5453" spans="11:34" ht="14.5" x14ac:dyDescent="0.35">
      <c r="K5453" s="4"/>
      <c r="AC5453" s="384">
        <v>2022</v>
      </c>
      <c r="AD5453" s="384">
        <v>8</v>
      </c>
      <c r="AE5453" s="384">
        <v>16</v>
      </c>
      <c r="AF5453" s="385">
        <v>0.125</v>
      </c>
      <c r="AG5453" s="386">
        <v>12.1</v>
      </c>
      <c r="AH5453" s="387">
        <f t="shared" si="100"/>
        <v>12</v>
      </c>
    </row>
    <row r="5454" spans="11:34" ht="14.5" x14ac:dyDescent="0.35">
      <c r="K5454" s="4"/>
      <c r="AC5454" s="384">
        <v>2022</v>
      </c>
      <c r="AD5454" s="384">
        <v>8</v>
      </c>
      <c r="AE5454" s="384">
        <v>16</v>
      </c>
      <c r="AF5454" s="385">
        <v>0.16666666666666666</v>
      </c>
      <c r="AG5454" s="386">
        <v>11.4</v>
      </c>
      <c r="AH5454" s="387">
        <f t="shared" si="100"/>
        <v>11</v>
      </c>
    </row>
    <row r="5455" spans="11:34" ht="14.5" x14ac:dyDescent="0.35">
      <c r="K5455" s="4"/>
      <c r="AC5455" s="384">
        <v>2022</v>
      </c>
      <c r="AD5455" s="384">
        <v>8</v>
      </c>
      <c r="AE5455" s="384">
        <v>16</v>
      </c>
      <c r="AF5455" s="385">
        <v>0.20833333333333334</v>
      </c>
      <c r="AG5455" s="386">
        <v>10.9</v>
      </c>
      <c r="AH5455" s="387">
        <f t="shared" si="100"/>
        <v>11</v>
      </c>
    </row>
    <row r="5456" spans="11:34" ht="14.5" x14ac:dyDescent="0.35">
      <c r="K5456" s="4"/>
      <c r="AC5456" s="384">
        <v>2022</v>
      </c>
      <c r="AD5456" s="384">
        <v>8</v>
      </c>
      <c r="AE5456" s="384">
        <v>16</v>
      </c>
      <c r="AF5456" s="385">
        <v>0.25</v>
      </c>
      <c r="AG5456" s="386">
        <v>10.9</v>
      </c>
      <c r="AH5456" s="387">
        <f t="shared" si="100"/>
        <v>11</v>
      </c>
    </row>
    <row r="5457" spans="11:34" ht="14.5" x14ac:dyDescent="0.35">
      <c r="K5457" s="4"/>
      <c r="AC5457" s="384">
        <v>2022</v>
      </c>
      <c r="AD5457" s="384">
        <v>8</v>
      </c>
      <c r="AE5457" s="384">
        <v>16</v>
      </c>
      <c r="AF5457" s="385">
        <v>0.29166666666666669</v>
      </c>
      <c r="AG5457" s="386">
        <v>15.2</v>
      </c>
      <c r="AH5457" s="387">
        <f t="shared" si="100"/>
        <v>15</v>
      </c>
    </row>
    <row r="5458" spans="11:34" ht="14.5" x14ac:dyDescent="0.35">
      <c r="K5458" s="4"/>
      <c r="AC5458" s="384">
        <v>2022</v>
      </c>
      <c r="AD5458" s="384">
        <v>8</v>
      </c>
      <c r="AE5458" s="384">
        <v>16</v>
      </c>
      <c r="AF5458" s="385">
        <v>0.33333333333333331</v>
      </c>
      <c r="AG5458" s="386">
        <v>18.100000000000001</v>
      </c>
      <c r="AH5458" s="387">
        <f t="shared" si="100"/>
        <v>18</v>
      </c>
    </row>
    <row r="5459" spans="11:34" ht="14.5" x14ac:dyDescent="0.35">
      <c r="K5459" s="4"/>
      <c r="AC5459" s="384">
        <v>2022</v>
      </c>
      <c r="AD5459" s="384">
        <v>8</v>
      </c>
      <c r="AE5459" s="384">
        <v>16</v>
      </c>
      <c r="AF5459" s="385">
        <v>0.375</v>
      </c>
      <c r="AG5459" s="386">
        <v>21.4</v>
      </c>
      <c r="AH5459" s="387">
        <f t="shared" si="100"/>
        <v>21</v>
      </c>
    </row>
    <row r="5460" spans="11:34" ht="14.5" x14ac:dyDescent="0.35">
      <c r="K5460" s="4"/>
      <c r="AC5460" s="384">
        <v>2022</v>
      </c>
      <c r="AD5460" s="384">
        <v>8</v>
      </c>
      <c r="AE5460" s="384">
        <v>16</v>
      </c>
      <c r="AF5460" s="385">
        <v>0.41666666666666669</v>
      </c>
      <c r="AG5460" s="386">
        <v>24.4</v>
      </c>
      <c r="AH5460" s="387">
        <f t="shared" si="100"/>
        <v>24</v>
      </c>
    </row>
    <row r="5461" spans="11:34" ht="14.5" x14ac:dyDescent="0.35">
      <c r="K5461" s="4"/>
      <c r="AC5461" s="384">
        <v>2022</v>
      </c>
      <c r="AD5461" s="384">
        <v>8</v>
      </c>
      <c r="AE5461" s="384">
        <v>16</v>
      </c>
      <c r="AF5461" s="385">
        <v>0.45833333333333331</v>
      </c>
      <c r="AG5461" s="386">
        <v>26.8</v>
      </c>
      <c r="AH5461" s="387">
        <f t="shared" si="100"/>
        <v>27</v>
      </c>
    </row>
    <row r="5462" spans="11:34" ht="14.5" x14ac:dyDescent="0.35">
      <c r="K5462" s="4"/>
      <c r="AC5462" s="384">
        <v>2022</v>
      </c>
      <c r="AD5462" s="384">
        <v>8</v>
      </c>
      <c r="AE5462" s="384">
        <v>16</v>
      </c>
      <c r="AF5462" s="385">
        <v>0.5</v>
      </c>
      <c r="AG5462" s="386">
        <v>28</v>
      </c>
      <c r="AH5462" s="387">
        <f t="shared" si="100"/>
        <v>28</v>
      </c>
    </row>
    <row r="5463" spans="11:34" ht="14.5" x14ac:dyDescent="0.35">
      <c r="K5463" s="4"/>
      <c r="AC5463" s="384">
        <v>2022</v>
      </c>
      <c r="AD5463" s="384">
        <v>8</v>
      </c>
      <c r="AE5463" s="384">
        <v>16</v>
      </c>
      <c r="AF5463" s="385">
        <v>0.54166666666666663</v>
      </c>
      <c r="AG5463" s="386">
        <v>29.6</v>
      </c>
      <c r="AH5463" s="387">
        <f t="shared" si="100"/>
        <v>30</v>
      </c>
    </row>
    <row r="5464" spans="11:34" ht="14.5" x14ac:dyDescent="0.35">
      <c r="K5464" s="4"/>
      <c r="AC5464" s="384">
        <v>2022</v>
      </c>
      <c r="AD5464" s="384">
        <v>8</v>
      </c>
      <c r="AE5464" s="384">
        <v>16</v>
      </c>
      <c r="AF5464" s="385">
        <v>0.58333333333333337</v>
      </c>
      <c r="AG5464" s="386">
        <v>29.9</v>
      </c>
      <c r="AH5464" s="387">
        <f t="shared" si="100"/>
        <v>30</v>
      </c>
    </row>
    <row r="5465" spans="11:34" ht="14.5" x14ac:dyDescent="0.35">
      <c r="K5465" s="4"/>
      <c r="AC5465" s="384">
        <v>2022</v>
      </c>
      <c r="AD5465" s="384">
        <v>8</v>
      </c>
      <c r="AE5465" s="384">
        <v>16</v>
      </c>
      <c r="AF5465" s="385">
        <v>0.625</v>
      </c>
      <c r="AG5465" s="386">
        <v>30.3</v>
      </c>
      <c r="AH5465" s="387">
        <f t="shared" si="100"/>
        <v>30</v>
      </c>
    </row>
    <row r="5466" spans="11:34" ht="14.5" x14ac:dyDescent="0.35">
      <c r="K5466" s="4"/>
      <c r="AC5466" s="384">
        <v>2022</v>
      </c>
      <c r="AD5466" s="384">
        <v>8</v>
      </c>
      <c r="AE5466" s="384">
        <v>16</v>
      </c>
      <c r="AF5466" s="385">
        <v>0.66666666666666663</v>
      </c>
      <c r="AG5466" s="386">
        <v>29.1</v>
      </c>
      <c r="AH5466" s="387">
        <f t="shared" si="100"/>
        <v>29</v>
      </c>
    </row>
    <row r="5467" spans="11:34" ht="14.5" x14ac:dyDescent="0.35">
      <c r="K5467" s="4"/>
      <c r="AC5467" s="384">
        <v>2022</v>
      </c>
      <c r="AD5467" s="384">
        <v>8</v>
      </c>
      <c r="AE5467" s="384">
        <v>16</v>
      </c>
      <c r="AF5467" s="385">
        <v>0.70833333333333337</v>
      </c>
      <c r="AG5467" s="386">
        <v>27.8</v>
      </c>
      <c r="AH5467" s="387">
        <f t="shared" si="100"/>
        <v>28</v>
      </c>
    </row>
    <row r="5468" spans="11:34" ht="14.5" x14ac:dyDescent="0.35">
      <c r="K5468" s="4"/>
      <c r="AC5468" s="384">
        <v>2022</v>
      </c>
      <c r="AD5468" s="384">
        <v>8</v>
      </c>
      <c r="AE5468" s="384">
        <v>16</v>
      </c>
      <c r="AF5468" s="385">
        <v>0.75</v>
      </c>
      <c r="AG5468" s="386">
        <v>26.8</v>
      </c>
      <c r="AH5468" s="387">
        <f t="shared" si="100"/>
        <v>27</v>
      </c>
    </row>
    <row r="5469" spans="11:34" ht="14.5" x14ac:dyDescent="0.35">
      <c r="K5469" s="4"/>
      <c r="AC5469" s="384">
        <v>2022</v>
      </c>
      <c r="AD5469" s="384">
        <v>8</v>
      </c>
      <c r="AE5469" s="384">
        <v>16</v>
      </c>
      <c r="AF5469" s="385">
        <v>0.79166666666666663</v>
      </c>
      <c r="AG5469" s="386">
        <v>25.7</v>
      </c>
      <c r="AH5469" s="387">
        <f t="shared" si="100"/>
        <v>26</v>
      </c>
    </row>
    <row r="5470" spans="11:34" ht="14.5" x14ac:dyDescent="0.35">
      <c r="K5470" s="4"/>
      <c r="AC5470" s="384">
        <v>2022</v>
      </c>
      <c r="AD5470" s="384">
        <v>8</v>
      </c>
      <c r="AE5470" s="384">
        <v>16</v>
      </c>
      <c r="AF5470" s="385">
        <v>0.83333333333333337</v>
      </c>
      <c r="AG5470" s="386">
        <v>22.8</v>
      </c>
      <c r="AH5470" s="387">
        <f t="shared" si="100"/>
        <v>23</v>
      </c>
    </row>
    <row r="5471" spans="11:34" ht="14.5" x14ac:dyDescent="0.35">
      <c r="K5471" s="4"/>
      <c r="AC5471" s="384">
        <v>2022</v>
      </c>
      <c r="AD5471" s="384">
        <v>8</v>
      </c>
      <c r="AE5471" s="384">
        <v>16</v>
      </c>
      <c r="AF5471" s="385">
        <v>0.875</v>
      </c>
      <c r="AG5471" s="386">
        <v>19.600000000000001</v>
      </c>
      <c r="AH5471" s="387">
        <f t="shared" si="100"/>
        <v>20</v>
      </c>
    </row>
    <row r="5472" spans="11:34" ht="14.5" x14ac:dyDescent="0.35">
      <c r="K5472" s="4"/>
      <c r="AC5472" s="384">
        <v>2022</v>
      </c>
      <c r="AD5472" s="384">
        <v>8</v>
      </c>
      <c r="AE5472" s="384">
        <v>16</v>
      </c>
      <c r="AF5472" s="385">
        <v>0.91666666666666663</v>
      </c>
      <c r="AG5472" s="386">
        <v>18.7</v>
      </c>
      <c r="AH5472" s="387">
        <f t="shared" si="100"/>
        <v>19</v>
      </c>
    </row>
    <row r="5473" spans="11:34" ht="14.5" x14ac:dyDescent="0.35">
      <c r="K5473" s="4"/>
      <c r="AC5473" s="384">
        <v>2022</v>
      </c>
      <c r="AD5473" s="384">
        <v>8</v>
      </c>
      <c r="AE5473" s="384">
        <v>16</v>
      </c>
      <c r="AF5473" s="385">
        <v>0.95833333333333337</v>
      </c>
      <c r="AG5473" s="386">
        <v>15.8</v>
      </c>
      <c r="AH5473" s="387">
        <f t="shared" si="100"/>
        <v>16</v>
      </c>
    </row>
    <row r="5474" spans="11:34" ht="14.5" x14ac:dyDescent="0.35">
      <c r="K5474" s="4"/>
      <c r="AC5474" s="384">
        <v>2022</v>
      </c>
      <c r="AD5474" s="384">
        <v>8</v>
      </c>
      <c r="AE5474" s="384">
        <v>17</v>
      </c>
      <c r="AF5474" s="385">
        <v>0</v>
      </c>
      <c r="AG5474" s="386">
        <v>15</v>
      </c>
      <c r="AH5474" s="387">
        <f t="shared" si="100"/>
        <v>15</v>
      </c>
    </row>
    <row r="5475" spans="11:34" ht="14.5" x14ac:dyDescent="0.35">
      <c r="K5475" s="4"/>
      <c r="AC5475" s="384">
        <v>2022</v>
      </c>
      <c r="AD5475" s="384">
        <v>8</v>
      </c>
      <c r="AE5475" s="384">
        <v>17</v>
      </c>
      <c r="AF5475" s="385">
        <v>4.1666666666666664E-2</v>
      </c>
      <c r="AG5475" s="386">
        <v>13.9</v>
      </c>
      <c r="AH5475" s="387">
        <f t="shared" si="100"/>
        <v>14</v>
      </c>
    </row>
    <row r="5476" spans="11:34" ht="14.5" x14ac:dyDescent="0.35">
      <c r="K5476" s="4"/>
      <c r="AC5476" s="384">
        <v>2022</v>
      </c>
      <c r="AD5476" s="384">
        <v>8</v>
      </c>
      <c r="AE5476" s="384">
        <v>17</v>
      </c>
      <c r="AF5476" s="385">
        <v>8.3333333333333329E-2</v>
      </c>
      <c r="AG5476" s="386">
        <v>12.8</v>
      </c>
      <c r="AH5476" s="387">
        <f t="shared" si="100"/>
        <v>13</v>
      </c>
    </row>
    <row r="5477" spans="11:34" ht="14.5" x14ac:dyDescent="0.35">
      <c r="K5477" s="4"/>
      <c r="AC5477" s="384">
        <v>2022</v>
      </c>
      <c r="AD5477" s="384">
        <v>8</v>
      </c>
      <c r="AE5477" s="384">
        <v>17</v>
      </c>
      <c r="AF5477" s="385">
        <v>0.125</v>
      </c>
      <c r="AG5477" s="386">
        <v>12.8</v>
      </c>
      <c r="AH5477" s="387">
        <f t="shared" si="100"/>
        <v>13</v>
      </c>
    </row>
    <row r="5478" spans="11:34" ht="14.5" x14ac:dyDescent="0.35">
      <c r="K5478" s="4"/>
      <c r="AC5478" s="384">
        <v>2022</v>
      </c>
      <c r="AD5478" s="384">
        <v>8</v>
      </c>
      <c r="AE5478" s="384">
        <v>17</v>
      </c>
      <c r="AF5478" s="385">
        <v>0.16666666666666666</v>
      </c>
      <c r="AG5478" s="386">
        <v>12.1</v>
      </c>
      <c r="AH5478" s="387">
        <f t="shared" si="100"/>
        <v>12</v>
      </c>
    </row>
    <row r="5479" spans="11:34" ht="14.5" x14ac:dyDescent="0.35">
      <c r="K5479" s="4"/>
      <c r="AC5479" s="384">
        <v>2022</v>
      </c>
      <c r="AD5479" s="384">
        <v>8</v>
      </c>
      <c r="AE5479" s="384">
        <v>17</v>
      </c>
      <c r="AF5479" s="385">
        <v>0.20833333333333334</v>
      </c>
      <c r="AG5479" s="386">
        <v>12</v>
      </c>
      <c r="AH5479" s="387">
        <f t="shared" si="100"/>
        <v>12</v>
      </c>
    </row>
    <row r="5480" spans="11:34" ht="14.5" x14ac:dyDescent="0.35">
      <c r="K5480" s="4"/>
      <c r="AC5480" s="384">
        <v>2022</v>
      </c>
      <c r="AD5480" s="384">
        <v>8</v>
      </c>
      <c r="AE5480" s="384">
        <v>17</v>
      </c>
      <c r="AF5480" s="385">
        <v>0.25</v>
      </c>
      <c r="AG5480" s="386">
        <v>13.8</v>
      </c>
      <c r="AH5480" s="387">
        <f t="shared" si="100"/>
        <v>14</v>
      </c>
    </row>
    <row r="5481" spans="11:34" ht="14.5" x14ac:dyDescent="0.35">
      <c r="K5481" s="4"/>
      <c r="AC5481" s="384">
        <v>2022</v>
      </c>
      <c r="AD5481" s="384">
        <v>8</v>
      </c>
      <c r="AE5481" s="384">
        <v>17</v>
      </c>
      <c r="AF5481" s="385">
        <v>0.29166666666666669</v>
      </c>
      <c r="AG5481" s="386">
        <v>15.2</v>
      </c>
      <c r="AH5481" s="387">
        <f t="shared" si="100"/>
        <v>15</v>
      </c>
    </row>
    <row r="5482" spans="11:34" ht="14.5" x14ac:dyDescent="0.35">
      <c r="K5482" s="4"/>
      <c r="AC5482" s="384">
        <v>2022</v>
      </c>
      <c r="AD5482" s="384">
        <v>8</v>
      </c>
      <c r="AE5482" s="384">
        <v>17</v>
      </c>
      <c r="AF5482" s="385">
        <v>0.33333333333333331</v>
      </c>
      <c r="AG5482" s="386">
        <v>17.399999999999999</v>
      </c>
      <c r="AH5482" s="387">
        <f t="shared" si="100"/>
        <v>17</v>
      </c>
    </row>
    <row r="5483" spans="11:34" ht="14.5" x14ac:dyDescent="0.35">
      <c r="K5483" s="4"/>
      <c r="AC5483" s="384">
        <v>2022</v>
      </c>
      <c r="AD5483" s="384">
        <v>8</v>
      </c>
      <c r="AE5483" s="384">
        <v>17</v>
      </c>
      <c r="AF5483" s="385">
        <v>0.375</v>
      </c>
      <c r="AG5483" s="386">
        <v>19.399999999999999</v>
      </c>
      <c r="AH5483" s="387">
        <f t="shared" si="100"/>
        <v>19</v>
      </c>
    </row>
    <row r="5484" spans="11:34" ht="14.5" x14ac:dyDescent="0.35">
      <c r="K5484" s="4"/>
      <c r="AC5484" s="384">
        <v>2022</v>
      </c>
      <c r="AD5484" s="384">
        <v>8</v>
      </c>
      <c r="AE5484" s="384">
        <v>17</v>
      </c>
      <c r="AF5484" s="385">
        <v>0.41666666666666669</v>
      </c>
      <c r="AG5484" s="386">
        <v>21.1</v>
      </c>
      <c r="AH5484" s="387">
        <f t="shared" si="100"/>
        <v>21</v>
      </c>
    </row>
    <row r="5485" spans="11:34" ht="14.5" x14ac:dyDescent="0.35">
      <c r="K5485" s="4"/>
      <c r="AC5485" s="384">
        <v>2022</v>
      </c>
      <c r="AD5485" s="384">
        <v>8</v>
      </c>
      <c r="AE5485" s="384">
        <v>17</v>
      </c>
      <c r="AF5485" s="385">
        <v>0.45833333333333331</v>
      </c>
      <c r="AG5485" s="386">
        <v>22.5</v>
      </c>
      <c r="AH5485" s="387">
        <f t="shared" si="100"/>
        <v>23</v>
      </c>
    </row>
    <row r="5486" spans="11:34" ht="14.5" x14ac:dyDescent="0.35">
      <c r="K5486" s="4"/>
      <c r="AC5486" s="384">
        <v>2022</v>
      </c>
      <c r="AD5486" s="384">
        <v>8</v>
      </c>
      <c r="AE5486" s="384">
        <v>17</v>
      </c>
      <c r="AF5486" s="385">
        <v>0.5</v>
      </c>
      <c r="AG5486" s="386">
        <v>23.9</v>
      </c>
      <c r="AH5486" s="387">
        <f t="shared" si="100"/>
        <v>24</v>
      </c>
    </row>
    <row r="5487" spans="11:34" ht="14.5" x14ac:dyDescent="0.35">
      <c r="K5487" s="4"/>
      <c r="AC5487" s="384">
        <v>2022</v>
      </c>
      <c r="AD5487" s="384">
        <v>8</v>
      </c>
      <c r="AE5487" s="384">
        <v>17</v>
      </c>
      <c r="AF5487" s="385">
        <v>0.54166666666666663</v>
      </c>
      <c r="AG5487" s="386">
        <v>24.9</v>
      </c>
      <c r="AH5487" s="387">
        <f t="shared" si="100"/>
        <v>25</v>
      </c>
    </row>
    <row r="5488" spans="11:34" ht="14.5" x14ac:dyDescent="0.35">
      <c r="K5488" s="4"/>
      <c r="AC5488" s="384">
        <v>2022</v>
      </c>
      <c r="AD5488" s="384">
        <v>8</v>
      </c>
      <c r="AE5488" s="384">
        <v>17</v>
      </c>
      <c r="AF5488" s="385">
        <v>0.58333333333333337</v>
      </c>
      <c r="AG5488" s="386">
        <v>25.6</v>
      </c>
      <c r="AH5488" s="387">
        <f t="shared" si="100"/>
        <v>26</v>
      </c>
    </row>
    <row r="5489" spans="11:34" ht="14.5" x14ac:dyDescent="0.35">
      <c r="K5489" s="4"/>
      <c r="AC5489" s="384">
        <v>2022</v>
      </c>
      <c r="AD5489" s="384">
        <v>8</v>
      </c>
      <c r="AE5489" s="384">
        <v>17</v>
      </c>
      <c r="AF5489" s="385">
        <v>0.625</v>
      </c>
      <c r="AG5489" s="386">
        <v>26.5</v>
      </c>
      <c r="AH5489" s="387">
        <f t="shared" si="100"/>
        <v>27</v>
      </c>
    </row>
    <row r="5490" spans="11:34" ht="14.5" x14ac:dyDescent="0.35">
      <c r="K5490" s="4"/>
      <c r="AC5490" s="384">
        <v>2022</v>
      </c>
      <c r="AD5490" s="384">
        <v>8</v>
      </c>
      <c r="AE5490" s="384">
        <v>17</v>
      </c>
      <c r="AF5490" s="385">
        <v>0.66666666666666663</v>
      </c>
      <c r="AG5490" s="386">
        <v>26.4</v>
      </c>
      <c r="AH5490" s="387">
        <f t="shared" si="100"/>
        <v>26</v>
      </c>
    </row>
    <row r="5491" spans="11:34" ht="14.5" x14ac:dyDescent="0.35">
      <c r="K5491" s="4"/>
      <c r="AC5491" s="384">
        <v>2022</v>
      </c>
      <c r="AD5491" s="384">
        <v>8</v>
      </c>
      <c r="AE5491" s="384">
        <v>17</v>
      </c>
      <c r="AF5491" s="385">
        <v>0.70833333333333337</v>
      </c>
      <c r="AG5491" s="386">
        <v>26.1</v>
      </c>
      <c r="AH5491" s="387">
        <f t="shared" si="100"/>
        <v>26</v>
      </c>
    </row>
    <row r="5492" spans="11:34" ht="14.5" x14ac:dyDescent="0.35">
      <c r="K5492" s="4"/>
      <c r="AC5492" s="384">
        <v>2022</v>
      </c>
      <c r="AD5492" s="384">
        <v>8</v>
      </c>
      <c r="AE5492" s="384">
        <v>17</v>
      </c>
      <c r="AF5492" s="385">
        <v>0.75</v>
      </c>
      <c r="AG5492" s="386">
        <v>25.6</v>
      </c>
      <c r="AH5492" s="387">
        <f t="shared" si="100"/>
        <v>26</v>
      </c>
    </row>
    <row r="5493" spans="11:34" ht="14.5" x14ac:dyDescent="0.35">
      <c r="K5493" s="4"/>
      <c r="AC5493" s="384">
        <v>2022</v>
      </c>
      <c r="AD5493" s="384">
        <v>8</v>
      </c>
      <c r="AE5493" s="384">
        <v>17</v>
      </c>
      <c r="AF5493" s="385">
        <v>0.79166666666666663</v>
      </c>
      <c r="AG5493" s="386">
        <v>24.4</v>
      </c>
      <c r="AH5493" s="387">
        <f t="shared" si="100"/>
        <v>24</v>
      </c>
    </row>
    <row r="5494" spans="11:34" ht="14.5" x14ac:dyDescent="0.35">
      <c r="K5494" s="4"/>
      <c r="AC5494" s="384">
        <v>2022</v>
      </c>
      <c r="AD5494" s="384">
        <v>8</v>
      </c>
      <c r="AE5494" s="384">
        <v>17</v>
      </c>
      <c r="AF5494" s="385">
        <v>0.83333333333333337</v>
      </c>
      <c r="AG5494" s="386">
        <v>22.4</v>
      </c>
      <c r="AH5494" s="387">
        <f t="shared" si="100"/>
        <v>22</v>
      </c>
    </row>
    <row r="5495" spans="11:34" ht="14.5" x14ac:dyDescent="0.35">
      <c r="K5495" s="4"/>
      <c r="AC5495" s="384">
        <v>2022</v>
      </c>
      <c r="AD5495" s="384">
        <v>8</v>
      </c>
      <c r="AE5495" s="384">
        <v>17</v>
      </c>
      <c r="AF5495" s="385">
        <v>0.875</v>
      </c>
      <c r="AG5495" s="386">
        <v>20.9</v>
      </c>
      <c r="AH5495" s="387">
        <f t="shared" si="100"/>
        <v>21</v>
      </c>
    </row>
    <row r="5496" spans="11:34" ht="14.5" x14ac:dyDescent="0.35">
      <c r="K5496" s="4"/>
      <c r="AC5496" s="384">
        <v>2022</v>
      </c>
      <c r="AD5496" s="384">
        <v>8</v>
      </c>
      <c r="AE5496" s="384">
        <v>17</v>
      </c>
      <c r="AF5496" s="385">
        <v>0.91666666666666663</v>
      </c>
      <c r="AG5496" s="386">
        <v>19.5</v>
      </c>
      <c r="AH5496" s="387">
        <f t="shared" si="100"/>
        <v>20</v>
      </c>
    </row>
    <row r="5497" spans="11:34" ht="14.5" x14ac:dyDescent="0.35">
      <c r="K5497" s="4"/>
      <c r="AC5497" s="384">
        <v>2022</v>
      </c>
      <c r="AD5497" s="384">
        <v>8</v>
      </c>
      <c r="AE5497" s="384">
        <v>17</v>
      </c>
      <c r="AF5497" s="385">
        <v>0.95833333333333337</v>
      </c>
      <c r="AG5497" s="386">
        <v>18.399999999999999</v>
      </c>
      <c r="AH5497" s="387">
        <f t="shared" si="100"/>
        <v>18</v>
      </c>
    </row>
    <row r="5498" spans="11:34" ht="14.5" x14ac:dyDescent="0.35">
      <c r="K5498" s="4"/>
      <c r="AC5498" s="384">
        <v>2022</v>
      </c>
      <c r="AD5498" s="384">
        <v>8</v>
      </c>
      <c r="AE5498" s="384">
        <v>18</v>
      </c>
      <c r="AF5498" s="385">
        <v>0</v>
      </c>
      <c r="AG5498" s="386">
        <v>16.2</v>
      </c>
      <c r="AH5498" s="387">
        <f t="shared" si="100"/>
        <v>16</v>
      </c>
    </row>
    <row r="5499" spans="11:34" ht="14.5" x14ac:dyDescent="0.35">
      <c r="K5499" s="4"/>
      <c r="AC5499" s="384">
        <v>2022</v>
      </c>
      <c r="AD5499" s="384">
        <v>8</v>
      </c>
      <c r="AE5499" s="384">
        <v>18</v>
      </c>
      <c r="AF5499" s="385">
        <v>4.1666666666666664E-2</v>
      </c>
      <c r="AG5499" s="386">
        <v>15.3</v>
      </c>
      <c r="AH5499" s="387">
        <f t="shared" si="100"/>
        <v>15</v>
      </c>
    </row>
    <row r="5500" spans="11:34" ht="14.5" x14ac:dyDescent="0.35">
      <c r="K5500" s="4"/>
      <c r="AC5500" s="384">
        <v>2022</v>
      </c>
      <c r="AD5500" s="384">
        <v>8</v>
      </c>
      <c r="AE5500" s="384">
        <v>18</v>
      </c>
      <c r="AF5500" s="385">
        <v>8.3333333333333329E-2</v>
      </c>
      <c r="AG5500" s="386">
        <v>13.5</v>
      </c>
      <c r="AH5500" s="387">
        <f t="shared" si="100"/>
        <v>14</v>
      </c>
    </row>
    <row r="5501" spans="11:34" ht="14.5" x14ac:dyDescent="0.35">
      <c r="K5501" s="4"/>
      <c r="AC5501" s="384">
        <v>2022</v>
      </c>
      <c r="AD5501" s="384">
        <v>8</v>
      </c>
      <c r="AE5501" s="384">
        <v>18</v>
      </c>
      <c r="AF5501" s="385">
        <v>0.125</v>
      </c>
      <c r="AG5501" s="386">
        <v>12.6</v>
      </c>
      <c r="AH5501" s="387">
        <f t="shared" si="100"/>
        <v>13</v>
      </c>
    </row>
    <row r="5502" spans="11:34" ht="14.5" x14ac:dyDescent="0.35">
      <c r="K5502" s="4"/>
      <c r="AC5502" s="384">
        <v>2022</v>
      </c>
      <c r="AD5502" s="384">
        <v>8</v>
      </c>
      <c r="AE5502" s="384">
        <v>18</v>
      </c>
      <c r="AF5502" s="385">
        <v>0.16666666666666666</v>
      </c>
      <c r="AG5502" s="386">
        <v>13.4</v>
      </c>
      <c r="AH5502" s="387">
        <f t="shared" si="100"/>
        <v>13</v>
      </c>
    </row>
    <row r="5503" spans="11:34" ht="14.5" x14ac:dyDescent="0.35">
      <c r="K5503" s="4"/>
      <c r="AC5503" s="384">
        <v>2022</v>
      </c>
      <c r="AD5503" s="384">
        <v>8</v>
      </c>
      <c r="AE5503" s="384">
        <v>18</v>
      </c>
      <c r="AF5503" s="385">
        <v>0.20833333333333334</v>
      </c>
      <c r="AG5503" s="386">
        <v>12.5</v>
      </c>
      <c r="AH5503" s="387">
        <f t="shared" si="100"/>
        <v>13</v>
      </c>
    </row>
    <row r="5504" spans="11:34" ht="14.5" x14ac:dyDescent="0.35">
      <c r="K5504" s="4"/>
      <c r="AC5504" s="384">
        <v>2022</v>
      </c>
      <c r="AD5504" s="384">
        <v>8</v>
      </c>
      <c r="AE5504" s="384">
        <v>18</v>
      </c>
      <c r="AF5504" s="385">
        <v>0.25</v>
      </c>
      <c r="AG5504" s="386">
        <v>12.1</v>
      </c>
      <c r="AH5504" s="387">
        <f t="shared" si="100"/>
        <v>12</v>
      </c>
    </row>
    <row r="5505" spans="11:34" ht="14.5" x14ac:dyDescent="0.35">
      <c r="K5505" s="4"/>
      <c r="AC5505" s="384">
        <v>2022</v>
      </c>
      <c r="AD5505" s="384">
        <v>8</v>
      </c>
      <c r="AE5505" s="384">
        <v>18</v>
      </c>
      <c r="AF5505" s="385">
        <v>0.29166666666666669</v>
      </c>
      <c r="AG5505" s="386">
        <v>14.6</v>
      </c>
      <c r="AH5505" s="387">
        <f t="shared" si="100"/>
        <v>15</v>
      </c>
    </row>
    <row r="5506" spans="11:34" ht="14.5" x14ac:dyDescent="0.35">
      <c r="K5506" s="4"/>
      <c r="AC5506" s="384">
        <v>2022</v>
      </c>
      <c r="AD5506" s="384">
        <v>8</v>
      </c>
      <c r="AE5506" s="384">
        <v>18</v>
      </c>
      <c r="AF5506" s="385">
        <v>0.33333333333333331</v>
      </c>
      <c r="AG5506" s="386">
        <v>19.100000000000001</v>
      </c>
      <c r="AH5506" s="387">
        <f t="shared" si="100"/>
        <v>19</v>
      </c>
    </row>
    <row r="5507" spans="11:34" ht="14.5" x14ac:dyDescent="0.35">
      <c r="K5507" s="4"/>
      <c r="AC5507" s="384">
        <v>2022</v>
      </c>
      <c r="AD5507" s="384">
        <v>8</v>
      </c>
      <c r="AE5507" s="384">
        <v>18</v>
      </c>
      <c r="AF5507" s="385">
        <v>0.375</v>
      </c>
      <c r="AG5507" s="386">
        <v>20.7</v>
      </c>
      <c r="AH5507" s="387">
        <f t="shared" si="100"/>
        <v>21</v>
      </c>
    </row>
    <row r="5508" spans="11:34" ht="14.5" x14ac:dyDescent="0.35">
      <c r="K5508" s="4"/>
      <c r="AC5508" s="384">
        <v>2022</v>
      </c>
      <c r="AD5508" s="384">
        <v>8</v>
      </c>
      <c r="AE5508" s="384">
        <v>18</v>
      </c>
      <c r="AF5508" s="385">
        <v>0.41666666666666669</v>
      </c>
      <c r="AG5508" s="386">
        <v>22.2</v>
      </c>
      <c r="AH5508" s="387">
        <f t="shared" si="100"/>
        <v>22</v>
      </c>
    </row>
    <row r="5509" spans="11:34" ht="14.5" x14ac:dyDescent="0.35">
      <c r="K5509" s="4"/>
      <c r="AC5509" s="384">
        <v>2022</v>
      </c>
      <c r="AD5509" s="384">
        <v>8</v>
      </c>
      <c r="AE5509" s="384">
        <v>18</v>
      </c>
      <c r="AF5509" s="385">
        <v>0.45833333333333331</v>
      </c>
      <c r="AG5509" s="386">
        <v>24.8</v>
      </c>
      <c r="AH5509" s="387">
        <f t="shared" si="100"/>
        <v>25</v>
      </c>
    </row>
    <row r="5510" spans="11:34" ht="14.5" x14ac:dyDescent="0.35">
      <c r="K5510" s="4"/>
      <c r="AC5510" s="384">
        <v>2022</v>
      </c>
      <c r="AD5510" s="384">
        <v>8</v>
      </c>
      <c r="AE5510" s="384">
        <v>18</v>
      </c>
      <c r="AF5510" s="385">
        <v>0.5</v>
      </c>
      <c r="AG5510" s="386">
        <v>27.4</v>
      </c>
      <c r="AH5510" s="387">
        <f t="shared" si="100"/>
        <v>27</v>
      </c>
    </row>
    <row r="5511" spans="11:34" ht="14.5" x14ac:dyDescent="0.35">
      <c r="K5511" s="4"/>
      <c r="AC5511" s="384">
        <v>2022</v>
      </c>
      <c r="AD5511" s="384">
        <v>8</v>
      </c>
      <c r="AE5511" s="384">
        <v>18</v>
      </c>
      <c r="AF5511" s="385">
        <v>0.54166666666666663</v>
      </c>
      <c r="AG5511" s="386">
        <v>28.9</v>
      </c>
      <c r="AH5511" s="387">
        <f t="shared" si="100"/>
        <v>29</v>
      </c>
    </row>
    <row r="5512" spans="11:34" ht="14.5" x14ac:dyDescent="0.35">
      <c r="K5512" s="4"/>
      <c r="AC5512" s="384">
        <v>2022</v>
      </c>
      <c r="AD5512" s="384">
        <v>8</v>
      </c>
      <c r="AE5512" s="384">
        <v>18</v>
      </c>
      <c r="AF5512" s="385">
        <v>0.58333333333333337</v>
      </c>
      <c r="AG5512" s="386">
        <v>29.6</v>
      </c>
      <c r="AH5512" s="387">
        <f t="shared" si="100"/>
        <v>30</v>
      </c>
    </row>
    <row r="5513" spans="11:34" ht="14.5" x14ac:dyDescent="0.35">
      <c r="K5513" s="4"/>
      <c r="AC5513" s="384">
        <v>2022</v>
      </c>
      <c r="AD5513" s="384">
        <v>8</v>
      </c>
      <c r="AE5513" s="384">
        <v>18</v>
      </c>
      <c r="AF5513" s="385">
        <v>0.625</v>
      </c>
      <c r="AG5513" s="386">
        <v>29.9</v>
      </c>
      <c r="AH5513" s="387">
        <f t="shared" si="100"/>
        <v>30</v>
      </c>
    </row>
    <row r="5514" spans="11:34" ht="14.5" x14ac:dyDescent="0.35">
      <c r="K5514" s="4"/>
      <c r="AC5514" s="384">
        <v>2022</v>
      </c>
      <c r="AD5514" s="384">
        <v>8</v>
      </c>
      <c r="AE5514" s="384">
        <v>18</v>
      </c>
      <c r="AF5514" s="385">
        <v>0.66666666666666663</v>
      </c>
      <c r="AG5514" s="386">
        <v>30.4</v>
      </c>
      <c r="AH5514" s="387">
        <f t="shared" si="100"/>
        <v>30</v>
      </c>
    </row>
    <row r="5515" spans="11:34" ht="14.5" x14ac:dyDescent="0.35">
      <c r="K5515" s="4"/>
      <c r="AC5515" s="384">
        <v>2022</v>
      </c>
      <c r="AD5515" s="384">
        <v>8</v>
      </c>
      <c r="AE5515" s="384">
        <v>18</v>
      </c>
      <c r="AF5515" s="385">
        <v>0.70833333333333337</v>
      </c>
      <c r="AG5515" s="386">
        <v>29.5</v>
      </c>
      <c r="AH5515" s="387">
        <f t="shared" ref="AH5515:AH5578" si="101">ROUND(AG5515,0)</f>
        <v>30</v>
      </c>
    </row>
    <row r="5516" spans="11:34" ht="14.5" x14ac:dyDescent="0.35">
      <c r="K5516" s="4"/>
      <c r="AC5516" s="384">
        <v>2022</v>
      </c>
      <c r="AD5516" s="384">
        <v>8</v>
      </c>
      <c r="AE5516" s="384">
        <v>18</v>
      </c>
      <c r="AF5516" s="385">
        <v>0.75</v>
      </c>
      <c r="AG5516" s="386">
        <v>28.2</v>
      </c>
      <c r="AH5516" s="387">
        <f t="shared" si="101"/>
        <v>28</v>
      </c>
    </row>
    <row r="5517" spans="11:34" ht="14.5" x14ac:dyDescent="0.35">
      <c r="K5517" s="4"/>
      <c r="AC5517" s="384">
        <v>2022</v>
      </c>
      <c r="AD5517" s="384">
        <v>8</v>
      </c>
      <c r="AE5517" s="384">
        <v>18</v>
      </c>
      <c r="AF5517" s="385">
        <v>0.79166666666666663</v>
      </c>
      <c r="AG5517" s="386">
        <v>26.5</v>
      </c>
      <c r="AH5517" s="387">
        <f t="shared" si="101"/>
        <v>27</v>
      </c>
    </row>
    <row r="5518" spans="11:34" ht="14.5" x14ac:dyDescent="0.35">
      <c r="K5518" s="4"/>
      <c r="AC5518" s="384">
        <v>2022</v>
      </c>
      <c r="AD5518" s="384">
        <v>8</v>
      </c>
      <c r="AE5518" s="384">
        <v>18</v>
      </c>
      <c r="AF5518" s="385">
        <v>0.83333333333333337</v>
      </c>
      <c r="AG5518" s="386">
        <v>23.7</v>
      </c>
      <c r="AH5518" s="387">
        <f t="shared" si="101"/>
        <v>24</v>
      </c>
    </row>
    <row r="5519" spans="11:34" ht="14.5" x14ac:dyDescent="0.35">
      <c r="K5519" s="4"/>
      <c r="AC5519" s="384">
        <v>2022</v>
      </c>
      <c r="AD5519" s="384">
        <v>8</v>
      </c>
      <c r="AE5519" s="384">
        <v>18</v>
      </c>
      <c r="AF5519" s="385">
        <v>0.875</v>
      </c>
      <c r="AG5519" s="386">
        <v>21.9</v>
      </c>
      <c r="AH5519" s="387">
        <f t="shared" si="101"/>
        <v>22</v>
      </c>
    </row>
    <row r="5520" spans="11:34" ht="14.5" x14ac:dyDescent="0.35">
      <c r="K5520" s="4"/>
      <c r="AC5520" s="384">
        <v>2022</v>
      </c>
      <c r="AD5520" s="384">
        <v>8</v>
      </c>
      <c r="AE5520" s="384">
        <v>18</v>
      </c>
      <c r="AF5520" s="385">
        <v>0.91666666666666663</v>
      </c>
      <c r="AG5520" s="386">
        <v>20.9</v>
      </c>
      <c r="AH5520" s="387">
        <f t="shared" si="101"/>
        <v>21</v>
      </c>
    </row>
    <row r="5521" spans="11:34" ht="14.5" x14ac:dyDescent="0.35">
      <c r="K5521" s="4"/>
      <c r="AC5521" s="384">
        <v>2022</v>
      </c>
      <c r="AD5521" s="384">
        <v>8</v>
      </c>
      <c r="AE5521" s="384">
        <v>18</v>
      </c>
      <c r="AF5521" s="385">
        <v>0.95833333333333337</v>
      </c>
      <c r="AG5521" s="386">
        <v>18.899999999999999</v>
      </c>
      <c r="AH5521" s="387">
        <f t="shared" si="101"/>
        <v>19</v>
      </c>
    </row>
    <row r="5522" spans="11:34" ht="14.5" x14ac:dyDescent="0.35">
      <c r="K5522" s="4"/>
      <c r="AC5522" s="384">
        <v>2022</v>
      </c>
      <c r="AD5522" s="384">
        <v>8</v>
      </c>
      <c r="AE5522" s="384">
        <v>19</v>
      </c>
      <c r="AF5522" s="385">
        <v>0</v>
      </c>
      <c r="AG5522" s="386">
        <v>18.2</v>
      </c>
      <c r="AH5522" s="387">
        <f t="shared" si="101"/>
        <v>18</v>
      </c>
    </row>
    <row r="5523" spans="11:34" ht="14.5" x14ac:dyDescent="0.35">
      <c r="K5523" s="4"/>
      <c r="AC5523" s="384">
        <v>2022</v>
      </c>
      <c r="AD5523" s="384">
        <v>8</v>
      </c>
      <c r="AE5523" s="384">
        <v>19</v>
      </c>
      <c r="AF5523" s="385">
        <v>4.1666666666666664E-2</v>
      </c>
      <c r="AG5523" s="386">
        <v>18.3</v>
      </c>
      <c r="AH5523" s="387">
        <f t="shared" si="101"/>
        <v>18</v>
      </c>
    </row>
    <row r="5524" spans="11:34" ht="14.5" x14ac:dyDescent="0.35">
      <c r="K5524" s="4"/>
      <c r="AC5524" s="384">
        <v>2022</v>
      </c>
      <c r="AD5524" s="384">
        <v>8</v>
      </c>
      <c r="AE5524" s="384">
        <v>19</v>
      </c>
      <c r="AF5524" s="385">
        <v>8.3333333333333329E-2</v>
      </c>
      <c r="AG5524" s="386">
        <v>17.8</v>
      </c>
      <c r="AH5524" s="387">
        <f t="shared" si="101"/>
        <v>18</v>
      </c>
    </row>
    <row r="5525" spans="11:34" ht="14.5" x14ac:dyDescent="0.35">
      <c r="K5525" s="4"/>
      <c r="AC5525" s="384">
        <v>2022</v>
      </c>
      <c r="AD5525" s="384">
        <v>8</v>
      </c>
      <c r="AE5525" s="384">
        <v>19</v>
      </c>
      <c r="AF5525" s="385">
        <v>0.125</v>
      </c>
      <c r="AG5525" s="386">
        <v>16.399999999999999</v>
      </c>
      <c r="AH5525" s="387">
        <f t="shared" si="101"/>
        <v>16</v>
      </c>
    </row>
    <row r="5526" spans="11:34" ht="14.5" x14ac:dyDescent="0.35">
      <c r="K5526" s="4"/>
      <c r="AC5526" s="384">
        <v>2022</v>
      </c>
      <c r="AD5526" s="384">
        <v>8</v>
      </c>
      <c r="AE5526" s="384">
        <v>19</v>
      </c>
      <c r="AF5526" s="385">
        <v>0.16666666666666666</v>
      </c>
      <c r="AG5526" s="386">
        <v>15.1</v>
      </c>
      <c r="AH5526" s="387">
        <f t="shared" si="101"/>
        <v>15</v>
      </c>
    </row>
    <row r="5527" spans="11:34" ht="14.5" x14ac:dyDescent="0.35">
      <c r="K5527" s="4"/>
      <c r="AC5527" s="384">
        <v>2022</v>
      </c>
      <c r="AD5527" s="384">
        <v>8</v>
      </c>
      <c r="AE5527" s="384">
        <v>19</v>
      </c>
      <c r="AF5527" s="385">
        <v>0.20833333333333334</v>
      </c>
      <c r="AG5527" s="386">
        <v>15.5</v>
      </c>
      <c r="AH5527" s="387">
        <f t="shared" si="101"/>
        <v>16</v>
      </c>
    </row>
    <row r="5528" spans="11:34" ht="14.5" x14ac:dyDescent="0.35">
      <c r="K5528" s="4"/>
      <c r="AC5528" s="384">
        <v>2022</v>
      </c>
      <c r="AD5528" s="384">
        <v>8</v>
      </c>
      <c r="AE5528" s="384">
        <v>19</v>
      </c>
      <c r="AF5528" s="385">
        <v>0.25</v>
      </c>
      <c r="AG5528" s="386">
        <v>14.3</v>
      </c>
      <c r="AH5528" s="387">
        <f t="shared" si="101"/>
        <v>14</v>
      </c>
    </row>
    <row r="5529" spans="11:34" ht="14.5" x14ac:dyDescent="0.35">
      <c r="K5529" s="4"/>
      <c r="AC5529" s="384">
        <v>2022</v>
      </c>
      <c r="AD5529" s="384">
        <v>8</v>
      </c>
      <c r="AE5529" s="384">
        <v>19</v>
      </c>
      <c r="AF5529" s="385">
        <v>0.29166666666666669</v>
      </c>
      <c r="AG5529" s="386">
        <v>17.3</v>
      </c>
      <c r="AH5529" s="387">
        <f t="shared" si="101"/>
        <v>17</v>
      </c>
    </row>
    <row r="5530" spans="11:34" ht="14.5" x14ac:dyDescent="0.35">
      <c r="K5530" s="4"/>
      <c r="AC5530" s="384">
        <v>2022</v>
      </c>
      <c r="AD5530" s="384">
        <v>8</v>
      </c>
      <c r="AE5530" s="384">
        <v>19</v>
      </c>
      <c r="AF5530" s="385">
        <v>0.33333333333333331</v>
      </c>
      <c r="AG5530" s="386">
        <v>20.3</v>
      </c>
      <c r="AH5530" s="387">
        <f t="shared" si="101"/>
        <v>20</v>
      </c>
    </row>
    <row r="5531" spans="11:34" ht="14.5" x14ac:dyDescent="0.35">
      <c r="K5531" s="4"/>
      <c r="AC5531" s="384">
        <v>2022</v>
      </c>
      <c r="AD5531" s="384">
        <v>8</v>
      </c>
      <c r="AE5531" s="384">
        <v>19</v>
      </c>
      <c r="AF5531" s="385">
        <v>0.375</v>
      </c>
      <c r="AG5531" s="386">
        <v>22.7</v>
      </c>
      <c r="AH5531" s="387">
        <f t="shared" si="101"/>
        <v>23</v>
      </c>
    </row>
    <row r="5532" spans="11:34" ht="14.5" x14ac:dyDescent="0.35">
      <c r="K5532" s="4"/>
      <c r="AC5532" s="384">
        <v>2022</v>
      </c>
      <c r="AD5532" s="384">
        <v>8</v>
      </c>
      <c r="AE5532" s="384">
        <v>19</v>
      </c>
      <c r="AF5532" s="385">
        <v>0.41666666666666669</v>
      </c>
      <c r="AG5532" s="386">
        <v>24.2</v>
      </c>
      <c r="AH5532" s="387">
        <f t="shared" si="101"/>
        <v>24</v>
      </c>
    </row>
    <row r="5533" spans="11:34" ht="14.5" x14ac:dyDescent="0.35">
      <c r="K5533" s="4"/>
      <c r="AC5533" s="384">
        <v>2022</v>
      </c>
      <c r="AD5533" s="384">
        <v>8</v>
      </c>
      <c r="AE5533" s="384">
        <v>19</v>
      </c>
      <c r="AF5533" s="385">
        <v>0.45833333333333331</v>
      </c>
      <c r="AG5533" s="386">
        <v>27.5</v>
      </c>
      <c r="AH5533" s="387">
        <f t="shared" si="101"/>
        <v>28</v>
      </c>
    </row>
    <row r="5534" spans="11:34" ht="14.5" x14ac:dyDescent="0.35">
      <c r="K5534" s="4"/>
      <c r="AC5534" s="384">
        <v>2022</v>
      </c>
      <c r="AD5534" s="384">
        <v>8</v>
      </c>
      <c r="AE5534" s="384">
        <v>19</v>
      </c>
      <c r="AF5534" s="385">
        <v>0.5</v>
      </c>
      <c r="AG5534" s="386">
        <v>29.7</v>
      </c>
      <c r="AH5534" s="387">
        <f t="shared" si="101"/>
        <v>30</v>
      </c>
    </row>
    <row r="5535" spans="11:34" ht="14.5" x14ac:dyDescent="0.35">
      <c r="K5535" s="4"/>
      <c r="AC5535" s="384">
        <v>2022</v>
      </c>
      <c r="AD5535" s="384">
        <v>8</v>
      </c>
      <c r="AE5535" s="384">
        <v>19</v>
      </c>
      <c r="AF5535" s="385">
        <v>0.54166666666666663</v>
      </c>
      <c r="AG5535" s="386">
        <v>30</v>
      </c>
      <c r="AH5535" s="387">
        <f t="shared" si="101"/>
        <v>30</v>
      </c>
    </row>
    <row r="5536" spans="11:34" ht="14.5" x14ac:dyDescent="0.35">
      <c r="K5536" s="4"/>
      <c r="AC5536" s="384">
        <v>2022</v>
      </c>
      <c r="AD5536" s="384">
        <v>8</v>
      </c>
      <c r="AE5536" s="384">
        <v>19</v>
      </c>
      <c r="AF5536" s="385">
        <v>0.58333333333333337</v>
      </c>
      <c r="AG5536" s="386">
        <v>30.4</v>
      </c>
      <c r="AH5536" s="387">
        <f t="shared" si="101"/>
        <v>30</v>
      </c>
    </row>
    <row r="5537" spans="11:34" ht="14.5" x14ac:dyDescent="0.35">
      <c r="K5537" s="4"/>
      <c r="AC5537" s="384">
        <v>2022</v>
      </c>
      <c r="AD5537" s="384">
        <v>8</v>
      </c>
      <c r="AE5537" s="384">
        <v>19</v>
      </c>
      <c r="AF5537" s="385">
        <v>0.625</v>
      </c>
      <c r="AG5537" s="386">
        <v>31.1</v>
      </c>
      <c r="AH5537" s="387">
        <f t="shared" si="101"/>
        <v>31</v>
      </c>
    </row>
    <row r="5538" spans="11:34" ht="14.5" x14ac:dyDescent="0.35">
      <c r="K5538" s="4"/>
      <c r="AC5538" s="384">
        <v>2022</v>
      </c>
      <c r="AD5538" s="384">
        <v>8</v>
      </c>
      <c r="AE5538" s="384">
        <v>19</v>
      </c>
      <c r="AF5538" s="385">
        <v>0.66666666666666663</v>
      </c>
      <c r="AG5538" s="386">
        <v>31</v>
      </c>
      <c r="AH5538" s="387">
        <f t="shared" si="101"/>
        <v>31</v>
      </c>
    </row>
    <row r="5539" spans="11:34" ht="14.5" x14ac:dyDescent="0.35">
      <c r="K5539" s="4"/>
      <c r="AC5539" s="384">
        <v>2022</v>
      </c>
      <c r="AD5539" s="384">
        <v>8</v>
      </c>
      <c r="AE5539" s="384">
        <v>19</v>
      </c>
      <c r="AF5539" s="385">
        <v>0.70833333333333337</v>
      </c>
      <c r="AG5539" s="386">
        <v>30.3</v>
      </c>
      <c r="AH5539" s="387">
        <f t="shared" si="101"/>
        <v>30</v>
      </c>
    </row>
    <row r="5540" spans="11:34" ht="14.5" x14ac:dyDescent="0.35">
      <c r="K5540" s="4"/>
      <c r="AC5540" s="384">
        <v>2022</v>
      </c>
      <c r="AD5540" s="384">
        <v>8</v>
      </c>
      <c r="AE5540" s="384">
        <v>19</v>
      </c>
      <c r="AF5540" s="385">
        <v>0.75</v>
      </c>
      <c r="AG5540" s="386">
        <v>29.3</v>
      </c>
      <c r="AH5540" s="387">
        <f t="shared" si="101"/>
        <v>29</v>
      </c>
    </row>
    <row r="5541" spans="11:34" ht="14.5" x14ac:dyDescent="0.35">
      <c r="K5541" s="4"/>
      <c r="AC5541" s="384">
        <v>2022</v>
      </c>
      <c r="AD5541" s="384">
        <v>8</v>
      </c>
      <c r="AE5541" s="384">
        <v>19</v>
      </c>
      <c r="AF5541" s="385">
        <v>0.79166666666666663</v>
      </c>
      <c r="AG5541" s="386">
        <v>26.7</v>
      </c>
      <c r="AH5541" s="387">
        <f t="shared" si="101"/>
        <v>27</v>
      </c>
    </row>
    <row r="5542" spans="11:34" ht="14.5" x14ac:dyDescent="0.35">
      <c r="K5542" s="4"/>
      <c r="AC5542" s="384">
        <v>2022</v>
      </c>
      <c r="AD5542" s="384">
        <v>8</v>
      </c>
      <c r="AE5542" s="384">
        <v>19</v>
      </c>
      <c r="AF5542" s="385">
        <v>0.83333333333333337</v>
      </c>
      <c r="AG5542" s="386">
        <v>23.9</v>
      </c>
      <c r="AH5542" s="387">
        <f t="shared" si="101"/>
        <v>24</v>
      </c>
    </row>
    <row r="5543" spans="11:34" ht="14.5" x14ac:dyDescent="0.35">
      <c r="K5543" s="4"/>
      <c r="AC5543" s="384">
        <v>2022</v>
      </c>
      <c r="AD5543" s="384">
        <v>8</v>
      </c>
      <c r="AE5543" s="384">
        <v>19</v>
      </c>
      <c r="AF5543" s="385">
        <v>0.875</v>
      </c>
      <c r="AG5543" s="386">
        <v>21.9</v>
      </c>
      <c r="AH5543" s="387">
        <f t="shared" si="101"/>
        <v>22</v>
      </c>
    </row>
    <row r="5544" spans="11:34" ht="14.5" x14ac:dyDescent="0.35">
      <c r="K5544" s="4"/>
      <c r="AC5544" s="384">
        <v>2022</v>
      </c>
      <c r="AD5544" s="384">
        <v>8</v>
      </c>
      <c r="AE5544" s="384">
        <v>19</v>
      </c>
      <c r="AF5544" s="385">
        <v>0.91666666666666663</v>
      </c>
      <c r="AG5544" s="386">
        <v>20.6</v>
      </c>
      <c r="AH5544" s="387">
        <f t="shared" si="101"/>
        <v>21</v>
      </c>
    </row>
    <row r="5545" spans="11:34" ht="14.5" x14ac:dyDescent="0.35">
      <c r="K5545" s="4"/>
      <c r="AC5545" s="384">
        <v>2022</v>
      </c>
      <c r="AD5545" s="384">
        <v>8</v>
      </c>
      <c r="AE5545" s="384">
        <v>19</v>
      </c>
      <c r="AF5545" s="385">
        <v>0.95833333333333337</v>
      </c>
      <c r="AG5545" s="386">
        <v>18.7</v>
      </c>
      <c r="AH5545" s="387">
        <f t="shared" si="101"/>
        <v>19</v>
      </c>
    </row>
    <row r="5546" spans="11:34" ht="14.5" x14ac:dyDescent="0.35">
      <c r="K5546" s="4"/>
      <c r="AC5546" s="384">
        <v>2022</v>
      </c>
      <c r="AD5546" s="384">
        <v>8</v>
      </c>
      <c r="AE5546" s="384">
        <v>20</v>
      </c>
      <c r="AF5546" s="385">
        <v>0</v>
      </c>
      <c r="AG5546" s="386">
        <v>17.399999999999999</v>
      </c>
      <c r="AH5546" s="387">
        <f t="shared" si="101"/>
        <v>17</v>
      </c>
    </row>
    <row r="5547" spans="11:34" ht="14.5" x14ac:dyDescent="0.35">
      <c r="K5547" s="4"/>
      <c r="AC5547" s="384">
        <v>2022</v>
      </c>
      <c r="AD5547" s="384">
        <v>8</v>
      </c>
      <c r="AE5547" s="384">
        <v>20</v>
      </c>
      <c r="AF5547" s="385">
        <v>4.1666666666666664E-2</v>
      </c>
      <c r="AG5547" s="386">
        <v>16.7</v>
      </c>
      <c r="AH5547" s="387">
        <f t="shared" si="101"/>
        <v>17</v>
      </c>
    </row>
    <row r="5548" spans="11:34" ht="14.5" x14ac:dyDescent="0.35">
      <c r="K5548" s="4"/>
      <c r="AC5548" s="384">
        <v>2022</v>
      </c>
      <c r="AD5548" s="384">
        <v>8</v>
      </c>
      <c r="AE5548" s="384">
        <v>20</v>
      </c>
      <c r="AF5548" s="385">
        <v>8.3333333333333329E-2</v>
      </c>
      <c r="AG5548" s="386">
        <v>16.600000000000001</v>
      </c>
      <c r="AH5548" s="387">
        <f t="shared" si="101"/>
        <v>17</v>
      </c>
    </row>
    <row r="5549" spans="11:34" ht="14.5" x14ac:dyDescent="0.35">
      <c r="K5549" s="4"/>
      <c r="AC5549" s="384">
        <v>2022</v>
      </c>
      <c r="AD5549" s="384">
        <v>8</v>
      </c>
      <c r="AE5549" s="384">
        <v>20</v>
      </c>
      <c r="AF5549" s="385">
        <v>0.125</v>
      </c>
      <c r="AG5549" s="386">
        <v>14.7</v>
      </c>
      <c r="AH5549" s="387">
        <f t="shared" si="101"/>
        <v>15</v>
      </c>
    </row>
    <row r="5550" spans="11:34" ht="14.5" x14ac:dyDescent="0.35">
      <c r="K5550" s="4"/>
      <c r="AC5550" s="384">
        <v>2022</v>
      </c>
      <c r="AD5550" s="384">
        <v>8</v>
      </c>
      <c r="AE5550" s="384">
        <v>20</v>
      </c>
      <c r="AF5550" s="385">
        <v>0.16666666666666666</v>
      </c>
      <c r="AG5550" s="386">
        <v>14.8</v>
      </c>
      <c r="AH5550" s="387">
        <f t="shared" si="101"/>
        <v>15</v>
      </c>
    </row>
    <row r="5551" spans="11:34" ht="14.5" x14ac:dyDescent="0.35">
      <c r="K5551" s="4"/>
      <c r="AC5551" s="384">
        <v>2022</v>
      </c>
      <c r="AD5551" s="384">
        <v>8</v>
      </c>
      <c r="AE5551" s="384">
        <v>20</v>
      </c>
      <c r="AF5551" s="385">
        <v>0.20833333333333334</v>
      </c>
      <c r="AG5551" s="386">
        <v>15</v>
      </c>
      <c r="AH5551" s="387">
        <f t="shared" si="101"/>
        <v>15</v>
      </c>
    </row>
    <row r="5552" spans="11:34" ht="14.5" x14ac:dyDescent="0.35">
      <c r="K5552" s="4"/>
      <c r="AC5552" s="384">
        <v>2022</v>
      </c>
      <c r="AD5552" s="384">
        <v>8</v>
      </c>
      <c r="AE5552" s="384">
        <v>20</v>
      </c>
      <c r="AF5552" s="385">
        <v>0.25</v>
      </c>
      <c r="AG5552" s="386">
        <v>17</v>
      </c>
      <c r="AH5552" s="387">
        <f t="shared" si="101"/>
        <v>17</v>
      </c>
    </row>
    <row r="5553" spans="11:34" ht="14.5" x14ac:dyDescent="0.35">
      <c r="K5553" s="4"/>
      <c r="AC5553" s="384">
        <v>2022</v>
      </c>
      <c r="AD5553" s="384">
        <v>8</v>
      </c>
      <c r="AE5553" s="384">
        <v>20</v>
      </c>
      <c r="AF5553" s="385">
        <v>0.29166666666666669</v>
      </c>
      <c r="AG5553" s="386">
        <v>19.100000000000001</v>
      </c>
      <c r="AH5553" s="387">
        <f t="shared" si="101"/>
        <v>19</v>
      </c>
    </row>
    <row r="5554" spans="11:34" ht="14.5" x14ac:dyDescent="0.35">
      <c r="K5554" s="4"/>
      <c r="AC5554" s="384">
        <v>2022</v>
      </c>
      <c r="AD5554" s="384">
        <v>8</v>
      </c>
      <c r="AE5554" s="384">
        <v>20</v>
      </c>
      <c r="AF5554" s="385">
        <v>0.33333333333333331</v>
      </c>
      <c r="AG5554" s="386">
        <v>21.1</v>
      </c>
      <c r="AH5554" s="387">
        <f t="shared" si="101"/>
        <v>21</v>
      </c>
    </row>
    <row r="5555" spans="11:34" ht="14.5" x14ac:dyDescent="0.35">
      <c r="K5555" s="4"/>
      <c r="AC5555" s="384">
        <v>2022</v>
      </c>
      <c r="AD5555" s="384">
        <v>8</v>
      </c>
      <c r="AE5555" s="384">
        <v>20</v>
      </c>
      <c r="AF5555" s="385">
        <v>0.375</v>
      </c>
      <c r="AG5555" s="386">
        <v>22.6</v>
      </c>
      <c r="AH5555" s="387">
        <f t="shared" si="101"/>
        <v>23</v>
      </c>
    </row>
    <row r="5556" spans="11:34" ht="14.5" x14ac:dyDescent="0.35">
      <c r="K5556" s="4"/>
      <c r="AC5556" s="384">
        <v>2022</v>
      </c>
      <c r="AD5556" s="384">
        <v>8</v>
      </c>
      <c r="AE5556" s="384">
        <v>20</v>
      </c>
      <c r="AF5556" s="385">
        <v>0.41666666666666669</v>
      </c>
      <c r="AG5556" s="386">
        <v>23.9</v>
      </c>
      <c r="AH5556" s="387">
        <f t="shared" si="101"/>
        <v>24</v>
      </c>
    </row>
    <row r="5557" spans="11:34" ht="14.5" x14ac:dyDescent="0.35">
      <c r="K5557" s="4"/>
      <c r="AC5557" s="384">
        <v>2022</v>
      </c>
      <c r="AD5557" s="384">
        <v>8</v>
      </c>
      <c r="AE5557" s="384">
        <v>20</v>
      </c>
      <c r="AF5557" s="385">
        <v>0.45833333333333331</v>
      </c>
      <c r="AG5557" s="386">
        <v>23.4</v>
      </c>
      <c r="AH5557" s="387">
        <f t="shared" si="101"/>
        <v>23</v>
      </c>
    </row>
    <row r="5558" spans="11:34" ht="14.5" x14ac:dyDescent="0.35">
      <c r="K5558" s="4"/>
      <c r="AC5558" s="384">
        <v>2022</v>
      </c>
      <c r="AD5558" s="384">
        <v>8</v>
      </c>
      <c r="AE5558" s="384">
        <v>20</v>
      </c>
      <c r="AF5558" s="385">
        <v>0.5</v>
      </c>
      <c r="AG5558" s="386">
        <v>23.4</v>
      </c>
      <c r="AH5558" s="387">
        <f t="shared" si="101"/>
        <v>23</v>
      </c>
    </row>
    <row r="5559" spans="11:34" ht="14.5" x14ac:dyDescent="0.35">
      <c r="K5559" s="4"/>
      <c r="AC5559" s="384">
        <v>2022</v>
      </c>
      <c r="AD5559" s="384">
        <v>8</v>
      </c>
      <c r="AE5559" s="384">
        <v>20</v>
      </c>
      <c r="AF5559" s="385">
        <v>0.54166666666666663</v>
      </c>
      <c r="AG5559" s="386">
        <v>23.7</v>
      </c>
      <c r="AH5559" s="387">
        <f t="shared" si="101"/>
        <v>24</v>
      </c>
    </row>
    <row r="5560" spans="11:34" ht="14.5" x14ac:dyDescent="0.35">
      <c r="K5560" s="4"/>
      <c r="AC5560" s="384">
        <v>2022</v>
      </c>
      <c r="AD5560" s="384">
        <v>8</v>
      </c>
      <c r="AE5560" s="384">
        <v>20</v>
      </c>
      <c r="AF5560" s="385">
        <v>0.58333333333333337</v>
      </c>
      <c r="AG5560" s="386">
        <v>24.3</v>
      </c>
      <c r="AH5560" s="387">
        <f t="shared" si="101"/>
        <v>24</v>
      </c>
    </row>
    <row r="5561" spans="11:34" ht="14.5" x14ac:dyDescent="0.35">
      <c r="K5561" s="4"/>
      <c r="AC5561" s="384">
        <v>2022</v>
      </c>
      <c r="AD5561" s="384">
        <v>8</v>
      </c>
      <c r="AE5561" s="384">
        <v>20</v>
      </c>
      <c r="AF5561" s="385">
        <v>0.625</v>
      </c>
      <c r="AG5561" s="386">
        <v>22.5</v>
      </c>
      <c r="AH5561" s="387">
        <f t="shared" si="101"/>
        <v>23</v>
      </c>
    </row>
    <row r="5562" spans="11:34" ht="14.5" x14ac:dyDescent="0.35">
      <c r="K5562" s="4"/>
      <c r="AC5562" s="384">
        <v>2022</v>
      </c>
      <c r="AD5562" s="384">
        <v>8</v>
      </c>
      <c r="AE5562" s="384">
        <v>20</v>
      </c>
      <c r="AF5562" s="385">
        <v>0.66666666666666663</v>
      </c>
      <c r="AG5562" s="386">
        <v>25.5</v>
      </c>
      <c r="AH5562" s="387">
        <f t="shared" si="101"/>
        <v>26</v>
      </c>
    </row>
    <row r="5563" spans="11:34" ht="14.5" x14ac:dyDescent="0.35">
      <c r="K5563" s="4"/>
      <c r="AC5563" s="384">
        <v>2022</v>
      </c>
      <c r="AD5563" s="384">
        <v>8</v>
      </c>
      <c r="AE5563" s="384">
        <v>20</v>
      </c>
      <c r="AF5563" s="385">
        <v>0.70833333333333337</v>
      </c>
      <c r="AG5563" s="386">
        <v>26.6</v>
      </c>
      <c r="AH5563" s="387">
        <f t="shared" si="101"/>
        <v>27</v>
      </c>
    </row>
    <row r="5564" spans="11:34" ht="14.5" x14ac:dyDescent="0.35">
      <c r="K5564" s="4"/>
      <c r="AC5564" s="384">
        <v>2022</v>
      </c>
      <c r="AD5564" s="384">
        <v>8</v>
      </c>
      <c r="AE5564" s="384">
        <v>20</v>
      </c>
      <c r="AF5564" s="385">
        <v>0.75</v>
      </c>
      <c r="AG5564" s="386">
        <v>25.5</v>
      </c>
      <c r="AH5564" s="387">
        <f t="shared" si="101"/>
        <v>26</v>
      </c>
    </row>
    <row r="5565" spans="11:34" ht="14.5" x14ac:dyDescent="0.35">
      <c r="K5565" s="4"/>
      <c r="AC5565" s="384">
        <v>2022</v>
      </c>
      <c r="AD5565" s="384">
        <v>8</v>
      </c>
      <c r="AE5565" s="384">
        <v>20</v>
      </c>
      <c r="AF5565" s="385">
        <v>0.79166666666666663</v>
      </c>
      <c r="AG5565" s="386">
        <v>23.8</v>
      </c>
      <c r="AH5565" s="387">
        <f t="shared" si="101"/>
        <v>24</v>
      </c>
    </row>
    <row r="5566" spans="11:34" ht="14.5" x14ac:dyDescent="0.35">
      <c r="K5566" s="4"/>
      <c r="AC5566" s="384">
        <v>2022</v>
      </c>
      <c r="AD5566" s="384">
        <v>8</v>
      </c>
      <c r="AE5566" s="384">
        <v>20</v>
      </c>
      <c r="AF5566" s="385">
        <v>0.83333333333333337</v>
      </c>
      <c r="AG5566" s="386">
        <v>21</v>
      </c>
      <c r="AH5566" s="387">
        <f t="shared" si="101"/>
        <v>21</v>
      </c>
    </row>
    <row r="5567" spans="11:34" ht="14.5" x14ac:dyDescent="0.35">
      <c r="K5567" s="4"/>
      <c r="AC5567" s="384">
        <v>2022</v>
      </c>
      <c r="AD5567" s="384">
        <v>8</v>
      </c>
      <c r="AE5567" s="384">
        <v>20</v>
      </c>
      <c r="AF5567" s="385">
        <v>0.875</v>
      </c>
      <c r="AG5567" s="386">
        <v>18.8</v>
      </c>
      <c r="AH5567" s="387">
        <f t="shared" si="101"/>
        <v>19</v>
      </c>
    </row>
    <row r="5568" spans="11:34" ht="14.5" x14ac:dyDescent="0.35">
      <c r="K5568" s="4"/>
      <c r="AC5568" s="384">
        <v>2022</v>
      </c>
      <c r="AD5568" s="384">
        <v>8</v>
      </c>
      <c r="AE5568" s="384">
        <v>20</v>
      </c>
      <c r="AF5568" s="385">
        <v>0.91666666666666663</v>
      </c>
      <c r="AG5568" s="386">
        <v>17.7</v>
      </c>
      <c r="AH5568" s="387">
        <f t="shared" si="101"/>
        <v>18</v>
      </c>
    </row>
    <row r="5569" spans="11:34" ht="14.5" x14ac:dyDescent="0.35">
      <c r="K5569" s="4"/>
      <c r="AC5569" s="384">
        <v>2022</v>
      </c>
      <c r="AD5569" s="384">
        <v>8</v>
      </c>
      <c r="AE5569" s="384">
        <v>20</v>
      </c>
      <c r="AF5569" s="385">
        <v>0.95833333333333337</v>
      </c>
      <c r="AG5569" s="386">
        <v>18.2</v>
      </c>
      <c r="AH5569" s="387">
        <f t="shared" si="101"/>
        <v>18</v>
      </c>
    </row>
    <row r="5570" spans="11:34" ht="14.5" x14ac:dyDescent="0.35">
      <c r="K5570" s="4"/>
      <c r="AC5570" s="384">
        <v>2022</v>
      </c>
      <c r="AD5570" s="384">
        <v>8</v>
      </c>
      <c r="AE5570" s="384">
        <v>21</v>
      </c>
      <c r="AF5570" s="385">
        <v>0</v>
      </c>
      <c r="AG5570" s="386">
        <v>18.3</v>
      </c>
      <c r="AH5570" s="387">
        <f t="shared" si="101"/>
        <v>18</v>
      </c>
    </row>
    <row r="5571" spans="11:34" ht="14.5" x14ac:dyDescent="0.35">
      <c r="K5571" s="4"/>
      <c r="AC5571" s="384">
        <v>2022</v>
      </c>
      <c r="AD5571" s="384">
        <v>8</v>
      </c>
      <c r="AE5571" s="384">
        <v>21</v>
      </c>
      <c r="AF5571" s="385">
        <v>4.1666666666666664E-2</v>
      </c>
      <c r="AG5571" s="386">
        <v>16.600000000000001</v>
      </c>
      <c r="AH5571" s="387">
        <f t="shared" si="101"/>
        <v>17</v>
      </c>
    </row>
    <row r="5572" spans="11:34" ht="14.5" x14ac:dyDescent="0.35">
      <c r="K5572" s="4"/>
      <c r="AC5572" s="384">
        <v>2022</v>
      </c>
      <c r="AD5572" s="384">
        <v>8</v>
      </c>
      <c r="AE5572" s="384">
        <v>21</v>
      </c>
      <c r="AF5572" s="385">
        <v>8.3333333333333329E-2</v>
      </c>
      <c r="AG5572" s="386">
        <v>15.5</v>
      </c>
      <c r="AH5572" s="387">
        <f t="shared" si="101"/>
        <v>16</v>
      </c>
    </row>
    <row r="5573" spans="11:34" ht="14.5" x14ac:dyDescent="0.35">
      <c r="K5573" s="4"/>
      <c r="AC5573" s="384">
        <v>2022</v>
      </c>
      <c r="AD5573" s="384">
        <v>8</v>
      </c>
      <c r="AE5573" s="384">
        <v>21</v>
      </c>
      <c r="AF5573" s="385">
        <v>0.125</v>
      </c>
      <c r="AG5573" s="386">
        <v>15.5</v>
      </c>
      <c r="AH5573" s="387">
        <f t="shared" si="101"/>
        <v>16</v>
      </c>
    </row>
    <row r="5574" spans="11:34" ht="14.5" x14ac:dyDescent="0.35">
      <c r="K5574" s="4"/>
      <c r="AC5574" s="384">
        <v>2022</v>
      </c>
      <c r="AD5574" s="384">
        <v>8</v>
      </c>
      <c r="AE5574" s="384">
        <v>21</v>
      </c>
      <c r="AF5574" s="385">
        <v>0.16666666666666666</v>
      </c>
      <c r="AG5574" s="386">
        <v>15.2</v>
      </c>
      <c r="AH5574" s="387">
        <f t="shared" si="101"/>
        <v>15</v>
      </c>
    </row>
    <row r="5575" spans="11:34" ht="14.5" x14ac:dyDescent="0.35">
      <c r="K5575" s="4"/>
      <c r="AC5575" s="384">
        <v>2022</v>
      </c>
      <c r="AD5575" s="384">
        <v>8</v>
      </c>
      <c r="AE5575" s="384">
        <v>21</v>
      </c>
      <c r="AF5575" s="385">
        <v>0.20833333333333334</v>
      </c>
      <c r="AG5575" s="386">
        <v>14.8</v>
      </c>
      <c r="AH5575" s="387">
        <f t="shared" si="101"/>
        <v>15</v>
      </c>
    </row>
    <row r="5576" spans="11:34" ht="14.5" x14ac:dyDescent="0.35">
      <c r="K5576" s="4"/>
      <c r="AC5576" s="384">
        <v>2022</v>
      </c>
      <c r="AD5576" s="384">
        <v>8</v>
      </c>
      <c r="AE5576" s="384">
        <v>21</v>
      </c>
      <c r="AF5576" s="385">
        <v>0.25</v>
      </c>
      <c r="AG5576" s="386">
        <v>14.9</v>
      </c>
      <c r="AH5576" s="387">
        <f t="shared" si="101"/>
        <v>15</v>
      </c>
    </row>
    <row r="5577" spans="11:34" ht="14.5" x14ac:dyDescent="0.35">
      <c r="K5577" s="4"/>
      <c r="AC5577" s="384">
        <v>2022</v>
      </c>
      <c r="AD5577" s="384">
        <v>8</v>
      </c>
      <c r="AE5577" s="384">
        <v>21</v>
      </c>
      <c r="AF5577" s="385">
        <v>0.29166666666666669</v>
      </c>
      <c r="AG5577" s="386">
        <v>16.8</v>
      </c>
      <c r="AH5577" s="387">
        <f t="shared" si="101"/>
        <v>17</v>
      </c>
    </row>
    <row r="5578" spans="11:34" ht="14.5" x14ac:dyDescent="0.35">
      <c r="K5578" s="4"/>
      <c r="AC5578" s="384">
        <v>2022</v>
      </c>
      <c r="AD5578" s="384">
        <v>8</v>
      </c>
      <c r="AE5578" s="384">
        <v>21</v>
      </c>
      <c r="AF5578" s="385">
        <v>0.33333333333333331</v>
      </c>
      <c r="AG5578" s="386">
        <v>18.8</v>
      </c>
      <c r="AH5578" s="387">
        <f t="shared" si="101"/>
        <v>19</v>
      </c>
    </row>
    <row r="5579" spans="11:34" ht="14.5" x14ac:dyDescent="0.35">
      <c r="K5579" s="4"/>
      <c r="AC5579" s="384">
        <v>2022</v>
      </c>
      <c r="AD5579" s="384">
        <v>8</v>
      </c>
      <c r="AE5579" s="384">
        <v>21</v>
      </c>
      <c r="AF5579" s="385">
        <v>0.375</v>
      </c>
      <c r="AG5579" s="386">
        <v>19.7</v>
      </c>
      <c r="AH5579" s="387">
        <f t="shared" ref="AH5579:AH5642" si="102">ROUND(AG5579,0)</f>
        <v>20</v>
      </c>
    </row>
    <row r="5580" spans="11:34" ht="14.5" x14ac:dyDescent="0.35">
      <c r="K5580" s="4"/>
      <c r="AC5580" s="384">
        <v>2022</v>
      </c>
      <c r="AD5580" s="384">
        <v>8</v>
      </c>
      <c r="AE5580" s="384">
        <v>21</v>
      </c>
      <c r="AF5580" s="385">
        <v>0.41666666666666669</v>
      </c>
      <c r="AG5580" s="386">
        <v>21</v>
      </c>
      <c r="AH5580" s="387">
        <f t="shared" si="102"/>
        <v>21</v>
      </c>
    </row>
    <row r="5581" spans="11:34" ht="14.5" x14ac:dyDescent="0.35">
      <c r="K5581" s="4"/>
      <c r="AC5581" s="384">
        <v>2022</v>
      </c>
      <c r="AD5581" s="384">
        <v>8</v>
      </c>
      <c r="AE5581" s="384">
        <v>21</v>
      </c>
      <c r="AF5581" s="385">
        <v>0.45833333333333331</v>
      </c>
      <c r="AG5581" s="386">
        <v>21.8</v>
      </c>
      <c r="AH5581" s="387">
        <f t="shared" si="102"/>
        <v>22</v>
      </c>
    </row>
    <row r="5582" spans="11:34" ht="14.5" x14ac:dyDescent="0.35">
      <c r="K5582" s="4"/>
      <c r="AC5582" s="384">
        <v>2022</v>
      </c>
      <c r="AD5582" s="384">
        <v>8</v>
      </c>
      <c r="AE5582" s="384">
        <v>21</v>
      </c>
      <c r="AF5582" s="385">
        <v>0.5</v>
      </c>
      <c r="AG5582" s="386">
        <v>23.8</v>
      </c>
      <c r="AH5582" s="387">
        <f t="shared" si="102"/>
        <v>24</v>
      </c>
    </row>
    <row r="5583" spans="11:34" ht="14.5" x14ac:dyDescent="0.35">
      <c r="K5583" s="4"/>
      <c r="AC5583" s="384">
        <v>2022</v>
      </c>
      <c r="AD5583" s="384">
        <v>8</v>
      </c>
      <c r="AE5583" s="384">
        <v>21</v>
      </c>
      <c r="AF5583" s="385">
        <v>0.54166666666666663</v>
      </c>
      <c r="AG5583" s="386">
        <v>24.5</v>
      </c>
      <c r="AH5583" s="387">
        <f t="shared" si="102"/>
        <v>25</v>
      </c>
    </row>
    <row r="5584" spans="11:34" ht="14.5" x14ac:dyDescent="0.35">
      <c r="K5584" s="4"/>
      <c r="AC5584" s="384">
        <v>2022</v>
      </c>
      <c r="AD5584" s="384">
        <v>8</v>
      </c>
      <c r="AE5584" s="384">
        <v>21</v>
      </c>
      <c r="AF5584" s="385">
        <v>0.58333333333333337</v>
      </c>
      <c r="AG5584" s="386">
        <v>23.9</v>
      </c>
      <c r="AH5584" s="387">
        <f t="shared" si="102"/>
        <v>24</v>
      </c>
    </row>
    <row r="5585" spans="11:34" ht="14.5" x14ac:dyDescent="0.35">
      <c r="K5585" s="4"/>
      <c r="AC5585" s="384">
        <v>2022</v>
      </c>
      <c r="AD5585" s="384">
        <v>8</v>
      </c>
      <c r="AE5585" s="384">
        <v>21</v>
      </c>
      <c r="AF5585" s="385">
        <v>0.625</v>
      </c>
      <c r="AG5585" s="386">
        <v>25.1</v>
      </c>
      <c r="AH5585" s="387">
        <f t="shared" si="102"/>
        <v>25</v>
      </c>
    </row>
    <row r="5586" spans="11:34" ht="14.5" x14ac:dyDescent="0.35">
      <c r="K5586" s="4"/>
      <c r="AC5586" s="384">
        <v>2022</v>
      </c>
      <c r="AD5586" s="384">
        <v>8</v>
      </c>
      <c r="AE5586" s="384">
        <v>21</v>
      </c>
      <c r="AF5586" s="385">
        <v>0.66666666666666663</v>
      </c>
      <c r="AG5586" s="386">
        <v>23</v>
      </c>
      <c r="AH5586" s="387">
        <f t="shared" si="102"/>
        <v>23</v>
      </c>
    </row>
    <row r="5587" spans="11:34" ht="14.5" x14ac:dyDescent="0.35">
      <c r="K5587" s="4"/>
      <c r="AC5587" s="384">
        <v>2022</v>
      </c>
      <c r="AD5587" s="384">
        <v>8</v>
      </c>
      <c r="AE5587" s="384">
        <v>21</v>
      </c>
      <c r="AF5587" s="385">
        <v>0.70833333333333337</v>
      </c>
      <c r="AG5587" s="386">
        <v>19.399999999999999</v>
      </c>
      <c r="AH5587" s="387">
        <f t="shared" si="102"/>
        <v>19</v>
      </c>
    </row>
    <row r="5588" spans="11:34" ht="14.5" x14ac:dyDescent="0.35">
      <c r="K5588" s="4"/>
      <c r="AC5588" s="384">
        <v>2022</v>
      </c>
      <c r="AD5588" s="384">
        <v>8</v>
      </c>
      <c r="AE5588" s="384">
        <v>21</v>
      </c>
      <c r="AF5588" s="385">
        <v>0.75</v>
      </c>
      <c r="AG5588" s="386">
        <v>18.100000000000001</v>
      </c>
      <c r="AH5588" s="387">
        <f t="shared" si="102"/>
        <v>18</v>
      </c>
    </row>
    <row r="5589" spans="11:34" ht="14.5" x14ac:dyDescent="0.35">
      <c r="K5589" s="4"/>
      <c r="AC5589" s="384">
        <v>2022</v>
      </c>
      <c r="AD5589" s="384">
        <v>8</v>
      </c>
      <c r="AE5589" s="384">
        <v>21</v>
      </c>
      <c r="AF5589" s="385">
        <v>0.79166666666666663</v>
      </c>
      <c r="AG5589" s="386">
        <v>17.5</v>
      </c>
      <c r="AH5589" s="387">
        <f t="shared" si="102"/>
        <v>18</v>
      </c>
    </row>
    <row r="5590" spans="11:34" ht="14.5" x14ac:dyDescent="0.35">
      <c r="K5590" s="4"/>
      <c r="AC5590" s="384">
        <v>2022</v>
      </c>
      <c r="AD5590" s="384">
        <v>8</v>
      </c>
      <c r="AE5590" s="384">
        <v>21</v>
      </c>
      <c r="AF5590" s="385">
        <v>0.83333333333333337</v>
      </c>
      <c r="AG5590" s="386">
        <v>17.100000000000001</v>
      </c>
      <c r="AH5590" s="387">
        <f t="shared" si="102"/>
        <v>17</v>
      </c>
    </row>
    <row r="5591" spans="11:34" ht="14.5" x14ac:dyDescent="0.35">
      <c r="K5591" s="4"/>
      <c r="AC5591" s="384">
        <v>2022</v>
      </c>
      <c r="AD5591" s="384">
        <v>8</v>
      </c>
      <c r="AE5591" s="384">
        <v>21</v>
      </c>
      <c r="AF5591" s="385">
        <v>0.875</v>
      </c>
      <c r="AG5591" s="386">
        <v>16.899999999999999</v>
      </c>
      <c r="AH5591" s="387">
        <f t="shared" si="102"/>
        <v>17</v>
      </c>
    </row>
    <row r="5592" spans="11:34" ht="14.5" x14ac:dyDescent="0.35">
      <c r="K5592" s="4"/>
      <c r="AC5592" s="384">
        <v>2022</v>
      </c>
      <c r="AD5592" s="384">
        <v>8</v>
      </c>
      <c r="AE5592" s="384">
        <v>21</v>
      </c>
      <c r="AF5592" s="385">
        <v>0.91666666666666663</v>
      </c>
      <c r="AG5592" s="386">
        <v>16.3</v>
      </c>
      <c r="AH5592" s="387">
        <f t="shared" si="102"/>
        <v>16</v>
      </c>
    </row>
    <row r="5593" spans="11:34" ht="14.5" x14ac:dyDescent="0.35">
      <c r="K5593" s="4"/>
      <c r="AC5593" s="384">
        <v>2022</v>
      </c>
      <c r="AD5593" s="384">
        <v>8</v>
      </c>
      <c r="AE5593" s="384">
        <v>21</v>
      </c>
      <c r="AF5593" s="385">
        <v>0.95833333333333337</v>
      </c>
      <c r="AG5593" s="386">
        <v>15.8</v>
      </c>
      <c r="AH5593" s="387">
        <f t="shared" si="102"/>
        <v>16</v>
      </c>
    </row>
    <row r="5594" spans="11:34" ht="14.5" x14ac:dyDescent="0.35">
      <c r="K5594" s="4"/>
      <c r="AC5594" s="384">
        <v>2022</v>
      </c>
      <c r="AD5594" s="384">
        <v>8</v>
      </c>
      <c r="AE5594" s="384">
        <v>22</v>
      </c>
      <c r="AF5594" s="385">
        <v>0</v>
      </c>
      <c r="AG5594" s="386">
        <v>15.2</v>
      </c>
      <c r="AH5594" s="387">
        <f t="shared" si="102"/>
        <v>15</v>
      </c>
    </row>
    <row r="5595" spans="11:34" ht="14.5" x14ac:dyDescent="0.35">
      <c r="K5595" s="4"/>
      <c r="AC5595" s="384">
        <v>2022</v>
      </c>
      <c r="AD5595" s="384">
        <v>8</v>
      </c>
      <c r="AE5595" s="384">
        <v>22</v>
      </c>
      <c r="AF5595" s="385">
        <v>4.1666666666666664E-2</v>
      </c>
      <c r="AG5595" s="386">
        <v>14</v>
      </c>
      <c r="AH5595" s="387">
        <f t="shared" si="102"/>
        <v>14</v>
      </c>
    </row>
    <row r="5596" spans="11:34" ht="14.5" x14ac:dyDescent="0.35">
      <c r="K5596" s="4"/>
      <c r="AC5596" s="384">
        <v>2022</v>
      </c>
      <c r="AD5596" s="384">
        <v>8</v>
      </c>
      <c r="AE5596" s="384">
        <v>22</v>
      </c>
      <c r="AF5596" s="385">
        <v>8.3333333333333329E-2</v>
      </c>
      <c r="AG5596" s="386">
        <v>13.5</v>
      </c>
      <c r="AH5596" s="387">
        <f t="shared" si="102"/>
        <v>14</v>
      </c>
    </row>
    <row r="5597" spans="11:34" ht="14.5" x14ac:dyDescent="0.35">
      <c r="K5597" s="4"/>
      <c r="AC5597" s="384">
        <v>2022</v>
      </c>
      <c r="AD5597" s="384">
        <v>8</v>
      </c>
      <c r="AE5597" s="384">
        <v>22</v>
      </c>
      <c r="AF5597" s="385">
        <v>0.125</v>
      </c>
      <c r="AG5597" s="386">
        <v>13.5</v>
      </c>
      <c r="AH5597" s="387">
        <f t="shared" si="102"/>
        <v>14</v>
      </c>
    </row>
    <row r="5598" spans="11:34" ht="14.5" x14ac:dyDescent="0.35">
      <c r="K5598" s="4"/>
      <c r="AC5598" s="384">
        <v>2022</v>
      </c>
      <c r="AD5598" s="384">
        <v>8</v>
      </c>
      <c r="AE5598" s="384">
        <v>22</v>
      </c>
      <c r="AF5598" s="385">
        <v>0.16666666666666666</v>
      </c>
      <c r="AG5598" s="386">
        <v>13.8</v>
      </c>
      <c r="AH5598" s="387">
        <f t="shared" si="102"/>
        <v>14</v>
      </c>
    </row>
    <row r="5599" spans="11:34" ht="14.5" x14ac:dyDescent="0.35">
      <c r="K5599" s="4"/>
      <c r="AC5599" s="384">
        <v>2022</v>
      </c>
      <c r="AD5599" s="384">
        <v>8</v>
      </c>
      <c r="AE5599" s="384">
        <v>22</v>
      </c>
      <c r="AF5599" s="385">
        <v>0.20833333333333334</v>
      </c>
      <c r="AG5599" s="386">
        <v>12.6</v>
      </c>
      <c r="AH5599" s="387">
        <f t="shared" si="102"/>
        <v>13</v>
      </c>
    </row>
    <row r="5600" spans="11:34" ht="14.5" x14ac:dyDescent="0.35">
      <c r="K5600" s="4"/>
      <c r="AC5600" s="384">
        <v>2022</v>
      </c>
      <c r="AD5600" s="384">
        <v>8</v>
      </c>
      <c r="AE5600" s="384">
        <v>22</v>
      </c>
      <c r="AF5600" s="385">
        <v>0.25</v>
      </c>
      <c r="AG5600" s="386">
        <v>12.7</v>
      </c>
      <c r="AH5600" s="387">
        <f t="shared" si="102"/>
        <v>13</v>
      </c>
    </row>
    <row r="5601" spans="11:34" ht="14.5" x14ac:dyDescent="0.35">
      <c r="K5601" s="4"/>
      <c r="AC5601" s="384">
        <v>2022</v>
      </c>
      <c r="AD5601" s="384">
        <v>8</v>
      </c>
      <c r="AE5601" s="384">
        <v>22</v>
      </c>
      <c r="AF5601" s="385">
        <v>0.29166666666666669</v>
      </c>
      <c r="AG5601" s="386">
        <v>14.1</v>
      </c>
      <c r="AH5601" s="387">
        <f t="shared" si="102"/>
        <v>14</v>
      </c>
    </row>
    <row r="5602" spans="11:34" ht="14.5" x14ac:dyDescent="0.35">
      <c r="K5602" s="4"/>
      <c r="AC5602" s="384">
        <v>2022</v>
      </c>
      <c r="AD5602" s="384">
        <v>8</v>
      </c>
      <c r="AE5602" s="384">
        <v>22</v>
      </c>
      <c r="AF5602" s="385">
        <v>0.33333333333333331</v>
      </c>
      <c r="AG5602" s="386">
        <v>15.7</v>
      </c>
      <c r="AH5602" s="387">
        <f t="shared" si="102"/>
        <v>16</v>
      </c>
    </row>
    <row r="5603" spans="11:34" ht="14.5" x14ac:dyDescent="0.35">
      <c r="K5603" s="4"/>
      <c r="AC5603" s="384">
        <v>2022</v>
      </c>
      <c r="AD5603" s="384">
        <v>8</v>
      </c>
      <c r="AE5603" s="384">
        <v>22</v>
      </c>
      <c r="AF5603" s="385">
        <v>0.375</v>
      </c>
      <c r="AG5603" s="386">
        <v>18.2</v>
      </c>
      <c r="AH5603" s="387">
        <f t="shared" si="102"/>
        <v>18</v>
      </c>
    </row>
    <row r="5604" spans="11:34" ht="14.5" x14ac:dyDescent="0.35">
      <c r="K5604" s="4"/>
      <c r="AC5604" s="384">
        <v>2022</v>
      </c>
      <c r="AD5604" s="384">
        <v>8</v>
      </c>
      <c r="AE5604" s="384">
        <v>22</v>
      </c>
      <c r="AF5604" s="385">
        <v>0.41666666666666669</v>
      </c>
      <c r="AG5604" s="386">
        <v>20.7</v>
      </c>
      <c r="AH5604" s="387">
        <f t="shared" si="102"/>
        <v>21</v>
      </c>
    </row>
    <row r="5605" spans="11:34" ht="14.5" x14ac:dyDescent="0.35">
      <c r="K5605" s="4"/>
      <c r="AC5605" s="384">
        <v>2022</v>
      </c>
      <c r="AD5605" s="384">
        <v>8</v>
      </c>
      <c r="AE5605" s="384">
        <v>22</v>
      </c>
      <c r="AF5605" s="385">
        <v>0.45833333333333331</v>
      </c>
      <c r="AG5605" s="386">
        <v>22.1</v>
      </c>
      <c r="AH5605" s="387">
        <f t="shared" si="102"/>
        <v>22</v>
      </c>
    </row>
    <row r="5606" spans="11:34" ht="14.5" x14ac:dyDescent="0.35">
      <c r="K5606" s="4"/>
      <c r="AC5606" s="384">
        <v>2022</v>
      </c>
      <c r="AD5606" s="384">
        <v>8</v>
      </c>
      <c r="AE5606" s="384">
        <v>22</v>
      </c>
      <c r="AF5606" s="385">
        <v>0.5</v>
      </c>
      <c r="AG5606" s="386">
        <v>23.5</v>
      </c>
      <c r="AH5606" s="387">
        <f t="shared" si="102"/>
        <v>24</v>
      </c>
    </row>
    <row r="5607" spans="11:34" ht="14.5" x14ac:dyDescent="0.35">
      <c r="K5607" s="4"/>
      <c r="AC5607" s="384">
        <v>2022</v>
      </c>
      <c r="AD5607" s="384">
        <v>8</v>
      </c>
      <c r="AE5607" s="384">
        <v>22</v>
      </c>
      <c r="AF5607" s="385">
        <v>0.54166666666666663</v>
      </c>
      <c r="AG5607" s="386">
        <v>24.9</v>
      </c>
      <c r="AH5607" s="387">
        <f t="shared" si="102"/>
        <v>25</v>
      </c>
    </row>
    <row r="5608" spans="11:34" ht="14.5" x14ac:dyDescent="0.35">
      <c r="K5608" s="4"/>
      <c r="AC5608" s="384">
        <v>2022</v>
      </c>
      <c r="AD5608" s="384">
        <v>8</v>
      </c>
      <c r="AE5608" s="384">
        <v>22</v>
      </c>
      <c r="AF5608" s="385">
        <v>0.58333333333333337</v>
      </c>
      <c r="AG5608" s="386">
        <v>25.6</v>
      </c>
      <c r="AH5608" s="387">
        <f t="shared" si="102"/>
        <v>26</v>
      </c>
    </row>
    <row r="5609" spans="11:34" ht="14.5" x14ac:dyDescent="0.35">
      <c r="K5609" s="4"/>
      <c r="AC5609" s="384">
        <v>2022</v>
      </c>
      <c r="AD5609" s="384">
        <v>8</v>
      </c>
      <c r="AE5609" s="384">
        <v>22</v>
      </c>
      <c r="AF5609" s="385">
        <v>0.625</v>
      </c>
      <c r="AG5609" s="386">
        <v>26.5</v>
      </c>
      <c r="AH5609" s="387">
        <f t="shared" si="102"/>
        <v>27</v>
      </c>
    </row>
    <row r="5610" spans="11:34" ht="14.5" x14ac:dyDescent="0.35">
      <c r="K5610" s="4"/>
      <c r="AC5610" s="384">
        <v>2022</v>
      </c>
      <c r="AD5610" s="384">
        <v>8</v>
      </c>
      <c r="AE5610" s="384">
        <v>22</v>
      </c>
      <c r="AF5610" s="385">
        <v>0.66666666666666663</v>
      </c>
      <c r="AG5610" s="386">
        <v>26.3</v>
      </c>
      <c r="AH5610" s="387">
        <f t="shared" si="102"/>
        <v>26</v>
      </c>
    </row>
    <row r="5611" spans="11:34" ht="14.5" x14ac:dyDescent="0.35">
      <c r="K5611" s="4"/>
      <c r="AC5611" s="384">
        <v>2022</v>
      </c>
      <c r="AD5611" s="384">
        <v>8</v>
      </c>
      <c r="AE5611" s="384">
        <v>22</v>
      </c>
      <c r="AF5611" s="385">
        <v>0.70833333333333337</v>
      </c>
      <c r="AG5611" s="386">
        <v>26.4</v>
      </c>
      <c r="AH5611" s="387">
        <f t="shared" si="102"/>
        <v>26</v>
      </c>
    </row>
    <row r="5612" spans="11:34" ht="14.5" x14ac:dyDescent="0.35">
      <c r="K5612" s="4"/>
      <c r="AC5612" s="384">
        <v>2022</v>
      </c>
      <c r="AD5612" s="384">
        <v>8</v>
      </c>
      <c r="AE5612" s="384">
        <v>22</v>
      </c>
      <c r="AF5612" s="385">
        <v>0.75</v>
      </c>
      <c r="AG5612" s="386">
        <v>25.5</v>
      </c>
      <c r="AH5612" s="387">
        <f t="shared" si="102"/>
        <v>26</v>
      </c>
    </row>
    <row r="5613" spans="11:34" ht="14.5" x14ac:dyDescent="0.35">
      <c r="K5613" s="4"/>
      <c r="AC5613" s="384">
        <v>2022</v>
      </c>
      <c r="AD5613" s="384">
        <v>8</v>
      </c>
      <c r="AE5613" s="384">
        <v>22</v>
      </c>
      <c r="AF5613" s="385">
        <v>0.79166666666666663</v>
      </c>
      <c r="AG5613" s="386">
        <v>23.8</v>
      </c>
      <c r="AH5613" s="387">
        <f t="shared" si="102"/>
        <v>24</v>
      </c>
    </row>
    <row r="5614" spans="11:34" ht="14.5" x14ac:dyDescent="0.35">
      <c r="K5614" s="4"/>
      <c r="AC5614" s="384">
        <v>2022</v>
      </c>
      <c r="AD5614" s="384">
        <v>8</v>
      </c>
      <c r="AE5614" s="384">
        <v>22</v>
      </c>
      <c r="AF5614" s="385">
        <v>0.83333333333333337</v>
      </c>
      <c r="AG5614" s="386">
        <v>22.5</v>
      </c>
      <c r="AH5614" s="387">
        <f t="shared" si="102"/>
        <v>23</v>
      </c>
    </row>
    <row r="5615" spans="11:34" ht="14.5" x14ac:dyDescent="0.35">
      <c r="K5615" s="4"/>
      <c r="AC5615" s="384">
        <v>2022</v>
      </c>
      <c r="AD5615" s="384">
        <v>8</v>
      </c>
      <c r="AE5615" s="384">
        <v>22</v>
      </c>
      <c r="AF5615" s="385">
        <v>0.875</v>
      </c>
      <c r="AG5615" s="386">
        <v>22.1</v>
      </c>
      <c r="AH5615" s="387">
        <f t="shared" si="102"/>
        <v>22</v>
      </c>
    </row>
    <row r="5616" spans="11:34" ht="14.5" x14ac:dyDescent="0.35">
      <c r="K5616" s="4"/>
      <c r="AC5616" s="384">
        <v>2022</v>
      </c>
      <c r="AD5616" s="384">
        <v>8</v>
      </c>
      <c r="AE5616" s="384">
        <v>22</v>
      </c>
      <c r="AF5616" s="385">
        <v>0.91666666666666663</v>
      </c>
      <c r="AG5616" s="386">
        <v>17.100000000000001</v>
      </c>
      <c r="AH5616" s="387">
        <f t="shared" si="102"/>
        <v>17</v>
      </c>
    </row>
    <row r="5617" spans="11:34" ht="14.5" x14ac:dyDescent="0.35">
      <c r="K5617" s="4"/>
      <c r="AC5617" s="384">
        <v>2022</v>
      </c>
      <c r="AD5617" s="384">
        <v>8</v>
      </c>
      <c r="AE5617" s="384">
        <v>22</v>
      </c>
      <c r="AF5617" s="385">
        <v>0.95833333333333337</v>
      </c>
      <c r="AG5617" s="386">
        <v>15.4</v>
      </c>
      <c r="AH5617" s="387">
        <f t="shared" si="102"/>
        <v>15</v>
      </c>
    </row>
    <row r="5618" spans="11:34" ht="14.5" x14ac:dyDescent="0.35">
      <c r="K5618" s="4"/>
      <c r="AC5618" s="384">
        <v>2022</v>
      </c>
      <c r="AD5618" s="384">
        <v>8</v>
      </c>
      <c r="AE5618" s="384">
        <v>23</v>
      </c>
      <c r="AF5618" s="385">
        <v>0</v>
      </c>
      <c r="AG5618" s="386">
        <v>15.5</v>
      </c>
      <c r="AH5618" s="387">
        <f t="shared" si="102"/>
        <v>16</v>
      </c>
    </row>
    <row r="5619" spans="11:34" ht="14.5" x14ac:dyDescent="0.35">
      <c r="K5619" s="4"/>
      <c r="AC5619" s="384">
        <v>2022</v>
      </c>
      <c r="AD5619" s="384">
        <v>8</v>
      </c>
      <c r="AE5619" s="384">
        <v>23</v>
      </c>
      <c r="AF5619" s="385">
        <v>4.1666666666666664E-2</v>
      </c>
      <c r="AG5619" s="386">
        <v>16.399999999999999</v>
      </c>
      <c r="AH5619" s="387">
        <f t="shared" si="102"/>
        <v>16</v>
      </c>
    </row>
    <row r="5620" spans="11:34" ht="14.5" x14ac:dyDescent="0.35">
      <c r="K5620" s="4"/>
      <c r="AC5620" s="384">
        <v>2022</v>
      </c>
      <c r="AD5620" s="384">
        <v>8</v>
      </c>
      <c r="AE5620" s="384">
        <v>23</v>
      </c>
      <c r="AF5620" s="385">
        <v>8.3333333333333329E-2</v>
      </c>
      <c r="AG5620" s="386">
        <v>15.6</v>
      </c>
      <c r="AH5620" s="387">
        <f t="shared" si="102"/>
        <v>16</v>
      </c>
    </row>
    <row r="5621" spans="11:34" ht="14.5" x14ac:dyDescent="0.35">
      <c r="K5621" s="4"/>
      <c r="AC5621" s="384">
        <v>2022</v>
      </c>
      <c r="AD5621" s="384">
        <v>8</v>
      </c>
      <c r="AE5621" s="384">
        <v>23</v>
      </c>
      <c r="AF5621" s="385">
        <v>0.125</v>
      </c>
      <c r="AG5621" s="386">
        <v>15.6</v>
      </c>
      <c r="AH5621" s="387">
        <f t="shared" si="102"/>
        <v>16</v>
      </c>
    </row>
    <row r="5622" spans="11:34" ht="14.5" x14ac:dyDescent="0.35">
      <c r="K5622" s="4"/>
      <c r="AC5622" s="384">
        <v>2022</v>
      </c>
      <c r="AD5622" s="384">
        <v>8</v>
      </c>
      <c r="AE5622" s="384">
        <v>23</v>
      </c>
      <c r="AF5622" s="385">
        <v>0.16666666666666666</v>
      </c>
      <c r="AG5622" s="386">
        <v>15.4</v>
      </c>
      <c r="AH5622" s="387">
        <f t="shared" si="102"/>
        <v>15</v>
      </c>
    </row>
    <row r="5623" spans="11:34" ht="14.5" x14ac:dyDescent="0.35">
      <c r="K5623" s="4"/>
      <c r="AC5623" s="384">
        <v>2022</v>
      </c>
      <c r="AD5623" s="384">
        <v>8</v>
      </c>
      <c r="AE5623" s="384">
        <v>23</v>
      </c>
      <c r="AF5623" s="385">
        <v>0.20833333333333334</v>
      </c>
      <c r="AG5623" s="386">
        <v>14.8</v>
      </c>
      <c r="AH5623" s="387">
        <f t="shared" si="102"/>
        <v>15</v>
      </c>
    </row>
    <row r="5624" spans="11:34" ht="14.5" x14ac:dyDescent="0.35">
      <c r="K5624" s="4"/>
      <c r="AC5624" s="384">
        <v>2022</v>
      </c>
      <c r="AD5624" s="384">
        <v>8</v>
      </c>
      <c r="AE5624" s="384">
        <v>23</v>
      </c>
      <c r="AF5624" s="385">
        <v>0.25</v>
      </c>
      <c r="AG5624" s="386">
        <v>15</v>
      </c>
      <c r="AH5624" s="387">
        <f t="shared" si="102"/>
        <v>15</v>
      </c>
    </row>
    <row r="5625" spans="11:34" ht="14.5" x14ac:dyDescent="0.35">
      <c r="K5625" s="4"/>
      <c r="AC5625" s="384">
        <v>2022</v>
      </c>
      <c r="AD5625" s="384">
        <v>8</v>
      </c>
      <c r="AE5625" s="384">
        <v>23</v>
      </c>
      <c r="AF5625" s="385">
        <v>0.29166666666666669</v>
      </c>
      <c r="AG5625" s="386">
        <v>15.3</v>
      </c>
      <c r="AH5625" s="387">
        <f t="shared" si="102"/>
        <v>15</v>
      </c>
    </row>
    <row r="5626" spans="11:34" ht="14.5" x14ac:dyDescent="0.35">
      <c r="K5626" s="4"/>
      <c r="AC5626" s="384">
        <v>2022</v>
      </c>
      <c r="AD5626" s="384">
        <v>8</v>
      </c>
      <c r="AE5626" s="384">
        <v>23</v>
      </c>
      <c r="AF5626" s="385">
        <v>0.33333333333333331</v>
      </c>
      <c r="AG5626" s="386">
        <v>16.100000000000001</v>
      </c>
      <c r="AH5626" s="387">
        <f t="shared" si="102"/>
        <v>16</v>
      </c>
    </row>
    <row r="5627" spans="11:34" ht="14.5" x14ac:dyDescent="0.35">
      <c r="K5627" s="4"/>
      <c r="AC5627" s="384">
        <v>2022</v>
      </c>
      <c r="AD5627" s="384">
        <v>8</v>
      </c>
      <c r="AE5627" s="384">
        <v>23</v>
      </c>
      <c r="AF5627" s="385">
        <v>0.375</v>
      </c>
      <c r="AG5627" s="386">
        <v>16</v>
      </c>
      <c r="AH5627" s="387">
        <f t="shared" si="102"/>
        <v>16</v>
      </c>
    </row>
    <row r="5628" spans="11:34" ht="14.5" x14ac:dyDescent="0.35">
      <c r="K5628" s="4"/>
      <c r="AC5628" s="384">
        <v>2022</v>
      </c>
      <c r="AD5628" s="384">
        <v>8</v>
      </c>
      <c r="AE5628" s="384">
        <v>23</v>
      </c>
      <c r="AF5628" s="385">
        <v>0.41666666666666669</v>
      </c>
      <c r="AG5628" s="386">
        <v>16.3</v>
      </c>
      <c r="AH5628" s="387">
        <f t="shared" si="102"/>
        <v>16</v>
      </c>
    </row>
    <row r="5629" spans="11:34" ht="14.5" x14ac:dyDescent="0.35">
      <c r="K5629" s="4"/>
      <c r="AC5629" s="384">
        <v>2022</v>
      </c>
      <c r="AD5629" s="384">
        <v>8</v>
      </c>
      <c r="AE5629" s="384">
        <v>23</v>
      </c>
      <c r="AF5629" s="385">
        <v>0.45833333333333331</v>
      </c>
      <c r="AG5629" s="386">
        <v>16.399999999999999</v>
      </c>
      <c r="AH5629" s="387">
        <f t="shared" si="102"/>
        <v>16</v>
      </c>
    </row>
    <row r="5630" spans="11:34" ht="14.5" x14ac:dyDescent="0.35">
      <c r="K5630" s="4"/>
      <c r="AC5630" s="384">
        <v>2022</v>
      </c>
      <c r="AD5630" s="384">
        <v>8</v>
      </c>
      <c r="AE5630" s="384">
        <v>23</v>
      </c>
      <c r="AF5630" s="385">
        <v>0.5</v>
      </c>
      <c r="AG5630" s="386">
        <v>16.7</v>
      </c>
      <c r="AH5630" s="387">
        <f t="shared" si="102"/>
        <v>17</v>
      </c>
    </row>
    <row r="5631" spans="11:34" ht="14.5" x14ac:dyDescent="0.35">
      <c r="K5631" s="4"/>
      <c r="AC5631" s="384">
        <v>2022</v>
      </c>
      <c r="AD5631" s="384">
        <v>8</v>
      </c>
      <c r="AE5631" s="384">
        <v>23</v>
      </c>
      <c r="AF5631" s="385">
        <v>0.54166666666666663</v>
      </c>
      <c r="AG5631" s="386">
        <v>17.100000000000001</v>
      </c>
      <c r="AH5631" s="387">
        <f t="shared" si="102"/>
        <v>17</v>
      </c>
    </row>
    <row r="5632" spans="11:34" ht="14.5" x14ac:dyDescent="0.35">
      <c r="K5632" s="4"/>
      <c r="AC5632" s="384">
        <v>2022</v>
      </c>
      <c r="AD5632" s="384">
        <v>8</v>
      </c>
      <c r="AE5632" s="384">
        <v>23</v>
      </c>
      <c r="AF5632" s="385">
        <v>0.58333333333333337</v>
      </c>
      <c r="AG5632" s="386">
        <v>17</v>
      </c>
      <c r="AH5632" s="387">
        <f t="shared" si="102"/>
        <v>17</v>
      </c>
    </row>
    <row r="5633" spans="11:34" ht="14.5" x14ac:dyDescent="0.35">
      <c r="K5633" s="4"/>
      <c r="AC5633" s="384">
        <v>2022</v>
      </c>
      <c r="AD5633" s="384">
        <v>8</v>
      </c>
      <c r="AE5633" s="384">
        <v>23</v>
      </c>
      <c r="AF5633" s="385">
        <v>0.625</v>
      </c>
      <c r="AG5633" s="386">
        <v>17.100000000000001</v>
      </c>
      <c r="AH5633" s="387">
        <f t="shared" si="102"/>
        <v>17</v>
      </c>
    </row>
    <row r="5634" spans="11:34" ht="14.5" x14ac:dyDescent="0.35">
      <c r="K5634" s="4"/>
      <c r="AC5634" s="384">
        <v>2022</v>
      </c>
      <c r="AD5634" s="384">
        <v>8</v>
      </c>
      <c r="AE5634" s="384">
        <v>23</v>
      </c>
      <c r="AF5634" s="385">
        <v>0.66666666666666663</v>
      </c>
      <c r="AG5634" s="386">
        <v>17.5</v>
      </c>
      <c r="AH5634" s="387">
        <f t="shared" si="102"/>
        <v>18</v>
      </c>
    </row>
    <row r="5635" spans="11:34" ht="14.5" x14ac:dyDescent="0.35">
      <c r="K5635" s="4"/>
      <c r="AC5635" s="384">
        <v>2022</v>
      </c>
      <c r="AD5635" s="384">
        <v>8</v>
      </c>
      <c r="AE5635" s="384">
        <v>23</v>
      </c>
      <c r="AF5635" s="385">
        <v>0.70833333333333337</v>
      </c>
      <c r="AG5635" s="386">
        <v>17.600000000000001</v>
      </c>
      <c r="AH5635" s="387">
        <f t="shared" si="102"/>
        <v>18</v>
      </c>
    </row>
    <row r="5636" spans="11:34" ht="14.5" x14ac:dyDescent="0.35">
      <c r="K5636" s="4"/>
      <c r="AC5636" s="384">
        <v>2022</v>
      </c>
      <c r="AD5636" s="384">
        <v>8</v>
      </c>
      <c r="AE5636" s="384">
        <v>23</v>
      </c>
      <c r="AF5636" s="385">
        <v>0.75</v>
      </c>
      <c r="AG5636" s="386">
        <v>17.7</v>
      </c>
      <c r="AH5636" s="387">
        <f t="shared" si="102"/>
        <v>18</v>
      </c>
    </row>
    <row r="5637" spans="11:34" ht="14.5" x14ac:dyDescent="0.35">
      <c r="K5637" s="4"/>
      <c r="AC5637" s="384">
        <v>2022</v>
      </c>
      <c r="AD5637" s="384">
        <v>8</v>
      </c>
      <c r="AE5637" s="384">
        <v>23</v>
      </c>
      <c r="AF5637" s="385">
        <v>0.79166666666666663</v>
      </c>
      <c r="AG5637" s="386">
        <v>16.899999999999999</v>
      </c>
      <c r="AH5637" s="387">
        <f t="shared" si="102"/>
        <v>17</v>
      </c>
    </row>
    <row r="5638" spans="11:34" ht="14.5" x14ac:dyDescent="0.35">
      <c r="K5638" s="4"/>
      <c r="AC5638" s="384">
        <v>2022</v>
      </c>
      <c r="AD5638" s="384">
        <v>8</v>
      </c>
      <c r="AE5638" s="384">
        <v>23</v>
      </c>
      <c r="AF5638" s="385">
        <v>0.83333333333333337</v>
      </c>
      <c r="AG5638" s="386">
        <v>15.8</v>
      </c>
      <c r="AH5638" s="387">
        <f t="shared" si="102"/>
        <v>16</v>
      </c>
    </row>
    <row r="5639" spans="11:34" ht="14.5" x14ac:dyDescent="0.35">
      <c r="K5639" s="4"/>
      <c r="AC5639" s="384">
        <v>2022</v>
      </c>
      <c r="AD5639" s="384">
        <v>8</v>
      </c>
      <c r="AE5639" s="384">
        <v>23</v>
      </c>
      <c r="AF5639" s="385">
        <v>0.875</v>
      </c>
      <c r="AG5639" s="386">
        <v>15.5</v>
      </c>
      <c r="AH5639" s="387">
        <f t="shared" si="102"/>
        <v>16</v>
      </c>
    </row>
    <row r="5640" spans="11:34" ht="14.5" x14ac:dyDescent="0.35">
      <c r="K5640" s="4"/>
      <c r="AC5640" s="384">
        <v>2022</v>
      </c>
      <c r="AD5640" s="384">
        <v>8</v>
      </c>
      <c r="AE5640" s="384">
        <v>23</v>
      </c>
      <c r="AF5640" s="385">
        <v>0.91666666666666663</v>
      </c>
      <c r="AG5640" s="386">
        <v>15.8</v>
      </c>
      <c r="AH5640" s="387">
        <f t="shared" si="102"/>
        <v>16</v>
      </c>
    </row>
    <row r="5641" spans="11:34" ht="14.5" x14ac:dyDescent="0.35">
      <c r="K5641" s="4"/>
      <c r="AC5641" s="384">
        <v>2022</v>
      </c>
      <c r="AD5641" s="384">
        <v>8</v>
      </c>
      <c r="AE5641" s="384">
        <v>23</v>
      </c>
      <c r="AF5641" s="385">
        <v>0.95833333333333337</v>
      </c>
      <c r="AG5641" s="386">
        <v>15.9</v>
      </c>
      <c r="AH5641" s="387">
        <f t="shared" si="102"/>
        <v>16</v>
      </c>
    </row>
    <row r="5642" spans="11:34" ht="14.5" x14ac:dyDescent="0.35">
      <c r="K5642" s="4"/>
      <c r="AC5642" s="384">
        <v>2022</v>
      </c>
      <c r="AD5642" s="384">
        <v>8</v>
      </c>
      <c r="AE5642" s="384">
        <v>24</v>
      </c>
      <c r="AF5642" s="385">
        <v>0</v>
      </c>
      <c r="AG5642" s="386">
        <v>15.5</v>
      </c>
      <c r="AH5642" s="387">
        <f t="shared" si="102"/>
        <v>16</v>
      </c>
    </row>
    <row r="5643" spans="11:34" ht="14.5" x14ac:dyDescent="0.35">
      <c r="K5643" s="4"/>
      <c r="AC5643" s="384">
        <v>2022</v>
      </c>
      <c r="AD5643" s="384">
        <v>8</v>
      </c>
      <c r="AE5643" s="384">
        <v>24</v>
      </c>
      <c r="AF5643" s="385">
        <v>4.1666666666666664E-2</v>
      </c>
      <c r="AG5643" s="386">
        <v>14.4</v>
      </c>
      <c r="AH5643" s="387">
        <f t="shared" ref="AH5643:AH5706" si="103">ROUND(AG5643,0)</f>
        <v>14</v>
      </c>
    </row>
    <row r="5644" spans="11:34" ht="14.5" x14ac:dyDescent="0.35">
      <c r="K5644" s="4"/>
      <c r="AC5644" s="384">
        <v>2022</v>
      </c>
      <c r="AD5644" s="384">
        <v>8</v>
      </c>
      <c r="AE5644" s="384">
        <v>24</v>
      </c>
      <c r="AF5644" s="385">
        <v>8.3333333333333329E-2</v>
      </c>
      <c r="AG5644" s="386">
        <v>14.8</v>
      </c>
      <c r="AH5644" s="387">
        <f t="shared" si="103"/>
        <v>15</v>
      </c>
    </row>
    <row r="5645" spans="11:34" ht="14.5" x14ac:dyDescent="0.35">
      <c r="K5645" s="4"/>
      <c r="AC5645" s="384">
        <v>2022</v>
      </c>
      <c r="AD5645" s="384">
        <v>8</v>
      </c>
      <c r="AE5645" s="384">
        <v>24</v>
      </c>
      <c r="AF5645" s="385">
        <v>0.125</v>
      </c>
      <c r="AG5645" s="386">
        <v>14.7</v>
      </c>
      <c r="AH5645" s="387">
        <f t="shared" si="103"/>
        <v>15</v>
      </c>
    </row>
    <row r="5646" spans="11:34" ht="14.5" x14ac:dyDescent="0.35">
      <c r="K5646" s="4"/>
      <c r="AC5646" s="384">
        <v>2022</v>
      </c>
      <c r="AD5646" s="384">
        <v>8</v>
      </c>
      <c r="AE5646" s="384">
        <v>24</v>
      </c>
      <c r="AF5646" s="385">
        <v>0.16666666666666666</v>
      </c>
      <c r="AG5646" s="386">
        <v>13.7</v>
      </c>
      <c r="AH5646" s="387">
        <f t="shared" si="103"/>
        <v>14</v>
      </c>
    </row>
    <row r="5647" spans="11:34" ht="14.5" x14ac:dyDescent="0.35">
      <c r="K5647" s="4"/>
      <c r="AC5647" s="384">
        <v>2022</v>
      </c>
      <c r="AD5647" s="384">
        <v>8</v>
      </c>
      <c r="AE5647" s="384">
        <v>24</v>
      </c>
      <c r="AF5647" s="385">
        <v>0.20833333333333334</v>
      </c>
      <c r="AG5647" s="386">
        <v>13.3</v>
      </c>
      <c r="AH5647" s="387">
        <f t="shared" si="103"/>
        <v>13</v>
      </c>
    </row>
    <row r="5648" spans="11:34" ht="14.5" x14ac:dyDescent="0.35">
      <c r="K5648" s="4"/>
      <c r="AC5648" s="384">
        <v>2022</v>
      </c>
      <c r="AD5648" s="384">
        <v>8</v>
      </c>
      <c r="AE5648" s="384">
        <v>24</v>
      </c>
      <c r="AF5648" s="385">
        <v>0.25</v>
      </c>
      <c r="AG5648" s="386">
        <v>12.9</v>
      </c>
      <c r="AH5648" s="387">
        <f t="shared" si="103"/>
        <v>13</v>
      </c>
    </row>
    <row r="5649" spans="11:34" ht="14.5" x14ac:dyDescent="0.35">
      <c r="K5649" s="4"/>
      <c r="AC5649" s="384">
        <v>2022</v>
      </c>
      <c r="AD5649" s="384">
        <v>8</v>
      </c>
      <c r="AE5649" s="384">
        <v>24</v>
      </c>
      <c r="AF5649" s="385">
        <v>0.29166666666666669</v>
      </c>
      <c r="AG5649" s="386">
        <v>14.4</v>
      </c>
      <c r="AH5649" s="387">
        <f t="shared" si="103"/>
        <v>14</v>
      </c>
    </row>
    <row r="5650" spans="11:34" ht="14.5" x14ac:dyDescent="0.35">
      <c r="K5650" s="4"/>
      <c r="AC5650" s="384">
        <v>2022</v>
      </c>
      <c r="AD5650" s="384">
        <v>8</v>
      </c>
      <c r="AE5650" s="384">
        <v>24</v>
      </c>
      <c r="AF5650" s="385">
        <v>0.33333333333333331</v>
      </c>
      <c r="AG5650" s="386">
        <v>16.5</v>
      </c>
      <c r="AH5650" s="387">
        <f t="shared" si="103"/>
        <v>17</v>
      </c>
    </row>
    <row r="5651" spans="11:34" ht="14.5" x14ac:dyDescent="0.35">
      <c r="K5651" s="4"/>
      <c r="AC5651" s="384">
        <v>2022</v>
      </c>
      <c r="AD5651" s="384">
        <v>8</v>
      </c>
      <c r="AE5651" s="384">
        <v>24</v>
      </c>
      <c r="AF5651" s="385">
        <v>0.375</v>
      </c>
      <c r="AG5651" s="386">
        <v>18.5</v>
      </c>
      <c r="AH5651" s="387">
        <f t="shared" si="103"/>
        <v>19</v>
      </c>
    </row>
    <row r="5652" spans="11:34" ht="14.5" x14ac:dyDescent="0.35">
      <c r="K5652" s="4"/>
      <c r="AC5652" s="384">
        <v>2022</v>
      </c>
      <c r="AD5652" s="384">
        <v>8</v>
      </c>
      <c r="AE5652" s="384">
        <v>24</v>
      </c>
      <c r="AF5652" s="385">
        <v>0.41666666666666669</v>
      </c>
      <c r="AG5652" s="386">
        <v>20.399999999999999</v>
      </c>
      <c r="AH5652" s="387">
        <f t="shared" si="103"/>
        <v>20</v>
      </c>
    </row>
    <row r="5653" spans="11:34" ht="14.5" x14ac:dyDescent="0.35">
      <c r="K5653" s="4"/>
      <c r="AC5653" s="384">
        <v>2022</v>
      </c>
      <c r="AD5653" s="384">
        <v>8</v>
      </c>
      <c r="AE5653" s="384">
        <v>24</v>
      </c>
      <c r="AF5653" s="385">
        <v>0.45833333333333331</v>
      </c>
      <c r="AG5653" s="386">
        <v>20.7</v>
      </c>
      <c r="AH5653" s="387">
        <f t="shared" si="103"/>
        <v>21</v>
      </c>
    </row>
    <row r="5654" spans="11:34" ht="14.5" x14ac:dyDescent="0.35">
      <c r="K5654" s="4"/>
      <c r="AC5654" s="384">
        <v>2022</v>
      </c>
      <c r="AD5654" s="384">
        <v>8</v>
      </c>
      <c r="AE5654" s="384">
        <v>24</v>
      </c>
      <c r="AF5654" s="385">
        <v>0.5</v>
      </c>
      <c r="AG5654" s="386">
        <v>22.9</v>
      </c>
      <c r="AH5654" s="387">
        <f t="shared" si="103"/>
        <v>23</v>
      </c>
    </row>
    <row r="5655" spans="11:34" ht="14.5" x14ac:dyDescent="0.35">
      <c r="K5655" s="4"/>
      <c r="AC5655" s="384">
        <v>2022</v>
      </c>
      <c r="AD5655" s="384">
        <v>8</v>
      </c>
      <c r="AE5655" s="384">
        <v>24</v>
      </c>
      <c r="AF5655" s="385">
        <v>0.54166666666666663</v>
      </c>
      <c r="AG5655" s="386">
        <v>23.8</v>
      </c>
      <c r="AH5655" s="387">
        <f t="shared" si="103"/>
        <v>24</v>
      </c>
    </row>
    <row r="5656" spans="11:34" ht="14.5" x14ac:dyDescent="0.35">
      <c r="K5656" s="4"/>
      <c r="AC5656" s="384">
        <v>2022</v>
      </c>
      <c r="AD5656" s="384">
        <v>8</v>
      </c>
      <c r="AE5656" s="384">
        <v>24</v>
      </c>
      <c r="AF5656" s="385">
        <v>0.58333333333333337</v>
      </c>
      <c r="AG5656" s="386">
        <v>24.1</v>
      </c>
      <c r="AH5656" s="387">
        <f t="shared" si="103"/>
        <v>24</v>
      </c>
    </row>
    <row r="5657" spans="11:34" ht="14.5" x14ac:dyDescent="0.35">
      <c r="K5657" s="4"/>
      <c r="AC5657" s="384">
        <v>2022</v>
      </c>
      <c r="AD5657" s="384">
        <v>8</v>
      </c>
      <c r="AE5657" s="384">
        <v>24</v>
      </c>
      <c r="AF5657" s="385">
        <v>0.625</v>
      </c>
      <c r="AG5657" s="386">
        <v>23.4</v>
      </c>
      <c r="AH5657" s="387">
        <f t="shared" si="103"/>
        <v>23</v>
      </c>
    </row>
    <row r="5658" spans="11:34" ht="14.5" x14ac:dyDescent="0.35">
      <c r="K5658" s="4"/>
      <c r="AC5658" s="384">
        <v>2022</v>
      </c>
      <c r="AD5658" s="384">
        <v>8</v>
      </c>
      <c r="AE5658" s="384">
        <v>24</v>
      </c>
      <c r="AF5658" s="385">
        <v>0.66666666666666663</v>
      </c>
      <c r="AG5658" s="386">
        <v>20.9</v>
      </c>
      <c r="AH5658" s="387">
        <f t="shared" si="103"/>
        <v>21</v>
      </c>
    </row>
    <row r="5659" spans="11:34" ht="14.5" x14ac:dyDescent="0.35">
      <c r="K5659" s="4"/>
      <c r="AC5659" s="384">
        <v>2022</v>
      </c>
      <c r="AD5659" s="384">
        <v>8</v>
      </c>
      <c r="AE5659" s="384">
        <v>24</v>
      </c>
      <c r="AF5659" s="385">
        <v>0.70833333333333337</v>
      </c>
      <c r="AG5659" s="386">
        <v>20.6</v>
      </c>
      <c r="AH5659" s="387">
        <f t="shared" si="103"/>
        <v>21</v>
      </c>
    </row>
    <row r="5660" spans="11:34" ht="14.5" x14ac:dyDescent="0.35">
      <c r="K5660" s="4"/>
      <c r="AC5660" s="384">
        <v>2022</v>
      </c>
      <c r="AD5660" s="384">
        <v>8</v>
      </c>
      <c r="AE5660" s="384">
        <v>24</v>
      </c>
      <c r="AF5660" s="385">
        <v>0.75</v>
      </c>
      <c r="AG5660" s="386">
        <v>21.2</v>
      </c>
      <c r="AH5660" s="387">
        <f t="shared" si="103"/>
        <v>21</v>
      </c>
    </row>
    <row r="5661" spans="11:34" ht="14.5" x14ac:dyDescent="0.35">
      <c r="K5661" s="4"/>
      <c r="AC5661" s="384">
        <v>2022</v>
      </c>
      <c r="AD5661" s="384">
        <v>8</v>
      </c>
      <c r="AE5661" s="384">
        <v>24</v>
      </c>
      <c r="AF5661" s="385">
        <v>0.79166666666666663</v>
      </c>
      <c r="AG5661" s="386">
        <v>19.899999999999999</v>
      </c>
      <c r="AH5661" s="387">
        <f t="shared" si="103"/>
        <v>20</v>
      </c>
    </row>
    <row r="5662" spans="11:34" ht="14.5" x14ac:dyDescent="0.35">
      <c r="K5662" s="4"/>
      <c r="AC5662" s="384">
        <v>2022</v>
      </c>
      <c r="AD5662" s="384">
        <v>8</v>
      </c>
      <c r="AE5662" s="384">
        <v>24</v>
      </c>
      <c r="AF5662" s="385">
        <v>0.83333333333333337</v>
      </c>
      <c r="AG5662" s="386">
        <v>17.8</v>
      </c>
      <c r="AH5662" s="387">
        <f t="shared" si="103"/>
        <v>18</v>
      </c>
    </row>
    <row r="5663" spans="11:34" ht="14.5" x14ac:dyDescent="0.35">
      <c r="K5663" s="4"/>
      <c r="AC5663" s="384">
        <v>2022</v>
      </c>
      <c r="AD5663" s="384">
        <v>8</v>
      </c>
      <c r="AE5663" s="384">
        <v>24</v>
      </c>
      <c r="AF5663" s="385">
        <v>0.875</v>
      </c>
      <c r="AG5663" s="386">
        <v>16.399999999999999</v>
      </c>
      <c r="AH5663" s="387">
        <f t="shared" si="103"/>
        <v>16</v>
      </c>
    </row>
    <row r="5664" spans="11:34" ht="14.5" x14ac:dyDescent="0.35">
      <c r="K5664" s="4"/>
      <c r="AC5664" s="384">
        <v>2022</v>
      </c>
      <c r="AD5664" s="384">
        <v>8</v>
      </c>
      <c r="AE5664" s="384">
        <v>24</v>
      </c>
      <c r="AF5664" s="385">
        <v>0.91666666666666663</v>
      </c>
      <c r="AG5664" s="386">
        <v>15</v>
      </c>
      <c r="AH5664" s="387">
        <f t="shared" si="103"/>
        <v>15</v>
      </c>
    </row>
    <row r="5665" spans="11:34" ht="14.5" x14ac:dyDescent="0.35">
      <c r="K5665" s="4"/>
      <c r="AC5665" s="384">
        <v>2022</v>
      </c>
      <c r="AD5665" s="384">
        <v>8</v>
      </c>
      <c r="AE5665" s="384">
        <v>24</v>
      </c>
      <c r="AF5665" s="385">
        <v>0.95833333333333337</v>
      </c>
      <c r="AG5665" s="386">
        <v>13.7</v>
      </c>
      <c r="AH5665" s="387">
        <f t="shared" si="103"/>
        <v>14</v>
      </c>
    </row>
    <row r="5666" spans="11:34" ht="14.5" x14ac:dyDescent="0.35">
      <c r="K5666" s="4"/>
      <c r="AC5666" s="384">
        <v>2022</v>
      </c>
      <c r="AD5666" s="384">
        <v>8</v>
      </c>
      <c r="AE5666" s="384">
        <v>25</v>
      </c>
      <c r="AF5666" s="385">
        <v>0</v>
      </c>
      <c r="AG5666" s="386">
        <v>13.3</v>
      </c>
      <c r="AH5666" s="387">
        <f t="shared" si="103"/>
        <v>13</v>
      </c>
    </row>
    <row r="5667" spans="11:34" ht="14.5" x14ac:dyDescent="0.35">
      <c r="K5667" s="4"/>
      <c r="AC5667" s="384">
        <v>2022</v>
      </c>
      <c r="AD5667" s="384">
        <v>8</v>
      </c>
      <c r="AE5667" s="384">
        <v>25</v>
      </c>
      <c r="AF5667" s="385">
        <v>4.1666666666666664E-2</v>
      </c>
      <c r="AG5667" s="386">
        <v>12.3</v>
      </c>
      <c r="AH5667" s="387">
        <f t="shared" si="103"/>
        <v>12</v>
      </c>
    </row>
    <row r="5668" spans="11:34" ht="14.5" x14ac:dyDescent="0.35">
      <c r="K5668" s="4"/>
      <c r="AC5668" s="384">
        <v>2022</v>
      </c>
      <c r="AD5668" s="384">
        <v>8</v>
      </c>
      <c r="AE5668" s="384">
        <v>25</v>
      </c>
      <c r="AF5668" s="385">
        <v>8.3333333333333329E-2</v>
      </c>
      <c r="AG5668" s="386">
        <v>11</v>
      </c>
      <c r="AH5668" s="387">
        <f t="shared" si="103"/>
        <v>11</v>
      </c>
    </row>
    <row r="5669" spans="11:34" ht="14.5" x14ac:dyDescent="0.35">
      <c r="K5669" s="4"/>
      <c r="AC5669" s="384">
        <v>2022</v>
      </c>
      <c r="AD5669" s="384">
        <v>8</v>
      </c>
      <c r="AE5669" s="384">
        <v>25</v>
      </c>
      <c r="AF5669" s="385">
        <v>0.125</v>
      </c>
      <c r="AG5669" s="386">
        <v>10.7</v>
      </c>
      <c r="AH5669" s="387">
        <f t="shared" si="103"/>
        <v>11</v>
      </c>
    </row>
    <row r="5670" spans="11:34" ht="14.5" x14ac:dyDescent="0.35">
      <c r="K5670" s="4"/>
      <c r="AC5670" s="384">
        <v>2022</v>
      </c>
      <c r="AD5670" s="384">
        <v>8</v>
      </c>
      <c r="AE5670" s="384">
        <v>25</v>
      </c>
      <c r="AF5670" s="385">
        <v>0.16666666666666666</v>
      </c>
      <c r="AG5670" s="386">
        <v>10.9</v>
      </c>
      <c r="AH5670" s="387">
        <f t="shared" si="103"/>
        <v>11</v>
      </c>
    </row>
    <row r="5671" spans="11:34" ht="14.5" x14ac:dyDescent="0.35">
      <c r="K5671" s="4"/>
      <c r="AC5671" s="384">
        <v>2022</v>
      </c>
      <c r="AD5671" s="384">
        <v>8</v>
      </c>
      <c r="AE5671" s="384">
        <v>25</v>
      </c>
      <c r="AF5671" s="385">
        <v>0.20833333333333334</v>
      </c>
      <c r="AG5671" s="386">
        <v>9.6</v>
      </c>
      <c r="AH5671" s="387">
        <f t="shared" si="103"/>
        <v>10</v>
      </c>
    </row>
    <row r="5672" spans="11:34" ht="14.5" x14ac:dyDescent="0.35">
      <c r="K5672" s="4"/>
      <c r="AC5672" s="384">
        <v>2022</v>
      </c>
      <c r="AD5672" s="384">
        <v>8</v>
      </c>
      <c r="AE5672" s="384">
        <v>25</v>
      </c>
      <c r="AF5672" s="385">
        <v>0.25</v>
      </c>
      <c r="AG5672" s="386">
        <v>9.6999999999999993</v>
      </c>
      <c r="AH5672" s="387">
        <f t="shared" si="103"/>
        <v>10</v>
      </c>
    </row>
    <row r="5673" spans="11:34" ht="14.5" x14ac:dyDescent="0.35">
      <c r="K5673" s="4"/>
      <c r="AC5673" s="384">
        <v>2022</v>
      </c>
      <c r="AD5673" s="384">
        <v>8</v>
      </c>
      <c r="AE5673" s="384">
        <v>25</v>
      </c>
      <c r="AF5673" s="385">
        <v>0.29166666666666669</v>
      </c>
      <c r="AG5673" s="386">
        <v>12.2</v>
      </c>
      <c r="AH5673" s="387">
        <f t="shared" si="103"/>
        <v>12</v>
      </c>
    </row>
    <row r="5674" spans="11:34" ht="14.5" x14ac:dyDescent="0.35">
      <c r="K5674" s="4"/>
      <c r="AC5674" s="384">
        <v>2022</v>
      </c>
      <c r="AD5674" s="384">
        <v>8</v>
      </c>
      <c r="AE5674" s="384">
        <v>25</v>
      </c>
      <c r="AF5674" s="385">
        <v>0.33333333333333331</v>
      </c>
      <c r="AG5674" s="386">
        <v>14.2</v>
      </c>
      <c r="AH5674" s="387">
        <f t="shared" si="103"/>
        <v>14</v>
      </c>
    </row>
    <row r="5675" spans="11:34" ht="14.5" x14ac:dyDescent="0.35">
      <c r="K5675" s="4"/>
      <c r="AC5675" s="384">
        <v>2022</v>
      </c>
      <c r="AD5675" s="384">
        <v>8</v>
      </c>
      <c r="AE5675" s="384">
        <v>25</v>
      </c>
      <c r="AF5675" s="385">
        <v>0.375</v>
      </c>
      <c r="AG5675" s="386">
        <v>16.8</v>
      </c>
      <c r="AH5675" s="387">
        <f t="shared" si="103"/>
        <v>17</v>
      </c>
    </row>
    <row r="5676" spans="11:34" ht="14.5" x14ac:dyDescent="0.35">
      <c r="K5676" s="4"/>
      <c r="AC5676" s="384">
        <v>2022</v>
      </c>
      <c r="AD5676" s="384">
        <v>8</v>
      </c>
      <c r="AE5676" s="384">
        <v>25</v>
      </c>
      <c r="AF5676" s="385">
        <v>0.41666666666666669</v>
      </c>
      <c r="AG5676" s="386">
        <v>19.2</v>
      </c>
      <c r="AH5676" s="387">
        <f t="shared" si="103"/>
        <v>19</v>
      </c>
    </row>
    <row r="5677" spans="11:34" ht="14.5" x14ac:dyDescent="0.35">
      <c r="K5677" s="4"/>
      <c r="AC5677" s="384">
        <v>2022</v>
      </c>
      <c r="AD5677" s="384">
        <v>8</v>
      </c>
      <c r="AE5677" s="384">
        <v>25</v>
      </c>
      <c r="AF5677" s="385">
        <v>0.45833333333333331</v>
      </c>
      <c r="AG5677" s="386">
        <v>21</v>
      </c>
      <c r="AH5677" s="387">
        <f t="shared" si="103"/>
        <v>21</v>
      </c>
    </row>
    <row r="5678" spans="11:34" ht="14.5" x14ac:dyDescent="0.35">
      <c r="K5678" s="4"/>
      <c r="AC5678" s="384">
        <v>2022</v>
      </c>
      <c r="AD5678" s="384">
        <v>8</v>
      </c>
      <c r="AE5678" s="384">
        <v>25</v>
      </c>
      <c r="AF5678" s="385">
        <v>0.5</v>
      </c>
      <c r="AG5678" s="386">
        <v>21.9</v>
      </c>
      <c r="AH5678" s="387">
        <f t="shared" si="103"/>
        <v>22</v>
      </c>
    </row>
    <row r="5679" spans="11:34" ht="14.5" x14ac:dyDescent="0.35">
      <c r="K5679" s="4"/>
      <c r="AC5679" s="384">
        <v>2022</v>
      </c>
      <c r="AD5679" s="384">
        <v>8</v>
      </c>
      <c r="AE5679" s="384">
        <v>25</v>
      </c>
      <c r="AF5679" s="385">
        <v>0.54166666666666663</v>
      </c>
      <c r="AG5679" s="386">
        <v>22.4</v>
      </c>
      <c r="AH5679" s="387">
        <f t="shared" si="103"/>
        <v>22</v>
      </c>
    </row>
    <row r="5680" spans="11:34" ht="14.5" x14ac:dyDescent="0.35">
      <c r="K5680" s="4"/>
      <c r="AC5680" s="384">
        <v>2022</v>
      </c>
      <c r="AD5680" s="384">
        <v>8</v>
      </c>
      <c r="AE5680" s="384">
        <v>25</v>
      </c>
      <c r="AF5680" s="385">
        <v>0.58333333333333337</v>
      </c>
      <c r="AG5680" s="386">
        <v>22.6</v>
      </c>
      <c r="AH5680" s="387">
        <f t="shared" si="103"/>
        <v>23</v>
      </c>
    </row>
    <row r="5681" spans="11:34" ht="14.5" x14ac:dyDescent="0.35">
      <c r="K5681" s="4"/>
      <c r="AC5681" s="384">
        <v>2022</v>
      </c>
      <c r="AD5681" s="384">
        <v>8</v>
      </c>
      <c r="AE5681" s="384">
        <v>25</v>
      </c>
      <c r="AF5681" s="385">
        <v>0.625</v>
      </c>
      <c r="AG5681" s="386">
        <v>22.6</v>
      </c>
      <c r="AH5681" s="387">
        <f t="shared" si="103"/>
        <v>23</v>
      </c>
    </row>
    <row r="5682" spans="11:34" ht="14.5" x14ac:dyDescent="0.35">
      <c r="K5682" s="4"/>
      <c r="AC5682" s="384">
        <v>2022</v>
      </c>
      <c r="AD5682" s="384">
        <v>8</v>
      </c>
      <c r="AE5682" s="384">
        <v>25</v>
      </c>
      <c r="AF5682" s="385">
        <v>0.66666666666666663</v>
      </c>
      <c r="AG5682" s="386">
        <v>23.6</v>
      </c>
      <c r="AH5682" s="387">
        <f t="shared" si="103"/>
        <v>24</v>
      </c>
    </row>
    <row r="5683" spans="11:34" ht="14.5" x14ac:dyDescent="0.35">
      <c r="K5683" s="4"/>
      <c r="AC5683" s="384">
        <v>2022</v>
      </c>
      <c r="AD5683" s="384">
        <v>8</v>
      </c>
      <c r="AE5683" s="384">
        <v>25</v>
      </c>
      <c r="AF5683" s="385">
        <v>0.70833333333333337</v>
      </c>
      <c r="AG5683" s="386">
        <v>23.6</v>
      </c>
      <c r="AH5683" s="387">
        <f t="shared" si="103"/>
        <v>24</v>
      </c>
    </row>
    <row r="5684" spans="11:34" ht="14.5" x14ac:dyDescent="0.35">
      <c r="K5684" s="4"/>
      <c r="AC5684" s="384">
        <v>2022</v>
      </c>
      <c r="AD5684" s="384">
        <v>8</v>
      </c>
      <c r="AE5684" s="384">
        <v>25</v>
      </c>
      <c r="AF5684" s="385">
        <v>0.75</v>
      </c>
      <c r="AG5684" s="386">
        <v>22.9</v>
      </c>
      <c r="AH5684" s="387">
        <f t="shared" si="103"/>
        <v>23</v>
      </c>
    </row>
    <row r="5685" spans="11:34" ht="14.5" x14ac:dyDescent="0.35">
      <c r="K5685" s="4"/>
      <c r="AC5685" s="384">
        <v>2022</v>
      </c>
      <c r="AD5685" s="384">
        <v>8</v>
      </c>
      <c r="AE5685" s="384">
        <v>25</v>
      </c>
      <c r="AF5685" s="385">
        <v>0.79166666666666663</v>
      </c>
      <c r="AG5685" s="386">
        <v>21.3</v>
      </c>
      <c r="AH5685" s="387">
        <f t="shared" si="103"/>
        <v>21</v>
      </c>
    </row>
    <row r="5686" spans="11:34" ht="14.5" x14ac:dyDescent="0.35">
      <c r="K5686" s="4"/>
      <c r="AC5686" s="384">
        <v>2022</v>
      </c>
      <c r="AD5686" s="384">
        <v>8</v>
      </c>
      <c r="AE5686" s="384">
        <v>25</v>
      </c>
      <c r="AF5686" s="385">
        <v>0.83333333333333337</v>
      </c>
      <c r="AG5686" s="386">
        <v>19.7</v>
      </c>
      <c r="AH5686" s="387">
        <f t="shared" si="103"/>
        <v>20</v>
      </c>
    </row>
    <row r="5687" spans="11:34" ht="14.5" x14ac:dyDescent="0.35">
      <c r="K5687" s="4"/>
      <c r="AC5687" s="384">
        <v>2022</v>
      </c>
      <c r="AD5687" s="384">
        <v>8</v>
      </c>
      <c r="AE5687" s="384">
        <v>25</v>
      </c>
      <c r="AF5687" s="385">
        <v>0.875</v>
      </c>
      <c r="AG5687" s="386">
        <v>17</v>
      </c>
      <c r="AH5687" s="387">
        <f t="shared" si="103"/>
        <v>17</v>
      </c>
    </row>
    <row r="5688" spans="11:34" ht="14.5" x14ac:dyDescent="0.35">
      <c r="K5688" s="4"/>
      <c r="AC5688" s="384">
        <v>2022</v>
      </c>
      <c r="AD5688" s="384">
        <v>8</v>
      </c>
      <c r="AE5688" s="384">
        <v>25</v>
      </c>
      <c r="AF5688" s="385">
        <v>0.91666666666666663</v>
      </c>
      <c r="AG5688" s="386">
        <v>15.8</v>
      </c>
      <c r="AH5688" s="387">
        <f t="shared" si="103"/>
        <v>16</v>
      </c>
    </row>
    <row r="5689" spans="11:34" ht="14.5" x14ac:dyDescent="0.35">
      <c r="K5689" s="4"/>
      <c r="AC5689" s="384">
        <v>2022</v>
      </c>
      <c r="AD5689" s="384">
        <v>8</v>
      </c>
      <c r="AE5689" s="384">
        <v>25</v>
      </c>
      <c r="AF5689" s="385">
        <v>0.95833333333333337</v>
      </c>
      <c r="AG5689" s="386">
        <v>15.1</v>
      </c>
      <c r="AH5689" s="387">
        <f t="shared" si="103"/>
        <v>15</v>
      </c>
    </row>
    <row r="5690" spans="11:34" ht="14.5" x14ac:dyDescent="0.35">
      <c r="K5690" s="4"/>
      <c r="AC5690" s="384">
        <v>2022</v>
      </c>
      <c r="AD5690" s="384">
        <v>8</v>
      </c>
      <c r="AE5690" s="384">
        <v>26</v>
      </c>
      <c r="AF5690" s="385">
        <v>0</v>
      </c>
      <c r="AG5690" s="386">
        <v>14.8</v>
      </c>
      <c r="AH5690" s="387">
        <f t="shared" si="103"/>
        <v>15</v>
      </c>
    </row>
    <row r="5691" spans="11:34" ht="14.5" x14ac:dyDescent="0.35">
      <c r="K5691" s="4"/>
      <c r="AC5691" s="384">
        <v>2022</v>
      </c>
      <c r="AD5691" s="384">
        <v>8</v>
      </c>
      <c r="AE5691" s="384">
        <v>26</v>
      </c>
      <c r="AF5691" s="385">
        <v>4.1666666666666664E-2</v>
      </c>
      <c r="AG5691" s="386">
        <v>13.5</v>
      </c>
      <c r="AH5691" s="387">
        <f t="shared" si="103"/>
        <v>14</v>
      </c>
    </row>
    <row r="5692" spans="11:34" ht="14.5" x14ac:dyDescent="0.35">
      <c r="K5692" s="4"/>
      <c r="AC5692" s="384">
        <v>2022</v>
      </c>
      <c r="AD5692" s="384">
        <v>8</v>
      </c>
      <c r="AE5692" s="384">
        <v>26</v>
      </c>
      <c r="AF5692" s="385">
        <v>8.3333333333333329E-2</v>
      </c>
      <c r="AG5692" s="386">
        <v>12.9</v>
      </c>
      <c r="AH5692" s="387">
        <f t="shared" si="103"/>
        <v>13</v>
      </c>
    </row>
    <row r="5693" spans="11:34" ht="14.5" x14ac:dyDescent="0.35">
      <c r="K5693" s="4"/>
      <c r="AC5693" s="384">
        <v>2022</v>
      </c>
      <c r="AD5693" s="384">
        <v>8</v>
      </c>
      <c r="AE5693" s="384">
        <v>26</v>
      </c>
      <c r="AF5693" s="385">
        <v>0.125</v>
      </c>
      <c r="AG5693" s="386">
        <v>13</v>
      </c>
      <c r="AH5693" s="387">
        <f t="shared" si="103"/>
        <v>13</v>
      </c>
    </row>
    <row r="5694" spans="11:34" ht="14.5" x14ac:dyDescent="0.35">
      <c r="K5694" s="4"/>
      <c r="AC5694" s="384">
        <v>2022</v>
      </c>
      <c r="AD5694" s="384">
        <v>8</v>
      </c>
      <c r="AE5694" s="384">
        <v>26</v>
      </c>
      <c r="AF5694" s="385">
        <v>0.16666666666666666</v>
      </c>
      <c r="AG5694" s="386">
        <v>11.9</v>
      </c>
      <c r="AH5694" s="387">
        <f t="shared" si="103"/>
        <v>12</v>
      </c>
    </row>
    <row r="5695" spans="11:34" ht="14.5" x14ac:dyDescent="0.35">
      <c r="K5695" s="4"/>
      <c r="AC5695" s="384">
        <v>2022</v>
      </c>
      <c r="AD5695" s="384">
        <v>8</v>
      </c>
      <c r="AE5695" s="384">
        <v>26</v>
      </c>
      <c r="AF5695" s="385">
        <v>0.20833333333333334</v>
      </c>
      <c r="AG5695" s="386">
        <v>12.2</v>
      </c>
      <c r="AH5695" s="387">
        <f t="shared" si="103"/>
        <v>12</v>
      </c>
    </row>
    <row r="5696" spans="11:34" ht="14.5" x14ac:dyDescent="0.35">
      <c r="K5696" s="4"/>
      <c r="AC5696" s="384">
        <v>2022</v>
      </c>
      <c r="AD5696" s="384">
        <v>8</v>
      </c>
      <c r="AE5696" s="384">
        <v>26</v>
      </c>
      <c r="AF5696" s="385">
        <v>0.25</v>
      </c>
      <c r="AG5696" s="386">
        <v>11</v>
      </c>
      <c r="AH5696" s="387">
        <f t="shared" si="103"/>
        <v>11</v>
      </c>
    </row>
    <row r="5697" spans="11:34" ht="14.5" x14ac:dyDescent="0.35">
      <c r="K5697" s="4"/>
      <c r="AC5697" s="384">
        <v>2022</v>
      </c>
      <c r="AD5697" s="384">
        <v>8</v>
      </c>
      <c r="AE5697" s="384">
        <v>26</v>
      </c>
      <c r="AF5697" s="385">
        <v>0.29166666666666669</v>
      </c>
      <c r="AG5697" s="386">
        <v>13.9</v>
      </c>
      <c r="AH5697" s="387">
        <f t="shared" si="103"/>
        <v>14</v>
      </c>
    </row>
    <row r="5698" spans="11:34" ht="14.5" x14ac:dyDescent="0.35">
      <c r="K5698" s="4"/>
      <c r="AC5698" s="384">
        <v>2022</v>
      </c>
      <c r="AD5698" s="384">
        <v>8</v>
      </c>
      <c r="AE5698" s="384">
        <v>26</v>
      </c>
      <c r="AF5698" s="385">
        <v>0.33333333333333331</v>
      </c>
      <c r="AG5698" s="386">
        <v>17.100000000000001</v>
      </c>
      <c r="AH5698" s="387">
        <f t="shared" si="103"/>
        <v>17</v>
      </c>
    </row>
    <row r="5699" spans="11:34" ht="14.5" x14ac:dyDescent="0.35">
      <c r="K5699" s="4"/>
      <c r="AC5699" s="384">
        <v>2022</v>
      </c>
      <c r="AD5699" s="384">
        <v>8</v>
      </c>
      <c r="AE5699" s="384">
        <v>26</v>
      </c>
      <c r="AF5699" s="385">
        <v>0.375</v>
      </c>
      <c r="AG5699" s="386">
        <v>21</v>
      </c>
      <c r="AH5699" s="387">
        <f t="shared" si="103"/>
        <v>21</v>
      </c>
    </row>
    <row r="5700" spans="11:34" ht="14.5" x14ac:dyDescent="0.35">
      <c r="K5700" s="4"/>
      <c r="AC5700" s="384">
        <v>2022</v>
      </c>
      <c r="AD5700" s="384">
        <v>8</v>
      </c>
      <c r="AE5700" s="384">
        <v>26</v>
      </c>
      <c r="AF5700" s="385">
        <v>0.41666666666666669</v>
      </c>
      <c r="AG5700" s="386">
        <v>24.3</v>
      </c>
      <c r="AH5700" s="387">
        <f t="shared" si="103"/>
        <v>24</v>
      </c>
    </row>
    <row r="5701" spans="11:34" ht="14.5" x14ac:dyDescent="0.35">
      <c r="K5701" s="4"/>
      <c r="AC5701" s="384">
        <v>2022</v>
      </c>
      <c r="AD5701" s="384">
        <v>8</v>
      </c>
      <c r="AE5701" s="384">
        <v>26</v>
      </c>
      <c r="AF5701" s="385">
        <v>0.45833333333333331</v>
      </c>
      <c r="AG5701" s="386">
        <v>24.8</v>
      </c>
      <c r="AH5701" s="387">
        <f t="shared" si="103"/>
        <v>25</v>
      </c>
    </row>
    <row r="5702" spans="11:34" ht="14.5" x14ac:dyDescent="0.35">
      <c r="K5702" s="4"/>
      <c r="AC5702" s="384">
        <v>2022</v>
      </c>
      <c r="AD5702" s="384">
        <v>8</v>
      </c>
      <c r="AE5702" s="384">
        <v>26</v>
      </c>
      <c r="AF5702" s="385">
        <v>0.5</v>
      </c>
      <c r="AG5702" s="386">
        <v>25.8</v>
      </c>
      <c r="AH5702" s="387">
        <f t="shared" si="103"/>
        <v>26</v>
      </c>
    </row>
    <row r="5703" spans="11:34" ht="14.5" x14ac:dyDescent="0.35">
      <c r="K5703" s="4"/>
      <c r="AC5703" s="384">
        <v>2022</v>
      </c>
      <c r="AD5703" s="384">
        <v>8</v>
      </c>
      <c r="AE5703" s="384">
        <v>26</v>
      </c>
      <c r="AF5703" s="385">
        <v>0.54166666666666663</v>
      </c>
      <c r="AG5703" s="386">
        <v>26.8</v>
      </c>
      <c r="AH5703" s="387">
        <f t="shared" si="103"/>
        <v>27</v>
      </c>
    </row>
    <row r="5704" spans="11:34" ht="14.5" x14ac:dyDescent="0.35">
      <c r="K5704" s="4"/>
      <c r="AC5704" s="384">
        <v>2022</v>
      </c>
      <c r="AD5704" s="384">
        <v>8</v>
      </c>
      <c r="AE5704" s="384">
        <v>26</v>
      </c>
      <c r="AF5704" s="385">
        <v>0.58333333333333337</v>
      </c>
      <c r="AG5704" s="386">
        <v>22.7</v>
      </c>
      <c r="AH5704" s="387">
        <f t="shared" si="103"/>
        <v>23</v>
      </c>
    </row>
    <row r="5705" spans="11:34" ht="14.5" x14ac:dyDescent="0.35">
      <c r="K5705" s="4"/>
      <c r="AC5705" s="384">
        <v>2022</v>
      </c>
      <c r="AD5705" s="384">
        <v>8</v>
      </c>
      <c r="AE5705" s="384">
        <v>26</v>
      </c>
      <c r="AF5705" s="385">
        <v>0.625</v>
      </c>
      <c r="AG5705" s="386">
        <v>24</v>
      </c>
      <c r="AH5705" s="387">
        <f t="shared" si="103"/>
        <v>24</v>
      </c>
    </row>
    <row r="5706" spans="11:34" ht="14.5" x14ac:dyDescent="0.35">
      <c r="K5706" s="4"/>
      <c r="AC5706" s="384">
        <v>2022</v>
      </c>
      <c r="AD5706" s="384">
        <v>8</v>
      </c>
      <c r="AE5706" s="384">
        <v>26</v>
      </c>
      <c r="AF5706" s="385">
        <v>0.66666666666666663</v>
      </c>
      <c r="AG5706" s="386">
        <v>26.3</v>
      </c>
      <c r="AH5706" s="387">
        <f t="shared" si="103"/>
        <v>26</v>
      </c>
    </row>
    <row r="5707" spans="11:34" ht="14.5" x14ac:dyDescent="0.35">
      <c r="K5707" s="4"/>
      <c r="AC5707" s="384">
        <v>2022</v>
      </c>
      <c r="AD5707" s="384">
        <v>8</v>
      </c>
      <c r="AE5707" s="384">
        <v>26</v>
      </c>
      <c r="AF5707" s="385">
        <v>0.70833333333333337</v>
      </c>
      <c r="AG5707" s="386">
        <v>25.4</v>
      </c>
      <c r="AH5707" s="387">
        <f t="shared" ref="AH5707:AH5770" si="104">ROUND(AG5707,0)</f>
        <v>25</v>
      </c>
    </row>
    <row r="5708" spans="11:34" ht="14.5" x14ac:dyDescent="0.35">
      <c r="K5708" s="4"/>
      <c r="AC5708" s="384">
        <v>2022</v>
      </c>
      <c r="AD5708" s="384">
        <v>8</v>
      </c>
      <c r="AE5708" s="384">
        <v>26</v>
      </c>
      <c r="AF5708" s="385">
        <v>0.75</v>
      </c>
      <c r="AG5708" s="386">
        <v>20.5</v>
      </c>
      <c r="AH5708" s="387">
        <f t="shared" si="104"/>
        <v>21</v>
      </c>
    </row>
    <row r="5709" spans="11:34" ht="14.5" x14ac:dyDescent="0.35">
      <c r="K5709" s="4"/>
      <c r="AC5709" s="384">
        <v>2022</v>
      </c>
      <c r="AD5709" s="384">
        <v>8</v>
      </c>
      <c r="AE5709" s="384">
        <v>26</v>
      </c>
      <c r="AF5709" s="385">
        <v>0.79166666666666663</v>
      </c>
      <c r="AG5709" s="386">
        <v>19.8</v>
      </c>
      <c r="AH5709" s="387">
        <f t="shared" si="104"/>
        <v>20</v>
      </c>
    </row>
    <row r="5710" spans="11:34" ht="14.5" x14ac:dyDescent="0.35">
      <c r="K5710" s="4"/>
      <c r="AC5710" s="384">
        <v>2022</v>
      </c>
      <c r="AD5710" s="384">
        <v>8</v>
      </c>
      <c r="AE5710" s="384">
        <v>26</v>
      </c>
      <c r="AF5710" s="385">
        <v>0.83333333333333337</v>
      </c>
      <c r="AG5710" s="386">
        <v>18</v>
      </c>
      <c r="AH5710" s="387">
        <f t="shared" si="104"/>
        <v>18</v>
      </c>
    </row>
    <row r="5711" spans="11:34" ht="14.5" x14ac:dyDescent="0.35">
      <c r="K5711" s="4"/>
      <c r="AC5711" s="384">
        <v>2022</v>
      </c>
      <c r="AD5711" s="384">
        <v>8</v>
      </c>
      <c r="AE5711" s="384">
        <v>26</v>
      </c>
      <c r="AF5711" s="385">
        <v>0.875</v>
      </c>
      <c r="AG5711" s="386">
        <v>16</v>
      </c>
      <c r="AH5711" s="387">
        <f t="shared" si="104"/>
        <v>16</v>
      </c>
    </row>
    <row r="5712" spans="11:34" ht="14.5" x14ac:dyDescent="0.35">
      <c r="K5712" s="4"/>
      <c r="AC5712" s="384">
        <v>2022</v>
      </c>
      <c r="AD5712" s="384">
        <v>8</v>
      </c>
      <c r="AE5712" s="384">
        <v>26</v>
      </c>
      <c r="AF5712" s="385">
        <v>0.91666666666666663</v>
      </c>
      <c r="AG5712" s="386">
        <v>16.2</v>
      </c>
      <c r="AH5712" s="387">
        <f t="shared" si="104"/>
        <v>16</v>
      </c>
    </row>
    <row r="5713" spans="11:34" ht="14.5" x14ac:dyDescent="0.35">
      <c r="K5713" s="4"/>
      <c r="AC5713" s="384">
        <v>2022</v>
      </c>
      <c r="AD5713" s="384">
        <v>8</v>
      </c>
      <c r="AE5713" s="384">
        <v>26</v>
      </c>
      <c r="AF5713" s="385">
        <v>0.95833333333333337</v>
      </c>
      <c r="AG5713" s="386">
        <v>16.600000000000001</v>
      </c>
      <c r="AH5713" s="387">
        <f t="shared" si="104"/>
        <v>17</v>
      </c>
    </row>
    <row r="5714" spans="11:34" ht="14.5" x14ac:dyDescent="0.35">
      <c r="K5714" s="4"/>
      <c r="AC5714" s="384">
        <v>2022</v>
      </c>
      <c r="AD5714" s="384">
        <v>8</v>
      </c>
      <c r="AE5714" s="384">
        <v>27</v>
      </c>
      <c r="AF5714" s="385">
        <v>0</v>
      </c>
      <c r="AG5714" s="386">
        <v>14.6</v>
      </c>
      <c r="AH5714" s="387">
        <f t="shared" si="104"/>
        <v>15</v>
      </c>
    </row>
    <row r="5715" spans="11:34" ht="14.5" x14ac:dyDescent="0.35">
      <c r="K5715" s="4"/>
      <c r="AC5715" s="384">
        <v>2022</v>
      </c>
      <c r="AD5715" s="384">
        <v>8</v>
      </c>
      <c r="AE5715" s="384">
        <v>27</v>
      </c>
      <c r="AF5715" s="385">
        <v>4.1666666666666664E-2</v>
      </c>
      <c r="AG5715" s="386">
        <v>13.8</v>
      </c>
      <c r="AH5715" s="387">
        <f t="shared" si="104"/>
        <v>14</v>
      </c>
    </row>
    <row r="5716" spans="11:34" ht="14.5" x14ac:dyDescent="0.35">
      <c r="K5716" s="4"/>
      <c r="AC5716" s="384">
        <v>2022</v>
      </c>
      <c r="AD5716" s="384">
        <v>8</v>
      </c>
      <c r="AE5716" s="384">
        <v>27</v>
      </c>
      <c r="AF5716" s="385">
        <v>8.3333333333333329E-2</v>
      </c>
      <c r="AG5716" s="386">
        <v>12</v>
      </c>
      <c r="AH5716" s="387">
        <f t="shared" si="104"/>
        <v>12</v>
      </c>
    </row>
    <row r="5717" spans="11:34" ht="14.5" x14ac:dyDescent="0.35">
      <c r="K5717" s="4"/>
      <c r="AC5717" s="384">
        <v>2022</v>
      </c>
      <c r="AD5717" s="384">
        <v>8</v>
      </c>
      <c r="AE5717" s="384">
        <v>27</v>
      </c>
      <c r="AF5717" s="385">
        <v>0.125</v>
      </c>
      <c r="AG5717" s="386">
        <v>14.6</v>
      </c>
      <c r="AH5717" s="387">
        <f t="shared" si="104"/>
        <v>15</v>
      </c>
    </row>
    <row r="5718" spans="11:34" ht="14.5" x14ac:dyDescent="0.35">
      <c r="K5718" s="4"/>
      <c r="AC5718" s="384">
        <v>2022</v>
      </c>
      <c r="AD5718" s="384">
        <v>8</v>
      </c>
      <c r="AE5718" s="384">
        <v>27</v>
      </c>
      <c r="AF5718" s="385">
        <v>0.16666666666666666</v>
      </c>
      <c r="AG5718" s="386">
        <v>15.9</v>
      </c>
      <c r="AH5718" s="387">
        <f t="shared" si="104"/>
        <v>16</v>
      </c>
    </row>
    <row r="5719" spans="11:34" ht="14.5" x14ac:dyDescent="0.35">
      <c r="K5719" s="4"/>
      <c r="AC5719" s="384">
        <v>2022</v>
      </c>
      <c r="AD5719" s="384">
        <v>8</v>
      </c>
      <c r="AE5719" s="384">
        <v>27</v>
      </c>
      <c r="AF5719" s="385">
        <v>0.20833333333333334</v>
      </c>
      <c r="AG5719" s="386">
        <v>15.7</v>
      </c>
      <c r="AH5719" s="387">
        <f t="shared" si="104"/>
        <v>16</v>
      </c>
    </row>
    <row r="5720" spans="11:34" ht="14.5" x14ac:dyDescent="0.35">
      <c r="K5720" s="4"/>
      <c r="AC5720" s="384">
        <v>2022</v>
      </c>
      <c r="AD5720" s="384">
        <v>8</v>
      </c>
      <c r="AE5720" s="384">
        <v>27</v>
      </c>
      <c r="AF5720" s="385">
        <v>0.25</v>
      </c>
      <c r="AG5720" s="386">
        <v>15</v>
      </c>
      <c r="AH5720" s="387">
        <f t="shared" si="104"/>
        <v>15</v>
      </c>
    </row>
    <row r="5721" spans="11:34" ht="14.5" x14ac:dyDescent="0.35">
      <c r="K5721" s="4"/>
      <c r="AC5721" s="384">
        <v>2022</v>
      </c>
      <c r="AD5721" s="384">
        <v>8</v>
      </c>
      <c r="AE5721" s="384">
        <v>27</v>
      </c>
      <c r="AF5721" s="385">
        <v>0.29166666666666669</v>
      </c>
      <c r="AG5721" s="386">
        <v>15.7</v>
      </c>
      <c r="AH5721" s="387">
        <f t="shared" si="104"/>
        <v>16</v>
      </c>
    </row>
    <row r="5722" spans="11:34" ht="14.5" x14ac:dyDescent="0.35">
      <c r="K5722" s="4"/>
      <c r="AC5722" s="384">
        <v>2022</v>
      </c>
      <c r="AD5722" s="384">
        <v>8</v>
      </c>
      <c r="AE5722" s="384">
        <v>27</v>
      </c>
      <c r="AF5722" s="385">
        <v>0.33333333333333331</v>
      </c>
      <c r="AG5722" s="386">
        <v>17</v>
      </c>
      <c r="AH5722" s="387">
        <f t="shared" si="104"/>
        <v>17</v>
      </c>
    </row>
    <row r="5723" spans="11:34" ht="14.5" x14ac:dyDescent="0.35">
      <c r="K5723" s="4"/>
      <c r="AC5723" s="384">
        <v>2022</v>
      </c>
      <c r="AD5723" s="384">
        <v>8</v>
      </c>
      <c r="AE5723" s="384">
        <v>27</v>
      </c>
      <c r="AF5723" s="385">
        <v>0.375</v>
      </c>
      <c r="AG5723" s="386">
        <v>16.899999999999999</v>
      </c>
      <c r="AH5723" s="387">
        <f t="shared" si="104"/>
        <v>17</v>
      </c>
    </row>
    <row r="5724" spans="11:34" ht="14.5" x14ac:dyDescent="0.35">
      <c r="K5724" s="4"/>
      <c r="AC5724" s="384">
        <v>2022</v>
      </c>
      <c r="AD5724" s="384">
        <v>8</v>
      </c>
      <c r="AE5724" s="384">
        <v>27</v>
      </c>
      <c r="AF5724" s="385">
        <v>0.41666666666666669</v>
      </c>
      <c r="AG5724" s="386">
        <v>17.100000000000001</v>
      </c>
      <c r="AH5724" s="387">
        <f t="shared" si="104"/>
        <v>17</v>
      </c>
    </row>
    <row r="5725" spans="11:34" ht="14.5" x14ac:dyDescent="0.35">
      <c r="K5725" s="4"/>
      <c r="AC5725" s="384">
        <v>2022</v>
      </c>
      <c r="AD5725" s="384">
        <v>8</v>
      </c>
      <c r="AE5725" s="384">
        <v>27</v>
      </c>
      <c r="AF5725" s="385">
        <v>0.45833333333333331</v>
      </c>
      <c r="AG5725" s="386">
        <v>18.600000000000001</v>
      </c>
      <c r="AH5725" s="387">
        <f t="shared" si="104"/>
        <v>19</v>
      </c>
    </row>
    <row r="5726" spans="11:34" ht="14.5" x14ac:dyDescent="0.35">
      <c r="K5726" s="4"/>
      <c r="AC5726" s="384">
        <v>2022</v>
      </c>
      <c r="AD5726" s="384">
        <v>8</v>
      </c>
      <c r="AE5726" s="384">
        <v>27</v>
      </c>
      <c r="AF5726" s="385">
        <v>0.5</v>
      </c>
      <c r="AG5726" s="386">
        <v>19.100000000000001</v>
      </c>
      <c r="AH5726" s="387">
        <f t="shared" si="104"/>
        <v>19</v>
      </c>
    </row>
    <row r="5727" spans="11:34" ht="14.5" x14ac:dyDescent="0.35">
      <c r="K5727" s="4"/>
      <c r="AC5727" s="384">
        <v>2022</v>
      </c>
      <c r="AD5727" s="384">
        <v>8</v>
      </c>
      <c r="AE5727" s="384">
        <v>27</v>
      </c>
      <c r="AF5727" s="385">
        <v>0.54166666666666663</v>
      </c>
      <c r="AG5727" s="386">
        <v>14.6</v>
      </c>
      <c r="AH5727" s="387">
        <f t="shared" si="104"/>
        <v>15</v>
      </c>
    </row>
    <row r="5728" spans="11:34" ht="14.5" x14ac:dyDescent="0.35">
      <c r="K5728" s="4"/>
      <c r="AC5728" s="384">
        <v>2022</v>
      </c>
      <c r="AD5728" s="384">
        <v>8</v>
      </c>
      <c r="AE5728" s="384">
        <v>27</v>
      </c>
      <c r="AF5728" s="385">
        <v>0.58333333333333337</v>
      </c>
      <c r="AG5728" s="386">
        <v>11.1</v>
      </c>
      <c r="AH5728" s="387">
        <f t="shared" si="104"/>
        <v>11</v>
      </c>
    </row>
    <row r="5729" spans="11:34" ht="14.5" x14ac:dyDescent="0.35">
      <c r="K5729" s="4"/>
      <c r="AC5729" s="384">
        <v>2022</v>
      </c>
      <c r="AD5729" s="384">
        <v>8</v>
      </c>
      <c r="AE5729" s="384">
        <v>27</v>
      </c>
      <c r="AF5729" s="385">
        <v>0.625</v>
      </c>
      <c r="AG5729" s="386">
        <v>10.6</v>
      </c>
      <c r="AH5729" s="387">
        <f t="shared" si="104"/>
        <v>11</v>
      </c>
    </row>
    <row r="5730" spans="11:34" ht="14.5" x14ac:dyDescent="0.35">
      <c r="K5730" s="4"/>
      <c r="AC5730" s="384">
        <v>2022</v>
      </c>
      <c r="AD5730" s="384">
        <v>8</v>
      </c>
      <c r="AE5730" s="384">
        <v>27</v>
      </c>
      <c r="AF5730" s="385">
        <v>0.66666666666666663</v>
      </c>
      <c r="AG5730" s="386">
        <v>11.6</v>
      </c>
      <c r="AH5730" s="387">
        <f t="shared" si="104"/>
        <v>12</v>
      </c>
    </row>
    <row r="5731" spans="11:34" ht="14.5" x14ac:dyDescent="0.35">
      <c r="K5731" s="4"/>
      <c r="AC5731" s="384">
        <v>2022</v>
      </c>
      <c r="AD5731" s="384">
        <v>8</v>
      </c>
      <c r="AE5731" s="384">
        <v>27</v>
      </c>
      <c r="AF5731" s="385">
        <v>0.70833333333333337</v>
      </c>
      <c r="AG5731" s="386">
        <v>13</v>
      </c>
      <c r="AH5731" s="387">
        <f t="shared" si="104"/>
        <v>13</v>
      </c>
    </row>
    <row r="5732" spans="11:34" ht="14.5" x14ac:dyDescent="0.35">
      <c r="K5732" s="4"/>
      <c r="AC5732" s="384">
        <v>2022</v>
      </c>
      <c r="AD5732" s="384">
        <v>8</v>
      </c>
      <c r="AE5732" s="384">
        <v>27</v>
      </c>
      <c r="AF5732" s="385">
        <v>0.75</v>
      </c>
      <c r="AG5732" s="386">
        <v>12.9</v>
      </c>
      <c r="AH5732" s="387">
        <f t="shared" si="104"/>
        <v>13</v>
      </c>
    </row>
    <row r="5733" spans="11:34" ht="14.5" x14ac:dyDescent="0.35">
      <c r="K5733" s="4"/>
      <c r="AC5733" s="384">
        <v>2022</v>
      </c>
      <c r="AD5733" s="384">
        <v>8</v>
      </c>
      <c r="AE5733" s="384">
        <v>27</v>
      </c>
      <c r="AF5733" s="385">
        <v>0.79166666666666663</v>
      </c>
      <c r="AG5733" s="386">
        <v>11.5</v>
      </c>
      <c r="AH5733" s="387">
        <f t="shared" si="104"/>
        <v>12</v>
      </c>
    </row>
    <row r="5734" spans="11:34" ht="14.5" x14ac:dyDescent="0.35">
      <c r="K5734" s="4"/>
      <c r="AC5734" s="384">
        <v>2022</v>
      </c>
      <c r="AD5734" s="384">
        <v>8</v>
      </c>
      <c r="AE5734" s="384">
        <v>27</v>
      </c>
      <c r="AF5734" s="385">
        <v>0.83333333333333337</v>
      </c>
      <c r="AG5734" s="386">
        <v>12</v>
      </c>
      <c r="AH5734" s="387">
        <f t="shared" si="104"/>
        <v>12</v>
      </c>
    </row>
    <row r="5735" spans="11:34" ht="14.5" x14ac:dyDescent="0.35">
      <c r="K5735" s="4"/>
      <c r="AC5735" s="384">
        <v>2022</v>
      </c>
      <c r="AD5735" s="384">
        <v>8</v>
      </c>
      <c r="AE5735" s="384">
        <v>27</v>
      </c>
      <c r="AF5735" s="385">
        <v>0.875</v>
      </c>
      <c r="AG5735" s="386">
        <v>12.6</v>
      </c>
      <c r="AH5735" s="387">
        <f t="shared" si="104"/>
        <v>13</v>
      </c>
    </row>
    <row r="5736" spans="11:34" ht="14.5" x14ac:dyDescent="0.35">
      <c r="K5736" s="4"/>
      <c r="AC5736" s="384">
        <v>2022</v>
      </c>
      <c r="AD5736" s="384">
        <v>8</v>
      </c>
      <c r="AE5736" s="384">
        <v>27</v>
      </c>
      <c r="AF5736" s="385">
        <v>0.91666666666666663</v>
      </c>
      <c r="AG5736" s="386">
        <v>12.3</v>
      </c>
      <c r="AH5736" s="387">
        <f t="shared" si="104"/>
        <v>12</v>
      </c>
    </row>
    <row r="5737" spans="11:34" ht="14.5" x14ac:dyDescent="0.35">
      <c r="K5737" s="4"/>
      <c r="AC5737" s="384">
        <v>2022</v>
      </c>
      <c r="AD5737" s="384">
        <v>8</v>
      </c>
      <c r="AE5737" s="384">
        <v>27</v>
      </c>
      <c r="AF5737" s="385">
        <v>0.95833333333333337</v>
      </c>
      <c r="AG5737" s="386">
        <v>12.2</v>
      </c>
      <c r="AH5737" s="387">
        <f t="shared" si="104"/>
        <v>12</v>
      </c>
    </row>
    <row r="5738" spans="11:34" ht="14.5" x14ac:dyDescent="0.35">
      <c r="K5738" s="4"/>
      <c r="AC5738" s="384">
        <v>2022</v>
      </c>
      <c r="AD5738" s="384">
        <v>8</v>
      </c>
      <c r="AE5738" s="384">
        <v>28</v>
      </c>
      <c r="AF5738" s="385">
        <v>0</v>
      </c>
      <c r="AG5738" s="386">
        <v>12.5</v>
      </c>
      <c r="AH5738" s="387">
        <f t="shared" si="104"/>
        <v>13</v>
      </c>
    </row>
    <row r="5739" spans="11:34" ht="14.5" x14ac:dyDescent="0.35">
      <c r="K5739" s="4"/>
      <c r="AC5739" s="384">
        <v>2022</v>
      </c>
      <c r="AD5739" s="384">
        <v>8</v>
      </c>
      <c r="AE5739" s="384">
        <v>28</v>
      </c>
      <c r="AF5739" s="385">
        <v>4.1666666666666664E-2</v>
      </c>
      <c r="AG5739" s="386">
        <v>12.5</v>
      </c>
      <c r="AH5739" s="387">
        <f t="shared" si="104"/>
        <v>13</v>
      </c>
    </row>
    <row r="5740" spans="11:34" ht="14.5" x14ac:dyDescent="0.35">
      <c r="K5740" s="4"/>
      <c r="AC5740" s="384">
        <v>2022</v>
      </c>
      <c r="AD5740" s="384">
        <v>8</v>
      </c>
      <c r="AE5740" s="384">
        <v>28</v>
      </c>
      <c r="AF5740" s="385">
        <v>8.3333333333333329E-2</v>
      </c>
      <c r="AG5740" s="386">
        <v>13</v>
      </c>
      <c r="AH5740" s="387">
        <f t="shared" si="104"/>
        <v>13</v>
      </c>
    </row>
    <row r="5741" spans="11:34" ht="14.5" x14ac:dyDescent="0.35">
      <c r="K5741" s="4"/>
      <c r="AC5741" s="384">
        <v>2022</v>
      </c>
      <c r="AD5741" s="384">
        <v>8</v>
      </c>
      <c r="AE5741" s="384">
        <v>28</v>
      </c>
      <c r="AF5741" s="385">
        <v>0.125</v>
      </c>
      <c r="AG5741" s="386">
        <v>12</v>
      </c>
      <c r="AH5741" s="387">
        <f t="shared" si="104"/>
        <v>12</v>
      </c>
    </row>
    <row r="5742" spans="11:34" ht="14.5" x14ac:dyDescent="0.35">
      <c r="K5742" s="4"/>
      <c r="AC5742" s="384">
        <v>2022</v>
      </c>
      <c r="AD5742" s="384">
        <v>8</v>
      </c>
      <c r="AE5742" s="384">
        <v>28</v>
      </c>
      <c r="AF5742" s="385">
        <v>0.16666666666666666</v>
      </c>
      <c r="AG5742" s="386">
        <v>11.1</v>
      </c>
      <c r="AH5742" s="387">
        <f t="shared" si="104"/>
        <v>11</v>
      </c>
    </row>
    <row r="5743" spans="11:34" ht="14.5" x14ac:dyDescent="0.35">
      <c r="K5743" s="4"/>
      <c r="AC5743" s="384">
        <v>2022</v>
      </c>
      <c r="AD5743" s="384">
        <v>8</v>
      </c>
      <c r="AE5743" s="384">
        <v>28</v>
      </c>
      <c r="AF5743" s="385">
        <v>0.20833333333333334</v>
      </c>
      <c r="AG5743" s="386">
        <v>9.9</v>
      </c>
      <c r="AH5743" s="387">
        <f t="shared" si="104"/>
        <v>10</v>
      </c>
    </row>
    <row r="5744" spans="11:34" ht="14.5" x14ac:dyDescent="0.35">
      <c r="K5744" s="4"/>
      <c r="AC5744" s="384">
        <v>2022</v>
      </c>
      <c r="AD5744" s="384">
        <v>8</v>
      </c>
      <c r="AE5744" s="384">
        <v>28</v>
      </c>
      <c r="AF5744" s="385">
        <v>0.25</v>
      </c>
      <c r="AG5744" s="386">
        <v>8.3000000000000007</v>
      </c>
      <c r="AH5744" s="387">
        <f t="shared" si="104"/>
        <v>8</v>
      </c>
    </row>
    <row r="5745" spans="11:34" ht="14.5" x14ac:dyDescent="0.35">
      <c r="K5745" s="4"/>
      <c r="AC5745" s="384">
        <v>2022</v>
      </c>
      <c r="AD5745" s="384">
        <v>8</v>
      </c>
      <c r="AE5745" s="384">
        <v>28</v>
      </c>
      <c r="AF5745" s="385">
        <v>0.29166666666666669</v>
      </c>
      <c r="AG5745" s="386">
        <v>11.3</v>
      </c>
      <c r="AH5745" s="387">
        <f t="shared" si="104"/>
        <v>11</v>
      </c>
    </row>
    <row r="5746" spans="11:34" ht="14.5" x14ac:dyDescent="0.35">
      <c r="K5746" s="4"/>
      <c r="AC5746" s="384">
        <v>2022</v>
      </c>
      <c r="AD5746" s="384">
        <v>8</v>
      </c>
      <c r="AE5746" s="384">
        <v>28</v>
      </c>
      <c r="AF5746" s="385">
        <v>0.33333333333333331</v>
      </c>
      <c r="AG5746" s="386">
        <v>13.4</v>
      </c>
      <c r="AH5746" s="387">
        <f t="shared" si="104"/>
        <v>13</v>
      </c>
    </row>
    <row r="5747" spans="11:34" ht="14.5" x14ac:dyDescent="0.35">
      <c r="K5747" s="4"/>
      <c r="AC5747" s="384">
        <v>2022</v>
      </c>
      <c r="AD5747" s="384">
        <v>8</v>
      </c>
      <c r="AE5747" s="384">
        <v>28</v>
      </c>
      <c r="AF5747" s="385">
        <v>0.375</v>
      </c>
      <c r="AG5747" s="386">
        <v>15.4</v>
      </c>
      <c r="AH5747" s="387">
        <f t="shared" si="104"/>
        <v>15</v>
      </c>
    </row>
    <row r="5748" spans="11:34" ht="14.5" x14ac:dyDescent="0.35">
      <c r="K5748" s="4"/>
      <c r="AC5748" s="384">
        <v>2022</v>
      </c>
      <c r="AD5748" s="384">
        <v>8</v>
      </c>
      <c r="AE5748" s="384">
        <v>28</v>
      </c>
      <c r="AF5748" s="385">
        <v>0.41666666666666669</v>
      </c>
      <c r="AG5748" s="386">
        <v>15.4</v>
      </c>
      <c r="AH5748" s="387">
        <f t="shared" si="104"/>
        <v>15</v>
      </c>
    </row>
    <row r="5749" spans="11:34" ht="14.5" x14ac:dyDescent="0.35">
      <c r="K5749" s="4"/>
      <c r="AC5749" s="384">
        <v>2022</v>
      </c>
      <c r="AD5749" s="384">
        <v>8</v>
      </c>
      <c r="AE5749" s="384">
        <v>28</v>
      </c>
      <c r="AF5749" s="385">
        <v>0.45833333333333331</v>
      </c>
      <c r="AG5749" s="386">
        <v>17.5</v>
      </c>
      <c r="AH5749" s="387">
        <f t="shared" si="104"/>
        <v>18</v>
      </c>
    </row>
    <row r="5750" spans="11:34" ht="14.5" x14ac:dyDescent="0.35">
      <c r="K5750" s="4"/>
      <c r="AC5750" s="384">
        <v>2022</v>
      </c>
      <c r="AD5750" s="384">
        <v>8</v>
      </c>
      <c r="AE5750" s="384">
        <v>28</v>
      </c>
      <c r="AF5750" s="385">
        <v>0.5</v>
      </c>
      <c r="AG5750" s="386">
        <v>18.2</v>
      </c>
      <c r="AH5750" s="387">
        <f t="shared" si="104"/>
        <v>18</v>
      </c>
    </row>
    <row r="5751" spans="11:34" ht="14.5" x14ac:dyDescent="0.35">
      <c r="K5751" s="4"/>
      <c r="AC5751" s="384">
        <v>2022</v>
      </c>
      <c r="AD5751" s="384">
        <v>8</v>
      </c>
      <c r="AE5751" s="384">
        <v>28</v>
      </c>
      <c r="AF5751" s="385">
        <v>0.54166666666666663</v>
      </c>
      <c r="AG5751" s="386">
        <v>18.600000000000001</v>
      </c>
      <c r="AH5751" s="387">
        <f t="shared" si="104"/>
        <v>19</v>
      </c>
    </row>
    <row r="5752" spans="11:34" ht="14.5" x14ac:dyDescent="0.35">
      <c r="K5752" s="4"/>
      <c r="AC5752" s="384">
        <v>2022</v>
      </c>
      <c r="AD5752" s="384">
        <v>8</v>
      </c>
      <c r="AE5752" s="384">
        <v>28</v>
      </c>
      <c r="AF5752" s="385">
        <v>0.58333333333333337</v>
      </c>
      <c r="AG5752" s="386">
        <v>19.7</v>
      </c>
      <c r="AH5752" s="387">
        <f t="shared" si="104"/>
        <v>20</v>
      </c>
    </row>
    <row r="5753" spans="11:34" ht="14.5" x14ac:dyDescent="0.35">
      <c r="K5753" s="4"/>
      <c r="AC5753" s="384">
        <v>2022</v>
      </c>
      <c r="AD5753" s="384">
        <v>8</v>
      </c>
      <c r="AE5753" s="384">
        <v>28</v>
      </c>
      <c r="AF5753" s="385">
        <v>0.625</v>
      </c>
      <c r="AG5753" s="386">
        <v>20.5</v>
      </c>
      <c r="AH5753" s="387">
        <f t="shared" si="104"/>
        <v>21</v>
      </c>
    </row>
    <row r="5754" spans="11:34" ht="14.5" x14ac:dyDescent="0.35">
      <c r="K5754" s="4"/>
      <c r="AC5754" s="384">
        <v>2022</v>
      </c>
      <c r="AD5754" s="384">
        <v>8</v>
      </c>
      <c r="AE5754" s="384">
        <v>28</v>
      </c>
      <c r="AF5754" s="385">
        <v>0.66666666666666663</v>
      </c>
      <c r="AG5754" s="386">
        <v>20.7</v>
      </c>
      <c r="AH5754" s="387">
        <f t="shared" si="104"/>
        <v>21</v>
      </c>
    </row>
    <row r="5755" spans="11:34" ht="14.5" x14ac:dyDescent="0.35">
      <c r="K5755" s="4"/>
      <c r="AC5755" s="384">
        <v>2022</v>
      </c>
      <c r="AD5755" s="384">
        <v>8</v>
      </c>
      <c r="AE5755" s="384">
        <v>28</v>
      </c>
      <c r="AF5755" s="385">
        <v>0.70833333333333337</v>
      </c>
      <c r="AG5755" s="386">
        <v>21.6</v>
      </c>
      <c r="AH5755" s="387">
        <f t="shared" si="104"/>
        <v>22</v>
      </c>
    </row>
    <row r="5756" spans="11:34" ht="14.5" x14ac:dyDescent="0.35">
      <c r="K5756" s="4"/>
      <c r="AC5756" s="384">
        <v>2022</v>
      </c>
      <c r="AD5756" s="384">
        <v>8</v>
      </c>
      <c r="AE5756" s="384">
        <v>28</v>
      </c>
      <c r="AF5756" s="385">
        <v>0.75</v>
      </c>
      <c r="AG5756" s="386">
        <v>20.9</v>
      </c>
      <c r="AH5756" s="387">
        <f t="shared" si="104"/>
        <v>21</v>
      </c>
    </row>
    <row r="5757" spans="11:34" ht="14.5" x14ac:dyDescent="0.35">
      <c r="K5757" s="4"/>
      <c r="AC5757" s="384">
        <v>2022</v>
      </c>
      <c r="AD5757" s="384">
        <v>8</v>
      </c>
      <c r="AE5757" s="384">
        <v>28</v>
      </c>
      <c r="AF5757" s="385">
        <v>0.79166666666666663</v>
      </c>
      <c r="AG5757" s="386">
        <v>19.399999999999999</v>
      </c>
      <c r="AH5757" s="387">
        <f t="shared" si="104"/>
        <v>19</v>
      </c>
    </row>
    <row r="5758" spans="11:34" ht="14.5" x14ac:dyDescent="0.35">
      <c r="K5758" s="4"/>
      <c r="AC5758" s="384">
        <v>2022</v>
      </c>
      <c r="AD5758" s="384">
        <v>8</v>
      </c>
      <c r="AE5758" s="384">
        <v>28</v>
      </c>
      <c r="AF5758" s="385">
        <v>0.83333333333333337</v>
      </c>
      <c r="AG5758" s="386">
        <v>17.2</v>
      </c>
      <c r="AH5758" s="387">
        <f t="shared" si="104"/>
        <v>17</v>
      </c>
    </row>
    <row r="5759" spans="11:34" ht="14.5" x14ac:dyDescent="0.35">
      <c r="K5759" s="4"/>
      <c r="AC5759" s="384">
        <v>2022</v>
      </c>
      <c r="AD5759" s="384">
        <v>8</v>
      </c>
      <c r="AE5759" s="384">
        <v>28</v>
      </c>
      <c r="AF5759" s="385">
        <v>0.875</v>
      </c>
      <c r="AG5759" s="386">
        <v>16.7</v>
      </c>
      <c r="AH5759" s="387">
        <f t="shared" si="104"/>
        <v>17</v>
      </c>
    </row>
    <row r="5760" spans="11:34" ht="14.5" x14ac:dyDescent="0.35">
      <c r="K5760" s="4"/>
      <c r="AC5760" s="384">
        <v>2022</v>
      </c>
      <c r="AD5760" s="384">
        <v>8</v>
      </c>
      <c r="AE5760" s="384">
        <v>28</v>
      </c>
      <c r="AF5760" s="385">
        <v>0.91666666666666663</v>
      </c>
      <c r="AG5760" s="386">
        <v>15.3</v>
      </c>
      <c r="AH5760" s="387">
        <f t="shared" si="104"/>
        <v>15</v>
      </c>
    </row>
    <row r="5761" spans="11:34" ht="14.5" x14ac:dyDescent="0.35">
      <c r="K5761" s="4"/>
      <c r="AC5761" s="384">
        <v>2022</v>
      </c>
      <c r="AD5761" s="384">
        <v>8</v>
      </c>
      <c r="AE5761" s="384">
        <v>28</v>
      </c>
      <c r="AF5761" s="385">
        <v>0.95833333333333337</v>
      </c>
      <c r="AG5761" s="386">
        <v>12.4</v>
      </c>
      <c r="AH5761" s="387">
        <f t="shared" si="104"/>
        <v>12</v>
      </c>
    </row>
    <row r="5762" spans="11:34" ht="14.5" x14ac:dyDescent="0.35">
      <c r="K5762" s="4"/>
      <c r="AC5762" s="384">
        <v>2022</v>
      </c>
      <c r="AD5762" s="384">
        <v>8</v>
      </c>
      <c r="AE5762" s="384">
        <v>29</v>
      </c>
      <c r="AF5762" s="385">
        <v>0</v>
      </c>
      <c r="AG5762" s="386">
        <v>11.2</v>
      </c>
      <c r="AH5762" s="387">
        <f t="shared" si="104"/>
        <v>11</v>
      </c>
    </row>
    <row r="5763" spans="11:34" ht="14.5" x14ac:dyDescent="0.35">
      <c r="K5763" s="4"/>
      <c r="AC5763" s="384">
        <v>2022</v>
      </c>
      <c r="AD5763" s="384">
        <v>8</v>
      </c>
      <c r="AE5763" s="384">
        <v>29</v>
      </c>
      <c r="AF5763" s="385">
        <v>4.1666666666666664E-2</v>
      </c>
      <c r="AG5763" s="386">
        <v>11</v>
      </c>
      <c r="AH5763" s="387">
        <f t="shared" si="104"/>
        <v>11</v>
      </c>
    </row>
    <row r="5764" spans="11:34" ht="14.5" x14ac:dyDescent="0.35">
      <c r="K5764" s="4"/>
      <c r="AC5764" s="384">
        <v>2022</v>
      </c>
      <c r="AD5764" s="384">
        <v>8</v>
      </c>
      <c r="AE5764" s="384">
        <v>29</v>
      </c>
      <c r="AF5764" s="385">
        <v>8.3333333333333329E-2</v>
      </c>
      <c r="AG5764" s="386">
        <v>9.5</v>
      </c>
      <c r="AH5764" s="387">
        <f t="shared" si="104"/>
        <v>10</v>
      </c>
    </row>
    <row r="5765" spans="11:34" ht="14.5" x14ac:dyDescent="0.35">
      <c r="K5765" s="4"/>
      <c r="AC5765" s="384">
        <v>2022</v>
      </c>
      <c r="AD5765" s="384">
        <v>8</v>
      </c>
      <c r="AE5765" s="384">
        <v>29</v>
      </c>
      <c r="AF5765" s="385">
        <v>0.125</v>
      </c>
      <c r="AG5765" s="386">
        <v>9.9</v>
      </c>
      <c r="AH5765" s="387">
        <f t="shared" si="104"/>
        <v>10</v>
      </c>
    </row>
    <row r="5766" spans="11:34" ht="14.5" x14ac:dyDescent="0.35">
      <c r="K5766" s="4"/>
      <c r="AC5766" s="384">
        <v>2022</v>
      </c>
      <c r="AD5766" s="384">
        <v>8</v>
      </c>
      <c r="AE5766" s="384">
        <v>29</v>
      </c>
      <c r="AF5766" s="385">
        <v>0.16666666666666666</v>
      </c>
      <c r="AG5766" s="386">
        <v>9.8000000000000007</v>
      </c>
      <c r="AH5766" s="387">
        <f t="shared" si="104"/>
        <v>10</v>
      </c>
    </row>
    <row r="5767" spans="11:34" ht="14.5" x14ac:dyDescent="0.35">
      <c r="K5767" s="4"/>
      <c r="AC5767" s="384">
        <v>2022</v>
      </c>
      <c r="AD5767" s="384">
        <v>8</v>
      </c>
      <c r="AE5767" s="384">
        <v>29</v>
      </c>
      <c r="AF5767" s="385">
        <v>0.20833333333333334</v>
      </c>
      <c r="AG5767" s="386">
        <v>10.1</v>
      </c>
      <c r="AH5767" s="387">
        <f t="shared" si="104"/>
        <v>10</v>
      </c>
    </row>
    <row r="5768" spans="11:34" ht="14.5" x14ac:dyDescent="0.35">
      <c r="K5768" s="4"/>
      <c r="AC5768" s="384">
        <v>2022</v>
      </c>
      <c r="AD5768" s="384">
        <v>8</v>
      </c>
      <c r="AE5768" s="384">
        <v>29</v>
      </c>
      <c r="AF5768" s="385">
        <v>0.25</v>
      </c>
      <c r="AG5768" s="386">
        <v>9.6999999999999993</v>
      </c>
      <c r="AH5768" s="387">
        <f t="shared" si="104"/>
        <v>10</v>
      </c>
    </row>
    <row r="5769" spans="11:34" ht="14.5" x14ac:dyDescent="0.35">
      <c r="K5769" s="4"/>
      <c r="AC5769" s="384">
        <v>2022</v>
      </c>
      <c r="AD5769" s="384">
        <v>8</v>
      </c>
      <c r="AE5769" s="384">
        <v>29</v>
      </c>
      <c r="AF5769" s="385">
        <v>0.29166666666666669</v>
      </c>
      <c r="AG5769" s="386">
        <v>12.6</v>
      </c>
      <c r="AH5769" s="387">
        <f t="shared" si="104"/>
        <v>13</v>
      </c>
    </row>
    <row r="5770" spans="11:34" ht="14.5" x14ac:dyDescent="0.35">
      <c r="K5770" s="4"/>
      <c r="AC5770" s="384">
        <v>2022</v>
      </c>
      <c r="AD5770" s="384">
        <v>8</v>
      </c>
      <c r="AE5770" s="384">
        <v>29</v>
      </c>
      <c r="AF5770" s="385">
        <v>0.33333333333333331</v>
      </c>
      <c r="AG5770" s="386">
        <v>15.9</v>
      </c>
      <c r="AH5770" s="387">
        <f t="shared" si="104"/>
        <v>16</v>
      </c>
    </row>
    <row r="5771" spans="11:34" ht="14.5" x14ac:dyDescent="0.35">
      <c r="K5771" s="4"/>
      <c r="AC5771" s="384">
        <v>2022</v>
      </c>
      <c r="AD5771" s="384">
        <v>8</v>
      </c>
      <c r="AE5771" s="384">
        <v>29</v>
      </c>
      <c r="AF5771" s="385">
        <v>0.375</v>
      </c>
      <c r="AG5771" s="386">
        <v>18</v>
      </c>
      <c r="AH5771" s="387">
        <f t="shared" ref="AH5771:AH5834" si="105">ROUND(AG5771,0)</f>
        <v>18</v>
      </c>
    </row>
    <row r="5772" spans="11:34" ht="14.5" x14ac:dyDescent="0.35">
      <c r="K5772" s="4"/>
      <c r="AC5772" s="384">
        <v>2022</v>
      </c>
      <c r="AD5772" s="384">
        <v>8</v>
      </c>
      <c r="AE5772" s="384">
        <v>29</v>
      </c>
      <c r="AF5772" s="385">
        <v>0.41666666666666669</v>
      </c>
      <c r="AG5772" s="386">
        <v>20.6</v>
      </c>
      <c r="AH5772" s="387">
        <f t="shared" si="105"/>
        <v>21</v>
      </c>
    </row>
    <row r="5773" spans="11:34" ht="14.5" x14ac:dyDescent="0.35">
      <c r="K5773" s="4"/>
      <c r="AC5773" s="384">
        <v>2022</v>
      </c>
      <c r="AD5773" s="384">
        <v>8</v>
      </c>
      <c r="AE5773" s="384">
        <v>29</v>
      </c>
      <c r="AF5773" s="385">
        <v>0.45833333333333331</v>
      </c>
      <c r="AG5773" s="386">
        <v>21.7</v>
      </c>
      <c r="AH5773" s="387">
        <f t="shared" si="105"/>
        <v>22</v>
      </c>
    </row>
    <row r="5774" spans="11:34" ht="14.5" x14ac:dyDescent="0.35">
      <c r="K5774" s="4"/>
      <c r="AC5774" s="384">
        <v>2022</v>
      </c>
      <c r="AD5774" s="384">
        <v>8</v>
      </c>
      <c r="AE5774" s="384">
        <v>29</v>
      </c>
      <c r="AF5774" s="385">
        <v>0.5</v>
      </c>
      <c r="AG5774" s="386">
        <v>23</v>
      </c>
      <c r="AH5774" s="387">
        <f t="shared" si="105"/>
        <v>23</v>
      </c>
    </row>
    <row r="5775" spans="11:34" ht="14.5" x14ac:dyDescent="0.35">
      <c r="K5775" s="4"/>
      <c r="AC5775" s="384">
        <v>2022</v>
      </c>
      <c r="AD5775" s="384">
        <v>8</v>
      </c>
      <c r="AE5775" s="384">
        <v>29</v>
      </c>
      <c r="AF5775" s="385">
        <v>0.54166666666666663</v>
      </c>
      <c r="AG5775" s="386">
        <v>24.6</v>
      </c>
      <c r="AH5775" s="387">
        <f t="shared" si="105"/>
        <v>25</v>
      </c>
    </row>
    <row r="5776" spans="11:34" ht="14.5" x14ac:dyDescent="0.35">
      <c r="K5776" s="4"/>
      <c r="AC5776" s="384">
        <v>2022</v>
      </c>
      <c r="AD5776" s="384">
        <v>8</v>
      </c>
      <c r="AE5776" s="384">
        <v>29</v>
      </c>
      <c r="AF5776" s="385">
        <v>0.58333333333333337</v>
      </c>
      <c r="AG5776" s="386">
        <v>24.6</v>
      </c>
      <c r="AH5776" s="387">
        <f t="shared" si="105"/>
        <v>25</v>
      </c>
    </row>
    <row r="5777" spans="11:34" ht="14.5" x14ac:dyDescent="0.35">
      <c r="K5777" s="4"/>
      <c r="AC5777" s="384">
        <v>2022</v>
      </c>
      <c r="AD5777" s="384">
        <v>8</v>
      </c>
      <c r="AE5777" s="384">
        <v>29</v>
      </c>
      <c r="AF5777" s="385">
        <v>0.625</v>
      </c>
      <c r="AG5777" s="386">
        <v>26.1</v>
      </c>
      <c r="AH5777" s="387">
        <f t="shared" si="105"/>
        <v>26</v>
      </c>
    </row>
    <row r="5778" spans="11:34" ht="14.5" x14ac:dyDescent="0.35">
      <c r="K5778" s="4"/>
      <c r="AC5778" s="384">
        <v>2022</v>
      </c>
      <c r="AD5778" s="384">
        <v>8</v>
      </c>
      <c r="AE5778" s="384">
        <v>29</v>
      </c>
      <c r="AF5778" s="385">
        <v>0.66666666666666663</v>
      </c>
      <c r="AG5778" s="386">
        <v>25.9</v>
      </c>
      <c r="AH5778" s="387">
        <f t="shared" si="105"/>
        <v>26</v>
      </c>
    </row>
    <row r="5779" spans="11:34" ht="14.5" x14ac:dyDescent="0.35">
      <c r="K5779" s="4"/>
      <c r="AC5779" s="384">
        <v>2022</v>
      </c>
      <c r="AD5779" s="384">
        <v>8</v>
      </c>
      <c r="AE5779" s="384">
        <v>29</v>
      </c>
      <c r="AF5779" s="385">
        <v>0.70833333333333337</v>
      </c>
      <c r="AG5779" s="386">
        <v>25.5</v>
      </c>
      <c r="AH5779" s="387">
        <f t="shared" si="105"/>
        <v>26</v>
      </c>
    </row>
    <row r="5780" spans="11:34" ht="14.5" x14ac:dyDescent="0.35">
      <c r="K5780" s="4"/>
      <c r="AC5780" s="384">
        <v>2022</v>
      </c>
      <c r="AD5780" s="384">
        <v>8</v>
      </c>
      <c r="AE5780" s="384">
        <v>29</v>
      </c>
      <c r="AF5780" s="385">
        <v>0.75</v>
      </c>
      <c r="AG5780" s="386">
        <v>26.2</v>
      </c>
      <c r="AH5780" s="387">
        <f t="shared" si="105"/>
        <v>26</v>
      </c>
    </row>
    <row r="5781" spans="11:34" ht="14.5" x14ac:dyDescent="0.35">
      <c r="K5781" s="4"/>
      <c r="AC5781" s="384">
        <v>2022</v>
      </c>
      <c r="AD5781" s="384">
        <v>8</v>
      </c>
      <c r="AE5781" s="384">
        <v>29</v>
      </c>
      <c r="AF5781" s="385">
        <v>0.79166666666666663</v>
      </c>
      <c r="AG5781" s="386">
        <v>24</v>
      </c>
      <c r="AH5781" s="387">
        <f t="shared" si="105"/>
        <v>24</v>
      </c>
    </row>
    <row r="5782" spans="11:34" ht="14.5" x14ac:dyDescent="0.35">
      <c r="K5782" s="4"/>
      <c r="AC5782" s="384">
        <v>2022</v>
      </c>
      <c r="AD5782" s="384">
        <v>8</v>
      </c>
      <c r="AE5782" s="384">
        <v>29</v>
      </c>
      <c r="AF5782" s="385">
        <v>0.83333333333333337</v>
      </c>
      <c r="AG5782" s="386">
        <v>22.2</v>
      </c>
      <c r="AH5782" s="387">
        <f t="shared" si="105"/>
        <v>22</v>
      </c>
    </row>
    <row r="5783" spans="11:34" ht="14.5" x14ac:dyDescent="0.35">
      <c r="K5783" s="4"/>
      <c r="AC5783" s="384">
        <v>2022</v>
      </c>
      <c r="AD5783" s="384">
        <v>8</v>
      </c>
      <c r="AE5783" s="384">
        <v>29</v>
      </c>
      <c r="AF5783" s="385">
        <v>0.875</v>
      </c>
      <c r="AG5783" s="386">
        <v>21</v>
      </c>
      <c r="AH5783" s="387">
        <f t="shared" si="105"/>
        <v>21</v>
      </c>
    </row>
    <row r="5784" spans="11:34" ht="14.5" x14ac:dyDescent="0.35">
      <c r="K5784" s="4"/>
      <c r="AC5784" s="384">
        <v>2022</v>
      </c>
      <c r="AD5784" s="384">
        <v>8</v>
      </c>
      <c r="AE5784" s="384">
        <v>29</v>
      </c>
      <c r="AF5784" s="385">
        <v>0.91666666666666663</v>
      </c>
      <c r="AG5784" s="386">
        <v>18.600000000000001</v>
      </c>
      <c r="AH5784" s="387">
        <f t="shared" si="105"/>
        <v>19</v>
      </c>
    </row>
    <row r="5785" spans="11:34" ht="14.5" x14ac:dyDescent="0.35">
      <c r="K5785" s="4"/>
      <c r="AC5785" s="384">
        <v>2022</v>
      </c>
      <c r="AD5785" s="384">
        <v>8</v>
      </c>
      <c r="AE5785" s="384">
        <v>29</v>
      </c>
      <c r="AF5785" s="385">
        <v>0.95833333333333337</v>
      </c>
      <c r="AG5785" s="386">
        <v>18.899999999999999</v>
      </c>
      <c r="AH5785" s="387">
        <f t="shared" si="105"/>
        <v>19</v>
      </c>
    </row>
    <row r="5786" spans="11:34" ht="14.5" x14ac:dyDescent="0.35">
      <c r="K5786" s="4"/>
      <c r="AC5786" s="384">
        <v>2022</v>
      </c>
      <c r="AD5786" s="384">
        <v>8</v>
      </c>
      <c r="AE5786" s="384">
        <v>30</v>
      </c>
      <c r="AF5786" s="385">
        <v>0</v>
      </c>
      <c r="AG5786" s="386">
        <v>16.600000000000001</v>
      </c>
      <c r="AH5786" s="387">
        <f t="shared" si="105"/>
        <v>17</v>
      </c>
    </row>
    <row r="5787" spans="11:34" ht="14.5" x14ac:dyDescent="0.35">
      <c r="K5787" s="4"/>
      <c r="AC5787" s="384">
        <v>2022</v>
      </c>
      <c r="AD5787" s="384">
        <v>8</v>
      </c>
      <c r="AE5787" s="384">
        <v>30</v>
      </c>
      <c r="AF5787" s="385">
        <v>4.1666666666666664E-2</v>
      </c>
      <c r="AG5787" s="386">
        <v>15.1</v>
      </c>
      <c r="AH5787" s="387">
        <f t="shared" si="105"/>
        <v>15</v>
      </c>
    </row>
    <row r="5788" spans="11:34" ht="14.5" x14ac:dyDescent="0.35">
      <c r="K5788" s="4"/>
      <c r="AC5788" s="384">
        <v>2022</v>
      </c>
      <c r="AD5788" s="384">
        <v>8</v>
      </c>
      <c r="AE5788" s="384">
        <v>30</v>
      </c>
      <c r="AF5788" s="385">
        <v>8.3333333333333329E-2</v>
      </c>
      <c r="AG5788" s="386">
        <v>14.2</v>
      </c>
      <c r="AH5788" s="387">
        <f t="shared" si="105"/>
        <v>14</v>
      </c>
    </row>
    <row r="5789" spans="11:34" ht="14.5" x14ac:dyDescent="0.35">
      <c r="K5789" s="4"/>
      <c r="AC5789" s="384">
        <v>2022</v>
      </c>
      <c r="AD5789" s="384">
        <v>8</v>
      </c>
      <c r="AE5789" s="384">
        <v>30</v>
      </c>
      <c r="AF5789" s="385">
        <v>0.125</v>
      </c>
      <c r="AG5789" s="386">
        <v>12.1</v>
      </c>
      <c r="AH5789" s="387">
        <f t="shared" si="105"/>
        <v>12</v>
      </c>
    </row>
    <row r="5790" spans="11:34" ht="14.5" x14ac:dyDescent="0.35">
      <c r="K5790" s="4"/>
      <c r="AC5790" s="384">
        <v>2022</v>
      </c>
      <c r="AD5790" s="384">
        <v>8</v>
      </c>
      <c r="AE5790" s="384">
        <v>30</v>
      </c>
      <c r="AF5790" s="385">
        <v>0.16666666666666666</v>
      </c>
      <c r="AG5790" s="386">
        <v>12.9</v>
      </c>
      <c r="AH5790" s="387">
        <f t="shared" si="105"/>
        <v>13</v>
      </c>
    </row>
    <row r="5791" spans="11:34" ht="14.5" x14ac:dyDescent="0.35">
      <c r="K5791" s="4"/>
      <c r="AC5791" s="384">
        <v>2022</v>
      </c>
      <c r="AD5791" s="384">
        <v>8</v>
      </c>
      <c r="AE5791" s="384">
        <v>30</v>
      </c>
      <c r="AF5791" s="385">
        <v>0.20833333333333334</v>
      </c>
      <c r="AG5791" s="386">
        <v>13</v>
      </c>
      <c r="AH5791" s="387">
        <f t="shared" si="105"/>
        <v>13</v>
      </c>
    </row>
    <row r="5792" spans="11:34" ht="14.5" x14ac:dyDescent="0.35">
      <c r="K5792" s="4"/>
      <c r="AC5792" s="384">
        <v>2022</v>
      </c>
      <c r="AD5792" s="384">
        <v>8</v>
      </c>
      <c r="AE5792" s="384">
        <v>30</v>
      </c>
      <c r="AF5792" s="385">
        <v>0.25</v>
      </c>
      <c r="AG5792" s="386">
        <v>14.2</v>
      </c>
      <c r="AH5792" s="387">
        <f t="shared" si="105"/>
        <v>14</v>
      </c>
    </row>
    <row r="5793" spans="11:34" ht="14.5" x14ac:dyDescent="0.35">
      <c r="K5793" s="4"/>
      <c r="AC5793" s="384">
        <v>2022</v>
      </c>
      <c r="AD5793" s="384">
        <v>8</v>
      </c>
      <c r="AE5793" s="384">
        <v>30</v>
      </c>
      <c r="AF5793" s="385">
        <v>0.29166666666666669</v>
      </c>
      <c r="AG5793" s="386">
        <v>16.600000000000001</v>
      </c>
      <c r="AH5793" s="387">
        <f t="shared" si="105"/>
        <v>17</v>
      </c>
    </row>
    <row r="5794" spans="11:34" ht="14.5" x14ac:dyDescent="0.35">
      <c r="K5794" s="4"/>
      <c r="AC5794" s="384">
        <v>2022</v>
      </c>
      <c r="AD5794" s="384">
        <v>8</v>
      </c>
      <c r="AE5794" s="384">
        <v>30</v>
      </c>
      <c r="AF5794" s="385">
        <v>0.33333333333333331</v>
      </c>
      <c r="AG5794" s="386">
        <v>19</v>
      </c>
      <c r="AH5794" s="387">
        <f t="shared" si="105"/>
        <v>19</v>
      </c>
    </row>
    <row r="5795" spans="11:34" ht="14.5" x14ac:dyDescent="0.35">
      <c r="K5795" s="4"/>
      <c r="AC5795" s="384">
        <v>2022</v>
      </c>
      <c r="AD5795" s="384">
        <v>8</v>
      </c>
      <c r="AE5795" s="384">
        <v>30</v>
      </c>
      <c r="AF5795" s="385">
        <v>0.375</v>
      </c>
      <c r="AG5795" s="386">
        <v>22.6</v>
      </c>
      <c r="AH5795" s="387">
        <f t="shared" si="105"/>
        <v>23</v>
      </c>
    </row>
    <row r="5796" spans="11:34" ht="14.5" x14ac:dyDescent="0.35">
      <c r="K5796" s="4"/>
      <c r="AC5796" s="384">
        <v>2022</v>
      </c>
      <c r="AD5796" s="384">
        <v>8</v>
      </c>
      <c r="AE5796" s="384">
        <v>30</v>
      </c>
      <c r="AF5796" s="385">
        <v>0.41666666666666669</v>
      </c>
      <c r="AG5796" s="386">
        <v>25.3</v>
      </c>
      <c r="AH5796" s="387">
        <f t="shared" si="105"/>
        <v>25</v>
      </c>
    </row>
    <row r="5797" spans="11:34" ht="14.5" x14ac:dyDescent="0.35">
      <c r="K5797" s="4"/>
      <c r="AC5797" s="384">
        <v>2022</v>
      </c>
      <c r="AD5797" s="384">
        <v>8</v>
      </c>
      <c r="AE5797" s="384">
        <v>30</v>
      </c>
      <c r="AF5797" s="385">
        <v>0.45833333333333331</v>
      </c>
      <c r="AG5797" s="386">
        <v>26.4</v>
      </c>
      <c r="AH5797" s="387">
        <f t="shared" si="105"/>
        <v>26</v>
      </c>
    </row>
    <row r="5798" spans="11:34" ht="14.5" x14ac:dyDescent="0.35">
      <c r="K5798" s="4"/>
      <c r="AC5798" s="384">
        <v>2022</v>
      </c>
      <c r="AD5798" s="384">
        <v>8</v>
      </c>
      <c r="AE5798" s="384">
        <v>30</v>
      </c>
      <c r="AF5798" s="385">
        <v>0.5</v>
      </c>
      <c r="AG5798" s="386">
        <v>28.1</v>
      </c>
      <c r="AH5798" s="387">
        <f t="shared" si="105"/>
        <v>28</v>
      </c>
    </row>
    <row r="5799" spans="11:34" ht="14.5" x14ac:dyDescent="0.35">
      <c r="K5799" s="4"/>
      <c r="AC5799" s="384">
        <v>2022</v>
      </c>
      <c r="AD5799" s="384">
        <v>8</v>
      </c>
      <c r="AE5799" s="384">
        <v>30</v>
      </c>
      <c r="AF5799" s="385">
        <v>0.54166666666666663</v>
      </c>
      <c r="AG5799" s="386">
        <v>29.1</v>
      </c>
      <c r="AH5799" s="387">
        <f t="shared" si="105"/>
        <v>29</v>
      </c>
    </row>
    <row r="5800" spans="11:34" ht="14.5" x14ac:dyDescent="0.35">
      <c r="K5800" s="4"/>
      <c r="AC5800" s="384">
        <v>2022</v>
      </c>
      <c r="AD5800" s="384">
        <v>8</v>
      </c>
      <c r="AE5800" s="384">
        <v>30</v>
      </c>
      <c r="AF5800" s="385">
        <v>0.58333333333333337</v>
      </c>
      <c r="AG5800" s="386">
        <v>29.7</v>
      </c>
      <c r="AH5800" s="387">
        <f t="shared" si="105"/>
        <v>30</v>
      </c>
    </row>
    <row r="5801" spans="11:34" ht="14.5" x14ac:dyDescent="0.35">
      <c r="K5801" s="4"/>
      <c r="AC5801" s="384">
        <v>2022</v>
      </c>
      <c r="AD5801" s="384">
        <v>8</v>
      </c>
      <c r="AE5801" s="384">
        <v>30</v>
      </c>
      <c r="AF5801" s="385">
        <v>0.625</v>
      </c>
      <c r="AG5801" s="386">
        <v>29.8</v>
      </c>
      <c r="AH5801" s="387">
        <f t="shared" si="105"/>
        <v>30</v>
      </c>
    </row>
    <row r="5802" spans="11:34" ht="14.5" x14ac:dyDescent="0.35">
      <c r="K5802" s="4"/>
      <c r="AC5802" s="384">
        <v>2022</v>
      </c>
      <c r="AD5802" s="384">
        <v>8</v>
      </c>
      <c r="AE5802" s="384">
        <v>30</v>
      </c>
      <c r="AF5802" s="385">
        <v>0.66666666666666663</v>
      </c>
      <c r="AG5802" s="386">
        <v>29.8</v>
      </c>
      <c r="AH5802" s="387">
        <f t="shared" si="105"/>
        <v>30</v>
      </c>
    </row>
    <row r="5803" spans="11:34" ht="14.5" x14ac:dyDescent="0.35">
      <c r="K5803" s="4"/>
      <c r="AC5803" s="384">
        <v>2022</v>
      </c>
      <c r="AD5803" s="384">
        <v>8</v>
      </c>
      <c r="AE5803" s="384">
        <v>30</v>
      </c>
      <c r="AF5803" s="385">
        <v>0.70833333333333337</v>
      </c>
      <c r="AG5803" s="386">
        <v>30.6</v>
      </c>
      <c r="AH5803" s="387">
        <f t="shared" si="105"/>
        <v>31</v>
      </c>
    </row>
    <row r="5804" spans="11:34" ht="14.5" x14ac:dyDescent="0.35">
      <c r="K5804" s="4"/>
      <c r="AC5804" s="384">
        <v>2022</v>
      </c>
      <c r="AD5804" s="384">
        <v>8</v>
      </c>
      <c r="AE5804" s="384">
        <v>30</v>
      </c>
      <c r="AF5804" s="385">
        <v>0.75</v>
      </c>
      <c r="AG5804" s="386">
        <v>29.3</v>
      </c>
      <c r="AH5804" s="387">
        <f t="shared" si="105"/>
        <v>29</v>
      </c>
    </row>
    <row r="5805" spans="11:34" ht="14.5" x14ac:dyDescent="0.35">
      <c r="K5805" s="4"/>
      <c r="AC5805" s="384">
        <v>2022</v>
      </c>
      <c r="AD5805" s="384">
        <v>8</v>
      </c>
      <c r="AE5805" s="384">
        <v>30</v>
      </c>
      <c r="AF5805" s="385">
        <v>0.79166666666666663</v>
      </c>
      <c r="AG5805" s="386">
        <v>26.1</v>
      </c>
      <c r="AH5805" s="387">
        <f t="shared" si="105"/>
        <v>26</v>
      </c>
    </row>
    <row r="5806" spans="11:34" ht="14.5" x14ac:dyDescent="0.35">
      <c r="K5806" s="4"/>
      <c r="AC5806" s="384">
        <v>2022</v>
      </c>
      <c r="AD5806" s="384">
        <v>8</v>
      </c>
      <c r="AE5806" s="384">
        <v>30</v>
      </c>
      <c r="AF5806" s="385">
        <v>0.83333333333333337</v>
      </c>
      <c r="AG5806" s="386">
        <v>22.5</v>
      </c>
      <c r="AH5806" s="387">
        <f t="shared" si="105"/>
        <v>23</v>
      </c>
    </row>
    <row r="5807" spans="11:34" ht="14.5" x14ac:dyDescent="0.35">
      <c r="K5807" s="4"/>
      <c r="AC5807" s="384">
        <v>2022</v>
      </c>
      <c r="AD5807" s="384">
        <v>8</v>
      </c>
      <c r="AE5807" s="384">
        <v>30</v>
      </c>
      <c r="AF5807" s="385">
        <v>0.875</v>
      </c>
      <c r="AG5807" s="386">
        <v>22.6</v>
      </c>
      <c r="AH5807" s="387">
        <f t="shared" si="105"/>
        <v>23</v>
      </c>
    </row>
    <row r="5808" spans="11:34" ht="14.5" x14ac:dyDescent="0.35">
      <c r="K5808" s="4"/>
      <c r="AC5808" s="384">
        <v>2022</v>
      </c>
      <c r="AD5808" s="384">
        <v>8</v>
      </c>
      <c r="AE5808" s="384">
        <v>30</v>
      </c>
      <c r="AF5808" s="385">
        <v>0.91666666666666663</v>
      </c>
      <c r="AG5808" s="386">
        <v>20.6</v>
      </c>
      <c r="AH5808" s="387">
        <f t="shared" si="105"/>
        <v>21</v>
      </c>
    </row>
    <row r="5809" spans="11:34" ht="14.5" x14ac:dyDescent="0.35">
      <c r="K5809" s="4"/>
      <c r="AC5809" s="384">
        <v>2022</v>
      </c>
      <c r="AD5809" s="384">
        <v>8</v>
      </c>
      <c r="AE5809" s="384">
        <v>30</v>
      </c>
      <c r="AF5809" s="385">
        <v>0.95833333333333337</v>
      </c>
      <c r="AG5809" s="386">
        <v>17.100000000000001</v>
      </c>
      <c r="AH5809" s="387">
        <f t="shared" si="105"/>
        <v>17</v>
      </c>
    </row>
    <row r="5810" spans="11:34" ht="14.5" x14ac:dyDescent="0.35">
      <c r="K5810" s="4"/>
      <c r="AC5810" s="384">
        <v>2022</v>
      </c>
      <c r="AD5810" s="384">
        <v>8</v>
      </c>
      <c r="AE5810" s="384">
        <v>31</v>
      </c>
      <c r="AF5810" s="385">
        <v>0</v>
      </c>
      <c r="AG5810" s="386">
        <v>17</v>
      </c>
      <c r="AH5810" s="387">
        <f t="shared" si="105"/>
        <v>17</v>
      </c>
    </row>
    <row r="5811" spans="11:34" ht="14.5" x14ac:dyDescent="0.35">
      <c r="K5811" s="4"/>
      <c r="AC5811" s="384">
        <v>2022</v>
      </c>
      <c r="AD5811" s="384">
        <v>8</v>
      </c>
      <c r="AE5811" s="384">
        <v>31</v>
      </c>
      <c r="AF5811" s="385">
        <v>4.1666666666666664E-2</v>
      </c>
      <c r="AG5811" s="386">
        <v>15.3</v>
      </c>
      <c r="AH5811" s="387">
        <f t="shared" si="105"/>
        <v>15</v>
      </c>
    </row>
    <row r="5812" spans="11:34" ht="14.5" x14ac:dyDescent="0.35">
      <c r="K5812" s="4"/>
      <c r="AC5812" s="384">
        <v>2022</v>
      </c>
      <c r="AD5812" s="384">
        <v>8</v>
      </c>
      <c r="AE5812" s="384">
        <v>31</v>
      </c>
      <c r="AF5812" s="385">
        <v>8.3333333333333329E-2</v>
      </c>
      <c r="AG5812" s="386">
        <v>16.7</v>
      </c>
      <c r="AH5812" s="387">
        <f t="shared" si="105"/>
        <v>17</v>
      </c>
    </row>
    <row r="5813" spans="11:34" ht="14.5" x14ac:dyDescent="0.35">
      <c r="K5813" s="4"/>
      <c r="AC5813" s="384">
        <v>2022</v>
      </c>
      <c r="AD5813" s="384">
        <v>8</v>
      </c>
      <c r="AE5813" s="384">
        <v>31</v>
      </c>
      <c r="AF5813" s="385">
        <v>0.125</v>
      </c>
      <c r="AG5813" s="386">
        <v>15.4</v>
      </c>
      <c r="AH5813" s="387">
        <f t="shared" si="105"/>
        <v>15</v>
      </c>
    </row>
    <row r="5814" spans="11:34" ht="14.5" x14ac:dyDescent="0.35">
      <c r="K5814" s="4"/>
      <c r="AC5814" s="384">
        <v>2022</v>
      </c>
      <c r="AD5814" s="384">
        <v>8</v>
      </c>
      <c r="AE5814" s="384">
        <v>31</v>
      </c>
      <c r="AF5814" s="385">
        <v>0.16666666666666666</v>
      </c>
      <c r="AG5814" s="386">
        <v>14.5</v>
      </c>
      <c r="AH5814" s="387">
        <f t="shared" si="105"/>
        <v>15</v>
      </c>
    </row>
    <row r="5815" spans="11:34" ht="14.5" x14ac:dyDescent="0.35">
      <c r="K5815" s="4"/>
      <c r="AC5815" s="384">
        <v>2022</v>
      </c>
      <c r="AD5815" s="384">
        <v>8</v>
      </c>
      <c r="AE5815" s="384">
        <v>31</v>
      </c>
      <c r="AF5815" s="385">
        <v>0.20833333333333334</v>
      </c>
      <c r="AG5815" s="386">
        <v>13.3</v>
      </c>
      <c r="AH5815" s="387">
        <f t="shared" si="105"/>
        <v>13</v>
      </c>
    </row>
    <row r="5816" spans="11:34" ht="14.5" x14ac:dyDescent="0.35">
      <c r="K5816" s="4"/>
      <c r="AC5816" s="384">
        <v>2022</v>
      </c>
      <c r="AD5816" s="384">
        <v>8</v>
      </c>
      <c r="AE5816" s="384">
        <v>31</v>
      </c>
      <c r="AF5816" s="385">
        <v>0.25</v>
      </c>
      <c r="AG5816" s="386">
        <v>13</v>
      </c>
      <c r="AH5816" s="387">
        <f t="shared" si="105"/>
        <v>13</v>
      </c>
    </row>
    <row r="5817" spans="11:34" ht="14.5" x14ac:dyDescent="0.35">
      <c r="K5817" s="4"/>
      <c r="AC5817" s="384">
        <v>2022</v>
      </c>
      <c r="AD5817" s="384">
        <v>8</v>
      </c>
      <c r="AE5817" s="384">
        <v>31</v>
      </c>
      <c r="AF5817" s="385">
        <v>0.29166666666666669</v>
      </c>
      <c r="AG5817" s="386">
        <v>15.4</v>
      </c>
      <c r="AH5817" s="387">
        <f t="shared" si="105"/>
        <v>15</v>
      </c>
    </row>
    <row r="5818" spans="11:34" ht="14.5" x14ac:dyDescent="0.35">
      <c r="K5818" s="4"/>
      <c r="AC5818" s="384">
        <v>2022</v>
      </c>
      <c r="AD5818" s="384">
        <v>8</v>
      </c>
      <c r="AE5818" s="384">
        <v>31</v>
      </c>
      <c r="AF5818" s="385">
        <v>0.33333333333333331</v>
      </c>
      <c r="AG5818" s="386">
        <v>19.2</v>
      </c>
      <c r="AH5818" s="387">
        <f t="shared" si="105"/>
        <v>19</v>
      </c>
    </row>
    <row r="5819" spans="11:34" ht="14.5" x14ac:dyDescent="0.35">
      <c r="K5819" s="4"/>
      <c r="AC5819" s="384">
        <v>2022</v>
      </c>
      <c r="AD5819" s="384">
        <v>8</v>
      </c>
      <c r="AE5819" s="384">
        <v>31</v>
      </c>
      <c r="AF5819" s="385">
        <v>0.375</v>
      </c>
      <c r="AG5819" s="386">
        <v>23.7</v>
      </c>
      <c r="AH5819" s="387">
        <f t="shared" si="105"/>
        <v>24</v>
      </c>
    </row>
    <row r="5820" spans="11:34" ht="14.5" x14ac:dyDescent="0.35">
      <c r="K5820" s="4"/>
      <c r="AC5820" s="384">
        <v>2022</v>
      </c>
      <c r="AD5820" s="384">
        <v>8</v>
      </c>
      <c r="AE5820" s="384">
        <v>31</v>
      </c>
      <c r="AF5820" s="385">
        <v>0.41666666666666669</v>
      </c>
      <c r="AG5820" s="386">
        <v>26.5</v>
      </c>
      <c r="AH5820" s="387">
        <f t="shared" si="105"/>
        <v>27</v>
      </c>
    </row>
    <row r="5821" spans="11:34" ht="14.5" x14ac:dyDescent="0.35">
      <c r="K5821" s="4"/>
      <c r="AC5821" s="384">
        <v>2022</v>
      </c>
      <c r="AD5821" s="384">
        <v>8</v>
      </c>
      <c r="AE5821" s="384">
        <v>31</v>
      </c>
      <c r="AF5821" s="385">
        <v>0.45833333333333331</v>
      </c>
      <c r="AG5821" s="386">
        <v>28.1</v>
      </c>
      <c r="AH5821" s="387">
        <f t="shared" si="105"/>
        <v>28</v>
      </c>
    </row>
    <row r="5822" spans="11:34" ht="14.5" x14ac:dyDescent="0.35">
      <c r="K5822" s="4"/>
      <c r="AC5822" s="384">
        <v>2022</v>
      </c>
      <c r="AD5822" s="384">
        <v>8</v>
      </c>
      <c r="AE5822" s="384">
        <v>31</v>
      </c>
      <c r="AF5822" s="385">
        <v>0.5</v>
      </c>
      <c r="AG5822" s="386">
        <v>29</v>
      </c>
      <c r="AH5822" s="387">
        <f t="shared" si="105"/>
        <v>29</v>
      </c>
    </row>
    <row r="5823" spans="11:34" ht="14.5" x14ac:dyDescent="0.35">
      <c r="K5823" s="4"/>
      <c r="AC5823" s="384">
        <v>2022</v>
      </c>
      <c r="AD5823" s="384">
        <v>8</v>
      </c>
      <c r="AE5823" s="384">
        <v>31</v>
      </c>
      <c r="AF5823" s="385">
        <v>0.54166666666666663</v>
      </c>
      <c r="AG5823" s="386">
        <v>30.1</v>
      </c>
      <c r="AH5823" s="387">
        <f t="shared" si="105"/>
        <v>30</v>
      </c>
    </row>
    <row r="5824" spans="11:34" ht="14.5" x14ac:dyDescent="0.35">
      <c r="K5824" s="4"/>
      <c r="AC5824" s="384">
        <v>2022</v>
      </c>
      <c r="AD5824" s="384">
        <v>8</v>
      </c>
      <c r="AE5824" s="384">
        <v>31</v>
      </c>
      <c r="AF5824" s="385">
        <v>0.58333333333333337</v>
      </c>
      <c r="AG5824" s="386">
        <v>30.8</v>
      </c>
      <c r="AH5824" s="387">
        <f t="shared" si="105"/>
        <v>31</v>
      </c>
    </row>
    <row r="5825" spans="11:34" ht="14.5" x14ac:dyDescent="0.35">
      <c r="K5825" s="4"/>
      <c r="AC5825" s="384">
        <v>2022</v>
      </c>
      <c r="AD5825" s="384">
        <v>8</v>
      </c>
      <c r="AE5825" s="384">
        <v>31</v>
      </c>
      <c r="AF5825" s="385">
        <v>0.625</v>
      </c>
      <c r="AG5825" s="386">
        <v>30.9</v>
      </c>
      <c r="AH5825" s="387">
        <f t="shared" si="105"/>
        <v>31</v>
      </c>
    </row>
    <row r="5826" spans="11:34" ht="14.5" x14ac:dyDescent="0.35">
      <c r="K5826" s="4"/>
      <c r="AC5826" s="384">
        <v>2022</v>
      </c>
      <c r="AD5826" s="384">
        <v>8</v>
      </c>
      <c r="AE5826" s="384">
        <v>31</v>
      </c>
      <c r="AF5826" s="385">
        <v>0.66666666666666663</v>
      </c>
      <c r="AG5826" s="386">
        <v>31.4</v>
      </c>
      <c r="AH5826" s="387">
        <f t="shared" si="105"/>
        <v>31</v>
      </c>
    </row>
    <row r="5827" spans="11:34" ht="14.5" x14ac:dyDescent="0.35">
      <c r="K5827" s="4"/>
      <c r="AC5827" s="384">
        <v>2022</v>
      </c>
      <c r="AD5827" s="384">
        <v>8</v>
      </c>
      <c r="AE5827" s="384">
        <v>31</v>
      </c>
      <c r="AF5827" s="385">
        <v>0.70833333333333337</v>
      </c>
      <c r="AG5827" s="386">
        <v>31.1</v>
      </c>
      <c r="AH5827" s="387">
        <f t="shared" si="105"/>
        <v>31</v>
      </c>
    </row>
    <row r="5828" spans="11:34" ht="14.5" x14ac:dyDescent="0.35">
      <c r="K5828" s="4"/>
      <c r="AC5828" s="384">
        <v>2022</v>
      </c>
      <c r="AD5828" s="384">
        <v>8</v>
      </c>
      <c r="AE5828" s="384">
        <v>31</v>
      </c>
      <c r="AF5828" s="385">
        <v>0.75</v>
      </c>
      <c r="AG5828" s="386">
        <v>28.3</v>
      </c>
      <c r="AH5828" s="387">
        <f t="shared" si="105"/>
        <v>28</v>
      </c>
    </row>
    <row r="5829" spans="11:34" ht="14.5" x14ac:dyDescent="0.35">
      <c r="K5829" s="4"/>
      <c r="AC5829" s="384">
        <v>2022</v>
      </c>
      <c r="AD5829" s="384">
        <v>8</v>
      </c>
      <c r="AE5829" s="384">
        <v>31</v>
      </c>
      <c r="AF5829" s="385">
        <v>0.79166666666666663</v>
      </c>
      <c r="AG5829" s="386">
        <v>26.6</v>
      </c>
      <c r="AH5829" s="387">
        <f t="shared" si="105"/>
        <v>27</v>
      </c>
    </row>
    <row r="5830" spans="11:34" ht="14.5" x14ac:dyDescent="0.35">
      <c r="K5830" s="4"/>
      <c r="AC5830" s="384">
        <v>2022</v>
      </c>
      <c r="AD5830" s="384">
        <v>8</v>
      </c>
      <c r="AE5830" s="384">
        <v>31</v>
      </c>
      <c r="AF5830" s="385">
        <v>0.83333333333333337</v>
      </c>
      <c r="AG5830" s="386">
        <v>23.8</v>
      </c>
      <c r="AH5830" s="387">
        <f t="shared" si="105"/>
        <v>24</v>
      </c>
    </row>
    <row r="5831" spans="11:34" ht="14.5" x14ac:dyDescent="0.35">
      <c r="K5831" s="4"/>
      <c r="AC5831" s="384">
        <v>2022</v>
      </c>
      <c r="AD5831" s="384">
        <v>8</v>
      </c>
      <c r="AE5831" s="384">
        <v>31</v>
      </c>
      <c r="AF5831" s="385">
        <v>0.875</v>
      </c>
      <c r="AG5831" s="386">
        <v>23.2</v>
      </c>
      <c r="AH5831" s="387">
        <f t="shared" si="105"/>
        <v>23</v>
      </c>
    </row>
    <row r="5832" spans="11:34" ht="14.5" x14ac:dyDescent="0.35">
      <c r="K5832" s="4"/>
      <c r="AC5832" s="384">
        <v>2022</v>
      </c>
      <c r="AD5832" s="384">
        <v>8</v>
      </c>
      <c r="AE5832" s="384">
        <v>31</v>
      </c>
      <c r="AF5832" s="385">
        <v>0.91666666666666663</v>
      </c>
      <c r="AG5832" s="386">
        <v>22.3</v>
      </c>
      <c r="AH5832" s="387">
        <f t="shared" si="105"/>
        <v>22</v>
      </c>
    </row>
    <row r="5833" spans="11:34" ht="14.5" x14ac:dyDescent="0.35">
      <c r="K5833" s="4"/>
      <c r="AC5833" s="384">
        <v>2022</v>
      </c>
      <c r="AD5833" s="384">
        <v>8</v>
      </c>
      <c r="AE5833" s="384">
        <v>31</v>
      </c>
      <c r="AF5833" s="385">
        <v>0.95833333333333337</v>
      </c>
      <c r="AG5833" s="386">
        <v>21.9</v>
      </c>
      <c r="AH5833" s="387">
        <f t="shared" si="105"/>
        <v>22</v>
      </c>
    </row>
    <row r="5834" spans="11:34" ht="14.5" x14ac:dyDescent="0.35">
      <c r="K5834" s="4"/>
      <c r="AC5834" s="7">
        <v>2022</v>
      </c>
      <c r="AD5834" s="7">
        <v>9</v>
      </c>
      <c r="AE5834" s="7">
        <v>1</v>
      </c>
      <c r="AF5834" s="8">
        <v>0</v>
      </c>
      <c r="AG5834" s="9">
        <v>21</v>
      </c>
      <c r="AH5834" s="10">
        <f t="shared" si="105"/>
        <v>21</v>
      </c>
    </row>
    <row r="5835" spans="11:34" ht="14.5" x14ac:dyDescent="0.35">
      <c r="K5835" s="4"/>
      <c r="AC5835" s="7">
        <v>2022</v>
      </c>
      <c r="AD5835" s="7">
        <v>9</v>
      </c>
      <c r="AE5835" s="7">
        <v>1</v>
      </c>
      <c r="AF5835" s="8">
        <v>4.1666666666666664E-2</v>
      </c>
      <c r="AG5835" s="9">
        <v>17.7</v>
      </c>
      <c r="AH5835" s="10">
        <f t="shared" ref="AH5835:AH5898" si="106">ROUND(AG5835,0)</f>
        <v>18</v>
      </c>
    </row>
    <row r="5836" spans="11:34" ht="14.5" x14ac:dyDescent="0.35">
      <c r="K5836" s="4"/>
      <c r="AC5836" s="7">
        <v>2022</v>
      </c>
      <c r="AD5836" s="7">
        <v>9</v>
      </c>
      <c r="AE5836" s="7">
        <v>1</v>
      </c>
      <c r="AF5836" s="8">
        <v>8.3333333333333329E-2</v>
      </c>
      <c r="AG5836" s="9">
        <v>17.899999999999999</v>
      </c>
      <c r="AH5836" s="10">
        <f t="shared" si="106"/>
        <v>18</v>
      </c>
    </row>
    <row r="5837" spans="11:34" ht="14.5" x14ac:dyDescent="0.35">
      <c r="K5837" s="4"/>
      <c r="AC5837" s="7">
        <v>2022</v>
      </c>
      <c r="AD5837" s="7">
        <v>9</v>
      </c>
      <c r="AE5837" s="7">
        <v>1</v>
      </c>
      <c r="AF5837" s="8">
        <v>0.125</v>
      </c>
      <c r="AG5837" s="9">
        <v>17.7</v>
      </c>
      <c r="AH5837" s="10">
        <f t="shared" si="106"/>
        <v>18</v>
      </c>
    </row>
    <row r="5838" spans="11:34" ht="14.5" x14ac:dyDescent="0.35">
      <c r="K5838" s="4"/>
      <c r="AC5838" s="7">
        <v>2022</v>
      </c>
      <c r="AD5838" s="7">
        <v>9</v>
      </c>
      <c r="AE5838" s="7">
        <v>1</v>
      </c>
      <c r="AF5838" s="8">
        <v>0.16666666666666666</v>
      </c>
      <c r="AG5838" s="9">
        <v>18</v>
      </c>
      <c r="AH5838" s="10">
        <f t="shared" si="106"/>
        <v>18</v>
      </c>
    </row>
    <row r="5839" spans="11:34" ht="14.5" x14ac:dyDescent="0.35">
      <c r="K5839" s="4"/>
      <c r="AC5839" s="7">
        <v>2022</v>
      </c>
      <c r="AD5839" s="7">
        <v>9</v>
      </c>
      <c r="AE5839" s="7">
        <v>1</v>
      </c>
      <c r="AF5839" s="8">
        <v>0.20833333333333334</v>
      </c>
      <c r="AG5839" s="9">
        <v>16.399999999999999</v>
      </c>
      <c r="AH5839" s="10">
        <f t="shared" si="106"/>
        <v>16</v>
      </c>
    </row>
    <row r="5840" spans="11:34" ht="14.5" x14ac:dyDescent="0.35">
      <c r="K5840" s="4"/>
      <c r="AC5840" s="7">
        <v>2022</v>
      </c>
      <c r="AD5840" s="7">
        <v>9</v>
      </c>
      <c r="AE5840" s="7">
        <v>1</v>
      </c>
      <c r="AF5840" s="8">
        <v>0.25</v>
      </c>
      <c r="AG5840" s="9">
        <v>17.5</v>
      </c>
      <c r="AH5840" s="10">
        <f t="shared" si="106"/>
        <v>18</v>
      </c>
    </row>
    <row r="5841" spans="11:34" ht="14.5" x14ac:dyDescent="0.35">
      <c r="K5841" s="4"/>
      <c r="AC5841" s="7">
        <v>2022</v>
      </c>
      <c r="AD5841" s="7">
        <v>9</v>
      </c>
      <c r="AE5841" s="7">
        <v>1</v>
      </c>
      <c r="AF5841" s="8">
        <v>0.29166666666666669</v>
      </c>
      <c r="AG5841" s="9">
        <v>17.100000000000001</v>
      </c>
      <c r="AH5841" s="10">
        <f t="shared" si="106"/>
        <v>17</v>
      </c>
    </row>
    <row r="5842" spans="11:34" ht="14.5" x14ac:dyDescent="0.35">
      <c r="K5842" s="4"/>
      <c r="AC5842" s="7">
        <v>2022</v>
      </c>
      <c r="AD5842" s="7">
        <v>9</v>
      </c>
      <c r="AE5842" s="7">
        <v>1</v>
      </c>
      <c r="AF5842" s="8">
        <v>0.33333333333333331</v>
      </c>
      <c r="AG5842" s="9">
        <v>20.8</v>
      </c>
      <c r="AH5842" s="10">
        <f t="shared" si="106"/>
        <v>21</v>
      </c>
    </row>
    <row r="5843" spans="11:34" ht="14.5" x14ac:dyDescent="0.35">
      <c r="K5843" s="4"/>
      <c r="AC5843" s="7">
        <v>2022</v>
      </c>
      <c r="AD5843" s="7">
        <v>9</v>
      </c>
      <c r="AE5843" s="7">
        <v>1</v>
      </c>
      <c r="AF5843" s="8">
        <v>0.375</v>
      </c>
      <c r="AG5843" s="9">
        <v>23.2</v>
      </c>
      <c r="AH5843" s="10">
        <f t="shared" si="106"/>
        <v>23</v>
      </c>
    </row>
    <row r="5844" spans="11:34" ht="14.5" x14ac:dyDescent="0.35">
      <c r="K5844" s="4"/>
      <c r="AC5844" s="7">
        <v>2022</v>
      </c>
      <c r="AD5844" s="7">
        <v>9</v>
      </c>
      <c r="AE5844" s="7">
        <v>1</v>
      </c>
      <c r="AF5844" s="8">
        <v>0.41666666666666669</v>
      </c>
      <c r="AG5844" s="9">
        <v>23.9</v>
      </c>
      <c r="AH5844" s="10">
        <f t="shared" si="106"/>
        <v>24</v>
      </c>
    </row>
    <row r="5845" spans="11:34" ht="14.5" x14ac:dyDescent="0.35">
      <c r="K5845" s="4"/>
      <c r="AC5845" s="7">
        <v>2022</v>
      </c>
      <c r="AD5845" s="7">
        <v>9</v>
      </c>
      <c r="AE5845" s="7">
        <v>1</v>
      </c>
      <c r="AF5845" s="8">
        <v>0.45833333333333331</v>
      </c>
      <c r="AG5845" s="9">
        <v>24.8</v>
      </c>
      <c r="AH5845" s="10">
        <f t="shared" si="106"/>
        <v>25</v>
      </c>
    </row>
    <row r="5846" spans="11:34" ht="14.5" x14ac:dyDescent="0.35">
      <c r="K5846" s="4"/>
      <c r="AC5846" s="7">
        <v>2022</v>
      </c>
      <c r="AD5846" s="7">
        <v>9</v>
      </c>
      <c r="AE5846" s="7">
        <v>1</v>
      </c>
      <c r="AF5846" s="8">
        <v>0.5</v>
      </c>
      <c r="AG5846" s="9">
        <v>24.6</v>
      </c>
      <c r="AH5846" s="10">
        <f t="shared" si="106"/>
        <v>25</v>
      </c>
    </row>
    <row r="5847" spans="11:34" ht="14.5" x14ac:dyDescent="0.35">
      <c r="K5847" s="4"/>
      <c r="AC5847" s="7">
        <v>2022</v>
      </c>
      <c r="AD5847" s="7">
        <v>9</v>
      </c>
      <c r="AE5847" s="7">
        <v>1</v>
      </c>
      <c r="AF5847" s="8">
        <v>0.54166666666666663</v>
      </c>
      <c r="AG5847" s="9">
        <v>25.2</v>
      </c>
      <c r="AH5847" s="10">
        <f t="shared" si="106"/>
        <v>25</v>
      </c>
    </row>
    <row r="5848" spans="11:34" ht="14.5" x14ac:dyDescent="0.35">
      <c r="K5848" s="4"/>
      <c r="AC5848" s="7">
        <v>2022</v>
      </c>
      <c r="AD5848" s="7">
        <v>9</v>
      </c>
      <c r="AE5848" s="7">
        <v>1</v>
      </c>
      <c r="AF5848" s="8">
        <v>0.58333333333333337</v>
      </c>
      <c r="AG5848" s="9">
        <v>24.5</v>
      </c>
      <c r="AH5848" s="10">
        <f t="shared" si="106"/>
        <v>25</v>
      </c>
    </row>
    <row r="5849" spans="11:34" ht="14.5" x14ac:dyDescent="0.35">
      <c r="K5849" s="4"/>
      <c r="AC5849" s="7">
        <v>2022</v>
      </c>
      <c r="AD5849" s="7">
        <v>9</v>
      </c>
      <c r="AE5849" s="7">
        <v>1</v>
      </c>
      <c r="AF5849" s="8">
        <v>0.625</v>
      </c>
      <c r="AG5849" s="9">
        <v>24.8</v>
      </c>
      <c r="AH5849" s="10">
        <f t="shared" si="106"/>
        <v>25</v>
      </c>
    </row>
    <row r="5850" spans="11:34" ht="14.5" x14ac:dyDescent="0.35">
      <c r="K5850" s="4"/>
      <c r="AC5850" s="7">
        <v>2022</v>
      </c>
      <c r="AD5850" s="7">
        <v>9</v>
      </c>
      <c r="AE5850" s="7">
        <v>1</v>
      </c>
      <c r="AF5850" s="8">
        <v>0.66666666666666663</v>
      </c>
      <c r="AG5850" s="9">
        <v>22.5</v>
      </c>
      <c r="AH5850" s="10">
        <f t="shared" si="106"/>
        <v>23</v>
      </c>
    </row>
    <row r="5851" spans="11:34" ht="14.5" x14ac:dyDescent="0.35">
      <c r="K5851" s="4"/>
      <c r="AC5851" s="7">
        <v>2022</v>
      </c>
      <c r="AD5851" s="7">
        <v>9</v>
      </c>
      <c r="AE5851" s="7">
        <v>1</v>
      </c>
      <c r="AF5851" s="8">
        <v>0.70833333333333337</v>
      </c>
      <c r="AG5851" s="9">
        <v>22.1</v>
      </c>
      <c r="AH5851" s="10">
        <f t="shared" si="106"/>
        <v>22</v>
      </c>
    </row>
    <row r="5852" spans="11:34" ht="14.5" x14ac:dyDescent="0.35">
      <c r="K5852" s="4"/>
      <c r="AC5852" s="7">
        <v>2022</v>
      </c>
      <c r="AD5852" s="7">
        <v>9</v>
      </c>
      <c r="AE5852" s="7">
        <v>1</v>
      </c>
      <c r="AF5852" s="8">
        <v>0.75</v>
      </c>
      <c r="AG5852" s="9">
        <v>22.1</v>
      </c>
      <c r="AH5852" s="10">
        <f t="shared" si="106"/>
        <v>22</v>
      </c>
    </row>
    <row r="5853" spans="11:34" ht="14.5" x14ac:dyDescent="0.35">
      <c r="K5853" s="4"/>
      <c r="AC5853" s="7">
        <v>2022</v>
      </c>
      <c r="AD5853" s="7">
        <v>9</v>
      </c>
      <c r="AE5853" s="7">
        <v>1</v>
      </c>
      <c r="AF5853" s="8">
        <v>0.79166666666666663</v>
      </c>
      <c r="AG5853" s="9">
        <v>19.399999999999999</v>
      </c>
      <c r="AH5853" s="10">
        <f t="shared" si="106"/>
        <v>19</v>
      </c>
    </row>
    <row r="5854" spans="11:34" ht="14.5" x14ac:dyDescent="0.35">
      <c r="K5854" s="4"/>
      <c r="AC5854" s="7">
        <v>2022</v>
      </c>
      <c r="AD5854" s="7">
        <v>9</v>
      </c>
      <c r="AE5854" s="7">
        <v>1</v>
      </c>
      <c r="AF5854" s="8">
        <v>0.83333333333333337</v>
      </c>
      <c r="AG5854" s="9">
        <v>16.8</v>
      </c>
      <c r="AH5854" s="10">
        <f t="shared" si="106"/>
        <v>17</v>
      </c>
    </row>
    <row r="5855" spans="11:34" ht="14.5" x14ac:dyDescent="0.35">
      <c r="K5855" s="4"/>
      <c r="AC5855" s="7">
        <v>2022</v>
      </c>
      <c r="AD5855" s="7">
        <v>9</v>
      </c>
      <c r="AE5855" s="7">
        <v>1</v>
      </c>
      <c r="AF5855" s="8">
        <v>0.875</v>
      </c>
      <c r="AG5855" s="9">
        <v>15</v>
      </c>
      <c r="AH5855" s="10">
        <f t="shared" si="106"/>
        <v>15</v>
      </c>
    </row>
    <row r="5856" spans="11:34" ht="14.5" x14ac:dyDescent="0.35">
      <c r="K5856" s="4"/>
      <c r="AC5856" s="7">
        <v>2022</v>
      </c>
      <c r="AD5856" s="7">
        <v>9</v>
      </c>
      <c r="AE5856" s="7">
        <v>1</v>
      </c>
      <c r="AF5856" s="8">
        <v>0.91666666666666663</v>
      </c>
      <c r="AG5856" s="9">
        <v>13.2</v>
      </c>
      <c r="AH5856" s="10">
        <f t="shared" si="106"/>
        <v>13</v>
      </c>
    </row>
    <row r="5857" spans="11:34" ht="14.5" x14ac:dyDescent="0.35">
      <c r="K5857" s="4"/>
      <c r="AC5857" s="7">
        <v>2022</v>
      </c>
      <c r="AD5857" s="7">
        <v>9</v>
      </c>
      <c r="AE5857" s="7">
        <v>1</v>
      </c>
      <c r="AF5857" s="8">
        <v>0.95833333333333337</v>
      </c>
      <c r="AG5857" s="9">
        <v>12.7</v>
      </c>
      <c r="AH5857" s="10">
        <f t="shared" si="106"/>
        <v>13</v>
      </c>
    </row>
    <row r="5858" spans="11:34" ht="14.5" x14ac:dyDescent="0.35">
      <c r="K5858" s="4"/>
      <c r="AC5858" s="7">
        <v>2022</v>
      </c>
      <c r="AD5858" s="7">
        <v>9</v>
      </c>
      <c r="AE5858" s="7">
        <v>2</v>
      </c>
      <c r="AF5858" s="8">
        <v>0</v>
      </c>
      <c r="AG5858" s="9">
        <v>12.5</v>
      </c>
      <c r="AH5858" s="10">
        <f t="shared" si="106"/>
        <v>13</v>
      </c>
    </row>
    <row r="5859" spans="11:34" ht="14.5" x14ac:dyDescent="0.35">
      <c r="K5859" s="4"/>
      <c r="AC5859" s="7">
        <v>2022</v>
      </c>
      <c r="AD5859" s="7">
        <v>9</v>
      </c>
      <c r="AE5859" s="7">
        <v>2</v>
      </c>
      <c r="AF5859" s="8">
        <v>4.1666666666666664E-2</v>
      </c>
      <c r="AG5859" s="9">
        <v>12.3</v>
      </c>
      <c r="AH5859" s="10">
        <f t="shared" si="106"/>
        <v>12</v>
      </c>
    </row>
    <row r="5860" spans="11:34" ht="14.5" x14ac:dyDescent="0.35">
      <c r="K5860" s="4"/>
      <c r="AC5860" s="7">
        <v>2022</v>
      </c>
      <c r="AD5860" s="7">
        <v>9</v>
      </c>
      <c r="AE5860" s="7">
        <v>2</v>
      </c>
      <c r="AF5860" s="8">
        <v>8.3333333333333329E-2</v>
      </c>
      <c r="AG5860" s="9">
        <v>12.2</v>
      </c>
      <c r="AH5860" s="10">
        <f t="shared" si="106"/>
        <v>12</v>
      </c>
    </row>
    <row r="5861" spans="11:34" ht="14.5" x14ac:dyDescent="0.35">
      <c r="K5861" s="4"/>
      <c r="AC5861" s="7">
        <v>2022</v>
      </c>
      <c r="AD5861" s="7">
        <v>9</v>
      </c>
      <c r="AE5861" s="7">
        <v>2</v>
      </c>
      <c r="AF5861" s="8">
        <v>0.125</v>
      </c>
      <c r="AG5861" s="9">
        <v>12.9</v>
      </c>
      <c r="AH5861" s="10">
        <f t="shared" si="106"/>
        <v>13</v>
      </c>
    </row>
    <row r="5862" spans="11:34" ht="14.5" x14ac:dyDescent="0.35">
      <c r="K5862" s="4"/>
      <c r="AC5862" s="7">
        <v>2022</v>
      </c>
      <c r="AD5862" s="7">
        <v>9</v>
      </c>
      <c r="AE5862" s="7">
        <v>2</v>
      </c>
      <c r="AF5862" s="8">
        <v>0.16666666666666666</v>
      </c>
      <c r="AG5862" s="9">
        <v>12</v>
      </c>
      <c r="AH5862" s="10">
        <f t="shared" si="106"/>
        <v>12</v>
      </c>
    </row>
    <row r="5863" spans="11:34" ht="14.5" x14ac:dyDescent="0.35">
      <c r="K5863" s="4"/>
      <c r="AC5863" s="7">
        <v>2022</v>
      </c>
      <c r="AD5863" s="7">
        <v>9</v>
      </c>
      <c r="AE5863" s="7">
        <v>2</v>
      </c>
      <c r="AF5863" s="8">
        <v>0.20833333333333334</v>
      </c>
      <c r="AG5863" s="9">
        <v>11.1</v>
      </c>
      <c r="AH5863" s="10">
        <f t="shared" si="106"/>
        <v>11</v>
      </c>
    </row>
    <row r="5864" spans="11:34" ht="14.5" x14ac:dyDescent="0.35">
      <c r="K5864" s="4"/>
      <c r="AC5864" s="7">
        <v>2022</v>
      </c>
      <c r="AD5864" s="7">
        <v>9</v>
      </c>
      <c r="AE5864" s="7">
        <v>2</v>
      </c>
      <c r="AF5864" s="8">
        <v>0.25</v>
      </c>
      <c r="AG5864" s="9">
        <v>10.199999999999999</v>
      </c>
      <c r="AH5864" s="10">
        <f t="shared" si="106"/>
        <v>10</v>
      </c>
    </row>
    <row r="5865" spans="11:34" ht="14.5" x14ac:dyDescent="0.35">
      <c r="K5865" s="4"/>
      <c r="AC5865" s="7">
        <v>2022</v>
      </c>
      <c r="AD5865" s="7">
        <v>9</v>
      </c>
      <c r="AE5865" s="7">
        <v>2</v>
      </c>
      <c r="AF5865" s="8">
        <v>0.29166666666666669</v>
      </c>
      <c r="AG5865" s="9">
        <v>11.9</v>
      </c>
      <c r="AH5865" s="10">
        <f t="shared" si="106"/>
        <v>12</v>
      </c>
    </row>
    <row r="5866" spans="11:34" ht="14.5" x14ac:dyDescent="0.35">
      <c r="K5866" s="4"/>
      <c r="AC5866" s="7">
        <v>2022</v>
      </c>
      <c r="AD5866" s="7">
        <v>9</v>
      </c>
      <c r="AE5866" s="7">
        <v>2</v>
      </c>
      <c r="AF5866" s="8">
        <v>0.33333333333333331</v>
      </c>
      <c r="AG5866" s="9">
        <v>14.4</v>
      </c>
      <c r="AH5866" s="10">
        <f t="shared" si="106"/>
        <v>14</v>
      </c>
    </row>
    <row r="5867" spans="11:34" ht="14.5" x14ac:dyDescent="0.35">
      <c r="K5867" s="4"/>
      <c r="AC5867" s="7">
        <v>2022</v>
      </c>
      <c r="AD5867" s="7">
        <v>9</v>
      </c>
      <c r="AE5867" s="7">
        <v>2</v>
      </c>
      <c r="AF5867" s="8">
        <v>0.375</v>
      </c>
      <c r="AG5867" s="9">
        <v>17.7</v>
      </c>
      <c r="AH5867" s="10">
        <f t="shared" si="106"/>
        <v>18</v>
      </c>
    </row>
    <row r="5868" spans="11:34" ht="14.5" x14ac:dyDescent="0.35">
      <c r="K5868" s="4"/>
      <c r="AC5868" s="7">
        <v>2022</v>
      </c>
      <c r="AD5868" s="7">
        <v>9</v>
      </c>
      <c r="AE5868" s="7">
        <v>2</v>
      </c>
      <c r="AF5868" s="8">
        <v>0.41666666666666669</v>
      </c>
      <c r="AG5868" s="9">
        <v>20.9</v>
      </c>
      <c r="AH5868" s="10">
        <f t="shared" si="106"/>
        <v>21</v>
      </c>
    </row>
    <row r="5869" spans="11:34" ht="14.5" x14ac:dyDescent="0.35">
      <c r="K5869" s="4"/>
      <c r="AC5869" s="7">
        <v>2022</v>
      </c>
      <c r="AD5869" s="7">
        <v>9</v>
      </c>
      <c r="AE5869" s="7">
        <v>2</v>
      </c>
      <c r="AF5869" s="8">
        <v>0.45833333333333331</v>
      </c>
      <c r="AG5869" s="9">
        <v>23</v>
      </c>
      <c r="AH5869" s="10">
        <f t="shared" si="106"/>
        <v>23</v>
      </c>
    </row>
    <row r="5870" spans="11:34" ht="14.5" x14ac:dyDescent="0.35">
      <c r="K5870" s="4"/>
      <c r="AC5870" s="7">
        <v>2022</v>
      </c>
      <c r="AD5870" s="7">
        <v>9</v>
      </c>
      <c r="AE5870" s="7">
        <v>2</v>
      </c>
      <c r="AF5870" s="8">
        <v>0.5</v>
      </c>
      <c r="AG5870" s="9">
        <v>26.1</v>
      </c>
      <c r="AH5870" s="10">
        <f t="shared" si="106"/>
        <v>26</v>
      </c>
    </row>
    <row r="5871" spans="11:34" ht="14.5" x14ac:dyDescent="0.35">
      <c r="K5871" s="4"/>
      <c r="AC5871" s="7">
        <v>2022</v>
      </c>
      <c r="AD5871" s="7">
        <v>9</v>
      </c>
      <c r="AE5871" s="7">
        <v>2</v>
      </c>
      <c r="AF5871" s="8">
        <v>0.54166666666666663</v>
      </c>
      <c r="AG5871" s="9">
        <v>27.9</v>
      </c>
      <c r="AH5871" s="10">
        <f t="shared" si="106"/>
        <v>28</v>
      </c>
    </row>
    <row r="5872" spans="11:34" ht="14.5" x14ac:dyDescent="0.35">
      <c r="K5872" s="4"/>
      <c r="AC5872" s="7">
        <v>2022</v>
      </c>
      <c r="AD5872" s="7">
        <v>9</v>
      </c>
      <c r="AE5872" s="7">
        <v>2</v>
      </c>
      <c r="AF5872" s="8">
        <v>0.58333333333333337</v>
      </c>
      <c r="AG5872" s="9">
        <v>29.3</v>
      </c>
      <c r="AH5872" s="10">
        <f t="shared" si="106"/>
        <v>29</v>
      </c>
    </row>
    <row r="5873" spans="11:34" ht="14.5" x14ac:dyDescent="0.35">
      <c r="K5873" s="4"/>
      <c r="AC5873" s="7">
        <v>2022</v>
      </c>
      <c r="AD5873" s="7">
        <v>9</v>
      </c>
      <c r="AE5873" s="7">
        <v>2</v>
      </c>
      <c r="AF5873" s="8">
        <v>0.625</v>
      </c>
      <c r="AG5873" s="9">
        <v>29.7</v>
      </c>
      <c r="AH5873" s="10">
        <f t="shared" si="106"/>
        <v>30</v>
      </c>
    </row>
    <row r="5874" spans="11:34" ht="14.5" x14ac:dyDescent="0.35">
      <c r="K5874" s="4"/>
      <c r="AC5874" s="7">
        <v>2022</v>
      </c>
      <c r="AD5874" s="7">
        <v>9</v>
      </c>
      <c r="AE5874" s="7">
        <v>2</v>
      </c>
      <c r="AF5874" s="8">
        <v>0.66666666666666663</v>
      </c>
      <c r="AG5874" s="9">
        <v>30</v>
      </c>
      <c r="AH5874" s="10">
        <f t="shared" si="106"/>
        <v>30</v>
      </c>
    </row>
    <row r="5875" spans="11:34" ht="14.5" x14ac:dyDescent="0.35">
      <c r="K5875" s="4"/>
      <c r="AC5875" s="7">
        <v>2022</v>
      </c>
      <c r="AD5875" s="7">
        <v>9</v>
      </c>
      <c r="AE5875" s="7">
        <v>2</v>
      </c>
      <c r="AF5875" s="8">
        <v>0.70833333333333337</v>
      </c>
      <c r="AG5875" s="9">
        <v>29.6</v>
      </c>
      <c r="AH5875" s="10">
        <f t="shared" si="106"/>
        <v>30</v>
      </c>
    </row>
    <row r="5876" spans="11:34" ht="14.5" x14ac:dyDescent="0.35">
      <c r="K5876" s="4"/>
      <c r="AC5876" s="7">
        <v>2022</v>
      </c>
      <c r="AD5876" s="7">
        <v>9</v>
      </c>
      <c r="AE5876" s="7">
        <v>2</v>
      </c>
      <c r="AF5876" s="8">
        <v>0.75</v>
      </c>
      <c r="AG5876" s="9">
        <v>28.9</v>
      </c>
      <c r="AH5876" s="10">
        <f t="shared" si="106"/>
        <v>29</v>
      </c>
    </row>
    <row r="5877" spans="11:34" ht="14.5" x14ac:dyDescent="0.35">
      <c r="K5877" s="4"/>
      <c r="AC5877" s="7">
        <v>2022</v>
      </c>
      <c r="AD5877" s="7">
        <v>9</v>
      </c>
      <c r="AE5877" s="7">
        <v>2</v>
      </c>
      <c r="AF5877" s="8">
        <v>0.79166666666666663</v>
      </c>
      <c r="AG5877" s="9">
        <v>25</v>
      </c>
      <c r="AH5877" s="10">
        <f t="shared" si="106"/>
        <v>25</v>
      </c>
    </row>
    <row r="5878" spans="11:34" ht="14.5" x14ac:dyDescent="0.35">
      <c r="K5878" s="4"/>
      <c r="AC5878" s="7">
        <v>2022</v>
      </c>
      <c r="AD5878" s="7">
        <v>9</v>
      </c>
      <c r="AE5878" s="7">
        <v>2</v>
      </c>
      <c r="AF5878" s="8">
        <v>0.83333333333333337</v>
      </c>
      <c r="AG5878" s="9">
        <v>24</v>
      </c>
      <c r="AH5878" s="10">
        <f t="shared" si="106"/>
        <v>24</v>
      </c>
    </row>
    <row r="5879" spans="11:34" ht="14.5" x14ac:dyDescent="0.35">
      <c r="K5879" s="4"/>
      <c r="AC5879" s="7">
        <v>2022</v>
      </c>
      <c r="AD5879" s="7">
        <v>9</v>
      </c>
      <c r="AE5879" s="7">
        <v>2</v>
      </c>
      <c r="AF5879" s="8">
        <v>0.875</v>
      </c>
      <c r="AG5879" s="9">
        <v>23.1</v>
      </c>
      <c r="AH5879" s="10">
        <f t="shared" si="106"/>
        <v>23</v>
      </c>
    </row>
    <row r="5880" spans="11:34" ht="14.5" x14ac:dyDescent="0.35">
      <c r="K5880" s="4"/>
      <c r="AC5880" s="7">
        <v>2022</v>
      </c>
      <c r="AD5880" s="7">
        <v>9</v>
      </c>
      <c r="AE5880" s="7">
        <v>2</v>
      </c>
      <c r="AF5880" s="8">
        <v>0.91666666666666663</v>
      </c>
      <c r="AG5880" s="9">
        <v>18.899999999999999</v>
      </c>
      <c r="AH5880" s="10">
        <f t="shared" si="106"/>
        <v>19</v>
      </c>
    </row>
    <row r="5881" spans="11:34" ht="14.5" x14ac:dyDescent="0.35">
      <c r="K5881" s="4"/>
      <c r="AC5881" s="7">
        <v>2022</v>
      </c>
      <c r="AD5881" s="7">
        <v>9</v>
      </c>
      <c r="AE5881" s="7">
        <v>2</v>
      </c>
      <c r="AF5881" s="8">
        <v>0.95833333333333337</v>
      </c>
      <c r="AG5881" s="9">
        <v>16.5</v>
      </c>
      <c r="AH5881" s="10">
        <f t="shared" si="106"/>
        <v>17</v>
      </c>
    </row>
    <row r="5882" spans="11:34" ht="14.5" x14ac:dyDescent="0.35">
      <c r="K5882" s="4"/>
      <c r="AC5882" s="7">
        <v>2022</v>
      </c>
      <c r="AD5882" s="7">
        <v>9</v>
      </c>
      <c r="AE5882" s="7">
        <v>3</v>
      </c>
      <c r="AF5882" s="8">
        <v>0</v>
      </c>
      <c r="AG5882" s="9">
        <v>15.3</v>
      </c>
      <c r="AH5882" s="10">
        <f t="shared" si="106"/>
        <v>15</v>
      </c>
    </row>
    <row r="5883" spans="11:34" ht="14.5" x14ac:dyDescent="0.35">
      <c r="K5883" s="4"/>
      <c r="AC5883" s="7">
        <v>2022</v>
      </c>
      <c r="AD5883" s="7">
        <v>9</v>
      </c>
      <c r="AE5883" s="7">
        <v>3</v>
      </c>
      <c r="AF5883" s="8">
        <v>4.1666666666666664E-2</v>
      </c>
      <c r="AG5883" s="9">
        <v>15.2</v>
      </c>
      <c r="AH5883" s="10">
        <f t="shared" si="106"/>
        <v>15</v>
      </c>
    </row>
    <row r="5884" spans="11:34" ht="14.5" x14ac:dyDescent="0.35">
      <c r="K5884" s="4"/>
      <c r="AC5884" s="7">
        <v>2022</v>
      </c>
      <c r="AD5884" s="7">
        <v>9</v>
      </c>
      <c r="AE5884" s="7">
        <v>3</v>
      </c>
      <c r="AF5884" s="8">
        <v>8.3333333333333329E-2</v>
      </c>
      <c r="AG5884" s="9">
        <v>12.6</v>
      </c>
      <c r="AH5884" s="10">
        <f t="shared" si="106"/>
        <v>13</v>
      </c>
    </row>
    <row r="5885" spans="11:34" ht="14.5" x14ac:dyDescent="0.35">
      <c r="K5885" s="4"/>
      <c r="AC5885" s="7">
        <v>2022</v>
      </c>
      <c r="AD5885" s="7">
        <v>9</v>
      </c>
      <c r="AE5885" s="7">
        <v>3</v>
      </c>
      <c r="AF5885" s="8">
        <v>0.125</v>
      </c>
      <c r="AG5885" s="9">
        <v>11.6</v>
      </c>
      <c r="AH5885" s="10">
        <f t="shared" si="106"/>
        <v>12</v>
      </c>
    </row>
    <row r="5886" spans="11:34" ht="14.5" x14ac:dyDescent="0.35">
      <c r="K5886" s="4"/>
      <c r="AC5886" s="7">
        <v>2022</v>
      </c>
      <c r="AD5886" s="7">
        <v>9</v>
      </c>
      <c r="AE5886" s="7">
        <v>3</v>
      </c>
      <c r="AF5886" s="8">
        <v>0.16666666666666666</v>
      </c>
      <c r="AG5886" s="9">
        <v>11.3</v>
      </c>
      <c r="AH5886" s="10">
        <f t="shared" si="106"/>
        <v>11</v>
      </c>
    </row>
    <row r="5887" spans="11:34" ht="14.5" x14ac:dyDescent="0.35">
      <c r="K5887" s="4"/>
      <c r="AC5887" s="7">
        <v>2022</v>
      </c>
      <c r="AD5887" s="7">
        <v>9</v>
      </c>
      <c r="AE5887" s="7">
        <v>3</v>
      </c>
      <c r="AF5887" s="8">
        <v>0.20833333333333334</v>
      </c>
      <c r="AG5887" s="9">
        <v>11.5</v>
      </c>
      <c r="AH5887" s="10">
        <f t="shared" si="106"/>
        <v>12</v>
      </c>
    </row>
    <row r="5888" spans="11:34" ht="14.5" x14ac:dyDescent="0.35">
      <c r="K5888" s="4"/>
      <c r="AC5888" s="7">
        <v>2022</v>
      </c>
      <c r="AD5888" s="7">
        <v>9</v>
      </c>
      <c r="AE5888" s="7">
        <v>3</v>
      </c>
      <c r="AF5888" s="8">
        <v>0.25</v>
      </c>
      <c r="AG5888" s="9">
        <v>10.5</v>
      </c>
      <c r="AH5888" s="10">
        <f t="shared" si="106"/>
        <v>11</v>
      </c>
    </row>
    <row r="5889" spans="11:34" ht="14.5" x14ac:dyDescent="0.35">
      <c r="K5889" s="4"/>
      <c r="AC5889" s="7">
        <v>2022</v>
      </c>
      <c r="AD5889" s="7">
        <v>9</v>
      </c>
      <c r="AE5889" s="7">
        <v>3</v>
      </c>
      <c r="AF5889" s="8">
        <v>0.29166666666666669</v>
      </c>
      <c r="AG5889" s="9">
        <v>12.1</v>
      </c>
      <c r="AH5889" s="10">
        <f t="shared" si="106"/>
        <v>12</v>
      </c>
    </row>
    <row r="5890" spans="11:34" ht="14.5" x14ac:dyDescent="0.35">
      <c r="K5890" s="4"/>
      <c r="AC5890" s="7">
        <v>2022</v>
      </c>
      <c r="AD5890" s="7">
        <v>9</v>
      </c>
      <c r="AE5890" s="7">
        <v>3</v>
      </c>
      <c r="AF5890" s="8">
        <v>0.33333333333333331</v>
      </c>
      <c r="AG5890" s="9">
        <v>15.3</v>
      </c>
      <c r="AH5890" s="10">
        <f t="shared" si="106"/>
        <v>15</v>
      </c>
    </row>
    <row r="5891" spans="11:34" ht="14.5" x14ac:dyDescent="0.35">
      <c r="K5891" s="4"/>
      <c r="AC5891" s="7">
        <v>2022</v>
      </c>
      <c r="AD5891" s="7">
        <v>9</v>
      </c>
      <c r="AE5891" s="7">
        <v>3</v>
      </c>
      <c r="AF5891" s="8">
        <v>0.375</v>
      </c>
      <c r="AG5891" s="9">
        <v>18.7</v>
      </c>
      <c r="AH5891" s="10">
        <f t="shared" si="106"/>
        <v>19</v>
      </c>
    </row>
    <row r="5892" spans="11:34" ht="14.5" x14ac:dyDescent="0.35">
      <c r="K5892" s="4"/>
      <c r="AC5892" s="7">
        <v>2022</v>
      </c>
      <c r="AD5892" s="7">
        <v>9</v>
      </c>
      <c r="AE5892" s="7">
        <v>3</v>
      </c>
      <c r="AF5892" s="8">
        <v>0.41666666666666669</v>
      </c>
      <c r="AG5892" s="9">
        <v>21.9</v>
      </c>
      <c r="AH5892" s="10">
        <f t="shared" si="106"/>
        <v>22</v>
      </c>
    </row>
    <row r="5893" spans="11:34" ht="14.5" x14ac:dyDescent="0.35">
      <c r="K5893" s="4"/>
      <c r="AC5893" s="7">
        <v>2022</v>
      </c>
      <c r="AD5893" s="7">
        <v>9</v>
      </c>
      <c r="AE5893" s="7">
        <v>3</v>
      </c>
      <c r="AF5893" s="8">
        <v>0.45833333333333331</v>
      </c>
      <c r="AG5893" s="9">
        <v>25.1</v>
      </c>
      <c r="AH5893" s="10">
        <f t="shared" si="106"/>
        <v>25</v>
      </c>
    </row>
    <row r="5894" spans="11:34" ht="14.5" x14ac:dyDescent="0.35">
      <c r="K5894" s="4"/>
      <c r="AC5894" s="7">
        <v>2022</v>
      </c>
      <c r="AD5894" s="7">
        <v>9</v>
      </c>
      <c r="AE5894" s="7">
        <v>3</v>
      </c>
      <c r="AF5894" s="8">
        <v>0.5</v>
      </c>
      <c r="AG5894" s="9">
        <v>29</v>
      </c>
      <c r="AH5894" s="10">
        <f t="shared" si="106"/>
        <v>29</v>
      </c>
    </row>
    <row r="5895" spans="11:34" ht="14.5" x14ac:dyDescent="0.35">
      <c r="K5895" s="4"/>
      <c r="AC5895" s="7">
        <v>2022</v>
      </c>
      <c r="AD5895" s="7">
        <v>9</v>
      </c>
      <c r="AE5895" s="7">
        <v>3</v>
      </c>
      <c r="AF5895" s="8">
        <v>0.54166666666666663</v>
      </c>
      <c r="AG5895" s="9">
        <v>30.6</v>
      </c>
      <c r="AH5895" s="10">
        <f t="shared" si="106"/>
        <v>31</v>
      </c>
    </row>
    <row r="5896" spans="11:34" ht="14.5" x14ac:dyDescent="0.35">
      <c r="K5896" s="4"/>
      <c r="AC5896" s="7">
        <v>2022</v>
      </c>
      <c r="AD5896" s="7">
        <v>9</v>
      </c>
      <c r="AE5896" s="7">
        <v>3</v>
      </c>
      <c r="AF5896" s="8">
        <v>0.58333333333333337</v>
      </c>
      <c r="AG5896" s="9">
        <v>31.6</v>
      </c>
      <c r="AH5896" s="10">
        <f t="shared" si="106"/>
        <v>32</v>
      </c>
    </row>
    <row r="5897" spans="11:34" ht="14.5" x14ac:dyDescent="0.35">
      <c r="K5897" s="4"/>
      <c r="AC5897" s="7">
        <v>2022</v>
      </c>
      <c r="AD5897" s="7">
        <v>9</v>
      </c>
      <c r="AE5897" s="7">
        <v>3</v>
      </c>
      <c r="AF5897" s="8">
        <v>0.625</v>
      </c>
      <c r="AG5897" s="9">
        <v>32.700000000000003</v>
      </c>
      <c r="AH5897" s="10">
        <f t="shared" si="106"/>
        <v>33</v>
      </c>
    </row>
    <row r="5898" spans="11:34" ht="14.5" x14ac:dyDescent="0.35">
      <c r="K5898" s="4"/>
      <c r="AC5898" s="7">
        <v>2022</v>
      </c>
      <c r="AD5898" s="7">
        <v>9</v>
      </c>
      <c r="AE5898" s="7">
        <v>3</v>
      </c>
      <c r="AF5898" s="8">
        <v>0.66666666666666663</v>
      </c>
      <c r="AG5898" s="9">
        <v>31.9</v>
      </c>
      <c r="AH5898" s="10">
        <f t="shared" si="106"/>
        <v>32</v>
      </c>
    </row>
    <row r="5899" spans="11:34" ht="14.5" x14ac:dyDescent="0.35">
      <c r="K5899" s="4"/>
      <c r="AC5899" s="7">
        <v>2022</v>
      </c>
      <c r="AD5899" s="7">
        <v>9</v>
      </c>
      <c r="AE5899" s="7">
        <v>3</v>
      </c>
      <c r="AF5899" s="8">
        <v>0.70833333333333337</v>
      </c>
      <c r="AG5899" s="9">
        <v>31.7</v>
      </c>
      <c r="AH5899" s="10">
        <f t="shared" ref="AH5899:AH5962" si="107">ROUND(AG5899,0)</f>
        <v>32</v>
      </c>
    </row>
    <row r="5900" spans="11:34" ht="14.5" x14ac:dyDescent="0.35">
      <c r="K5900" s="4"/>
      <c r="AC5900" s="7">
        <v>2022</v>
      </c>
      <c r="AD5900" s="7">
        <v>9</v>
      </c>
      <c r="AE5900" s="7">
        <v>3</v>
      </c>
      <c r="AF5900" s="8">
        <v>0.75</v>
      </c>
      <c r="AG5900" s="9">
        <v>29.4</v>
      </c>
      <c r="AH5900" s="10">
        <f t="shared" si="107"/>
        <v>29</v>
      </c>
    </row>
    <row r="5901" spans="11:34" ht="14.5" x14ac:dyDescent="0.35">
      <c r="K5901" s="4"/>
      <c r="AC5901" s="7">
        <v>2022</v>
      </c>
      <c r="AD5901" s="7">
        <v>9</v>
      </c>
      <c r="AE5901" s="7">
        <v>3</v>
      </c>
      <c r="AF5901" s="8">
        <v>0.79166666666666663</v>
      </c>
      <c r="AG5901" s="9">
        <v>24.5</v>
      </c>
      <c r="AH5901" s="10">
        <f t="shared" si="107"/>
        <v>25</v>
      </c>
    </row>
    <row r="5902" spans="11:34" ht="14.5" x14ac:dyDescent="0.35">
      <c r="K5902" s="4"/>
      <c r="AC5902" s="7">
        <v>2022</v>
      </c>
      <c r="AD5902" s="7">
        <v>9</v>
      </c>
      <c r="AE5902" s="7">
        <v>3</v>
      </c>
      <c r="AF5902" s="8">
        <v>0.83333333333333337</v>
      </c>
      <c r="AG5902" s="9">
        <v>23.4</v>
      </c>
      <c r="AH5902" s="10">
        <f t="shared" si="107"/>
        <v>23</v>
      </c>
    </row>
    <row r="5903" spans="11:34" ht="14.5" x14ac:dyDescent="0.35">
      <c r="K5903" s="4"/>
      <c r="AC5903" s="7">
        <v>2022</v>
      </c>
      <c r="AD5903" s="7">
        <v>9</v>
      </c>
      <c r="AE5903" s="7">
        <v>3</v>
      </c>
      <c r="AF5903" s="8">
        <v>0.875</v>
      </c>
      <c r="AG5903" s="9">
        <v>21.5</v>
      </c>
      <c r="AH5903" s="10">
        <f t="shared" si="107"/>
        <v>22</v>
      </c>
    </row>
    <row r="5904" spans="11:34" ht="14.5" x14ac:dyDescent="0.35">
      <c r="K5904" s="4"/>
      <c r="AC5904" s="7">
        <v>2022</v>
      </c>
      <c r="AD5904" s="7">
        <v>9</v>
      </c>
      <c r="AE5904" s="7">
        <v>3</v>
      </c>
      <c r="AF5904" s="8">
        <v>0.91666666666666663</v>
      </c>
      <c r="AG5904" s="9">
        <v>18.5</v>
      </c>
      <c r="AH5904" s="10">
        <f t="shared" si="107"/>
        <v>19</v>
      </c>
    </row>
    <row r="5905" spans="11:34" ht="14.5" x14ac:dyDescent="0.35">
      <c r="K5905" s="4"/>
      <c r="AC5905" s="7">
        <v>2022</v>
      </c>
      <c r="AD5905" s="7">
        <v>9</v>
      </c>
      <c r="AE5905" s="7">
        <v>3</v>
      </c>
      <c r="AF5905" s="8">
        <v>0.95833333333333337</v>
      </c>
      <c r="AG5905" s="9">
        <v>17.399999999999999</v>
      </c>
      <c r="AH5905" s="10">
        <f t="shared" si="107"/>
        <v>17</v>
      </c>
    </row>
    <row r="5906" spans="11:34" ht="14.5" x14ac:dyDescent="0.35">
      <c r="K5906" s="4"/>
      <c r="AC5906" s="7">
        <v>2022</v>
      </c>
      <c r="AD5906" s="7">
        <v>9</v>
      </c>
      <c r="AE5906" s="7">
        <v>4</v>
      </c>
      <c r="AF5906" s="8">
        <v>0</v>
      </c>
      <c r="AG5906" s="9">
        <v>18</v>
      </c>
      <c r="AH5906" s="10">
        <f t="shared" si="107"/>
        <v>18</v>
      </c>
    </row>
    <row r="5907" spans="11:34" ht="14.5" x14ac:dyDescent="0.35">
      <c r="K5907" s="4"/>
      <c r="AC5907" s="7">
        <v>2022</v>
      </c>
      <c r="AD5907" s="7">
        <v>9</v>
      </c>
      <c r="AE5907" s="7">
        <v>4</v>
      </c>
      <c r="AF5907" s="8">
        <v>4.1666666666666664E-2</v>
      </c>
      <c r="AG5907" s="9">
        <v>18.600000000000001</v>
      </c>
      <c r="AH5907" s="10">
        <f t="shared" si="107"/>
        <v>19</v>
      </c>
    </row>
    <row r="5908" spans="11:34" ht="14.5" x14ac:dyDescent="0.35">
      <c r="K5908" s="4"/>
      <c r="AC5908" s="7">
        <v>2022</v>
      </c>
      <c r="AD5908" s="7">
        <v>9</v>
      </c>
      <c r="AE5908" s="7">
        <v>4</v>
      </c>
      <c r="AF5908" s="8">
        <v>8.3333333333333329E-2</v>
      </c>
      <c r="AG5908" s="9">
        <v>22.8</v>
      </c>
      <c r="AH5908" s="10">
        <f t="shared" si="107"/>
        <v>23</v>
      </c>
    </row>
    <row r="5909" spans="11:34" ht="14.5" x14ac:dyDescent="0.35">
      <c r="K5909" s="4"/>
      <c r="AC5909" s="7">
        <v>2022</v>
      </c>
      <c r="AD5909" s="7">
        <v>9</v>
      </c>
      <c r="AE5909" s="7">
        <v>4</v>
      </c>
      <c r="AF5909" s="8">
        <v>0.125</v>
      </c>
      <c r="AG5909" s="9">
        <v>22</v>
      </c>
      <c r="AH5909" s="10">
        <f t="shared" si="107"/>
        <v>22</v>
      </c>
    </row>
    <row r="5910" spans="11:34" ht="14.5" x14ac:dyDescent="0.35">
      <c r="K5910" s="4"/>
      <c r="AC5910" s="7">
        <v>2022</v>
      </c>
      <c r="AD5910" s="7">
        <v>9</v>
      </c>
      <c r="AE5910" s="7">
        <v>4</v>
      </c>
      <c r="AF5910" s="8">
        <v>0.16666666666666666</v>
      </c>
      <c r="AG5910" s="9">
        <v>19.8</v>
      </c>
      <c r="AH5910" s="10">
        <f t="shared" si="107"/>
        <v>20</v>
      </c>
    </row>
    <row r="5911" spans="11:34" ht="14.5" x14ac:dyDescent="0.35">
      <c r="K5911" s="4"/>
      <c r="AC5911" s="7">
        <v>2022</v>
      </c>
      <c r="AD5911" s="7">
        <v>9</v>
      </c>
      <c r="AE5911" s="7">
        <v>4</v>
      </c>
      <c r="AF5911" s="8">
        <v>0.20833333333333334</v>
      </c>
      <c r="AG5911" s="9">
        <v>18.600000000000001</v>
      </c>
      <c r="AH5911" s="10">
        <f t="shared" si="107"/>
        <v>19</v>
      </c>
    </row>
    <row r="5912" spans="11:34" ht="14.5" x14ac:dyDescent="0.35">
      <c r="K5912" s="4"/>
      <c r="AC5912" s="7">
        <v>2022</v>
      </c>
      <c r="AD5912" s="7">
        <v>9</v>
      </c>
      <c r="AE5912" s="7">
        <v>4</v>
      </c>
      <c r="AF5912" s="8">
        <v>0.25</v>
      </c>
      <c r="AG5912" s="9">
        <v>18.5</v>
      </c>
      <c r="AH5912" s="10">
        <f t="shared" si="107"/>
        <v>19</v>
      </c>
    </row>
    <row r="5913" spans="11:34" ht="14.5" x14ac:dyDescent="0.35">
      <c r="K5913" s="4"/>
      <c r="AC5913" s="7">
        <v>2022</v>
      </c>
      <c r="AD5913" s="7">
        <v>9</v>
      </c>
      <c r="AE5913" s="7">
        <v>4</v>
      </c>
      <c r="AF5913" s="8">
        <v>0.29166666666666669</v>
      </c>
      <c r="AG5913" s="9">
        <v>17.399999999999999</v>
      </c>
      <c r="AH5913" s="10">
        <f t="shared" si="107"/>
        <v>17</v>
      </c>
    </row>
    <row r="5914" spans="11:34" ht="14.5" x14ac:dyDescent="0.35">
      <c r="K5914" s="4"/>
      <c r="AC5914" s="7">
        <v>2022</v>
      </c>
      <c r="AD5914" s="7">
        <v>9</v>
      </c>
      <c r="AE5914" s="7">
        <v>4</v>
      </c>
      <c r="AF5914" s="8">
        <v>0.33333333333333331</v>
      </c>
      <c r="AG5914" s="9">
        <v>23.2</v>
      </c>
      <c r="AH5914" s="10">
        <f t="shared" si="107"/>
        <v>23</v>
      </c>
    </row>
    <row r="5915" spans="11:34" ht="14.5" x14ac:dyDescent="0.35">
      <c r="K5915" s="4"/>
      <c r="AC5915" s="7">
        <v>2022</v>
      </c>
      <c r="AD5915" s="7">
        <v>9</v>
      </c>
      <c r="AE5915" s="7">
        <v>4</v>
      </c>
      <c r="AF5915" s="8">
        <v>0.375</v>
      </c>
      <c r="AG5915" s="9">
        <v>25.3</v>
      </c>
      <c r="AH5915" s="10">
        <f t="shared" si="107"/>
        <v>25</v>
      </c>
    </row>
    <row r="5916" spans="11:34" ht="14.5" x14ac:dyDescent="0.35">
      <c r="K5916" s="4"/>
      <c r="AC5916" s="7">
        <v>2022</v>
      </c>
      <c r="AD5916" s="7">
        <v>9</v>
      </c>
      <c r="AE5916" s="7">
        <v>4</v>
      </c>
      <c r="AF5916" s="8">
        <v>0.41666666666666669</v>
      </c>
      <c r="AG5916" s="9">
        <v>26.7</v>
      </c>
      <c r="AH5916" s="10">
        <f t="shared" si="107"/>
        <v>27</v>
      </c>
    </row>
    <row r="5917" spans="11:34" ht="14.5" x14ac:dyDescent="0.35">
      <c r="K5917" s="4"/>
      <c r="AC5917" s="7">
        <v>2022</v>
      </c>
      <c r="AD5917" s="7">
        <v>9</v>
      </c>
      <c r="AE5917" s="7">
        <v>4</v>
      </c>
      <c r="AF5917" s="8">
        <v>0.45833333333333331</v>
      </c>
      <c r="AG5917" s="9">
        <v>28</v>
      </c>
      <c r="AH5917" s="10">
        <f t="shared" si="107"/>
        <v>28</v>
      </c>
    </row>
    <row r="5918" spans="11:34" ht="14.5" x14ac:dyDescent="0.35">
      <c r="K5918" s="4"/>
      <c r="AC5918" s="7">
        <v>2022</v>
      </c>
      <c r="AD5918" s="7">
        <v>9</v>
      </c>
      <c r="AE5918" s="7">
        <v>4</v>
      </c>
      <c r="AF5918" s="8">
        <v>0.5</v>
      </c>
      <c r="AG5918" s="9">
        <v>29.3</v>
      </c>
      <c r="AH5918" s="10">
        <f t="shared" si="107"/>
        <v>29</v>
      </c>
    </row>
    <row r="5919" spans="11:34" ht="14.5" x14ac:dyDescent="0.35">
      <c r="K5919" s="4"/>
      <c r="AC5919" s="7">
        <v>2022</v>
      </c>
      <c r="AD5919" s="7">
        <v>9</v>
      </c>
      <c r="AE5919" s="7">
        <v>4</v>
      </c>
      <c r="AF5919" s="8">
        <v>0.54166666666666663</v>
      </c>
      <c r="AG5919" s="9">
        <v>30.9</v>
      </c>
      <c r="AH5919" s="10">
        <f t="shared" si="107"/>
        <v>31</v>
      </c>
    </row>
    <row r="5920" spans="11:34" ht="14.5" x14ac:dyDescent="0.35">
      <c r="K5920" s="4"/>
      <c r="AC5920" s="7">
        <v>2022</v>
      </c>
      <c r="AD5920" s="7">
        <v>9</v>
      </c>
      <c r="AE5920" s="7">
        <v>4</v>
      </c>
      <c r="AF5920" s="8">
        <v>0.58333333333333337</v>
      </c>
      <c r="AG5920" s="9">
        <v>31.4</v>
      </c>
      <c r="AH5920" s="10">
        <f t="shared" si="107"/>
        <v>31</v>
      </c>
    </row>
    <row r="5921" spans="11:34" ht="14.5" x14ac:dyDescent="0.35">
      <c r="K5921" s="4"/>
      <c r="AC5921" s="7">
        <v>2022</v>
      </c>
      <c r="AD5921" s="7">
        <v>9</v>
      </c>
      <c r="AE5921" s="7">
        <v>4</v>
      </c>
      <c r="AF5921" s="8">
        <v>0.625</v>
      </c>
      <c r="AG5921" s="9">
        <v>31.5</v>
      </c>
      <c r="AH5921" s="10">
        <f t="shared" si="107"/>
        <v>32</v>
      </c>
    </row>
    <row r="5922" spans="11:34" ht="14.5" x14ac:dyDescent="0.35">
      <c r="K5922" s="4"/>
      <c r="AC5922" s="7">
        <v>2022</v>
      </c>
      <c r="AD5922" s="7">
        <v>9</v>
      </c>
      <c r="AE5922" s="7">
        <v>4</v>
      </c>
      <c r="AF5922" s="8">
        <v>0.66666666666666663</v>
      </c>
      <c r="AG5922" s="9">
        <v>31.2</v>
      </c>
      <c r="AH5922" s="10">
        <f t="shared" si="107"/>
        <v>31</v>
      </c>
    </row>
    <row r="5923" spans="11:34" ht="14.5" x14ac:dyDescent="0.35">
      <c r="K5923" s="4"/>
      <c r="AC5923" s="7">
        <v>2022</v>
      </c>
      <c r="AD5923" s="7">
        <v>9</v>
      </c>
      <c r="AE5923" s="7">
        <v>4</v>
      </c>
      <c r="AF5923" s="8">
        <v>0.70833333333333337</v>
      </c>
      <c r="AG5923" s="9">
        <v>30.1</v>
      </c>
      <c r="AH5923" s="10">
        <f t="shared" si="107"/>
        <v>30</v>
      </c>
    </row>
    <row r="5924" spans="11:34" ht="14.5" x14ac:dyDescent="0.35">
      <c r="K5924" s="4"/>
      <c r="AC5924" s="7">
        <v>2022</v>
      </c>
      <c r="AD5924" s="7">
        <v>9</v>
      </c>
      <c r="AE5924" s="7">
        <v>4</v>
      </c>
      <c r="AF5924" s="8">
        <v>0.75</v>
      </c>
      <c r="AG5924" s="9">
        <v>27.9</v>
      </c>
      <c r="AH5924" s="10">
        <f t="shared" si="107"/>
        <v>28</v>
      </c>
    </row>
    <row r="5925" spans="11:34" ht="14.5" x14ac:dyDescent="0.35">
      <c r="K5925" s="4"/>
      <c r="AC5925" s="7">
        <v>2022</v>
      </c>
      <c r="AD5925" s="7">
        <v>9</v>
      </c>
      <c r="AE5925" s="7">
        <v>4</v>
      </c>
      <c r="AF5925" s="8">
        <v>0.79166666666666663</v>
      </c>
      <c r="AG5925" s="9">
        <v>26.3</v>
      </c>
      <c r="AH5925" s="10">
        <f t="shared" si="107"/>
        <v>26</v>
      </c>
    </row>
    <row r="5926" spans="11:34" ht="14.5" x14ac:dyDescent="0.35">
      <c r="K5926" s="4"/>
      <c r="AC5926" s="7">
        <v>2022</v>
      </c>
      <c r="AD5926" s="7">
        <v>9</v>
      </c>
      <c r="AE5926" s="7">
        <v>4</v>
      </c>
      <c r="AF5926" s="8">
        <v>0.83333333333333337</v>
      </c>
      <c r="AG5926" s="9">
        <v>23.9</v>
      </c>
      <c r="AH5926" s="10">
        <f t="shared" si="107"/>
        <v>24</v>
      </c>
    </row>
    <row r="5927" spans="11:34" ht="14.5" x14ac:dyDescent="0.35">
      <c r="K5927" s="4"/>
      <c r="AC5927" s="7">
        <v>2022</v>
      </c>
      <c r="AD5927" s="7">
        <v>9</v>
      </c>
      <c r="AE5927" s="7">
        <v>4</v>
      </c>
      <c r="AF5927" s="8">
        <v>0.875</v>
      </c>
      <c r="AG5927" s="9">
        <v>22.8</v>
      </c>
      <c r="AH5927" s="10">
        <f t="shared" si="107"/>
        <v>23</v>
      </c>
    </row>
    <row r="5928" spans="11:34" ht="14.5" x14ac:dyDescent="0.35">
      <c r="K5928" s="4"/>
      <c r="AC5928" s="7">
        <v>2022</v>
      </c>
      <c r="AD5928" s="7">
        <v>9</v>
      </c>
      <c r="AE5928" s="7">
        <v>4</v>
      </c>
      <c r="AF5928" s="8">
        <v>0.91666666666666663</v>
      </c>
      <c r="AG5928" s="9">
        <v>21.7</v>
      </c>
      <c r="AH5928" s="10">
        <f t="shared" si="107"/>
        <v>22</v>
      </c>
    </row>
    <row r="5929" spans="11:34" ht="14.5" x14ac:dyDescent="0.35">
      <c r="K5929" s="4"/>
      <c r="AC5929" s="7">
        <v>2022</v>
      </c>
      <c r="AD5929" s="7">
        <v>9</v>
      </c>
      <c r="AE5929" s="7">
        <v>4</v>
      </c>
      <c r="AF5929" s="8">
        <v>0.95833333333333337</v>
      </c>
      <c r="AG5929" s="9">
        <v>18.899999999999999</v>
      </c>
      <c r="AH5929" s="10">
        <f t="shared" si="107"/>
        <v>19</v>
      </c>
    </row>
    <row r="5930" spans="11:34" ht="14.5" x14ac:dyDescent="0.35">
      <c r="K5930" s="4"/>
      <c r="AC5930" s="7">
        <v>2022</v>
      </c>
      <c r="AD5930" s="7">
        <v>9</v>
      </c>
      <c r="AE5930" s="7">
        <v>5</v>
      </c>
      <c r="AF5930" s="8">
        <v>0</v>
      </c>
      <c r="AG5930" s="9">
        <v>19</v>
      </c>
      <c r="AH5930" s="10">
        <f t="shared" si="107"/>
        <v>19</v>
      </c>
    </row>
    <row r="5931" spans="11:34" ht="14.5" x14ac:dyDescent="0.35">
      <c r="K5931" s="4"/>
      <c r="AC5931" s="7">
        <v>2022</v>
      </c>
      <c r="AD5931" s="7">
        <v>9</v>
      </c>
      <c r="AE5931" s="7">
        <v>5</v>
      </c>
      <c r="AF5931" s="8">
        <v>4.1666666666666664E-2</v>
      </c>
      <c r="AG5931" s="9">
        <v>20.399999999999999</v>
      </c>
      <c r="AH5931" s="10">
        <f t="shared" si="107"/>
        <v>20</v>
      </c>
    </row>
    <row r="5932" spans="11:34" ht="14.5" x14ac:dyDescent="0.35">
      <c r="K5932" s="4"/>
      <c r="AC5932" s="7">
        <v>2022</v>
      </c>
      <c r="AD5932" s="7">
        <v>9</v>
      </c>
      <c r="AE5932" s="7">
        <v>5</v>
      </c>
      <c r="AF5932" s="8">
        <v>8.3333333333333329E-2</v>
      </c>
      <c r="AG5932" s="9">
        <v>20.7</v>
      </c>
      <c r="AH5932" s="10">
        <f t="shared" si="107"/>
        <v>21</v>
      </c>
    </row>
    <row r="5933" spans="11:34" ht="14.5" x14ac:dyDescent="0.35">
      <c r="K5933" s="4"/>
      <c r="AC5933" s="7">
        <v>2022</v>
      </c>
      <c r="AD5933" s="7">
        <v>9</v>
      </c>
      <c r="AE5933" s="7">
        <v>5</v>
      </c>
      <c r="AF5933" s="8">
        <v>0.125</v>
      </c>
      <c r="AG5933" s="9">
        <v>18.5</v>
      </c>
      <c r="AH5933" s="10">
        <f t="shared" si="107"/>
        <v>19</v>
      </c>
    </row>
    <row r="5934" spans="11:34" ht="14.5" x14ac:dyDescent="0.35">
      <c r="K5934" s="4"/>
      <c r="AC5934" s="7">
        <v>2022</v>
      </c>
      <c r="AD5934" s="7">
        <v>9</v>
      </c>
      <c r="AE5934" s="7">
        <v>5</v>
      </c>
      <c r="AF5934" s="8">
        <v>0.16666666666666666</v>
      </c>
      <c r="AG5934" s="9">
        <v>17.5</v>
      </c>
      <c r="AH5934" s="10">
        <f t="shared" si="107"/>
        <v>18</v>
      </c>
    </row>
    <row r="5935" spans="11:34" ht="14.5" x14ac:dyDescent="0.35">
      <c r="K5935" s="4"/>
      <c r="AC5935" s="7">
        <v>2022</v>
      </c>
      <c r="AD5935" s="7">
        <v>9</v>
      </c>
      <c r="AE5935" s="7">
        <v>5</v>
      </c>
      <c r="AF5935" s="8">
        <v>0.20833333333333334</v>
      </c>
      <c r="AG5935" s="9">
        <v>16.2</v>
      </c>
      <c r="AH5935" s="10">
        <f t="shared" si="107"/>
        <v>16</v>
      </c>
    </row>
    <row r="5936" spans="11:34" ht="14.5" x14ac:dyDescent="0.35">
      <c r="K5936" s="4"/>
      <c r="AC5936" s="7">
        <v>2022</v>
      </c>
      <c r="AD5936" s="7">
        <v>9</v>
      </c>
      <c r="AE5936" s="7">
        <v>5</v>
      </c>
      <c r="AF5936" s="8">
        <v>0.25</v>
      </c>
      <c r="AG5936" s="9">
        <v>13.6</v>
      </c>
      <c r="AH5936" s="10">
        <f t="shared" si="107"/>
        <v>14</v>
      </c>
    </row>
    <row r="5937" spans="11:34" ht="14.5" x14ac:dyDescent="0.35">
      <c r="K5937" s="4"/>
      <c r="AC5937" s="7">
        <v>2022</v>
      </c>
      <c r="AD5937" s="7">
        <v>9</v>
      </c>
      <c r="AE5937" s="7">
        <v>5</v>
      </c>
      <c r="AF5937" s="8">
        <v>0.29166666666666669</v>
      </c>
      <c r="AG5937" s="9">
        <v>13.2</v>
      </c>
      <c r="AH5937" s="10">
        <f t="shared" si="107"/>
        <v>13</v>
      </c>
    </row>
    <row r="5938" spans="11:34" ht="14.5" x14ac:dyDescent="0.35">
      <c r="K5938" s="4"/>
      <c r="AC5938" s="7">
        <v>2022</v>
      </c>
      <c r="AD5938" s="7">
        <v>9</v>
      </c>
      <c r="AE5938" s="7">
        <v>5</v>
      </c>
      <c r="AF5938" s="8">
        <v>0.33333333333333331</v>
      </c>
      <c r="AG5938" s="9">
        <v>15</v>
      </c>
      <c r="AH5938" s="10">
        <f t="shared" si="107"/>
        <v>15</v>
      </c>
    </row>
    <row r="5939" spans="11:34" ht="14.5" x14ac:dyDescent="0.35">
      <c r="K5939" s="4"/>
      <c r="AC5939" s="7">
        <v>2022</v>
      </c>
      <c r="AD5939" s="7">
        <v>9</v>
      </c>
      <c r="AE5939" s="7">
        <v>5</v>
      </c>
      <c r="AF5939" s="8">
        <v>0.375</v>
      </c>
      <c r="AG5939" s="9">
        <v>16.2</v>
      </c>
      <c r="AH5939" s="10">
        <f t="shared" si="107"/>
        <v>16</v>
      </c>
    </row>
    <row r="5940" spans="11:34" ht="14.5" x14ac:dyDescent="0.35">
      <c r="K5940" s="4"/>
      <c r="AC5940" s="7">
        <v>2022</v>
      </c>
      <c r="AD5940" s="7">
        <v>9</v>
      </c>
      <c r="AE5940" s="7">
        <v>5</v>
      </c>
      <c r="AF5940" s="8">
        <v>0.41666666666666669</v>
      </c>
      <c r="AG5940" s="9">
        <v>17.399999999999999</v>
      </c>
      <c r="AH5940" s="10">
        <f t="shared" si="107"/>
        <v>17</v>
      </c>
    </row>
    <row r="5941" spans="11:34" ht="14.5" x14ac:dyDescent="0.35">
      <c r="K5941" s="4"/>
      <c r="AC5941" s="7">
        <v>2022</v>
      </c>
      <c r="AD5941" s="7">
        <v>9</v>
      </c>
      <c r="AE5941" s="7">
        <v>5</v>
      </c>
      <c r="AF5941" s="8">
        <v>0.45833333333333331</v>
      </c>
      <c r="AG5941" s="9">
        <v>18.5</v>
      </c>
      <c r="AH5941" s="10">
        <f t="shared" si="107"/>
        <v>19</v>
      </c>
    </row>
    <row r="5942" spans="11:34" ht="14.5" x14ac:dyDescent="0.35">
      <c r="K5942" s="4"/>
      <c r="AC5942" s="7">
        <v>2022</v>
      </c>
      <c r="AD5942" s="7">
        <v>9</v>
      </c>
      <c r="AE5942" s="7">
        <v>5</v>
      </c>
      <c r="AF5942" s="8">
        <v>0.5</v>
      </c>
      <c r="AG5942" s="9">
        <v>19</v>
      </c>
      <c r="AH5942" s="10">
        <f t="shared" si="107"/>
        <v>19</v>
      </c>
    </row>
    <row r="5943" spans="11:34" ht="14.5" x14ac:dyDescent="0.35">
      <c r="K5943" s="4"/>
      <c r="AC5943" s="7">
        <v>2022</v>
      </c>
      <c r="AD5943" s="7">
        <v>9</v>
      </c>
      <c r="AE5943" s="7">
        <v>5</v>
      </c>
      <c r="AF5943" s="8">
        <v>0.54166666666666663</v>
      </c>
      <c r="AG5943" s="9">
        <v>18.600000000000001</v>
      </c>
      <c r="AH5943" s="10">
        <f t="shared" si="107"/>
        <v>19</v>
      </c>
    </row>
    <row r="5944" spans="11:34" ht="14.5" x14ac:dyDescent="0.35">
      <c r="K5944" s="4"/>
      <c r="AC5944" s="7">
        <v>2022</v>
      </c>
      <c r="AD5944" s="7">
        <v>9</v>
      </c>
      <c r="AE5944" s="7">
        <v>5</v>
      </c>
      <c r="AF5944" s="8">
        <v>0.58333333333333337</v>
      </c>
      <c r="AG5944" s="9">
        <v>18.399999999999999</v>
      </c>
      <c r="AH5944" s="10">
        <f t="shared" si="107"/>
        <v>18</v>
      </c>
    </row>
    <row r="5945" spans="11:34" ht="14.5" x14ac:dyDescent="0.35">
      <c r="K5945" s="4"/>
      <c r="AC5945" s="7">
        <v>2022</v>
      </c>
      <c r="AD5945" s="7">
        <v>9</v>
      </c>
      <c r="AE5945" s="7">
        <v>5</v>
      </c>
      <c r="AF5945" s="8">
        <v>0.625</v>
      </c>
      <c r="AG5945" s="9">
        <v>18.899999999999999</v>
      </c>
      <c r="AH5945" s="10">
        <f t="shared" si="107"/>
        <v>19</v>
      </c>
    </row>
    <row r="5946" spans="11:34" ht="14.5" x14ac:dyDescent="0.35">
      <c r="K5946" s="4"/>
      <c r="AC5946" s="7">
        <v>2022</v>
      </c>
      <c r="AD5946" s="7">
        <v>9</v>
      </c>
      <c r="AE5946" s="7">
        <v>5</v>
      </c>
      <c r="AF5946" s="8">
        <v>0.66666666666666663</v>
      </c>
      <c r="AG5946" s="9">
        <v>18.899999999999999</v>
      </c>
      <c r="AH5946" s="10">
        <f t="shared" si="107"/>
        <v>19</v>
      </c>
    </row>
    <row r="5947" spans="11:34" ht="14.5" x14ac:dyDescent="0.35">
      <c r="K5947" s="4"/>
      <c r="AC5947" s="7">
        <v>2022</v>
      </c>
      <c r="AD5947" s="7">
        <v>9</v>
      </c>
      <c r="AE5947" s="7">
        <v>5</v>
      </c>
      <c r="AF5947" s="8">
        <v>0.70833333333333337</v>
      </c>
      <c r="AG5947" s="9">
        <v>18.5</v>
      </c>
      <c r="AH5947" s="10">
        <f t="shared" si="107"/>
        <v>19</v>
      </c>
    </row>
    <row r="5948" spans="11:34" ht="14.5" x14ac:dyDescent="0.35">
      <c r="K5948" s="4"/>
      <c r="AC5948" s="7">
        <v>2022</v>
      </c>
      <c r="AD5948" s="7">
        <v>9</v>
      </c>
      <c r="AE5948" s="7">
        <v>5</v>
      </c>
      <c r="AF5948" s="8">
        <v>0.75</v>
      </c>
      <c r="AG5948" s="9">
        <v>17.8</v>
      </c>
      <c r="AH5948" s="10">
        <f t="shared" si="107"/>
        <v>18</v>
      </c>
    </row>
    <row r="5949" spans="11:34" ht="14.5" x14ac:dyDescent="0.35">
      <c r="K5949" s="4"/>
      <c r="AC5949" s="7">
        <v>2022</v>
      </c>
      <c r="AD5949" s="7">
        <v>9</v>
      </c>
      <c r="AE5949" s="7">
        <v>5</v>
      </c>
      <c r="AF5949" s="8">
        <v>0.79166666666666663</v>
      </c>
      <c r="AG5949" s="9">
        <v>16.100000000000001</v>
      </c>
      <c r="AH5949" s="10">
        <f t="shared" si="107"/>
        <v>16</v>
      </c>
    </row>
    <row r="5950" spans="11:34" ht="14.5" x14ac:dyDescent="0.35">
      <c r="K5950" s="4"/>
      <c r="AC5950" s="7">
        <v>2022</v>
      </c>
      <c r="AD5950" s="7">
        <v>9</v>
      </c>
      <c r="AE5950" s="7">
        <v>5</v>
      </c>
      <c r="AF5950" s="8">
        <v>0.83333333333333337</v>
      </c>
      <c r="AG5950" s="9">
        <v>14.3</v>
      </c>
      <c r="AH5950" s="10">
        <f t="shared" si="107"/>
        <v>14</v>
      </c>
    </row>
    <row r="5951" spans="11:34" ht="14.5" x14ac:dyDescent="0.35">
      <c r="K5951" s="4"/>
      <c r="AC5951" s="7">
        <v>2022</v>
      </c>
      <c r="AD5951" s="7">
        <v>9</v>
      </c>
      <c r="AE5951" s="7">
        <v>5</v>
      </c>
      <c r="AF5951" s="8">
        <v>0.875</v>
      </c>
      <c r="AG5951" s="9">
        <v>13.2</v>
      </c>
      <c r="AH5951" s="10">
        <f t="shared" si="107"/>
        <v>13</v>
      </c>
    </row>
    <row r="5952" spans="11:34" ht="14.5" x14ac:dyDescent="0.35">
      <c r="K5952" s="4"/>
      <c r="AC5952" s="7">
        <v>2022</v>
      </c>
      <c r="AD5952" s="7">
        <v>9</v>
      </c>
      <c r="AE5952" s="7">
        <v>5</v>
      </c>
      <c r="AF5952" s="8">
        <v>0.91666666666666663</v>
      </c>
      <c r="AG5952" s="9">
        <v>11.4</v>
      </c>
      <c r="AH5952" s="10">
        <f t="shared" si="107"/>
        <v>11</v>
      </c>
    </row>
    <row r="5953" spans="11:34" ht="14.5" x14ac:dyDescent="0.35">
      <c r="K5953" s="4"/>
      <c r="AC5953" s="7">
        <v>2022</v>
      </c>
      <c r="AD5953" s="7">
        <v>9</v>
      </c>
      <c r="AE5953" s="7">
        <v>5</v>
      </c>
      <c r="AF5953" s="8">
        <v>0.95833333333333337</v>
      </c>
      <c r="AG5953" s="9">
        <v>9.6999999999999993</v>
      </c>
      <c r="AH5953" s="10">
        <f t="shared" si="107"/>
        <v>10</v>
      </c>
    </row>
    <row r="5954" spans="11:34" ht="14.5" x14ac:dyDescent="0.35">
      <c r="K5954" s="4"/>
      <c r="AC5954" s="7">
        <v>2022</v>
      </c>
      <c r="AD5954" s="7">
        <v>9</v>
      </c>
      <c r="AE5954" s="7">
        <v>6</v>
      </c>
      <c r="AF5954" s="8">
        <v>0</v>
      </c>
      <c r="AG5954" s="9">
        <v>9.3000000000000007</v>
      </c>
      <c r="AH5954" s="10">
        <f t="shared" si="107"/>
        <v>9</v>
      </c>
    </row>
    <row r="5955" spans="11:34" ht="14.5" x14ac:dyDescent="0.35">
      <c r="K5955" s="4"/>
      <c r="AC5955" s="7">
        <v>2022</v>
      </c>
      <c r="AD5955" s="7">
        <v>9</v>
      </c>
      <c r="AE5955" s="7">
        <v>6</v>
      </c>
      <c r="AF5955" s="8">
        <v>4.1666666666666664E-2</v>
      </c>
      <c r="AG5955" s="9">
        <v>7.8</v>
      </c>
      <c r="AH5955" s="10">
        <f t="shared" si="107"/>
        <v>8</v>
      </c>
    </row>
    <row r="5956" spans="11:34" ht="14.5" x14ac:dyDescent="0.35">
      <c r="K5956" s="4"/>
      <c r="AC5956" s="7">
        <v>2022</v>
      </c>
      <c r="AD5956" s="7">
        <v>9</v>
      </c>
      <c r="AE5956" s="7">
        <v>6</v>
      </c>
      <c r="AF5956" s="8">
        <v>8.3333333333333329E-2</v>
      </c>
      <c r="AG5956" s="9">
        <v>7.2</v>
      </c>
      <c r="AH5956" s="10">
        <f t="shared" si="107"/>
        <v>7</v>
      </c>
    </row>
    <row r="5957" spans="11:34" ht="14.5" x14ac:dyDescent="0.35">
      <c r="K5957" s="4"/>
      <c r="AC5957" s="7">
        <v>2022</v>
      </c>
      <c r="AD5957" s="7">
        <v>9</v>
      </c>
      <c r="AE5957" s="7">
        <v>6</v>
      </c>
      <c r="AF5957" s="8">
        <v>0.125</v>
      </c>
      <c r="AG5957" s="9">
        <v>6.3</v>
      </c>
      <c r="AH5957" s="10">
        <f t="shared" si="107"/>
        <v>6</v>
      </c>
    </row>
    <row r="5958" spans="11:34" ht="14.5" x14ac:dyDescent="0.35">
      <c r="K5958" s="4"/>
      <c r="AC5958" s="7">
        <v>2022</v>
      </c>
      <c r="AD5958" s="7">
        <v>9</v>
      </c>
      <c r="AE5958" s="7">
        <v>6</v>
      </c>
      <c r="AF5958" s="8">
        <v>0.16666666666666666</v>
      </c>
      <c r="AG5958" s="9">
        <v>6.2</v>
      </c>
      <c r="AH5958" s="10">
        <f t="shared" si="107"/>
        <v>6</v>
      </c>
    </row>
    <row r="5959" spans="11:34" ht="14.5" x14ac:dyDescent="0.35">
      <c r="K5959" s="4"/>
      <c r="AC5959" s="7">
        <v>2022</v>
      </c>
      <c r="AD5959" s="7">
        <v>9</v>
      </c>
      <c r="AE5959" s="7">
        <v>6</v>
      </c>
      <c r="AF5959" s="8">
        <v>0.20833333333333334</v>
      </c>
      <c r="AG5959" s="9">
        <v>4.7</v>
      </c>
      <c r="AH5959" s="10">
        <f t="shared" si="107"/>
        <v>5</v>
      </c>
    </row>
    <row r="5960" spans="11:34" ht="14.5" x14ac:dyDescent="0.35">
      <c r="K5960" s="4"/>
      <c r="AC5960" s="7">
        <v>2022</v>
      </c>
      <c r="AD5960" s="7">
        <v>9</v>
      </c>
      <c r="AE5960" s="7">
        <v>6</v>
      </c>
      <c r="AF5960" s="8">
        <v>0.25</v>
      </c>
      <c r="AG5960" s="9">
        <v>4.5</v>
      </c>
      <c r="AH5960" s="10">
        <f t="shared" si="107"/>
        <v>5</v>
      </c>
    </row>
    <row r="5961" spans="11:34" ht="14.5" x14ac:dyDescent="0.35">
      <c r="K5961" s="4"/>
      <c r="AC5961" s="7">
        <v>2022</v>
      </c>
      <c r="AD5961" s="7">
        <v>9</v>
      </c>
      <c r="AE5961" s="7">
        <v>6</v>
      </c>
      <c r="AF5961" s="8">
        <v>0.29166666666666669</v>
      </c>
      <c r="AG5961" s="9">
        <v>6.9</v>
      </c>
      <c r="AH5961" s="10">
        <f t="shared" si="107"/>
        <v>7</v>
      </c>
    </row>
    <row r="5962" spans="11:34" ht="14.5" x14ac:dyDescent="0.35">
      <c r="K5962" s="4"/>
      <c r="AC5962" s="7">
        <v>2022</v>
      </c>
      <c r="AD5962" s="7">
        <v>9</v>
      </c>
      <c r="AE5962" s="7">
        <v>6</v>
      </c>
      <c r="AF5962" s="8">
        <v>0.33333333333333331</v>
      </c>
      <c r="AG5962" s="9">
        <v>12.3</v>
      </c>
      <c r="AH5962" s="10">
        <f t="shared" si="107"/>
        <v>12</v>
      </c>
    </row>
    <row r="5963" spans="11:34" ht="14.5" x14ac:dyDescent="0.35">
      <c r="K5963" s="4"/>
      <c r="AC5963" s="7">
        <v>2022</v>
      </c>
      <c r="AD5963" s="7">
        <v>9</v>
      </c>
      <c r="AE5963" s="7">
        <v>6</v>
      </c>
      <c r="AF5963" s="8">
        <v>0.375</v>
      </c>
      <c r="AG5963" s="9">
        <v>13.8</v>
      </c>
      <c r="AH5963" s="10">
        <f t="shared" ref="AH5963:AH6026" si="108">ROUND(AG5963,0)</f>
        <v>14</v>
      </c>
    </row>
    <row r="5964" spans="11:34" ht="14.5" x14ac:dyDescent="0.35">
      <c r="K5964" s="4"/>
      <c r="AC5964" s="7">
        <v>2022</v>
      </c>
      <c r="AD5964" s="7">
        <v>9</v>
      </c>
      <c r="AE5964" s="7">
        <v>6</v>
      </c>
      <c r="AF5964" s="8">
        <v>0.41666666666666669</v>
      </c>
      <c r="AG5964" s="9">
        <v>15.7</v>
      </c>
      <c r="AH5964" s="10">
        <f t="shared" si="108"/>
        <v>16</v>
      </c>
    </row>
    <row r="5965" spans="11:34" ht="14.5" x14ac:dyDescent="0.35">
      <c r="K5965" s="4"/>
      <c r="AC5965" s="7">
        <v>2022</v>
      </c>
      <c r="AD5965" s="7">
        <v>9</v>
      </c>
      <c r="AE5965" s="7">
        <v>6</v>
      </c>
      <c r="AF5965" s="8">
        <v>0.45833333333333331</v>
      </c>
      <c r="AG5965" s="9">
        <v>17</v>
      </c>
      <c r="AH5965" s="10">
        <f t="shared" si="108"/>
        <v>17</v>
      </c>
    </row>
    <row r="5966" spans="11:34" ht="14.5" x14ac:dyDescent="0.35">
      <c r="K5966" s="4"/>
      <c r="AC5966" s="7">
        <v>2022</v>
      </c>
      <c r="AD5966" s="7">
        <v>9</v>
      </c>
      <c r="AE5966" s="7">
        <v>6</v>
      </c>
      <c r="AF5966" s="8">
        <v>0.5</v>
      </c>
      <c r="AG5966" s="9">
        <v>19.100000000000001</v>
      </c>
      <c r="AH5966" s="10">
        <f t="shared" si="108"/>
        <v>19</v>
      </c>
    </row>
    <row r="5967" spans="11:34" ht="14.5" x14ac:dyDescent="0.35">
      <c r="K5967" s="4"/>
      <c r="AC5967" s="7">
        <v>2022</v>
      </c>
      <c r="AD5967" s="7">
        <v>9</v>
      </c>
      <c r="AE5967" s="7">
        <v>6</v>
      </c>
      <c r="AF5967" s="8">
        <v>0.54166666666666663</v>
      </c>
      <c r="AG5967" s="9">
        <v>20.100000000000001</v>
      </c>
      <c r="AH5967" s="10">
        <f t="shared" si="108"/>
        <v>20</v>
      </c>
    </row>
    <row r="5968" spans="11:34" ht="14.5" x14ac:dyDescent="0.35">
      <c r="K5968" s="4"/>
      <c r="AC5968" s="7">
        <v>2022</v>
      </c>
      <c r="AD5968" s="7">
        <v>9</v>
      </c>
      <c r="AE5968" s="7">
        <v>6</v>
      </c>
      <c r="AF5968" s="8">
        <v>0.58333333333333337</v>
      </c>
      <c r="AG5968" s="9">
        <v>21</v>
      </c>
      <c r="AH5968" s="10">
        <f t="shared" si="108"/>
        <v>21</v>
      </c>
    </row>
    <row r="5969" spans="11:34" ht="14.5" x14ac:dyDescent="0.35">
      <c r="K5969" s="4"/>
      <c r="AC5969" s="7">
        <v>2022</v>
      </c>
      <c r="AD5969" s="7">
        <v>9</v>
      </c>
      <c r="AE5969" s="7">
        <v>6</v>
      </c>
      <c r="AF5969" s="8">
        <v>0.625</v>
      </c>
      <c r="AG5969" s="9">
        <v>21.9</v>
      </c>
      <c r="AH5969" s="10">
        <f t="shared" si="108"/>
        <v>22</v>
      </c>
    </row>
    <row r="5970" spans="11:34" ht="14.5" x14ac:dyDescent="0.35">
      <c r="K5970" s="4"/>
      <c r="AC5970" s="7">
        <v>2022</v>
      </c>
      <c r="AD5970" s="7">
        <v>9</v>
      </c>
      <c r="AE5970" s="7">
        <v>6</v>
      </c>
      <c r="AF5970" s="8">
        <v>0.66666666666666663</v>
      </c>
      <c r="AG5970" s="9">
        <v>22.4</v>
      </c>
      <c r="AH5970" s="10">
        <f t="shared" si="108"/>
        <v>22</v>
      </c>
    </row>
    <row r="5971" spans="11:34" ht="14.5" x14ac:dyDescent="0.35">
      <c r="K5971" s="4"/>
      <c r="AC5971" s="7">
        <v>2022</v>
      </c>
      <c r="AD5971" s="7">
        <v>9</v>
      </c>
      <c r="AE5971" s="7">
        <v>6</v>
      </c>
      <c r="AF5971" s="8">
        <v>0.70833333333333337</v>
      </c>
      <c r="AG5971" s="9">
        <v>22.3</v>
      </c>
      <c r="AH5971" s="10">
        <f t="shared" si="108"/>
        <v>22</v>
      </c>
    </row>
    <row r="5972" spans="11:34" ht="14.5" x14ac:dyDescent="0.35">
      <c r="K5972" s="4"/>
      <c r="AC5972" s="7">
        <v>2022</v>
      </c>
      <c r="AD5972" s="7">
        <v>9</v>
      </c>
      <c r="AE5972" s="7">
        <v>6</v>
      </c>
      <c r="AF5972" s="8">
        <v>0.75</v>
      </c>
      <c r="AG5972" s="9">
        <v>21.4</v>
      </c>
      <c r="AH5972" s="10">
        <f t="shared" si="108"/>
        <v>21</v>
      </c>
    </row>
    <row r="5973" spans="11:34" ht="14.5" x14ac:dyDescent="0.35">
      <c r="K5973" s="4"/>
      <c r="AC5973" s="7">
        <v>2022</v>
      </c>
      <c r="AD5973" s="7">
        <v>9</v>
      </c>
      <c r="AE5973" s="7">
        <v>6</v>
      </c>
      <c r="AF5973" s="8">
        <v>0.79166666666666663</v>
      </c>
      <c r="AG5973" s="9">
        <v>19.7</v>
      </c>
      <c r="AH5973" s="10">
        <f t="shared" si="108"/>
        <v>20</v>
      </c>
    </row>
    <row r="5974" spans="11:34" ht="14.5" x14ac:dyDescent="0.35">
      <c r="K5974" s="4"/>
      <c r="AC5974" s="7">
        <v>2022</v>
      </c>
      <c r="AD5974" s="7">
        <v>9</v>
      </c>
      <c r="AE5974" s="7">
        <v>6</v>
      </c>
      <c r="AF5974" s="8">
        <v>0.83333333333333337</v>
      </c>
      <c r="AG5974" s="9">
        <v>17.3</v>
      </c>
      <c r="AH5974" s="10">
        <f t="shared" si="108"/>
        <v>17</v>
      </c>
    </row>
    <row r="5975" spans="11:34" ht="14.5" x14ac:dyDescent="0.35">
      <c r="K5975" s="4"/>
      <c r="AC5975" s="7">
        <v>2022</v>
      </c>
      <c r="AD5975" s="7">
        <v>9</v>
      </c>
      <c r="AE5975" s="7">
        <v>6</v>
      </c>
      <c r="AF5975" s="8">
        <v>0.875</v>
      </c>
      <c r="AG5975" s="9">
        <v>15.6</v>
      </c>
      <c r="AH5975" s="10">
        <f t="shared" si="108"/>
        <v>16</v>
      </c>
    </row>
    <row r="5976" spans="11:34" ht="14.5" x14ac:dyDescent="0.35">
      <c r="K5976" s="4"/>
      <c r="AC5976" s="7">
        <v>2022</v>
      </c>
      <c r="AD5976" s="7">
        <v>9</v>
      </c>
      <c r="AE5976" s="7">
        <v>6</v>
      </c>
      <c r="AF5976" s="8">
        <v>0.91666666666666663</v>
      </c>
      <c r="AG5976" s="9">
        <v>14.3</v>
      </c>
      <c r="AH5976" s="10">
        <f t="shared" si="108"/>
        <v>14</v>
      </c>
    </row>
    <row r="5977" spans="11:34" ht="14.5" x14ac:dyDescent="0.35">
      <c r="K5977" s="4"/>
      <c r="AC5977" s="7">
        <v>2022</v>
      </c>
      <c r="AD5977" s="7">
        <v>9</v>
      </c>
      <c r="AE5977" s="7">
        <v>6</v>
      </c>
      <c r="AF5977" s="8">
        <v>0.95833333333333337</v>
      </c>
      <c r="AG5977" s="9">
        <v>13.3</v>
      </c>
      <c r="AH5977" s="10">
        <f t="shared" si="108"/>
        <v>13</v>
      </c>
    </row>
    <row r="5978" spans="11:34" ht="14.5" x14ac:dyDescent="0.35">
      <c r="K5978" s="4"/>
      <c r="AC5978" s="7">
        <v>2022</v>
      </c>
      <c r="AD5978" s="7">
        <v>9</v>
      </c>
      <c r="AE5978" s="7">
        <v>7</v>
      </c>
      <c r="AF5978" s="8">
        <v>0</v>
      </c>
      <c r="AG5978" s="9">
        <v>12.8</v>
      </c>
      <c r="AH5978" s="10">
        <f t="shared" si="108"/>
        <v>13</v>
      </c>
    </row>
    <row r="5979" spans="11:34" ht="14.5" x14ac:dyDescent="0.35">
      <c r="K5979" s="4"/>
      <c r="AC5979" s="7">
        <v>2022</v>
      </c>
      <c r="AD5979" s="7">
        <v>9</v>
      </c>
      <c r="AE5979" s="7">
        <v>7</v>
      </c>
      <c r="AF5979" s="8">
        <v>4.1666666666666664E-2</v>
      </c>
      <c r="AG5979" s="9">
        <v>12.9</v>
      </c>
      <c r="AH5979" s="10">
        <f t="shared" si="108"/>
        <v>13</v>
      </c>
    </row>
    <row r="5980" spans="11:34" ht="14.5" x14ac:dyDescent="0.35">
      <c r="K5980" s="4"/>
      <c r="AC5980" s="7">
        <v>2022</v>
      </c>
      <c r="AD5980" s="7">
        <v>9</v>
      </c>
      <c r="AE5980" s="7">
        <v>7</v>
      </c>
      <c r="AF5980" s="8">
        <v>8.3333333333333329E-2</v>
      </c>
      <c r="AG5980" s="9">
        <v>10.4</v>
      </c>
      <c r="AH5980" s="10">
        <f t="shared" si="108"/>
        <v>10</v>
      </c>
    </row>
    <row r="5981" spans="11:34" ht="14.5" x14ac:dyDescent="0.35">
      <c r="K5981" s="4"/>
      <c r="AC5981" s="7">
        <v>2022</v>
      </c>
      <c r="AD5981" s="7">
        <v>9</v>
      </c>
      <c r="AE5981" s="7">
        <v>7</v>
      </c>
      <c r="AF5981" s="8">
        <v>0.125</v>
      </c>
      <c r="AG5981" s="9">
        <v>10</v>
      </c>
      <c r="AH5981" s="10">
        <f t="shared" si="108"/>
        <v>10</v>
      </c>
    </row>
    <row r="5982" spans="11:34" ht="14.5" x14ac:dyDescent="0.35">
      <c r="K5982" s="4"/>
      <c r="AC5982" s="7">
        <v>2022</v>
      </c>
      <c r="AD5982" s="7">
        <v>9</v>
      </c>
      <c r="AE5982" s="7">
        <v>7</v>
      </c>
      <c r="AF5982" s="8">
        <v>0.16666666666666666</v>
      </c>
      <c r="AG5982" s="9">
        <v>9.1999999999999993</v>
      </c>
      <c r="AH5982" s="10">
        <f t="shared" si="108"/>
        <v>9</v>
      </c>
    </row>
    <row r="5983" spans="11:34" ht="14.5" x14ac:dyDescent="0.35">
      <c r="K5983" s="4"/>
      <c r="AC5983" s="7">
        <v>2022</v>
      </c>
      <c r="AD5983" s="7">
        <v>9</v>
      </c>
      <c r="AE5983" s="7">
        <v>7</v>
      </c>
      <c r="AF5983" s="8">
        <v>0.20833333333333334</v>
      </c>
      <c r="AG5983" s="9">
        <v>9.3000000000000007</v>
      </c>
      <c r="AH5983" s="10">
        <f t="shared" si="108"/>
        <v>9</v>
      </c>
    </row>
    <row r="5984" spans="11:34" ht="14.5" x14ac:dyDescent="0.35">
      <c r="K5984" s="4"/>
      <c r="AC5984" s="7">
        <v>2022</v>
      </c>
      <c r="AD5984" s="7">
        <v>9</v>
      </c>
      <c r="AE5984" s="7">
        <v>7</v>
      </c>
      <c r="AF5984" s="8">
        <v>0.25</v>
      </c>
      <c r="AG5984" s="9">
        <v>8.9</v>
      </c>
      <c r="AH5984" s="10">
        <f t="shared" si="108"/>
        <v>9</v>
      </c>
    </row>
    <row r="5985" spans="11:34" ht="14.5" x14ac:dyDescent="0.35">
      <c r="K5985" s="4"/>
      <c r="AC5985" s="7">
        <v>2022</v>
      </c>
      <c r="AD5985" s="7">
        <v>9</v>
      </c>
      <c r="AE5985" s="7">
        <v>7</v>
      </c>
      <c r="AF5985" s="8">
        <v>0.29166666666666669</v>
      </c>
      <c r="AG5985" s="9">
        <v>10.8</v>
      </c>
      <c r="AH5985" s="10">
        <f t="shared" si="108"/>
        <v>11</v>
      </c>
    </row>
    <row r="5986" spans="11:34" ht="14.5" x14ac:dyDescent="0.35">
      <c r="K5986" s="4"/>
      <c r="AC5986" s="7">
        <v>2022</v>
      </c>
      <c r="AD5986" s="7">
        <v>9</v>
      </c>
      <c r="AE5986" s="7">
        <v>7</v>
      </c>
      <c r="AF5986" s="8">
        <v>0.33333333333333331</v>
      </c>
      <c r="AG5986" s="9">
        <v>15.1</v>
      </c>
      <c r="AH5986" s="10">
        <f t="shared" si="108"/>
        <v>15</v>
      </c>
    </row>
    <row r="5987" spans="11:34" ht="14.5" x14ac:dyDescent="0.35">
      <c r="K5987" s="4"/>
      <c r="AC5987" s="7">
        <v>2022</v>
      </c>
      <c r="AD5987" s="7">
        <v>9</v>
      </c>
      <c r="AE5987" s="7">
        <v>7</v>
      </c>
      <c r="AF5987" s="8">
        <v>0.375</v>
      </c>
      <c r="AG5987" s="9">
        <v>19.100000000000001</v>
      </c>
      <c r="AH5987" s="10">
        <f t="shared" si="108"/>
        <v>19</v>
      </c>
    </row>
    <row r="5988" spans="11:34" ht="14.5" x14ac:dyDescent="0.35">
      <c r="K5988" s="4"/>
      <c r="AC5988" s="7">
        <v>2022</v>
      </c>
      <c r="AD5988" s="7">
        <v>9</v>
      </c>
      <c r="AE5988" s="7">
        <v>7</v>
      </c>
      <c r="AF5988" s="8">
        <v>0.41666666666666669</v>
      </c>
      <c r="AG5988" s="9">
        <v>21.7</v>
      </c>
      <c r="AH5988" s="10">
        <f t="shared" si="108"/>
        <v>22</v>
      </c>
    </row>
    <row r="5989" spans="11:34" ht="14.5" x14ac:dyDescent="0.35">
      <c r="K5989" s="4"/>
      <c r="AC5989" s="7">
        <v>2022</v>
      </c>
      <c r="AD5989" s="7">
        <v>9</v>
      </c>
      <c r="AE5989" s="7">
        <v>7</v>
      </c>
      <c r="AF5989" s="8">
        <v>0.45833333333333331</v>
      </c>
      <c r="AG5989" s="9">
        <v>23.1</v>
      </c>
      <c r="AH5989" s="10">
        <f t="shared" si="108"/>
        <v>23</v>
      </c>
    </row>
    <row r="5990" spans="11:34" ht="14.5" x14ac:dyDescent="0.35">
      <c r="K5990" s="4"/>
      <c r="AC5990" s="7">
        <v>2022</v>
      </c>
      <c r="AD5990" s="7">
        <v>9</v>
      </c>
      <c r="AE5990" s="7">
        <v>7</v>
      </c>
      <c r="AF5990" s="8">
        <v>0.5</v>
      </c>
      <c r="AG5990" s="9">
        <v>25.5</v>
      </c>
      <c r="AH5990" s="10">
        <f t="shared" si="108"/>
        <v>26</v>
      </c>
    </row>
    <row r="5991" spans="11:34" ht="14.5" x14ac:dyDescent="0.35">
      <c r="K5991" s="4"/>
      <c r="AC5991" s="7">
        <v>2022</v>
      </c>
      <c r="AD5991" s="7">
        <v>9</v>
      </c>
      <c r="AE5991" s="7">
        <v>7</v>
      </c>
      <c r="AF5991" s="8">
        <v>0.54166666666666663</v>
      </c>
      <c r="AG5991" s="9">
        <v>27.3</v>
      </c>
      <c r="AH5991" s="10">
        <f t="shared" si="108"/>
        <v>27</v>
      </c>
    </row>
    <row r="5992" spans="11:34" ht="14.5" x14ac:dyDescent="0.35">
      <c r="K5992" s="4"/>
      <c r="AC5992" s="7">
        <v>2022</v>
      </c>
      <c r="AD5992" s="7">
        <v>9</v>
      </c>
      <c r="AE5992" s="7">
        <v>7</v>
      </c>
      <c r="AF5992" s="8">
        <v>0.58333333333333337</v>
      </c>
      <c r="AG5992" s="9">
        <v>23.7</v>
      </c>
      <c r="AH5992" s="10">
        <f t="shared" si="108"/>
        <v>24</v>
      </c>
    </row>
    <row r="5993" spans="11:34" ht="14.5" x14ac:dyDescent="0.35">
      <c r="K5993" s="4"/>
      <c r="AC5993" s="7">
        <v>2022</v>
      </c>
      <c r="AD5993" s="7">
        <v>9</v>
      </c>
      <c r="AE5993" s="7">
        <v>7</v>
      </c>
      <c r="AF5993" s="8">
        <v>0.625</v>
      </c>
      <c r="AG5993" s="9">
        <v>24.2</v>
      </c>
      <c r="AH5993" s="10">
        <f t="shared" si="108"/>
        <v>24</v>
      </c>
    </row>
    <row r="5994" spans="11:34" ht="14.5" x14ac:dyDescent="0.35">
      <c r="K5994" s="4"/>
      <c r="AC5994" s="7">
        <v>2022</v>
      </c>
      <c r="AD5994" s="7">
        <v>9</v>
      </c>
      <c r="AE5994" s="7">
        <v>7</v>
      </c>
      <c r="AF5994" s="8">
        <v>0.66666666666666663</v>
      </c>
      <c r="AG5994" s="9">
        <v>23.7</v>
      </c>
      <c r="AH5994" s="10">
        <f t="shared" si="108"/>
        <v>24</v>
      </c>
    </row>
    <row r="5995" spans="11:34" ht="14.5" x14ac:dyDescent="0.35">
      <c r="K5995" s="4"/>
      <c r="AC5995" s="7">
        <v>2022</v>
      </c>
      <c r="AD5995" s="7">
        <v>9</v>
      </c>
      <c r="AE5995" s="7">
        <v>7</v>
      </c>
      <c r="AF5995" s="8">
        <v>0.70833333333333337</v>
      </c>
      <c r="AG5995" s="9">
        <v>21.2</v>
      </c>
      <c r="AH5995" s="10">
        <f t="shared" si="108"/>
        <v>21</v>
      </c>
    </row>
    <row r="5996" spans="11:34" ht="14.5" x14ac:dyDescent="0.35">
      <c r="K5996" s="4"/>
      <c r="AC5996" s="7">
        <v>2022</v>
      </c>
      <c r="AD5996" s="7">
        <v>9</v>
      </c>
      <c r="AE5996" s="7">
        <v>7</v>
      </c>
      <c r="AF5996" s="8">
        <v>0.75</v>
      </c>
      <c r="AG5996" s="9">
        <v>19.100000000000001</v>
      </c>
      <c r="AH5996" s="10">
        <f t="shared" si="108"/>
        <v>19</v>
      </c>
    </row>
    <row r="5997" spans="11:34" ht="14.5" x14ac:dyDescent="0.35">
      <c r="K5997" s="4"/>
      <c r="AC5997" s="7">
        <v>2022</v>
      </c>
      <c r="AD5997" s="7">
        <v>9</v>
      </c>
      <c r="AE5997" s="7">
        <v>7</v>
      </c>
      <c r="AF5997" s="8">
        <v>0.79166666666666663</v>
      </c>
      <c r="AG5997" s="9">
        <v>16.7</v>
      </c>
      <c r="AH5997" s="10">
        <f t="shared" si="108"/>
        <v>17</v>
      </c>
    </row>
    <row r="5998" spans="11:34" ht="14.5" x14ac:dyDescent="0.35">
      <c r="K5998" s="4"/>
      <c r="AC5998" s="7">
        <v>2022</v>
      </c>
      <c r="AD5998" s="7">
        <v>9</v>
      </c>
      <c r="AE5998" s="7">
        <v>7</v>
      </c>
      <c r="AF5998" s="8">
        <v>0.83333333333333337</v>
      </c>
      <c r="AG5998" s="9">
        <v>14.7</v>
      </c>
      <c r="AH5998" s="10">
        <f t="shared" si="108"/>
        <v>15</v>
      </c>
    </row>
    <row r="5999" spans="11:34" ht="14.5" x14ac:dyDescent="0.35">
      <c r="K5999" s="4"/>
      <c r="AC5999" s="7">
        <v>2022</v>
      </c>
      <c r="AD5999" s="7">
        <v>9</v>
      </c>
      <c r="AE5999" s="7">
        <v>7</v>
      </c>
      <c r="AF5999" s="8">
        <v>0.875</v>
      </c>
      <c r="AG5999" s="9">
        <v>13.6</v>
      </c>
      <c r="AH5999" s="10">
        <f t="shared" si="108"/>
        <v>14</v>
      </c>
    </row>
    <row r="6000" spans="11:34" ht="14.5" x14ac:dyDescent="0.35">
      <c r="K6000" s="4"/>
      <c r="AC6000" s="7">
        <v>2022</v>
      </c>
      <c r="AD6000" s="7">
        <v>9</v>
      </c>
      <c r="AE6000" s="7">
        <v>7</v>
      </c>
      <c r="AF6000" s="8">
        <v>0.91666666666666663</v>
      </c>
      <c r="AG6000" s="9">
        <v>12.8</v>
      </c>
      <c r="AH6000" s="10">
        <f t="shared" si="108"/>
        <v>13</v>
      </c>
    </row>
    <row r="6001" spans="11:34" ht="14.5" x14ac:dyDescent="0.35">
      <c r="K6001" s="4"/>
      <c r="AC6001" s="7">
        <v>2022</v>
      </c>
      <c r="AD6001" s="7">
        <v>9</v>
      </c>
      <c r="AE6001" s="7">
        <v>7</v>
      </c>
      <c r="AF6001" s="8">
        <v>0.95833333333333337</v>
      </c>
      <c r="AG6001" s="9">
        <v>9.6</v>
      </c>
      <c r="AH6001" s="10">
        <f t="shared" si="108"/>
        <v>10</v>
      </c>
    </row>
    <row r="6002" spans="11:34" ht="14.5" x14ac:dyDescent="0.35">
      <c r="K6002" s="4"/>
      <c r="AC6002" s="7">
        <v>2022</v>
      </c>
      <c r="AD6002" s="7">
        <v>9</v>
      </c>
      <c r="AE6002" s="7">
        <v>8</v>
      </c>
      <c r="AF6002" s="8">
        <v>0</v>
      </c>
      <c r="AG6002" s="9">
        <v>8.6</v>
      </c>
      <c r="AH6002" s="10">
        <f t="shared" si="108"/>
        <v>9</v>
      </c>
    </row>
    <row r="6003" spans="11:34" ht="14.5" x14ac:dyDescent="0.35">
      <c r="K6003" s="4"/>
      <c r="AC6003" s="7">
        <v>2022</v>
      </c>
      <c r="AD6003" s="7">
        <v>9</v>
      </c>
      <c r="AE6003" s="7">
        <v>8</v>
      </c>
      <c r="AF6003" s="8">
        <v>4.1666666666666664E-2</v>
      </c>
      <c r="AG6003" s="9">
        <v>9.3000000000000007</v>
      </c>
      <c r="AH6003" s="10">
        <f t="shared" si="108"/>
        <v>9</v>
      </c>
    </row>
    <row r="6004" spans="11:34" ht="14.5" x14ac:dyDescent="0.35">
      <c r="K6004" s="4"/>
      <c r="AC6004" s="7">
        <v>2022</v>
      </c>
      <c r="AD6004" s="7">
        <v>9</v>
      </c>
      <c r="AE6004" s="7">
        <v>8</v>
      </c>
      <c r="AF6004" s="8">
        <v>8.3333333333333329E-2</v>
      </c>
      <c r="AG6004" s="9">
        <v>9.8000000000000007</v>
      </c>
      <c r="AH6004" s="10">
        <f t="shared" si="108"/>
        <v>10</v>
      </c>
    </row>
    <row r="6005" spans="11:34" ht="14.5" x14ac:dyDescent="0.35">
      <c r="K6005" s="4"/>
      <c r="AC6005" s="7">
        <v>2022</v>
      </c>
      <c r="AD6005" s="7">
        <v>9</v>
      </c>
      <c r="AE6005" s="7">
        <v>8</v>
      </c>
      <c r="AF6005" s="8">
        <v>0.125</v>
      </c>
      <c r="AG6005" s="9">
        <v>12</v>
      </c>
      <c r="AH6005" s="10">
        <f t="shared" si="108"/>
        <v>12</v>
      </c>
    </row>
    <row r="6006" spans="11:34" ht="14.5" x14ac:dyDescent="0.35">
      <c r="K6006" s="4"/>
      <c r="AC6006" s="7">
        <v>2022</v>
      </c>
      <c r="AD6006" s="7">
        <v>9</v>
      </c>
      <c r="AE6006" s="7">
        <v>8</v>
      </c>
      <c r="AF6006" s="8">
        <v>0.16666666666666666</v>
      </c>
      <c r="AG6006" s="9">
        <v>10.8</v>
      </c>
      <c r="AH6006" s="10">
        <f t="shared" si="108"/>
        <v>11</v>
      </c>
    </row>
    <row r="6007" spans="11:34" ht="14.5" x14ac:dyDescent="0.35">
      <c r="K6007" s="4"/>
      <c r="AC6007" s="7">
        <v>2022</v>
      </c>
      <c r="AD6007" s="7">
        <v>9</v>
      </c>
      <c r="AE6007" s="7">
        <v>8</v>
      </c>
      <c r="AF6007" s="8">
        <v>0.20833333333333334</v>
      </c>
      <c r="AG6007" s="9">
        <v>10.4</v>
      </c>
      <c r="AH6007" s="10">
        <f t="shared" si="108"/>
        <v>10</v>
      </c>
    </row>
    <row r="6008" spans="11:34" ht="14.5" x14ac:dyDescent="0.35">
      <c r="K6008" s="4"/>
      <c r="AC6008" s="7">
        <v>2022</v>
      </c>
      <c r="AD6008" s="7">
        <v>9</v>
      </c>
      <c r="AE6008" s="7">
        <v>8</v>
      </c>
      <c r="AF6008" s="8">
        <v>0.25</v>
      </c>
      <c r="AG6008" s="9">
        <v>9.6999999999999993</v>
      </c>
      <c r="AH6008" s="10">
        <f t="shared" si="108"/>
        <v>10</v>
      </c>
    </row>
    <row r="6009" spans="11:34" ht="14.5" x14ac:dyDescent="0.35">
      <c r="K6009" s="4"/>
      <c r="AC6009" s="7">
        <v>2022</v>
      </c>
      <c r="AD6009" s="7">
        <v>9</v>
      </c>
      <c r="AE6009" s="7">
        <v>8</v>
      </c>
      <c r="AF6009" s="8">
        <v>0.29166666666666669</v>
      </c>
      <c r="AG6009" s="9">
        <v>9.8000000000000007</v>
      </c>
      <c r="AH6009" s="10">
        <f t="shared" si="108"/>
        <v>10</v>
      </c>
    </row>
    <row r="6010" spans="11:34" ht="14.5" x14ac:dyDescent="0.35">
      <c r="K6010" s="4"/>
      <c r="AC6010" s="7">
        <v>2022</v>
      </c>
      <c r="AD6010" s="7">
        <v>9</v>
      </c>
      <c r="AE6010" s="7">
        <v>8</v>
      </c>
      <c r="AF6010" s="8">
        <v>0.33333333333333331</v>
      </c>
      <c r="AG6010" s="9">
        <v>10.5</v>
      </c>
      <c r="AH6010" s="10">
        <f t="shared" si="108"/>
        <v>11</v>
      </c>
    </row>
    <row r="6011" spans="11:34" ht="14.5" x14ac:dyDescent="0.35">
      <c r="K6011" s="4"/>
      <c r="AC6011" s="7">
        <v>2022</v>
      </c>
      <c r="AD6011" s="7">
        <v>9</v>
      </c>
      <c r="AE6011" s="7">
        <v>8</v>
      </c>
      <c r="AF6011" s="8">
        <v>0.375</v>
      </c>
      <c r="AG6011" s="9">
        <v>11.1</v>
      </c>
      <c r="AH6011" s="10">
        <f t="shared" si="108"/>
        <v>11</v>
      </c>
    </row>
    <row r="6012" spans="11:34" ht="14.5" x14ac:dyDescent="0.35">
      <c r="K6012" s="4"/>
      <c r="AC6012" s="7">
        <v>2022</v>
      </c>
      <c r="AD6012" s="7">
        <v>9</v>
      </c>
      <c r="AE6012" s="7">
        <v>8</v>
      </c>
      <c r="AF6012" s="8">
        <v>0.41666666666666669</v>
      </c>
      <c r="AG6012" s="9">
        <v>11.8</v>
      </c>
      <c r="AH6012" s="10">
        <f t="shared" si="108"/>
        <v>12</v>
      </c>
    </row>
    <row r="6013" spans="11:34" ht="14.5" x14ac:dyDescent="0.35">
      <c r="K6013" s="4"/>
      <c r="AC6013" s="7">
        <v>2022</v>
      </c>
      <c r="AD6013" s="7">
        <v>9</v>
      </c>
      <c r="AE6013" s="7">
        <v>8</v>
      </c>
      <c r="AF6013" s="8">
        <v>0.45833333333333331</v>
      </c>
      <c r="AG6013" s="9">
        <v>12.7</v>
      </c>
      <c r="AH6013" s="10">
        <f t="shared" si="108"/>
        <v>13</v>
      </c>
    </row>
    <row r="6014" spans="11:34" ht="14.5" x14ac:dyDescent="0.35">
      <c r="K6014" s="4"/>
      <c r="AC6014" s="7">
        <v>2022</v>
      </c>
      <c r="AD6014" s="7">
        <v>9</v>
      </c>
      <c r="AE6014" s="7">
        <v>8</v>
      </c>
      <c r="AF6014" s="8">
        <v>0.5</v>
      </c>
      <c r="AG6014" s="9">
        <v>13.1</v>
      </c>
      <c r="AH6014" s="10">
        <f t="shared" si="108"/>
        <v>13</v>
      </c>
    </row>
    <row r="6015" spans="11:34" ht="14.5" x14ac:dyDescent="0.35">
      <c r="K6015" s="4"/>
      <c r="AC6015" s="7">
        <v>2022</v>
      </c>
      <c r="AD6015" s="7">
        <v>9</v>
      </c>
      <c r="AE6015" s="7">
        <v>8</v>
      </c>
      <c r="AF6015" s="8">
        <v>0.54166666666666663</v>
      </c>
      <c r="AG6015" s="9">
        <v>14</v>
      </c>
      <c r="AH6015" s="10">
        <f t="shared" si="108"/>
        <v>14</v>
      </c>
    </row>
    <row r="6016" spans="11:34" ht="14.5" x14ac:dyDescent="0.35">
      <c r="K6016" s="4"/>
      <c r="AC6016" s="7">
        <v>2022</v>
      </c>
      <c r="AD6016" s="7">
        <v>9</v>
      </c>
      <c r="AE6016" s="7">
        <v>8</v>
      </c>
      <c r="AF6016" s="8">
        <v>0.58333333333333337</v>
      </c>
      <c r="AG6016" s="9">
        <v>13.9</v>
      </c>
      <c r="AH6016" s="10">
        <f t="shared" si="108"/>
        <v>14</v>
      </c>
    </row>
    <row r="6017" spans="11:34" ht="14.5" x14ac:dyDescent="0.35">
      <c r="K6017" s="4"/>
      <c r="AC6017" s="7">
        <v>2022</v>
      </c>
      <c r="AD6017" s="7">
        <v>9</v>
      </c>
      <c r="AE6017" s="7">
        <v>8</v>
      </c>
      <c r="AF6017" s="8">
        <v>0.625</v>
      </c>
      <c r="AG6017" s="9">
        <v>14.4</v>
      </c>
      <c r="AH6017" s="10">
        <f t="shared" si="108"/>
        <v>14</v>
      </c>
    </row>
    <row r="6018" spans="11:34" ht="14.5" x14ac:dyDescent="0.35">
      <c r="K6018" s="4"/>
      <c r="AC6018" s="7">
        <v>2022</v>
      </c>
      <c r="AD6018" s="7">
        <v>9</v>
      </c>
      <c r="AE6018" s="7">
        <v>8</v>
      </c>
      <c r="AF6018" s="8">
        <v>0.66666666666666663</v>
      </c>
      <c r="AG6018" s="9">
        <v>12.8</v>
      </c>
      <c r="AH6018" s="10">
        <f t="shared" si="108"/>
        <v>13</v>
      </c>
    </row>
    <row r="6019" spans="11:34" ht="14.5" x14ac:dyDescent="0.35">
      <c r="K6019" s="4"/>
      <c r="AC6019" s="7">
        <v>2022</v>
      </c>
      <c r="AD6019" s="7">
        <v>9</v>
      </c>
      <c r="AE6019" s="7">
        <v>8</v>
      </c>
      <c r="AF6019" s="8">
        <v>0.70833333333333337</v>
      </c>
      <c r="AG6019" s="9">
        <v>14.6</v>
      </c>
      <c r="AH6019" s="10">
        <f t="shared" si="108"/>
        <v>15</v>
      </c>
    </row>
    <row r="6020" spans="11:34" ht="14.5" x14ac:dyDescent="0.35">
      <c r="K6020" s="4"/>
      <c r="AC6020" s="7">
        <v>2022</v>
      </c>
      <c r="AD6020" s="7">
        <v>9</v>
      </c>
      <c r="AE6020" s="7">
        <v>8</v>
      </c>
      <c r="AF6020" s="8">
        <v>0.75</v>
      </c>
      <c r="AG6020" s="9">
        <v>13.5</v>
      </c>
      <c r="AH6020" s="10">
        <f t="shared" si="108"/>
        <v>14</v>
      </c>
    </row>
    <row r="6021" spans="11:34" ht="14.5" x14ac:dyDescent="0.35">
      <c r="K6021" s="4"/>
      <c r="AC6021" s="7">
        <v>2022</v>
      </c>
      <c r="AD6021" s="7">
        <v>9</v>
      </c>
      <c r="AE6021" s="7">
        <v>8</v>
      </c>
      <c r="AF6021" s="8">
        <v>0.79166666666666663</v>
      </c>
      <c r="AG6021" s="9">
        <v>12.3</v>
      </c>
      <c r="AH6021" s="10">
        <f t="shared" si="108"/>
        <v>12</v>
      </c>
    </row>
    <row r="6022" spans="11:34" ht="14.5" x14ac:dyDescent="0.35">
      <c r="K6022" s="4"/>
      <c r="AC6022" s="7">
        <v>2022</v>
      </c>
      <c r="AD6022" s="7">
        <v>9</v>
      </c>
      <c r="AE6022" s="7">
        <v>8</v>
      </c>
      <c r="AF6022" s="8">
        <v>0.83333333333333337</v>
      </c>
      <c r="AG6022" s="9">
        <v>10.199999999999999</v>
      </c>
      <c r="AH6022" s="10">
        <f t="shared" si="108"/>
        <v>10</v>
      </c>
    </row>
    <row r="6023" spans="11:34" ht="14.5" x14ac:dyDescent="0.35">
      <c r="K6023" s="4"/>
      <c r="AC6023" s="7">
        <v>2022</v>
      </c>
      <c r="AD6023" s="7">
        <v>9</v>
      </c>
      <c r="AE6023" s="7">
        <v>8</v>
      </c>
      <c r="AF6023" s="8">
        <v>0.875</v>
      </c>
      <c r="AG6023" s="9">
        <v>8.8000000000000007</v>
      </c>
      <c r="AH6023" s="10">
        <f t="shared" si="108"/>
        <v>9</v>
      </c>
    </row>
    <row r="6024" spans="11:34" ht="14.5" x14ac:dyDescent="0.35">
      <c r="K6024" s="4"/>
      <c r="AC6024" s="7">
        <v>2022</v>
      </c>
      <c r="AD6024" s="7">
        <v>9</v>
      </c>
      <c r="AE6024" s="7">
        <v>8</v>
      </c>
      <c r="AF6024" s="8">
        <v>0.91666666666666663</v>
      </c>
      <c r="AG6024" s="9">
        <v>9.6</v>
      </c>
      <c r="AH6024" s="10">
        <f t="shared" si="108"/>
        <v>10</v>
      </c>
    </row>
    <row r="6025" spans="11:34" ht="14.5" x14ac:dyDescent="0.35">
      <c r="K6025" s="4"/>
      <c r="AC6025" s="7">
        <v>2022</v>
      </c>
      <c r="AD6025" s="7">
        <v>9</v>
      </c>
      <c r="AE6025" s="7">
        <v>8</v>
      </c>
      <c r="AF6025" s="8">
        <v>0.95833333333333337</v>
      </c>
      <c r="AG6025" s="9">
        <v>8.9</v>
      </c>
      <c r="AH6025" s="10">
        <f t="shared" si="108"/>
        <v>9</v>
      </c>
    </row>
    <row r="6026" spans="11:34" ht="14.5" x14ac:dyDescent="0.35">
      <c r="K6026" s="4"/>
      <c r="AC6026" s="7">
        <v>2022</v>
      </c>
      <c r="AD6026" s="7">
        <v>9</v>
      </c>
      <c r="AE6026" s="7">
        <v>9</v>
      </c>
      <c r="AF6026" s="8">
        <v>0</v>
      </c>
      <c r="AG6026" s="9">
        <v>7.8</v>
      </c>
      <c r="AH6026" s="10">
        <f t="shared" si="108"/>
        <v>8</v>
      </c>
    </row>
    <row r="6027" spans="11:34" ht="14.5" x14ac:dyDescent="0.35">
      <c r="K6027" s="4"/>
      <c r="AC6027" s="7">
        <v>2022</v>
      </c>
      <c r="AD6027" s="7">
        <v>9</v>
      </c>
      <c r="AE6027" s="7">
        <v>9</v>
      </c>
      <c r="AF6027" s="8">
        <v>4.1666666666666664E-2</v>
      </c>
      <c r="AG6027" s="9">
        <v>7.6</v>
      </c>
      <c r="AH6027" s="10">
        <f t="shared" ref="AH6027:AH6090" si="109">ROUND(AG6027,0)</f>
        <v>8</v>
      </c>
    </row>
    <row r="6028" spans="11:34" ht="14.5" x14ac:dyDescent="0.35">
      <c r="K6028" s="4"/>
      <c r="AC6028" s="7">
        <v>2022</v>
      </c>
      <c r="AD6028" s="7">
        <v>9</v>
      </c>
      <c r="AE6028" s="7">
        <v>9</v>
      </c>
      <c r="AF6028" s="8">
        <v>8.3333333333333329E-2</v>
      </c>
      <c r="AG6028" s="9">
        <v>7</v>
      </c>
      <c r="AH6028" s="10">
        <f t="shared" si="109"/>
        <v>7</v>
      </c>
    </row>
    <row r="6029" spans="11:34" ht="14.5" x14ac:dyDescent="0.35">
      <c r="K6029" s="4"/>
      <c r="AC6029" s="7">
        <v>2022</v>
      </c>
      <c r="AD6029" s="7">
        <v>9</v>
      </c>
      <c r="AE6029" s="7">
        <v>9</v>
      </c>
      <c r="AF6029" s="8">
        <v>0.125</v>
      </c>
      <c r="AG6029" s="9">
        <v>7.5</v>
      </c>
      <c r="AH6029" s="10">
        <f t="shared" si="109"/>
        <v>8</v>
      </c>
    </row>
    <row r="6030" spans="11:34" ht="14.5" x14ac:dyDescent="0.35">
      <c r="K6030" s="4"/>
      <c r="AC6030" s="7">
        <v>2022</v>
      </c>
      <c r="AD6030" s="7">
        <v>9</v>
      </c>
      <c r="AE6030" s="7">
        <v>9</v>
      </c>
      <c r="AF6030" s="8">
        <v>0.16666666666666666</v>
      </c>
      <c r="AG6030" s="9">
        <v>7.5</v>
      </c>
      <c r="AH6030" s="10">
        <f t="shared" si="109"/>
        <v>8</v>
      </c>
    </row>
    <row r="6031" spans="11:34" ht="14.5" x14ac:dyDescent="0.35">
      <c r="K6031" s="4"/>
      <c r="AC6031" s="7">
        <v>2022</v>
      </c>
      <c r="AD6031" s="7">
        <v>9</v>
      </c>
      <c r="AE6031" s="7">
        <v>9</v>
      </c>
      <c r="AF6031" s="8">
        <v>0.20833333333333334</v>
      </c>
      <c r="AG6031" s="9">
        <v>7.1</v>
      </c>
      <c r="AH6031" s="10">
        <f t="shared" si="109"/>
        <v>7</v>
      </c>
    </row>
    <row r="6032" spans="11:34" ht="14.5" x14ac:dyDescent="0.35">
      <c r="K6032" s="4"/>
      <c r="AC6032" s="7">
        <v>2022</v>
      </c>
      <c r="AD6032" s="7">
        <v>9</v>
      </c>
      <c r="AE6032" s="7">
        <v>9</v>
      </c>
      <c r="AF6032" s="8">
        <v>0.25</v>
      </c>
      <c r="AG6032" s="9">
        <v>6.2</v>
      </c>
      <c r="AH6032" s="10">
        <f t="shared" si="109"/>
        <v>6</v>
      </c>
    </row>
    <row r="6033" spans="11:34" ht="14.5" x14ac:dyDescent="0.35">
      <c r="K6033" s="4"/>
      <c r="AC6033" s="7">
        <v>2022</v>
      </c>
      <c r="AD6033" s="7">
        <v>9</v>
      </c>
      <c r="AE6033" s="7">
        <v>9</v>
      </c>
      <c r="AF6033" s="8">
        <v>0.29166666666666669</v>
      </c>
      <c r="AG6033" s="9">
        <v>6.8</v>
      </c>
      <c r="AH6033" s="10">
        <f t="shared" si="109"/>
        <v>7</v>
      </c>
    </row>
    <row r="6034" spans="11:34" ht="14.5" x14ac:dyDescent="0.35">
      <c r="K6034" s="4"/>
      <c r="AC6034" s="7">
        <v>2022</v>
      </c>
      <c r="AD6034" s="7">
        <v>9</v>
      </c>
      <c r="AE6034" s="7">
        <v>9</v>
      </c>
      <c r="AF6034" s="8">
        <v>0.33333333333333331</v>
      </c>
      <c r="AG6034" s="9">
        <v>8.9</v>
      </c>
      <c r="AH6034" s="10">
        <f t="shared" si="109"/>
        <v>9</v>
      </c>
    </row>
    <row r="6035" spans="11:34" ht="14.5" x14ac:dyDescent="0.35">
      <c r="K6035" s="4"/>
      <c r="AC6035" s="7">
        <v>2022</v>
      </c>
      <c r="AD6035" s="7">
        <v>9</v>
      </c>
      <c r="AE6035" s="7">
        <v>9</v>
      </c>
      <c r="AF6035" s="8">
        <v>0.375</v>
      </c>
      <c r="AG6035" s="9">
        <v>10.5</v>
      </c>
      <c r="AH6035" s="10">
        <f t="shared" si="109"/>
        <v>11</v>
      </c>
    </row>
    <row r="6036" spans="11:34" ht="14.5" x14ac:dyDescent="0.35">
      <c r="K6036" s="4"/>
      <c r="AC6036" s="7">
        <v>2022</v>
      </c>
      <c r="AD6036" s="7">
        <v>9</v>
      </c>
      <c r="AE6036" s="7">
        <v>9</v>
      </c>
      <c r="AF6036" s="8">
        <v>0.41666666666666669</v>
      </c>
      <c r="AG6036" s="9">
        <v>11.9</v>
      </c>
      <c r="AH6036" s="10">
        <f t="shared" si="109"/>
        <v>12</v>
      </c>
    </row>
    <row r="6037" spans="11:34" ht="14.5" x14ac:dyDescent="0.35">
      <c r="K6037" s="4"/>
      <c r="AC6037" s="7">
        <v>2022</v>
      </c>
      <c r="AD6037" s="7">
        <v>9</v>
      </c>
      <c r="AE6037" s="7">
        <v>9</v>
      </c>
      <c r="AF6037" s="8">
        <v>0.45833333333333331</v>
      </c>
      <c r="AG6037" s="9">
        <v>12.6</v>
      </c>
      <c r="AH6037" s="10">
        <f t="shared" si="109"/>
        <v>13</v>
      </c>
    </row>
    <row r="6038" spans="11:34" ht="14.5" x14ac:dyDescent="0.35">
      <c r="K6038" s="4"/>
      <c r="AC6038" s="7">
        <v>2022</v>
      </c>
      <c r="AD6038" s="7">
        <v>9</v>
      </c>
      <c r="AE6038" s="7">
        <v>9</v>
      </c>
      <c r="AF6038" s="8">
        <v>0.5</v>
      </c>
      <c r="AG6038" s="9">
        <v>13</v>
      </c>
      <c r="AH6038" s="10">
        <f t="shared" si="109"/>
        <v>13</v>
      </c>
    </row>
    <row r="6039" spans="11:34" ht="14.5" x14ac:dyDescent="0.35">
      <c r="K6039" s="4"/>
      <c r="AC6039" s="7">
        <v>2022</v>
      </c>
      <c r="AD6039" s="7">
        <v>9</v>
      </c>
      <c r="AE6039" s="7">
        <v>9</v>
      </c>
      <c r="AF6039" s="8">
        <v>0.54166666666666663</v>
      </c>
      <c r="AG6039" s="9">
        <v>13.9</v>
      </c>
      <c r="AH6039" s="10">
        <f t="shared" si="109"/>
        <v>14</v>
      </c>
    </row>
    <row r="6040" spans="11:34" ht="14.5" x14ac:dyDescent="0.35">
      <c r="K6040" s="4"/>
      <c r="AC6040" s="7">
        <v>2022</v>
      </c>
      <c r="AD6040" s="7">
        <v>9</v>
      </c>
      <c r="AE6040" s="7">
        <v>9</v>
      </c>
      <c r="AF6040" s="8">
        <v>0.58333333333333337</v>
      </c>
      <c r="AG6040" s="9">
        <v>15.6</v>
      </c>
      <c r="AH6040" s="10">
        <f t="shared" si="109"/>
        <v>16</v>
      </c>
    </row>
    <row r="6041" spans="11:34" ht="14.5" x14ac:dyDescent="0.35">
      <c r="K6041" s="4"/>
      <c r="AC6041" s="7">
        <v>2022</v>
      </c>
      <c r="AD6041" s="7">
        <v>9</v>
      </c>
      <c r="AE6041" s="7">
        <v>9</v>
      </c>
      <c r="AF6041" s="8">
        <v>0.625</v>
      </c>
      <c r="AG6041" s="9">
        <v>16.3</v>
      </c>
      <c r="AH6041" s="10">
        <f t="shared" si="109"/>
        <v>16</v>
      </c>
    </row>
    <row r="6042" spans="11:34" ht="14.5" x14ac:dyDescent="0.35">
      <c r="K6042" s="4"/>
      <c r="AC6042" s="7">
        <v>2022</v>
      </c>
      <c r="AD6042" s="7">
        <v>9</v>
      </c>
      <c r="AE6042" s="7">
        <v>9</v>
      </c>
      <c r="AF6042" s="8">
        <v>0.66666666666666663</v>
      </c>
      <c r="AG6042" s="9">
        <v>15.8</v>
      </c>
      <c r="AH6042" s="10">
        <f t="shared" si="109"/>
        <v>16</v>
      </c>
    </row>
    <row r="6043" spans="11:34" ht="14.5" x14ac:dyDescent="0.35">
      <c r="K6043" s="4"/>
      <c r="AC6043" s="7">
        <v>2022</v>
      </c>
      <c r="AD6043" s="7">
        <v>9</v>
      </c>
      <c r="AE6043" s="7">
        <v>9</v>
      </c>
      <c r="AF6043" s="8">
        <v>0.70833333333333337</v>
      </c>
      <c r="AG6043" s="9">
        <v>15.8</v>
      </c>
      <c r="AH6043" s="10">
        <f t="shared" si="109"/>
        <v>16</v>
      </c>
    </row>
    <row r="6044" spans="11:34" ht="14.5" x14ac:dyDescent="0.35">
      <c r="K6044" s="4"/>
      <c r="AC6044" s="7">
        <v>2022</v>
      </c>
      <c r="AD6044" s="7">
        <v>9</v>
      </c>
      <c r="AE6044" s="7">
        <v>9</v>
      </c>
      <c r="AF6044" s="8">
        <v>0.75</v>
      </c>
      <c r="AG6044" s="9">
        <v>15.6</v>
      </c>
      <c r="AH6044" s="10">
        <f t="shared" si="109"/>
        <v>16</v>
      </c>
    </row>
    <row r="6045" spans="11:34" ht="14.5" x14ac:dyDescent="0.35">
      <c r="K6045" s="4"/>
      <c r="AC6045" s="7">
        <v>2022</v>
      </c>
      <c r="AD6045" s="7">
        <v>9</v>
      </c>
      <c r="AE6045" s="7">
        <v>9</v>
      </c>
      <c r="AF6045" s="8">
        <v>0.79166666666666663</v>
      </c>
      <c r="AG6045" s="9">
        <v>12.1</v>
      </c>
      <c r="AH6045" s="10">
        <f t="shared" si="109"/>
        <v>12</v>
      </c>
    </row>
    <row r="6046" spans="11:34" ht="14.5" x14ac:dyDescent="0.35">
      <c r="K6046" s="4"/>
      <c r="AC6046" s="7">
        <v>2022</v>
      </c>
      <c r="AD6046" s="7">
        <v>9</v>
      </c>
      <c r="AE6046" s="7">
        <v>9</v>
      </c>
      <c r="AF6046" s="8">
        <v>0.83333333333333337</v>
      </c>
      <c r="AG6046" s="9">
        <v>9.6999999999999993</v>
      </c>
      <c r="AH6046" s="10">
        <f t="shared" si="109"/>
        <v>10</v>
      </c>
    </row>
    <row r="6047" spans="11:34" ht="14.5" x14ac:dyDescent="0.35">
      <c r="K6047" s="4"/>
      <c r="AC6047" s="7">
        <v>2022</v>
      </c>
      <c r="AD6047" s="7">
        <v>9</v>
      </c>
      <c r="AE6047" s="7">
        <v>9</v>
      </c>
      <c r="AF6047" s="8">
        <v>0.875</v>
      </c>
      <c r="AG6047" s="9">
        <v>8.8000000000000007</v>
      </c>
      <c r="AH6047" s="10">
        <f t="shared" si="109"/>
        <v>9</v>
      </c>
    </row>
    <row r="6048" spans="11:34" ht="14.5" x14ac:dyDescent="0.35">
      <c r="K6048" s="4"/>
      <c r="AC6048" s="7">
        <v>2022</v>
      </c>
      <c r="AD6048" s="7">
        <v>9</v>
      </c>
      <c r="AE6048" s="7">
        <v>9</v>
      </c>
      <c r="AF6048" s="8">
        <v>0.91666666666666663</v>
      </c>
      <c r="AG6048" s="9">
        <v>9</v>
      </c>
      <c r="AH6048" s="10">
        <f t="shared" si="109"/>
        <v>9</v>
      </c>
    </row>
    <row r="6049" spans="11:34" ht="14.5" x14ac:dyDescent="0.35">
      <c r="K6049" s="4"/>
      <c r="AC6049" s="7">
        <v>2022</v>
      </c>
      <c r="AD6049" s="7">
        <v>9</v>
      </c>
      <c r="AE6049" s="7">
        <v>9</v>
      </c>
      <c r="AF6049" s="8">
        <v>0.95833333333333337</v>
      </c>
      <c r="AG6049" s="9">
        <v>7.9</v>
      </c>
      <c r="AH6049" s="10">
        <f t="shared" si="109"/>
        <v>8</v>
      </c>
    </row>
    <row r="6050" spans="11:34" ht="14.5" x14ac:dyDescent="0.35">
      <c r="K6050" s="4"/>
      <c r="AC6050" s="7">
        <v>2022</v>
      </c>
      <c r="AD6050" s="7">
        <v>9</v>
      </c>
      <c r="AE6050" s="7">
        <v>10</v>
      </c>
      <c r="AF6050" s="8">
        <v>0</v>
      </c>
      <c r="AG6050" s="9">
        <v>7.7</v>
      </c>
      <c r="AH6050" s="10">
        <f t="shared" si="109"/>
        <v>8</v>
      </c>
    </row>
    <row r="6051" spans="11:34" ht="14.5" x14ac:dyDescent="0.35">
      <c r="K6051" s="4"/>
      <c r="AC6051" s="7">
        <v>2022</v>
      </c>
      <c r="AD6051" s="7">
        <v>9</v>
      </c>
      <c r="AE6051" s="7">
        <v>10</v>
      </c>
      <c r="AF6051" s="8">
        <v>4.1666666666666664E-2</v>
      </c>
      <c r="AG6051" s="9">
        <v>6.5</v>
      </c>
      <c r="AH6051" s="10">
        <f t="shared" si="109"/>
        <v>7</v>
      </c>
    </row>
    <row r="6052" spans="11:34" ht="14.5" x14ac:dyDescent="0.35">
      <c r="K6052" s="4"/>
      <c r="AC6052" s="7">
        <v>2022</v>
      </c>
      <c r="AD6052" s="7">
        <v>9</v>
      </c>
      <c r="AE6052" s="7">
        <v>10</v>
      </c>
      <c r="AF6052" s="8">
        <v>8.3333333333333329E-2</v>
      </c>
      <c r="AG6052" s="9">
        <v>5.2</v>
      </c>
      <c r="AH6052" s="10">
        <f t="shared" si="109"/>
        <v>5</v>
      </c>
    </row>
    <row r="6053" spans="11:34" ht="14.5" x14ac:dyDescent="0.35">
      <c r="K6053" s="4"/>
      <c r="AC6053" s="7">
        <v>2022</v>
      </c>
      <c r="AD6053" s="7">
        <v>9</v>
      </c>
      <c r="AE6053" s="7">
        <v>10</v>
      </c>
      <c r="AF6053" s="8">
        <v>0.125</v>
      </c>
      <c r="AG6053" s="9">
        <v>4.5999999999999996</v>
      </c>
      <c r="AH6053" s="10">
        <f t="shared" si="109"/>
        <v>5</v>
      </c>
    </row>
    <row r="6054" spans="11:34" ht="14.5" x14ac:dyDescent="0.35">
      <c r="K6054" s="4"/>
      <c r="AC6054" s="7">
        <v>2022</v>
      </c>
      <c r="AD6054" s="7">
        <v>9</v>
      </c>
      <c r="AE6054" s="7">
        <v>10</v>
      </c>
      <c r="AF6054" s="8">
        <v>0.16666666666666666</v>
      </c>
      <c r="AG6054" s="9">
        <v>3.6</v>
      </c>
      <c r="AH6054" s="10">
        <f t="shared" si="109"/>
        <v>4</v>
      </c>
    </row>
    <row r="6055" spans="11:34" ht="14.5" x14ac:dyDescent="0.35">
      <c r="K6055" s="4"/>
      <c r="AC6055" s="7">
        <v>2022</v>
      </c>
      <c r="AD6055" s="7">
        <v>9</v>
      </c>
      <c r="AE6055" s="7">
        <v>10</v>
      </c>
      <c r="AF6055" s="8">
        <v>0.20833333333333334</v>
      </c>
      <c r="AG6055" s="9">
        <v>3.4</v>
      </c>
      <c r="AH6055" s="10">
        <f t="shared" si="109"/>
        <v>3</v>
      </c>
    </row>
    <row r="6056" spans="11:34" ht="14.5" x14ac:dyDescent="0.35">
      <c r="K6056" s="4"/>
      <c r="AC6056" s="7">
        <v>2022</v>
      </c>
      <c r="AD6056" s="7">
        <v>9</v>
      </c>
      <c r="AE6056" s="7">
        <v>10</v>
      </c>
      <c r="AF6056" s="8">
        <v>0.25</v>
      </c>
      <c r="AG6056" s="9">
        <v>3.4</v>
      </c>
      <c r="AH6056" s="10">
        <f t="shared" si="109"/>
        <v>3</v>
      </c>
    </row>
    <row r="6057" spans="11:34" ht="14.5" x14ac:dyDescent="0.35">
      <c r="K6057" s="4"/>
      <c r="AC6057" s="7">
        <v>2022</v>
      </c>
      <c r="AD6057" s="7">
        <v>9</v>
      </c>
      <c r="AE6057" s="7">
        <v>10</v>
      </c>
      <c r="AF6057" s="8">
        <v>0.29166666666666669</v>
      </c>
      <c r="AG6057" s="9">
        <v>5.9</v>
      </c>
      <c r="AH6057" s="10">
        <f t="shared" si="109"/>
        <v>6</v>
      </c>
    </row>
    <row r="6058" spans="11:34" ht="14.5" x14ac:dyDescent="0.35">
      <c r="K6058" s="4"/>
      <c r="AC6058" s="7">
        <v>2022</v>
      </c>
      <c r="AD6058" s="7">
        <v>9</v>
      </c>
      <c r="AE6058" s="7">
        <v>10</v>
      </c>
      <c r="AF6058" s="8">
        <v>0.33333333333333331</v>
      </c>
      <c r="AG6058" s="9">
        <v>10.3</v>
      </c>
      <c r="AH6058" s="10">
        <f t="shared" si="109"/>
        <v>10</v>
      </c>
    </row>
    <row r="6059" spans="11:34" ht="14.5" x14ac:dyDescent="0.35">
      <c r="K6059" s="4"/>
      <c r="AC6059" s="7">
        <v>2022</v>
      </c>
      <c r="AD6059" s="7">
        <v>9</v>
      </c>
      <c r="AE6059" s="7">
        <v>10</v>
      </c>
      <c r="AF6059" s="8">
        <v>0.375</v>
      </c>
      <c r="AG6059" s="9">
        <v>15.2</v>
      </c>
      <c r="AH6059" s="10">
        <f t="shared" si="109"/>
        <v>15</v>
      </c>
    </row>
    <row r="6060" spans="11:34" ht="14.5" x14ac:dyDescent="0.35">
      <c r="K6060" s="4"/>
      <c r="AC6060" s="7">
        <v>2022</v>
      </c>
      <c r="AD6060" s="7">
        <v>9</v>
      </c>
      <c r="AE6060" s="7">
        <v>10</v>
      </c>
      <c r="AF6060" s="8">
        <v>0.41666666666666669</v>
      </c>
      <c r="AG6060" s="9">
        <v>16.600000000000001</v>
      </c>
      <c r="AH6060" s="10">
        <f t="shared" si="109"/>
        <v>17</v>
      </c>
    </row>
    <row r="6061" spans="11:34" ht="14.5" x14ac:dyDescent="0.35">
      <c r="K6061" s="4"/>
      <c r="AC6061" s="7">
        <v>2022</v>
      </c>
      <c r="AD6061" s="7">
        <v>9</v>
      </c>
      <c r="AE6061" s="7">
        <v>10</v>
      </c>
      <c r="AF6061" s="8">
        <v>0.45833333333333331</v>
      </c>
      <c r="AG6061" s="9">
        <v>18.3</v>
      </c>
      <c r="AH6061" s="10">
        <f t="shared" si="109"/>
        <v>18</v>
      </c>
    </row>
    <row r="6062" spans="11:34" ht="14.5" x14ac:dyDescent="0.35">
      <c r="K6062" s="4"/>
      <c r="AC6062" s="7">
        <v>2022</v>
      </c>
      <c r="AD6062" s="7">
        <v>9</v>
      </c>
      <c r="AE6062" s="7">
        <v>10</v>
      </c>
      <c r="AF6062" s="8">
        <v>0.5</v>
      </c>
      <c r="AG6062" s="9">
        <v>20.5</v>
      </c>
      <c r="AH6062" s="10">
        <f t="shared" si="109"/>
        <v>21</v>
      </c>
    </row>
    <row r="6063" spans="11:34" ht="14.5" x14ac:dyDescent="0.35">
      <c r="K6063" s="4"/>
      <c r="AC6063" s="7">
        <v>2022</v>
      </c>
      <c r="AD6063" s="7">
        <v>9</v>
      </c>
      <c r="AE6063" s="7">
        <v>10</v>
      </c>
      <c r="AF6063" s="8">
        <v>0.54166666666666663</v>
      </c>
      <c r="AG6063" s="9">
        <v>22.6</v>
      </c>
      <c r="AH6063" s="10">
        <f t="shared" si="109"/>
        <v>23</v>
      </c>
    </row>
    <row r="6064" spans="11:34" ht="14.5" x14ac:dyDescent="0.35">
      <c r="K6064" s="4"/>
      <c r="AC6064" s="7">
        <v>2022</v>
      </c>
      <c r="AD6064" s="7">
        <v>9</v>
      </c>
      <c r="AE6064" s="7">
        <v>10</v>
      </c>
      <c r="AF6064" s="8">
        <v>0.58333333333333337</v>
      </c>
      <c r="AG6064" s="9">
        <v>23.9</v>
      </c>
      <c r="AH6064" s="10">
        <f t="shared" si="109"/>
        <v>24</v>
      </c>
    </row>
    <row r="6065" spans="11:34" ht="14.5" x14ac:dyDescent="0.35">
      <c r="K6065" s="4"/>
      <c r="AC6065" s="7">
        <v>2022</v>
      </c>
      <c r="AD6065" s="7">
        <v>9</v>
      </c>
      <c r="AE6065" s="7">
        <v>10</v>
      </c>
      <c r="AF6065" s="8">
        <v>0.625</v>
      </c>
      <c r="AG6065" s="9">
        <v>25.1</v>
      </c>
      <c r="AH6065" s="10">
        <f t="shared" si="109"/>
        <v>25</v>
      </c>
    </row>
    <row r="6066" spans="11:34" ht="14.5" x14ac:dyDescent="0.35">
      <c r="K6066" s="4"/>
      <c r="AC6066" s="7">
        <v>2022</v>
      </c>
      <c r="AD6066" s="7">
        <v>9</v>
      </c>
      <c r="AE6066" s="7">
        <v>10</v>
      </c>
      <c r="AF6066" s="8">
        <v>0.66666666666666663</v>
      </c>
      <c r="AG6066" s="9">
        <v>25.7</v>
      </c>
      <c r="AH6066" s="10">
        <f t="shared" si="109"/>
        <v>26</v>
      </c>
    </row>
    <row r="6067" spans="11:34" ht="14.5" x14ac:dyDescent="0.35">
      <c r="K6067" s="4"/>
      <c r="AC6067" s="7">
        <v>2022</v>
      </c>
      <c r="AD6067" s="7">
        <v>9</v>
      </c>
      <c r="AE6067" s="7">
        <v>10</v>
      </c>
      <c r="AF6067" s="8">
        <v>0.70833333333333337</v>
      </c>
      <c r="AG6067" s="9">
        <v>25.6</v>
      </c>
      <c r="AH6067" s="10">
        <f t="shared" si="109"/>
        <v>26</v>
      </c>
    </row>
    <row r="6068" spans="11:34" ht="14.5" x14ac:dyDescent="0.35">
      <c r="K6068" s="4"/>
      <c r="AC6068" s="7">
        <v>2022</v>
      </c>
      <c r="AD6068" s="7">
        <v>9</v>
      </c>
      <c r="AE6068" s="7">
        <v>10</v>
      </c>
      <c r="AF6068" s="8">
        <v>0.75</v>
      </c>
      <c r="AG6068" s="9">
        <v>23</v>
      </c>
      <c r="AH6068" s="10">
        <f t="shared" si="109"/>
        <v>23</v>
      </c>
    </row>
    <row r="6069" spans="11:34" ht="14.5" x14ac:dyDescent="0.35">
      <c r="K6069" s="4"/>
      <c r="AC6069" s="7">
        <v>2022</v>
      </c>
      <c r="AD6069" s="7">
        <v>9</v>
      </c>
      <c r="AE6069" s="7">
        <v>10</v>
      </c>
      <c r="AF6069" s="8">
        <v>0.79166666666666663</v>
      </c>
      <c r="AG6069" s="9">
        <v>18.7</v>
      </c>
      <c r="AH6069" s="10">
        <f t="shared" si="109"/>
        <v>19</v>
      </c>
    </row>
    <row r="6070" spans="11:34" ht="14.5" x14ac:dyDescent="0.35">
      <c r="K6070" s="4"/>
      <c r="AC6070" s="7">
        <v>2022</v>
      </c>
      <c r="AD6070" s="7">
        <v>9</v>
      </c>
      <c r="AE6070" s="7">
        <v>10</v>
      </c>
      <c r="AF6070" s="8">
        <v>0.83333333333333337</v>
      </c>
      <c r="AG6070" s="9">
        <v>17.100000000000001</v>
      </c>
      <c r="AH6070" s="10">
        <f t="shared" si="109"/>
        <v>17</v>
      </c>
    </row>
    <row r="6071" spans="11:34" ht="14.5" x14ac:dyDescent="0.35">
      <c r="K6071" s="4"/>
      <c r="AC6071" s="7">
        <v>2022</v>
      </c>
      <c r="AD6071" s="7">
        <v>9</v>
      </c>
      <c r="AE6071" s="7">
        <v>10</v>
      </c>
      <c r="AF6071" s="8">
        <v>0.875</v>
      </c>
      <c r="AG6071" s="9">
        <v>17</v>
      </c>
      <c r="AH6071" s="10">
        <f t="shared" si="109"/>
        <v>17</v>
      </c>
    </row>
    <row r="6072" spans="11:34" ht="14.5" x14ac:dyDescent="0.35">
      <c r="K6072" s="4"/>
      <c r="AC6072" s="7">
        <v>2022</v>
      </c>
      <c r="AD6072" s="7">
        <v>9</v>
      </c>
      <c r="AE6072" s="7">
        <v>10</v>
      </c>
      <c r="AF6072" s="8">
        <v>0.91666666666666663</v>
      </c>
      <c r="AG6072" s="9">
        <v>13.6</v>
      </c>
      <c r="AH6072" s="10">
        <f t="shared" si="109"/>
        <v>14</v>
      </c>
    </row>
    <row r="6073" spans="11:34" ht="14.5" x14ac:dyDescent="0.35">
      <c r="K6073" s="4"/>
      <c r="AC6073" s="7">
        <v>2022</v>
      </c>
      <c r="AD6073" s="7">
        <v>9</v>
      </c>
      <c r="AE6073" s="7">
        <v>10</v>
      </c>
      <c r="AF6073" s="8">
        <v>0.95833333333333337</v>
      </c>
      <c r="AG6073" s="9">
        <v>14.7</v>
      </c>
      <c r="AH6073" s="10">
        <f t="shared" si="109"/>
        <v>15</v>
      </c>
    </row>
    <row r="6074" spans="11:34" ht="14.5" x14ac:dyDescent="0.35">
      <c r="K6074" s="4"/>
      <c r="AC6074" s="7">
        <v>2022</v>
      </c>
      <c r="AD6074" s="7">
        <v>9</v>
      </c>
      <c r="AE6074" s="7">
        <v>11</v>
      </c>
      <c r="AF6074" s="8">
        <v>0</v>
      </c>
      <c r="AG6074" s="9">
        <v>12.7</v>
      </c>
      <c r="AH6074" s="10">
        <f t="shared" si="109"/>
        <v>13</v>
      </c>
    </row>
    <row r="6075" spans="11:34" ht="14.5" x14ac:dyDescent="0.35">
      <c r="K6075" s="4"/>
      <c r="AC6075" s="7">
        <v>2022</v>
      </c>
      <c r="AD6075" s="7">
        <v>9</v>
      </c>
      <c r="AE6075" s="7">
        <v>11</v>
      </c>
      <c r="AF6075" s="8">
        <v>4.1666666666666664E-2</v>
      </c>
      <c r="AG6075" s="9">
        <v>11.5</v>
      </c>
      <c r="AH6075" s="10">
        <f t="shared" si="109"/>
        <v>12</v>
      </c>
    </row>
    <row r="6076" spans="11:34" ht="14.5" x14ac:dyDescent="0.35">
      <c r="K6076" s="4"/>
      <c r="AC6076" s="7">
        <v>2022</v>
      </c>
      <c r="AD6076" s="7">
        <v>9</v>
      </c>
      <c r="AE6076" s="7">
        <v>11</v>
      </c>
      <c r="AF6076" s="8">
        <v>8.3333333333333329E-2</v>
      </c>
      <c r="AG6076" s="9">
        <v>11.3</v>
      </c>
      <c r="AH6076" s="10">
        <f t="shared" si="109"/>
        <v>11</v>
      </c>
    </row>
    <row r="6077" spans="11:34" ht="14.5" x14ac:dyDescent="0.35">
      <c r="K6077" s="4"/>
      <c r="AC6077" s="7">
        <v>2022</v>
      </c>
      <c r="AD6077" s="7">
        <v>9</v>
      </c>
      <c r="AE6077" s="7">
        <v>11</v>
      </c>
      <c r="AF6077" s="8">
        <v>0.125</v>
      </c>
      <c r="AG6077" s="9">
        <v>11.3</v>
      </c>
      <c r="AH6077" s="10">
        <f t="shared" si="109"/>
        <v>11</v>
      </c>
    </row>
    <row r="6078" spans="11:34" ht="14.5" x14ac:dyDescent="0.35">
      <c r="K6078" s="4"/>
      <c r="AC6078" s="7">
        <v>2022</v>
      </c>
      <c r="AD6078" s="7">
        <v>9</v>
      </c>
      <c r="AE6078" s="7">
        <v>11</v>
      </c>
      <c r="AF6078" s="8">
        <v>0.16666666666666666</v>
      </c>
      <c r="AG6078" s="9">
        <v>10.7</v>
      </c>
      <c r="AH6078" s="10">
        <f t="shared" si="109"/>
        <v>11</v>
      </c>
    </row>
    <row r="6079" spans="11:34" ht="14.5" x14ac:dyDescent="0.35">
      <c r="K6079" s="4"/>
      <c r="AC6079" s="7">
        <v>2022</v>
      </c>
      <c r="AD6079" s="7">
        <v>9</v>
      </c>
      <c r="AE6079" s="7">
        <v>11</v>
      </c>
      <c r="AF6079" s="8">
        <v>0.20833333333333334</v>
      </c>
      <c r="AG6079" s="9">
        <v>10.6</v>
      </c>
      <c r="AH6079" s="10">
        <f t="shared" si="109"/>
        <v>11</v>
      </c>
    </row>
    <row r="6080" spans="11:34" ht="14.5" x14ac:dyDescent="0.35">
      <c r="K6080" s="4"/>
      <c r="AC6080" s="7">
        <v>2022</v>
      </c>
      <c r="AD6080" s="7">
        <v>9</v>
      </c>
      <c r="AE6080" s="7">
        <v>11</v>
      </c>
      <c r="AF6080" s="8">
        <v>0.25</v>
      </c>
      <c r="AG6080" s="9">
        <v>8.1</v>
      </c>
      <c r="AH6080" s="10">
        <f t="shared" si="109"/>
        <v>8</v>
      </c>
    </row>
    <row r="6081" spans="11:34" ht="14.5" x14ac:dyDescent="0.35">
      <c r="K6081" s="4"/>
      <c r="AC6081" s="7">
        <v>2022</v>
      </c>
      <c r="AD6081" s="7">
        <v>9</v>
      </c>
      <c r="AE6081" s="7">
        <v>11</v>
      </c>
      <c r="AF6081" s="8">
        <v>0.29166666666666669</v>
      </c>
      <c r="AG6081" s="9">
        <v>9.5</v>
      </c>
      <c r="AH6081" s="10">
        <f t="shared" si="109"/>
        <v>10</v>
      </c>
    </row>
    <row r="6082" spans="11:34" ht="14.5" x14ac:dyDescent="0.35">
      <c r="K6082" s="4"/>
      <c r="AC6082" s="7">
        <v>2022</v>
      </c>
      <c r="AD6082" s="7">
        <v>9</v>
      </c>
      <c r="AE6082" s="7">
        <v>11</v>
      </c>
      <c r="AF6082" s="8">
        <v>0.33333333333333331</v>
      </c>
      <c r="AG6082" s="9">
        <v>14.7</v>
      </c>
      <c r="AH6082" s="10">
        <f t="shared" si="109"/>
        <v>15</v>
      </c>
    </row>
    <row r="6083" spans="11:34" ht="14.5" x14ac:dyDescent="0.35">
      <c r="K6083" s="4"/>
      <c r="AC6083" s="7">
        <v>2022</v>
      </c>
      <c r="AD6083" s="7">
        <v>9</v>
      </c>
      <c r="AE6083" s="7">
        <v>11</v>
      </c>
      <c r="AF6083" s="8">
        <v>0.375</v>
      </c>
      <c r="AG6083" s="9">
        <v>19</v>
      </c>
      <c r="AH6083" s="10">
        <f t="shared" si="109"/>
        <v>19</v>
      </c>
    </row>
    <row r="6084" spans="11:34" ht="14.5" x14ac:dyDescent="0.35">
      <c r="K6084" s="4"/>
      <c r="AC6084" s="7">
        <v>2022</v>
      </c>
      <c r="AD6084" s="7">
        <v>9</v>
      </c>
      <c r="AE6084" s="7">
        <v>11</v>
      </c>
      <c r="AF6084" s="8">
        <v>0.41666666666666669</v>
      </c>
      <c r="AG6084" s="9">
        <v>22.7</v>
      </c>
      <c r="AH6084" s="10">
        <f t="shared" si="109"/>
        <v>23</v>
      </c>
    </row>
    <row r="6085" spans="11:34" ht="14.5" x14ac:dyDescent="0.35">
      <c r="K6085" s="4"/>
      <c r="AC6085" s="7">
        <v>2022</v>
      </c>
      <c r="AD6085" s="7">
        <v>9</v>
      </c>
      <c r="AE6085" s="7">
        <v>11</v>
      </c>
      <c r="AF6085" s="8">
        <v>0.45833333333333331</v>
      </c>
      <c r="AG6085" s="9">
        <v>25.9</v>
      </c>
      <c r="AH6085" s="10">
        <f t="shared" si="109"/>
        <v>26</v>
      </c>
    </row>
    <row r="6086" spans="11:34" ht="14.5" x14ac:dyDescent="0.35">
      <c r="K6086" s="4"/>
      <c r="AC6086" s="7">
        <v>2022</v>
      </c>
      <c r="AD6086" s="7">
        <v>9</v>
      </c>
      <c r="AE6086" s="7">
        <v>11</v>
      </c>
      <c r="AF6086" s="8">
        <v>0.5</v>
      </c>
      <c r="AG6086" s="9">
        <v>27.7</v>
      </c>
      <c r="AH6086" s="10">
        <f t="shared" si="109"/>
        <v>28</v>
      </c>
    </row>
    <row r="6087" spans="11:34" ht="14.5" x14ac:dyDescent="0.35">
      <c r="K6087" s="4"/>
      <c r="AC6087" s="7">
        <v>2022</v>
      </c>
      <c r="AD6087" s="7">
        <v>9</v>
      </c>
      <c r="AE6087" s="7">
        <v>11</v>
      </c>
      <c r="AF6087" s="8">
        <v>0.54166666666666663</v>
      </c>
      <c r="AG6087" s="9">
        <v>28.5</v>
      </c>
      <c r="AH6087" s="10">
        <f t="shared" si="109"/>
        <v>29</v>
      </c>
    </row>
    <row r="6088" spans="11:34" ht="14.5" x14ac:dyDescent="0.35">
      <c r="K6088" s="4"/>
      <c r="AC6088" s="7">
        <v>2022</v>
      </c>
      <c r="AD6088" s="7">
        <v>9</v>
      </c>
      <c r="AE6088" s="7">
        <v>11</v>
      </c>
      <c r="AF6088" s="8">
        <v>0.58333333333333337</v>
      </c>
      <c r="AG6088" s="9">
        <v>28</v>
      </c>
      <c r="AH6088" s="10">
        <f t="shared" si="109"/>
        <v>28</v>
      </c>
    </row>
    <row r="6089" spans="11:34" ht="14.5" x14ac:dyDescent="0.35">
      <c r="K6089" s="4"/>
      <c r="AC6089" s="7">
        <v>2022</v>
      </c>
      <c r="AD6089" s="7">
        <v>9</v>
      </c>
      <c r="AE6089" s="7">
        <v>11</v>
      </c>
      <c r="AF6089" s="8">
        <v>0.625</v>
      </c>
      <c r="AG6089" s="9">
        <v>27.2</v>
      </c>
      <c r="AH6089" s="10">
        <f t="shared" si="109"/>
        <v>27</v>
      </c>
    </row>
    <row r="6090" spans="11:34" ht="14.5" x14ac:dyDescent="0.35">
      <c r="K6090" s="4"/>
      <c r="AC6090" s="7">
        <v>2022</v>
      </c>
      <c r="AD6090" s="7">
        <v>9</v>
      </c>
      <c r="AE6090" s="7">
        <v>11</v>
      </c>
      <c r="AF6090" s="8">
        <v>0.66666666666666663</v>
      </c>
      <c r="AG6090" s="9">
        <v>26.1</v>
      </c>
      <c r="AH6090" s="10">
        <f t="shared" si="109"/>
        <v>26</v>
      </c>
    </row>
    <row r="6091" spans="11:34" ht="14.5" x14ac:dyDescent="0.35">
      <c r="K6091" s="4"/>
      <c r="AC6091" s="7">
        <v>2022</v>
      </c>
      <c r="AD6091" s="7">
        <v>9</v>
      </c>
      <c r="AE6091" s="7">
        <v>11</v>
      </c>
      <c r="AF6091" s="8">
        <v>0.70833333333333337</v>
      </c>
      <c r="AG6091" s="9">
        <v>25.2</v>
      </c>
      <c r="AH6091" s="10">
        <f t="shared" ref="AH6091:AH6154" si="110">ROUND(AG6091,0)</f>
        <v>25</v>
      </c>
    </row>
    <row r="6092" spans="11:34" ht="14.5" x14ac:dyDescent="0.35">
      <c r="K6092" s="4"/>
      <c r="AC6092" s="7">
        <v>2022</v>
      </c>
      <c r="AD6092" s="7">
        <v>9</v>
      </c>
      <c r="AE6092" s="7">
        <v>11</v>
      </c>
      <c r="AF6092" s="8">
        <v>0.75</v>
      </c>
      <c r="AG6092" s="9">
        <v>23.8</v>
      </c>
      <c r="AH6092" s="10">
        <f t="shared" si="110"/>
        <v>24</v>
      </c>
    </row>
    <row r="6093" spans="11:34" ht="14.5" x14ac:dyDescent="0.35">
      <c r="K6093" s="4"/>
      <c r="AC6093" s="7">
        <v>2022</v>
      </c>
      <c r="AD6093" s="7">
        <v>9</v>
      </c>
      <c r="AE6093" s="7">
        <v>11</v>
      </c>
      <c r="AF6093" s="8">
        <v>0.79166666666666663</v>
      </c>
      <c r="AG6093" s="9">
        <v>22.6</v>
      </c>
      <c r="AH6093" s="10">
        <f t="shared" si="110"/>
        <v>23</v>
      </c>
    </row>
    <row r="6094" spans="11:34" ht="14.5" x14ac:dyDescent="0.35">
      <c r="K6094" s="4"/>
      <c r="AC6094" s="7">
        <v>2022</v>
      </c>
      <c r="AD6094" s="7">
        <v>9</v>
      </c>
      <c r="AE6094" s="7">
        <v>11</v>
      </c>
      <c r="AF6094" s="8">
        <v>0.83333333333333337</v>
      </c>
      <c r="AG6094" s="9">
        <v>22.1</v>
      </c>
      <c r="AH6094" s="10">
        <f t="shared" si="110"/>
        <v>22</v>
      </c>
    </row>
    <row r="6095" spans="11:34" ht="14.5" x14ac:dyDescent="0.35">
      <c r="K6095" s="4"/>
      <c r="AC6095" s="7">
        <v>2022</v>
      </c>
      <c r="AD6095" s="7">
        <v>9</v>
      </c>
      <c r="AE6095" s="7">
        <v>11</v>
      </c>
      <c r="AF6095" s="8">
        <v>0.875</v>
      </c>
      <c r="AG6095" s="9">
        <v>19.100000000000001</v>
      </c>
      <c r="AH6095" s="10">
        <f t="shared" si="110"/>
        <v>19</v>
      </c>
    </row>
    <row r="6096" spans="11:34" ht="14.5" x14ac:dyDescent="0.35">
      <c r="K6096" s="4"/>
      <c r="AC6096" s="7">
        <v>2022</v>
      </c>
      <c r="AD6096" s="7">
        <v>9</v>
      </c>
      <c r="AE6096" s="7">
        <v>11</v>
      </c>
      <c r="AF6096" s="8">
        <v>0.91666666666666663</v>
      </c>
      <c r="AG6096" s="9">
        <v>17.8</v>
      </c>
      <c r="AH6096" s="10">
        <f t="shared" si="110"/>
        <v>18</v>
      </c>
    </row>
    <row r="6097" spans="11:34" ht="14.5" x14ac:dyDescent="0.35">
      <c r="K6097" s="4"/>
      <c r="AC6097" s="7">
        <v>2022</v>
      </c>
      <c r="AD6097" s="7">
        <v>9</v>
      </c>
      <c r="AE6097" s="7">
        <v>11</v>
      </c>
      <c r="AF6097" s="8">
        <v>0.95833333333333337</v>
      </c>
      <c r="AG6097" s="9">
        <v>13.9</v>
      </c>
      <c r="AH6097" s="10">
        <f t="shared" si="110"/>
        <v>14</v>
      </c>
    </row>
    <row r="6098" spans="11:34" ht="14.5" x14ac:dyDescent="0.35">
      <c r="K6098" s="4"/>
      <c r="AC6098" s="7">
        <v>2022</v>
      </c>
      <c r="AD6098" s="7">
        <v>9</v>
      </c>
      <c r="AE6098" s="7">
        <v>12</v>
      </c>
      <c r="AF6098" s="8">
        <v>0</v>
      </c>
      <c r="AG6098" s="9">
        <v>14.5</v>
      </c>
      <c r="AH6098" s="10">
        <f t="shared" si="110"/>
        <v>15</v>
      </c>
    </row>
    <row r="6099" spans="11:34" ht="14.5" x14ac:dyDescent="0.35">
      <c r="K6099" s="4"/>
      <c r="AC6099" s="7">
        <v>2022</v>
      </c>
      <c r="AD6099" s="7">
        <v>9</v>
      </c>
      <c r="AE6099" s="7">
        <v>12</v>
      </c>
      <c r="AF6099" s="8">
        <v>4.1666666666666664E-2</v>
      </c>
      <c r="AG6099" s="9">
        <v>14.8</v>
      </c>
      <c r="AH6099" s="10">
        <f t="shared" si="110"/>
        <v>15</v>
      </c>
    </row>
    <row r="6100" spans="11:34" ht="14.5" x14ac:dyDescent="0.35">
      <c r="K6100" s="4"/>
      <c r="AC6100" s="7">
        <v>2022</v>
      </c>
      <c r="AD6100" s="7">
        <v>9</v>
      </c>
      <c r="AE6100" s="7">
        <v>12</v>
      </c>
      <c r="AF6100" s="8">
        <v>8.3333333333333329E-2</v>
      </c>
      <c r="AG6100" s="9">
        <v>14.1</v>
      </c>
      <c r="AH6100" s="10">
        <f t="shared" si="110"/>
        <v>14</v>
      </c>
    </row>
    <row r="6101" spans="11:34" ht="14.5" x14ac:dyDescent="0.35">
      <c r="K6101" s="4"/>
      <c r="AC6101" s="7">
        <v>2022</v>
      </c>
      <c r="AD6101" s="7">
        <v>9</v>
      </c>
      <c r="AE6101" s="7">
        <v>12</v>
      </c>
      <c r="AF6101" s="8">
        <v>0.125</v>
      </c>
      <c r="AG6101" s="9">
        <v>13.8</v>
      </c>
      <c r="AH6101" s="10">
        <f t="shared" si="110"/>
        <v>14</v>
      </c>
    </row>
    <row r="6102" spans="11:34" ht="14.5" x14ac:dyDescent="0.35">
      <c r="K6102" s="4"/>
      <c r="AC6102" s="7">
        <v>2022</v>
      </c>
      <c r="AD6102" s="7">
        <v>9</v>
      </c>
      <c r="AE6102" s="7">
        <v>12</v>
      </c>
      <c r="AF6102" s="8">
        <v>0.16666666666666666</v>
      </c>
      <c r="AG6102" s="9">
        <v>13.2</v>
      </c>
      <c r="AH6102" s="10">
        <f t="shared" si="110"/>
        <v>13</v>
      </c>
    </row>
    <row r="6103" spans="11:34" ht="14.5" x14ac:dyDescent="0.35">
      <c r="K6103" s="4"/>
      <c r="AC6103" s="7">
        <v>2022</v>
      </c>
      <c r="AD6103" s="7">
        <v>9</v>
      </c>
      <c r="AE6103" s="7">
        <v>12</v>
      </c>
      <c r="AF6103" s="8">
        <v>0.20833333333333334</v>
      </c>
      <c r="AG6103" s="9">
        <v>12.1</v>
      </c>
      <c r="AH6103" s="10">
        <f t="shared" si="110"/>
        <v>12</v>
      </c>
    </row>
    <row r="6104" spans="11:34" ht="14.5" x14ac:dyDescent="0.35">
      <c r="K6104" s="4"/>
      <c r="AC6104" s="7">
        <v>2022</v>
      </c>
      <c r="AD6104" s="7">
        <v>9</v>
      </c>
      <c r="AE6104" s="7">
        <v>12</v>
      </c>
      <c r="AF6104" s="8">
        <v>0.25</v>
      </c>
      <c r="AG6104" s="9">
        <v>11.2</v>
      </c>
      <c r="AH6104" s="10">
        <f t="shared" si="110"/>
        <v>11</v>
      </c>
    </row>
    <row r="6105" spans="11:34" ht="14.5" x14ac:dyDescent="0.35">
      <c r="K6105" s="4"/>
      <c r="AC6105" s="7">
        <v>2022</v>
      </c>
      <c r="AD6105" s="7">
        <v>9</v>
      </c>
      <c r="AE6105" s="7">
        <v>12</v>
      </c>
      <c r="AF6105" s="8">
        <v>0.29166666666666669</v>
      </c>
      <c r="AG6105" s="9">
        <v>10.9</v>
      </c>
      <c r="AH6105" s="10">
        <f t="shared" si="110"/>
        <v>11</v>
      </c>
    </row>
    <row r="6106" spans="11:34" ht="14.5" x14ac:dyDescent="0.35">
      <c r="K6106" s="4"/>
      <c r="AC6106" s="7">
        <v>2022</v>
      </c>
      <c r="AD6106" s="7">
        <v>9</v>
      </c>
      <c r="AE6106" s="7">
        <v>12</v>
      </c>
      <c r="AF6106" s="8">
        <v>0.33333333333333331</v>
      </c>
      <c r="AG6106" s="9">
        <v>12.5</v>
      </c>
      <c r="AH6106" s="10">
        <f t="shared" si="110"/>
        <v>13</v>
      </c>
    </row>
    <row r="6107" spans="11:34" ht="14.5" x14ac:dyDescent="0.35">
      <c r="K6107" s="4"/>
      <c r="AC6107" s="7">
        <v>2022</v>
      </c>
      <c r="AD6107" s="7">
        <v>9</v>
      </c>
      <c r="AE6107" s="7">
        <v>12</v>
      </c>
      <c r="AF6107" s="8">
        <v>0.375</v>
      </c>
      <c r="AG6107" s="9">
        <v>13.5</v>
      </c>
      <c r="AH6107" s="10">
        <f t="shared" si="110"/>
        <v>14</v>
      </c>
    </row>
    <row r="6108" spans="11:34" ht="14.5" x14ac:dyDescent="0.35">
      <c r="K6108" s="4"/>
      <c r="AC6108" s="7">
        <v>2022</v>
      </c>
      <c r="AD6108" s="7">
        <v>9</v>
      </c>
      <c r="AE6108" s="7">
        <v>12</v>
      </c>
      <c r="AF6108" s="8">
        <v>0.41666666666666669</v>
      </c>
      <c r="AG6108" s="9">
        <v>14.9</v>
      </c>
      <c r="AH6108" s="10">
        <f t="shared" si="110"/>
        <v>15</v>
      </c>
    </row>
    <row r="6109" spans="11:34" ht="14.5" x14ac:dyDescent="0.35">
      <c r="K6109" s="4"/>
      <c r="AC6109" s="7">
        <v>2022</v>
      </c>
      <c r="AD6109" s="7">
        <v>9</v>
      </c>
      <c r="AE6109" s="7">
        <v>12</v>
      </c>
      <c r="AF6109" s="8">
        <v>0.45833333333333331</v>
      </c>
      <c r="AG6109" s="9">
        <v>15.7</v>
      </c>
      <c r="AH6109" s="10">
        <f t="shared" si="110"/>
        <v>16</v>
      </c>
    </row>
    <row r="6110" spans="11:34" ht="14.5" x14ac:dyDescent="0.35">
      <c r="K6110" s="4"/>
      <c r="AC6110" s="7">
        <v>2022</v>
      </c>
      <c r="AD6110" s="7">
        <v>9</v>
      </c>
      <c r="AE6110" s="7">
        <v>12</v>
      </c>
      <c r="AF6110" s="8">
        <v>0.5</v>
      </c>
      <c r="AG6110" s="9">
        <v>16.7</v>
      </c>
      <c r="AH6110" s="10">
        <f t="shared" si="110"/>
        <v>17</v>
      </c>
    </row>
    <row r="6111" spans="11:34" ht="14.5" x14ac:dyDescent="0.35">
      <c r="K6111" s="4"/>
      <c r="AC6111" s="7">
        <v>2022</v>
      </c>
      <c r="AD6111" s="7">
        <v>9</v>
      </c>
      <c r="AE6111" s="7">
        <v>12</v>
      </c>
      <c r="AF6111" s="8">
        <v>0.54166666666666663</v>
      </c>
      <c r="AG6111" s="9">
        <v>17.899999999999999</v>
      </c>
      <c r="AH6111" s="10">
        <f t="shared" si="110"/>
        <v>18</v>
      </c>
    </row>
    <row r="6112" spans="11:34" ht="14.5" x14ac:dyDescent="0.35">
      <c r="K6112" s="4"/>
      <c r="AC6112" s="7">
        <v>2022</v>
      </c>
      <c r="AD6112" s="7">
        <v>9</v>
      </c>
      <c r="AE6112" s="7">
        <v>12</v>
      </c>
      <c r="AF6112" s="8">
        <v>0.58333333333333337</v>
      </c>
      <c r="AG6112" s="9">
        <v>19.8</v>
      </c>
      <c r="AH6112" s="10">
        <f t="shared" si="110"/>
        <v>20</v>
      </c>
    </row>
    <row r="6113" spans="11:34" ht="14.5" x14ac:dyDescent="0.35">
      <c r="K6113" s="4"/>
      <c r="AC6113" s="7">
        <v>2022</v>
      </c>
      <c r="AD6113" s="7">
        <v>9</v>
      </c>
      <c r="AE6113" s="7">
        <v>12</v>
      </c>
      <c r="AF6113" s="8">
        <v>0.625</v>
      </c>
      <c r="AG6113" s="9">
        <v>19</v>
      </c>
      <c r="AH6113" s="10">
        <f t="shared" si="110"/>
        <v>19</v>
      </c>
    </row>
    <row r="6114" spans="11:34" ht="14.5" x14ac:dyDescent="0.35">
      <c r="K6114" s="4"/>
      <c r="AC6114" s="7">
        <v>2022</v>
      </c>
      <c r="AD6114" s="7">
        <v>9</v>
      </c>
      <c r="AE6114" s="7">
        <v>12</v>
      </c>
      <c r="AF6114" s="8">
        <v>0.66666666666666663</v>
      </c>
      <c r="AG6114" s="9">
        <v>19.8</v>
      </c>
      <c r="AH6114" s="10">
        <f t="shared" si="110"/>
        <v>20</v>
      </c>
    </row>
    <row r="6115" spans="11:34" ht="14.5" x14ac:dyDescent="0.35">
      <c r="K6115" s="4"/>
      <c r="AC6115" s="7">
        <v>2022</v>
      </c>
      <c r="AD6115" s="7">
        <v>9</v>
      </c>
      <c r="AE6115" s="7">
        <v>12</v>
      </c>
      <c r="AF6115" s="8">
        <v>0.70833333333333337</v>
      </c>
      <c r="AG6115" s="9">
        <v>17.7</v>
      </c>
      <c r="AH6115" s="10">
        <f t="shared" si="110"/>
        <v>18</v>
      </c>
    </row>
    <row r="6116" spans="11:34" ht="14.5" x14ac:dyDescent="0.35">
      <c r="K6116" s="4"/>
      <c r="AC6116" s="7">
        <v>2022</v>
      </c>
      <c r="AD6116" s="7">
        <v>9</v>
      </c>
      <c r="AE6116" s="7">
        <v>12</v>
      </c>
      <c r="AF6116" s="8">
        <v>0.75</v>
      </c>
      <c r="AG6116" s="9">
        <v>15.7</v>
      </c>
      <c r="AH6116" s="10">
        <f t="shared" si="110"/>
        <v>16</v>
      </c>
    </row>
    <row r="6117" spans="11:34" ht="14.5" x14ac:dyDescent="0.35">
      <c r="K6117" s="4"/>
      <c r="AC6117" s="7">
        <v>2022</v>
      </c>
      <c r="AD6117" s="7">
        <v>9</v>
      </c>
      <c r="AE6117" s="7">
        <v>12</v>
      </c>
      <c r="AF6117" s="8">
        <v>0.79166666666666663</v>
      </c>
      <c r="AG6117" s="9">
        <v>15.1</v>
      </c>
      <c r="AH6117" s="10">
        <f t="shared" si="110"/>
        <v>15</v>
      </c>
    </row>
    <row r="6118" spans="11:34" ht="14.5" x14ac:dyDescent="0.35">
      <c r="K6118" s="4"/>
      <c r="AC6118" s="7">
        <v>2022</v>
      </c>
      <c r="AD6118" s="7">
        <v>9</v>
      </c>
      <c r="AE6118" s="7">
        <v>12</v>
      </c>
      <c r="AF6118" s="8">
        <v>0.83333333333333337</v>
      </c>
      <c r="AG6118" s="9">
        <v>15.2</v>
      </c>
      <c r="AH6118" s="10">
        <f t="shared" si="110"/>
        <v>15</v>
      </c>
    </row>
    <row r="6119" spans="11:34" ht="14.5" x14ac:dyDescent="0.35">
      <c r="K6119" s="4"/>
      <c r="AC6119" s="7">
        <v>2022</v>
      </c>
      <c r="AD6119" s="7">
        <v>9</v>
      </c>
      <c r="AE6119" s="7">
        <v>12</v>
      </c>
      <c r="AF6119" s="8">
        <v>0.875</v>
      </c>
      <c r="AG6119" s="9">
        <v>14.8</v>
      </c>
      <c r="AH6119" s="10">
        <f t="shared" si="110"/>
        <v>15</v>
      </c>
    </row>
    <row r="6120" spans="11:34" ht="14.5" x14ac:dyDescent="0.35">
      <c r="K6120" s="4"/>
      <c r="AC6120" s="7">
        <v>2022</v>
      </c>
      <c r="AD6120" s="7">
        <v>9</v>
      </c>
      <c r="AE6120" s="7">
        <v>12</v>
      </c>
      <c r="AF6120" s="8">
        <v>0.91666666666666663</v>
      </c>
      <c r="AG6120" s="9">
        <v>14.7</v>
      </c>
      <c r="AH6120" s="10">
        <f t="shared" si="110"/>
        <v>15</v>
      </c>
    </row>
    <row r="6121" spans="11:34" ht="14.5" x14ac:dyDescent="0.35">
      <c r="K6121" s="4"/>
      <c r="AC6121" s="7">
        <v>2022</v>
      </c>
      <c r="AD6121" s="7">
        <v>9</v>
      </c>
      <c r="AE6121" s="7">
        <v>12</v>
      </c>
      <c r="AF6121" s="8">
        <v>0.95833333333333337</v>
      </c>
      <c r="AG6121" s="9">
        <v>15.2</v>
      </c>
      <c r="AH6121" s="10">
        <f t="shared" si="110"/>
        <v>15</v>
      </c>
    </row>
    <row r="6122" spans="11:34" ht="14.5" x14ac:dyDescent="0.35">
      <c r="K6122" s="4"/>
      <c r="AC6122" s="7">
        <v>2022</v>
      </c>
      <c r="AD6122" s="7">
        <v>9</v>
      </c>
      <c r="AE6122" s="7">
        <v>13</v>
      </c>
      <c r="AF6122" s="8">
        <v>0</v>
      </c>
      <c r="AG6122" s="9">
        <v>15.1</v>
      </c>
      <c r="AH6122" s="10">
        <f t="shared" si="110"/>
        <v>15</v>
      </c>
    </row>
    <row r="6123" spans="11:34" ht="14.5" x14ac:dyDescent="0.35">
      <c r="K6123" s="4"/>
      <c r="AC6123" s="7">
        <v>2022</v>
      </c>
      <c r="AD6123" s="7">
        <v>9</v>
      </c>
      <c r="AE6123" s="7">
        <v>13</v>
      </c>
      <c r="AF6123" s="8">
        <v>4.1666666666666664E-2</v>
      </c>
      <c r="AG6123" s="9">
        <v>14.2</v>
      </c>
      <c r="AH6123" s="10">
        <f t="shared" si="110"/>
        <v>14</v>
      </c>
    </row>
    <row r="6124" spans="11:34" ht="14.5" x14ac:dyDescent="0.35">
      <c r="K6124" s="4"/>
      <c r="AC6124" s="7">
        <v>2022</v>
      </c>
      <c r="AD6124" s="7">
        <v>9</v>
      </c>
      <c r="AE6124" s="7">
        <v>13</v>
      </c>
      <c r="AF6124" s="8">
        <v>8.3333333333333329E-2</v>
      </c>
      <c r="AG6124" s="9">
        <v>14.3</v>
      </c>
      <c r="AH6124" s="10">
        <f t="shared" si="110"/>
        <v>14</v>
      </c>
    </row>
    <row r="6125" spans="11:34" ht="14.5" x14ac:dyDescent="0.35">
      <c r="K6125" s="4"/>
      <c r="AC6125" s="7">
        <v>2022</v>
      </c>
      <c r="AD6125" s="7">
        <v>9</v>
      </c>
      <c r="AE6125" s="7">
        <v>13</v>
      </c>
      <c r="AF6125" s="8">
        <v>0.125</v>
      </c>
      <c r="AG6125" s="9">
        <v>14.5</v>
      </c>
      <c r="AH6125" s="10">
        <f t="shared" si="110"/>
        <v>15</v>
      </c>
    </row>
    <row r="6126" spans="11:34" ht="14.5" x14ac:dyDescent="0.35">
      <c r="K6126" s="4"/>
      <c r="AC6126" s="7">
        <v>2022</v>
      </c>
      <c r="AD6126" s="7">
        <v>9</v>
      </c>
      <c r="AE6126" s="7">
        <v>13</v>
      </c>
      <c r="AF6126" s="8">
        <v>0.16666666666666666</v>
      </c>
      <c r="AG6126" s="9">
        <v>14.5</v>
      </c>
      <c r="AH6126" s="10">
        <f t="shared" si="110"/>
        <v>15</v>
      </c>
    </row>
    <row r="6127" spans="11:34" ht="14.5" x14ac:dyDescent="0.35">
      <c r="K6127" s="4"/>
      <c r="AC6127" s="7">
        <v>2022</v>
      </c>
      <c r="AD6127" s="7">
        <v>9</v>
      </c>
      <c r="AE6127" s="7">
        <v>13</v>
      </c>
      <c r="AF6127" s="8">
        <v>0.20833333333333334</v>
      </c>
      <c r="AG6127" s="9">
        <v>13.5</v>
      </c>
      <c r="AH6127" s="10">
        <f t="shared" si="110"/>
        <v>14</v>
      </c>
    </row>
    <row r="6128" spans="11:34" ht="14.5" x14ac:dyDescent="0.35">
      <c r="K6128" s="4"/>
      <c r="AC6128" s="7">
        <v>2022</v>
      </c>
      <c r="AD6128" s="7">
        <v>9</v>
      </c>
      <c r="AE6128" s="7">
        <v>13</v>
      </c>
      <c r="AF6128" s="8">
        <v>0.25</v>
      </c>
      <c r="AG6128" s="9">
        <v>14</v>
      </c>
      <c r="AH6128" s="10">
        <f t="shared" si="110"/>
        <v>14</v>
      </c>
    </row>
    <row r="6129" spans="11:34" ht="14.5" x14ac:dyDescent="0.35">
      <c r="K6129" s="4"/>
      <c r="AC6129" s="7">
        <v>2022</v>
      </c>
      <c r="AD6129" s="7">
        <v>9</v>
      </c>
      <c r="AE6129" s="7">
        <v>13</v>
      </c>
      <c r="AF6129" s="8">
        <v>0.29166666666666669</v>
      </c>
      <c r="AG6129" s="9">
        <v>13</v>
      </c>
      <c r="AH6129" s="10">
        <f t="shared" si="110"/>
        <v>13</v>
      </c>
    </row>
    <row r="6130" spans="11:34" ht="14.5" x14ac:dyDescent="0.35">
      <c r="K6130" s="4"/>
      <c r="AC6130" s="7">
        <v>2022</v>
      </c>
      <c r="AD6130" s="7">
        <v>9</v>
      </c>
      <c r="AE6130" s="7">
        <v>13</v>
      </c>
      <c r="AF6130" s="8">
        <v>0.33333333333333331</v>
      </c>
      <c r="AG6130" s="9">
        <v>13.3</v>
      </c>
      <c r="AH6130" s="10">
        <f t="shared" si="110"/>
        <v>13</v>
      </c>
    </row>
    <row r="6131" spans="11:34" ht="14.5" x14ac:dyDescent="0.35">
      <c r="K6131" s="4"/>
      <c r="AC6131" s="7">
        <v>2022</v>
      </c>
      <c r="AD6131" s="7">
        <v>9</v>
      </c>
      <c r="AE6131" s="7">
        <v>13</v>
      </c>
      <c r="AF6131" s="8">
        <v>0.375</v>
      </c>
      <c r="AG6131" s="9">
        <v>13.5</v>
      </c>
      <c r="AH6131" s="10">
        <f t="shared" si="110"/>
        <v>14</v>
      </c>
    </row>
    <row r="6132" spans="11:34" ht="14.5" x14ac:dyDescent="0.35">
      <c r="K6132" s="4"/>
      <c r="AC6132" s="7">
        <v>2022</v>
      </c>
      <c r="AD6132" s="7">
        <v>9</v>
      </c>
      <c r="AE6132" s="7">
        <v>13</v>
      </c>
      <c r="AF6132" s="8">
        <v>0.41666666666666669</v>
      </c>
      <c r="AG6132" s="9">
        <v>13.8</v>
      </c>
      <c r="AH6132" s="10">
        <f t="shared" si="110"/>
        <v>14</v>
      </c>
    </row>
    <row r="6133" spans="11:34" ht="14.5" x14ac:dyDescent="0.35">
      <c r="K6133" s="4"/>
      <c r="AC6133" s="7">
        <v>2022</v>
      </c>
      <c r="AD6133" s="7">
        <v>9</v>
      </c>
      <c r="AE6133" s="7">
        <v>13</v>
      </c>
      <c r="AF6133" s="8">
        <v>0.45833333333333331</v>
      </c>
      <c r="AG6133" s="9">
        <v>15.3</v>
      </c>
      <c r="AH6133" s="10">
        <f t="shared" si="110"/>
        <v>15</v>
      </c>
    </row>
    <row r="6134" spans="11:34" ht="14.5" x14ac:dyDescent="0.35">
      <c r="K6134" s="4"/>
      <c r="AC6134" s="7">
        <v>2022</v>
      </c>
      <c r="AD6134" s="7">
        <v>9</v>
      </c>
      <c r="AE6134" s="7">
        <v>13</v>
      </c>
      <c r="AF6134" s="8">
        <v>0.5</v>
      </c>
      <c r="AG6134" s="9">
        <v>17.100000000000001</v>
      </c>
      <c r="AH6134" s="10">
        <f t="shared" si="110"/>
        <v>17</v>
      </c>
    </row>
    <row r="6135" spans="11:34" ht="14.5" x14ac:dyDescent="0.35">
      <c r="K6135" s="4"/>
      <c r="AC6135" s="7">
        <v>2022</v>
      </c>
      <c r="AD6135" s="7">
        <v>9</v>
      </c>
      <c r="AE6135" s="7">
        <v>13</v>
      </c>
      <c r="AF6135" s="8">
        <v>0.54166666666666663</v>
      </c>
      <c r="AG6135" s="9">
        <v>18.5</v>
      </c>
      <c r="AH6135" s="10">
        <f t="shared" si="110"/>
        <v>19</v>
      </c>
    </row>
    <row r="6136" spans="11:34" ht="14.5" x14ac:dyDescent="0.35">
      <c r="K6136" s="4"/>
      <c r="AC6136" s="7">
        <v>2022</v>
      </c>
      <c r="AD6136" s="7">
        <v>9</v>
      </c>
      <c r="AE6136" s="7">
        <v>13</v>
      </c>
      <c r="AF6136" s="8">
        <v>0.58333333333333337</v>
      </c>
      <c r="AG6136" s="9">
        <v>18.7</v>
      </c>
      <c r="AH6136" s="10">
        <f t="shared" si="110"/>
        <v>19</v>
      </c>
    </row>
    <row r="6137" spans="11:34" ht="14.5" x14ac:dyDescent="0.35">
      <c r="K6137" s="4"/>
      <c r="AC6137" s="7">
        <v>2022</v>
      </c>
      <c r="AD6137" s="7">
        <v>9</v>
      </c>
      <c r="AE6137" s="7">
        <v>13</v>
      </c>
      <c r="AF6137" s="8">
        <v>0.625</v>
      </c>
      <c r="AG6137" s="9">
        <v>19.2</v>
      </c>
      <c r="AH6137" s="10">
        <f t="shared" si="110"/>
        <v>19</v>
      </c>
    </row>
    <row r="6138" spans="11:34" ht="14.5" x14ac:dyDescent="0.35">
      <c r="K6138" s="4"/>
      <c r="AC6138" s="7">
        <v>2022</v>
      </c>
      <c r="AD6138" s="7">
        <v>9</v>
      </c>
      <c r="AE6138" s="7">
        <v>13</v>
      </c>
      <c r="AF6138" s="8">
        <v>0.66666666666666663</v>
      </c>
      <c r="AG6138" s="9">
        <v>18.3</v>
      </c>
      <c r="AH6138" s="10">
        <f t="shared" si="110"/>
        <v>18</v>
      </c>
    </row>
    <row r="6139" spans="11:34" ht="14.5" x14ac:dyDescent="0.35">
      <c r="K6139" s="4"/>
      <c r="AC6139" s="7">
        <v>2022</v>
      </c>
      <c r="AD6139" s="7">
        <v>9</v>
      </c>
      <c r="AE6139" s="7">
        <v>13</v>
      </c>
      <c r="AF6139" s="8">
        <v>0.70833333333333337</v>
      </c>
      <c r="AG6139" s="9">
        <v>18</v>
      </c>
      <c r="AH6139" s="10">
        <f t="shared" si="110"/>
        <v>18</v>
      </c>
    </row>
    <row r="6140" spans="11:34" ht="14.5" x14ac:dyDescent="0.35">
      <c r="K6140" s="4"/>
      <c r="AC6140" s="7">
        <v>2022</v>
      </c>
      <c r="AD6140" s="7">
        <v>9</v>
      </c>
      <c r="AE6140" s="7">
        <v>13</v>
      </c>
      <c r="AF6140" s="8">
        <v>0.75</v>
      </c>
      <c r="AG6140" s="9">
        <v>18.3</v>
      </c>
      <c r="AH6140" s="10">
        <f t="shared" si="110"/>
        <v>18</v>
      </c>
    </row>
    <row r="6141" spans="11:34" ht="14.5" x14ac:dyDescent="0.35">
      <c r="K6141" s="4"/>
      <c r="AC6141" s="7">
        <v>2022</v>
      </c>
      <c r="AD6141" s="7">
        <v>9</v>
      </c>
      <c r="AE6141" s="7">
        <v>13</v>
      </c>
      <c r="AF6141" s="8">
        <v>0.79166666666666663</v>
      </c>
      <c r="AG6141" s="9">
        <v>15.3</v>
      </c>
      <c r="AH6141" s="10">
        <f t="shared" si="110"/>
        <v>15</v>
      </c>
    </row>
    <row r="6142" spans="11:34" ht="14.5" x14ac:dyDescent="0.35">
      <c r="K6142" s="4"/>
      <c r="AC6142" s="7">
        <v>2022</v>
      </c>
      <c r="AD6142" s="7">
        <v>9</v>
      </c>
      <c r="AE6142" s="7">
        <v>13</v>
      </c>
      <c r="AF6142" s="8">
        <v>0.83333333333333337</v>
      </c>
      <c r="AG6142" s="9">
        <v>13.5</v>
      </c>
      <c r="AH6142" s="10">
        <f t="shared" si="110"/>
        <v>14</v>
      </c>
    </row>
    <row r="6143" spans="11:34" ht="14.5" x14ac:dyDescent="0.35">
      <c r="K6143" s="4"/>
      <c r="AC6143" s="7">
        <v>2022</v>
      </c>
      <c r="AD6143" s="7">
        <v>9</v>
      </c>
      <c r="AE6143" s="7">
        <v>13</v>
      </c>
      <c r="AF6143" s="8">
        <v>0.875</v>
      </c>
      <c r="AG6143" s="9">
        <v>11.8</v>
      </c>
      <c r="AH6143" s="10">
        <f t="shared" si="110"/>
        <v>12</v>
      </c>
    </row>
    <row r="6144" spans="11:34" ht="14.5" x14ac:dyDescent="0.35">
      <c r="K6144" s="4"/>
      <c r="AC6144" s="7">
        <v>2022</v>
      </c>
      <c r="AD6144" s="7">
        <v>9</v>
      </c>
      <c r="AE6144" s="7">
        <v>13</v>
      </c>
      <c r="AF6144" s="8">
        <v>0.91666666666666663</v>
      </c>
      <c r="AG6144" s="9">
        <v>9.8000000000000007</v>
      </c>
      <c r="AH6144" s="10">
        <f t="shared" si="110"/>
        <v>10</v>
      </c>
    </row>
    <row r="6145" spans="11:34" ht="14.5" x14ac:dyDescent="0.35">
      <c r="K6145" s="4"/>
      <c r="AC6145" s="7">
        <v>2022</v>
      </c>
      <c r="AD6145" s="7">
        <v>9</v>
      </c>
      <c r="AE6145" s="7">
        <v>13</v>
      </c>
      <c r="AF6145" s="8">
        <v>0.95833333333333337</v>
      </c>
      <c r="AG6145" s="9">
        <v>10</v>
      </c>
      <c r="AH6145" s="10">
        <f t="shared" si="110"/>
        <v>10</v>
      </c>
    </row>
    <row r="6146" spans="11:34" ht="14.5" x14ac:dyDescent="0.35">
      <c r="K6146" s="4"/>
      <c r="AC6146" s="7">
        <v>2022</v>
      </c>
      <c r="AD6146" s="7">
        <v>9</v>
      </c>
      <c r="AE6146" s="7">
        <v>14</v>
      </c>
      <c r="AF6146" s="8">
        <v>0</v>
      </c>
      <c r="AG6146" s="9">
        <v>9.4</v>
      </c>
      <c r="AH6146" s="10">
        <f t="shared" si="110"/>
        <v>9</v>
      </c>
    </row>
    <row r="6147" spans="11:34" ht="14.5" x14ac:dyDescent="0.35">
      <c r="K6147" s="4"/>
      <c r="AC6147" s="7">
        <v>2022</v>
      </c>
      <c r="AD6147" s="7">
        <v>9</v>
      </c>
      <c r="AE6147" s="7">
        <v>14</v>
      </c>
      <c r="AF6147" s="8">
        <v>4.1666666666666664E-2</v>
      </c>
      <c r="AG6147" s="9">
        <v>10.1</v>
      </c>
      <c r="AH6147" s="10">
        <f t="shared" si="110"/>
        <v>10</v>
      </c>
    </row>
    <row r="6148" spans="11:34" ht="14.5" x14ac:dyDescent="0.35">
      <c r="K6148" s="4"/>
      <c r="AC6148" s="7">
        <v>2022</v>
      </c>
      <c r="AD6148" s="7">
        <v>9</v>
      </c>
      <c r="AE6148" s="7">
        <v>14</v>
      </c>
      <c r="AF6148" s="8">
        <v>8.3333333333333329E-2</v>
      </c>
      <c r="AG6148" s="9">
        <v>11.5</v>
      </c>
      <c r="AH6148" s="10">
        <f t="shared" si="110"/>
        <v>12</v>
      </c>
    </row>
    <row r="6149" spans="11:34" ht="14.5" x14ac:dyDescent="0.35">
      <c r="K6149" s="4"/>
      <c r="AC6149" s="7">
        <v>2022</v>
      </c>
      <c r="AD6149" s="7">
        <v>9</v>
      </c>
      <c r="AE6149" s="7">
        <v>14</v>
      </c>
      <c r="AF6149" s="8">
        <v>0.125</v>
      </c>
      <c r="AG6149" s="9">
        <v>10.5</v>
      </c>
      <c r="AH6149" s="10">
        <f t="shared" si="110"/>
        <v>11</v>
      </c>
    </row>
    <row r="6150" spans="11:34" ht="14.5" x14ac:dyDescent="0.35">
      <c r="K6150" s="4"/>
      <c r="AC6150" s="7">
        <v>2022</v>
      </c>
      <c r="AD6150" s="7">
        <v>9</v>
      </c>
      <c r="AE6150" s="7">
        <v>14</v>
      </c>
      <c r="AF6150" s="8">
        <v>0.16666666666666666</v>
      </c>
      <c r="AG6150" s="9">
        <v>11</v>
      </c>
      <c r="AH6150" s="10">
        <f t="shared" si="110"/>
        <v>11</v>
      </c>
    </row>
    <row r="6151" spans="11:34" ht="14.5" x14ac:dyDescent="0.35">
      <c r="K6151" s="4"/>
      <c r="AC6151" s="7">
        <v>2022</v>
      </c>
      <c r="AD6151" s="7">
        <v>9</v>
      </c>
      <c r="AE6151" s="7">
        <v>14</v>
      </c>
      <c r="AF6151" s="8">
        <v>0.20833333333333334</v>
      </c>
      <c r="AG6151" s="9">
        <v>12</v>
      </c>
      <c r="AH6151" s="10">
        <f t="shared" si="110"/>
        <v>12</v>
      </c>
    </row>
    <row r="6152" spans="11:34" ht="14.5" x14ac:dyDescent="0.35">
      <c r="K6152" s="4"/>
      <c r="AC6152" s="7">
        <v>2022</v>
      </c>
      <c r="AD6152" s="7">
        <v>9</v>
      </c>
      <c r="AE6152" s="7">
        <v>14</v>
      </c>
      <c r="AF6152" s="8">
        <v>0.25</v>
      </c>
      <c r="AG6152" s="9">
        <v>11.9</v>
      </c>
      <c r="AH6152" s="10">
        <f t="shared" si="110"/>
        <v>12</v>
      </c>
    </row>
    <row r="6153" spans="11:34" ht="14.5" x14ac:dyDescent="0.35">
      <c r="K6153" s="4"/>
      <c r="AC6153" s="7">
        <v>2022</v>
      </c>
      <c r="AD6153" s="7">
        <v>9</v>
      </c>
      <c r="AE6153" s="7">
        <v>14</v>
      </c>
      <c r="AF6153" s="8">
        <v>0.29166666666666669</v>
      </c>
      <c r="AG6153" s="9">
        <v>12.2</v>
      </c>
      <c r="AH6153" s="10">
        <f t="shared" si="110"/>
        <v>12</v>
      </c>
    </row>
    <row r="6154" spans="11:34" ht="14.5" x14ac:dyDescent="0.35">
      <c r="K6154" s="4"/>
      <c r="AC6154" s="7">
        <v>2022</v>
      </c>
      <c r="AD6154" s="7">
        <v>9</v>
      </c>
      <c r="AE6154" s="7">
        <v>14</v>
      </c>
      <c r="AF6154" s="8">
        <v>0.33333333333333331</v>
      </c>
      <c r="AG6154" s="9">
        <v>13.1</v>
      </c>
      <c r="AH6154" s="10">
        <f t="shared" si="110"/>
        <v>13</v>
      </c>
    </row>
    <row r="6155" spans="11:34" ht="14.5" x14ac:dyDescent="0.35">
      <c r="K6155" s="4"/>
      <c r="AC6155" s="7">
        <v>2022</v>
      </c>
      <c r="AD6155" s="7">
        <v>9</v>
      </c>
      <c r="AE6155" s="7">
        <v>14</v>
      </c>
      <c r="AF6155" s="8">
        <v>0.375</v>
      </c>
      <c r="AG6155" s="9">
        <v>14.8</v>
      </c>
      <c r="AH6155" s="10">
        <f t="shared" ref="AH6155:AH6218" si="111">ROUND(AG6155,0)</f>
        <v>15</v>
      </c>
    </row>
    <row r="6156" spans="11:34" ht="14.5" x14ac:dyDescent="0.35">
      <c r="K6156" s="4"/>
      <c r="AC6156" s="7">
        <v>2022</v>
      </c>
      <c r="AD6156" s="7">
        <v>9</v>
      </c>
      <c r="AE6156" s="7">
        <v>14</v>
      </c>
      <c r="AF6156" s="8">
        <v>0.41666666666666669</v>
      </c>
      <c r="AG6156" s="9">
        <v>16</v>
      </c>
      <c r="AH6156" s="10">
        <f t="shared" si="111"/>
        <v>16</v>
      </c>
    </row>
    <row r="6157" spans="11:34" ht="14.5" x14ac:dyDescent="0.35">
      <c r="K6157" s="4"/>
      <c r="AC6157" s="7">
        <v>2022</v>
      </c>
      <c r="AD6157" s="7">
        <v>9</v>
      </c>
      <c r="AE6157" s="7">
        <v>14</v>
      </c>
      <c r="AF6157" s="8">
        <v>0.45833333333333331</v>
      </c>
      <c r="AG6157" s="9">
        <v>17.3</v>
      </c>
      <c r="AH6157" s="10">
        <f t="shared" si="111"/>
        <v>17</v>
      </c>
    </row>
    <row r="6158" spans="11:34" ht="14.5" x14ac:dyDescent="0.35">
      <c r="K6158" s="4"/>
      <c r="AC6158" s="7">
        <v>2022</v>
      </c>
      <c r="AD6158" s="7">
        <v>9</v>
      </c>
      <c r="AE6158" s="7">
        <v>14</v>
      </c>
      <c r="AF6158" s="8">
        <v>0.5</v>
      </c>
      <c r="AG6158" s="9">
        <v>18.600000000000001</v>
      </c>
      <c r="AH6158" s="10">
        <f t="shared" si="111"/>
        <v>19</v>
      </c>
    </row>
    <row r="6159" spans="11:34" ht="14.5" x14ac:dyDescent="0.35">
      <c r="K6159" s="4"/>
      <c r="AC6159" s="7">
        <v>2022</v>
      </c>
      <c r="AD6159" s="7">
        <v>9</v>
      </c>
      <c r="AE6159" s="7">
        <v>14</v>
      </c>
      <c r="AF6159" s="8">
        <v>0.54166666666666663</v>
      </c>
      <c r="AG6159" s="9">
        <v>19.7</v>
      </c>
      <c r="AH6159" s="10">
        <f t="shared" si="111"/>
        <v>20</v>
      </c>
    </row>
    <row r="6160" spans="11:34" ht="14.5" x14ac:dyDescent="0.35">
      <c r="K6160" s="4"/>
      <c r="AC6160" s="7">
        <v>2022</v>
      </c>
      <c r="AD6160" s="7">
        <v>9</v>
      </c>
      <c r="AE6160" s="7">
        <v>14</v>
      </c>
      <c r="AF6160" s="8">
        <v>0.58333333333333337</v>
      </c>
      <c r="AG6160" s="9">
        <v>20.399999999999999</v>
      </c>
      <c r="AH6160" s="10">
        <f t="shared" si="111"/>
        <v>20</v>
      </c>
    </row>
    <row r="6161" spans="11:34" ht="14.5" x14ac:dyDescent="0.35">
      <c r="K6161" s="4"/>
      <c r="AC6161" s="7">
        <v>2022</v>
      </c>
      <c r="AD6161" s="7">
        <v>9</v>
      </c>
      <c r="AE6161" s="7">
        <v>14</v>
      </c>
      <c r="AF6161" s="8">
        <v>0.625</v>
      </c>
      <c r="AG6161" s="9">
        <v>19.5</v>
      </c>
      <c r="AH6161" s="10">
        <f t="shared" si="111"/>
        <v>20</v>
      </c>
    </row>
    <row r="6162" spans="11:34" ht="14.5" x14ac:dyDescent="0.35">
      <c r="K6162" s="4"/>
      <c r="AC6162" s="7">
        <v>2022</v>
      </c>
      <c r="AD6162" s="7">
        <v>9</v>
      </c>
      <c r="AE6162" s="7">
        <v>14</v>
      </c>
      <c r="AF6162" s="8">
        <v>0.66666666666666663</v>
      </c>
      <c r="AG6162" s="9">
        <v>20.100000000000001</v>
      </c>
      <c r="AH6162" s="10">
        <f t="shared" si="111"/>
        <v>20</v>
      </c>
    </row>
    <row r="6163" spans="11:34" ht="14.5" x14ac:dyDescent="0.35">
      <c r="K6163" s="4"/>
      <c r="AC6163" s="7">
        <v>2022</v>
      </c>
      <c r="AD6163" s="7">
        <v>9</v>
      </c>
      <c r="AE6163" s="7">
        <v>14</v>
      </c>
      <c r="AF6163" s="8">
        <v>0.70833333333333337</v>
      </c>
      <c r="AG6163" s="9">
        <v>18.899999999999999</v>
      </c>
      <c r="AH6163" s="10">
        <f t="shared" si="111"/>
        <v>19</v>
      </c>
    </row>
    <row r="6164" spans="11:34" ht="14.5" x14ac:dyDescent="0.35">
      <c r="K6164" s="4"/>
      <c r="AC6164" s="7">
        <v>2022</v>
      </c>
      <c r="AD6164" s="7">
        <v>9</v>
      </c>
      <c r="AE6164" s="7">
        <v>14</v>
      </c>
      <c r="AF6164" s="8">
        <v>0.75</v>
      </c>
      <c r="AG6164" s="9">
        <v>18.399999999999999</v>
      </c>
      <c r="AH6164" s="10">
        <f t="shared" si="111"/>
        <v>18</v>
      </c>
    </row>
    <row r="6165" spans="11:34" ht="14.5" x14ac:dyDescent="0.35">
      <c r="K6165" s="4"/>
      <c r="AC6165" s="7">
        <v>2022</v>
      </c>
      <c r="AD6165" s="7">
        <v>9</v>
      </c>
      <c r="AE6165" s="7">
        <v>14</v>
      </c>
      <c r="AF6165" s="8">
        <v>0.79166666666666663</v>
      </c>
      <c r="AG6165" s="9">
        <v>16.399999999999999</v>
      </c>
      <c r="AH6165" s="10">
        <f t="shared" si="111"/>
        <v>16</v>
      </c>
    </row>
    <row r="6166" spans="11:34" ht="14.5" x14ac:dyDescent="0.35">
      <c r="K6166" s="4"/>
      <c r="AC6166" s="7">
        <v>2022</v>
      </c>
      <c r="AD6166" s="7">
        <v>9</v>
      </c>
      <c r="AE6166" s="7">
        <v>14</v>
      </c>
      <c r="AF6166" s="8">
        <v>0.83333333333333337</v>
      </c>
      <c r="AG6166" s="9">
        <v>15.3</v>
      </c>
      <c r="AH6166" s="10">
        <f t="shared" si="111"/>
        <v>15</v>
      </c>
    </row>
    <row r="6167" spans="11:34" ht="14.5" x14ac:dyDescent="0.35">
      <c r="K6167" s="4"/>
      <c r="AC6167" s="7">
        <v>2022</v>
      </c>
      <c r="AD6167" s="7">
        <v>9</v>
      </c>
      <c r="AE6167" s="7">
        <v>14</v>
      </c>
      <c r="AF6167" s="8">
        <v>0.875</v>
      </c>
      <c r="AG6167" s="9">
        <v>14</v>
      </c>
      <c r="AH6167" s="10">
        <f t="shared" si="111"/>
        <v>14</v>
      </c>
    </row>
    <row r="6168" spans="11:34" ht="14.5" x14ac:dyDescent="0.35">
      <c r="K6168" s="4"/>
      <c r="AC6168" s="7">
        <v>2022</v>
      </c>
      <c r="AD6168" s="7">
        <v>9</v>
      </c>
      <c r="AE6168" s="7">
        <v>14</v>
      </c>
      <c r="AF6168" s="8">
        <v>0.91666666666666663</v>
      </c>
      <c r="AG6168" s="9">
        <v>12.7</v>
      </c>
      <c r="AH6168" s="10">
        <f t="shared" si="111"/>
        <v>13</v>
      </c>
    </row>
    <row r="6169" spans="11:34" ht="14.5" x14ac:dyDescent="0.35">
      <c r="K6169" s="4"/>
      <c r="AC6169" s="7">
        <v>2022</v>
      </c>
      <c r="AD6169" s="7">
        <v>9</v>
      </c>
      <c r="AE6169" s="7">
        <v>14</v>
      </c>
      <c r="AF6169" s="8">
        <v>0.95833333333333337</v>
      </c>
      <c r="AG6169" s="9">
        <v>12.2</v>
      </c>
      <c r="AH6169" s="10">
        <f t="shared" si="111"/>
        <v>12</v>
      </c>
    </row>
    <row r="6170" spans="11:34" ht="14.5" x14ac:dyDescent="0.35">
      <c r="K6170" s="4"/>
      <c r="AC6170" s="7">
        <v>2022</v>
      </c>
      <c r="AD6170" s="7">
        <v>9</v>
      </c>
      <c r="AE6170" s="7">
        <v>15</v>
      </c>
      <c r="AF6170" s="8">
        <v>0</v>
      </c>
      <c r="AG6170" s="9">
        <v>11</v>
      </c>
      <c r="AH6170" s="10">
        <f t="shared" si="111"/>
        <v>11</v>
      </c>
    </row>
    <row r="6171" spans="11:34" ht="14.5" x14ac:dyDescent="0.35">
      <c r="K6171" s="4"/>
      <c r="AC6171" s="7">
        <v>2022</v>
      </c>
      <c r="AD6171" s="7">
        <v>9</v>
      </c>
      <c r="AE6171" s="7">
        <v>15</v>
      </c>
      <c r="AF6171" s="8">
        <v>4.1666666666666664E-2</v>
      </c>
      <c r="AG6171" s="9">
        <v>9.3000000000000007</v>
      </c>
      <c r="AH6171" s="10">
        <f t="shared" si="111"/>
        <v>9</v>
      </c>
    </row>
    <row r="6172" spans="11:34" ht="14.5" x14ac:dyDescent="0.35">
      <c r="K6172" s="4"/>
      <c r="AC6172" s="7">
        <v>2022</v>
      </c>
      <c r="AD6172" s="7">
        <v>9</v>
      </c>
      <c r="AE6172" s="7">
        <v>15</v>
      </c>
      <c r="AF6172" s="8">
        <v>8.3333333333333329E-2</v>
      </c>
      <c r="AG6172" s="9">
        <v>8.6</v>
      </c>
      <c r="AH6172" s="10">
        <f t="shared" si="111"/>
        <v>9</v>
      </c>
    </row>
    <row r="6173" spans="11:34" ht="14.5" x14ac:dyDescent="0.35">
      <c r="K6173" s="4"/>
      <c r="AC6173" s="7">
        <v>2022</v>
      </c>
      <c r="AD6173" s="7">
        <v>9</v>
      </c>
      <c r="AE6173" s="7">
        <v>15</v>
      </c>
      <c r="AF6173" s="8">
        <v>0.125</v>
      </c>
      <c r="AG6173" s="9">
        <v>7.2</v>
      </c>
      <c r="AH6173" s="10">
        <f t="shared" si="111"/>
        <v>7</v>
      </c>
    </row>
    <row r="6174" spans="11:34" ht="14.5" x14ac:dyDescent="0.35">
      <c r="K6174" s="4"/>
      <c r="AC6174" s="7">
        <v>2022</v>
      </c>
      <c r="AD6174" s="7">
        <v>9</v>
      </c>
      <c r="AE6174" s="7">
        <v>15</v>
      </c>
      <c r="AF6174" s="8">
        <v>0.16666666666666666</v>
      </c>
      <c r="AG6174" s="9">
        <v>7.4</v>
      </c>
      <c r="AH6174" s="10">
        <f t="shared" si="111"/>
        <v>7</v>
      </c>
    </row>
    <row r="6175" spans="11:34" ht="14.5" x14ac:dyDescent="0.35">
      <c r="K6175" s="4"/>
      <c r="AC6175" s="7">
        <v>2022</v>
      </c>
      <c r="AD6175" s="7">
        <v>9</v>
      </c>
      <c r="AE6175" s="7">
        <v>15</v>
      </c>
      <c r="AF6175" s="8">
        <v>0.20833333333333334</v>
      </c>
      <c r="AG6175" s="9">
        <v>6.5</v>
      </c>
      <c r="AH6175" s="10">
        <f t="shared" si="111"/>
        <v>7</v>
      </c>
    </row>
    <row r="6176" spans="11:34" ht="14.5" x14ac:dyDescent="0.35">
      <c r="K6176" s="4"/>
      <c r="AC6176" s="7">
        <v>2022</v>
      </c>
      <c r="AD6176" s="7">
        <v>9</v>
      </c>
      <c r="AE6176" s="7">
        <v>15</v>
      </c>
      <c r="AF6176" s="8">
        <v>0.25</v>
      </c>
      <c r="AG6176" s="9">
        <v>6.4</v>
      </c>
      <c r="AH6176" s="10">
        <f t="shared" si="111"/>
        <v>6</v>
      </c>
    </row>
    <row r="6177" spans="11:34" ht="14.5" x14ac:dyDescent="0.35">
      <c r="K6177" s="4"/>
      <c r="AC6177" s="7">
        <v>2022</v>
      </c>
      <c r="AD6177" s="7">
        <v>9</v>
      </c>
      <c r="AE6177" s="7">
        <v>15</v>
      </c>
      <c r="AF6177" s="8">
        <v>0.29166666666666669</v>
      </c>
      <c r="AG6177" s="9">
        <v>7.8</v>
      </c>
      <c r="AH6177" s="10">
        <f t="shared" si="111"/>
        <v>8</v>
      </c>
    </row>
    <row r="6178" spans="11:34" ht="14.5" x14ac:dyDescent="0.35">
      <c r="K6178" s="4"/>
      <c r="AC6178" s="7">
        <v>2022</v>
      </c>
      <c r="AD6178" s="7">
        <v>9</v>
      </c>
      <c r="AE6178" s="7">
        <v>15</v>
      </c>
      <c r="AF6178" s="8">
        <v>0.33333333333333331</v>
      </c>
      <c r="AG6178" s="9">
        <v>9.8000000000000007</v>
      </c>
      <c r="AH6178" s="10">
        <f t="shared" si="111"/>
        <v>10</v>
      </c>
    </row>
    <row r="6179" spans="11:34" ht="14.5" x14ac:dyDescent="0.35">
      <c r="K6179" s="4"/>
      <c r="AC6179" s="7">
        <v>2022</v>
      </c>
      <c r="AD6179" s="7">
        <v>9</v>
      </c>
      <c r="AE6179" s="7">
        <v>15</v>
      </c>
      <c r="AF6179" s="8">
        <v>0.375</v>
      </c>
      <c r="AG6179" s="9">
        <v>12.9</v>
      </c>
      <c r="AH6179" s="10">
        <f t="shared" si="111"/>
        <v>13</v>
      </c>
    </row>
    <row r="6180" spans="11:34" ht="14.5" x14ac:dyDescent="0.35">
      <c r="K6180" s="4"/>
      <c r="AC6180" s="7">
        <v>2022</v>
      </c>
      <c r="AD6180" s="7">
        <v>9</v>
      </c>
      <c r="AE6180" s="7">
        <v>15</v>
      </c>
      <c r="AF6180" s="8">
        <v>0.41666666666666669</v>
      </c>
      <c r="AG6180" s="9">
        <v>15.1</v>
      </c>
      <c r="AH6180" s="10">
        <f t="shared" si="111"/>
        <v>15</v>
      </c>
    </row>
    <row r="6181" spans="11:34" ht="14.5" x14ac:dyDescent="0.35">
      <c r="K6181" s="4"/>
      <c r="AC6181" s="7">
        <v>2022</v>
      </c>
      <c r="AD6181" s="7">
        <v>9</v>
      </c>
      <c r="AE6181" s="7">
        <v>15</v>
      </c>
      <c r="AF6181" s="8">
        <v>0.45833333333333331</v>
      </c>
      <c r="AG6181" s="9">
        <v>18.8</v>
      </c>
      <c r="AH6181" s="10">
        <f t="shared" si="111"/>
        <v>19</v>
      </c>
    </row>
    <row r="6182" spans="11:34" ht="14.5" x14ac:dyDescent="0.35">
      <c r="K6182" s="4"/>
      <c r="AC6182" s="7">
        <v>2022</v>
      </c>
      <c r="AD6182" s="7">
        <v>9</v>
      </c>
      <c r="AE6182" s="7">
        <v>15</v>
      </c>
      <c r="AF6182" s="8">
        <v>0.5</v>
      </c>
      <c r="AG6182" s="9">
        <v>21.1</v>
      </c>
      <c r="AH6182" s="10">
        <f t="shared" si="111"/>
        <v>21</v>
      </c>
    </row>
    <row r="6183" spans="11:34" ht="14.5" x14ac:dyDescent="0.35">
      <c r="K6183" s="4"/>
      <c r="AC6183" s="7">
        <v>2022</v>
      </c>
      <c r="AD6183" s="7">
        <v>9</v>
      </c>
      <c r="AE6183" s="7">
        <v>15</v>
      </c>
      <c r="AF6183" s="8">
        <v>0.54166666666666663</v>
      </c>
      <c r="AG6183" s="9">
        <v>21.3</v>
      </c>
      <c r="AH6183" s="10">
        <f t="shared" si="111"/>
        <v>21</v>
      </c>
    </row>
    <row r="6184" spans="11:34" ht="14.5" x14ac:dyDescent="0.35">
      <c r="K6184" s="4"/>
      <c r="AC6184" s="7">
        <v>2022</v>
      </c>
      <c r="AD6184" s="7">
        <v>9</v>
      </c>
      <c r="AE6184" s="7">
        <v>15</v>
      </c>
      <c r="AF6184" s="8">
        <v>0.58333333333333337</v>
      </c>
      <c r="AG6184" s="9">
        <v>22.1</v>
      </c>
      <c r="AH6184" s="10">
        <f t="shared" si="111"/>
        <v>22</v>
      </c>
    </row>
    <row r="6185" spans="11:34" ht="14.5" x14ac:dyDescent="0.35">
      <c r="K6185" s="4"/>
      <c r="AC6185" s="7">
        <v>2022</v>
      </c>
      <c r="AD6185" s="7">
        <v>9</v>
      </c>
      <c r="AE6185" s="7">
        <v>15</v>
      </c>
      <c r="AF6185" s="8">
        <v>0.625</v>
      </c>
      <c r="AG6185" s="9">
        <v>21.5</v>
      </c>
      <c r="AH6185" s="10">
        <f t="shared" si="111"/>
        <v>22</v>
      </c>
    </row>
    <row r="6186" spans="11:34" ht="14.5" x14ac:dyDescent="0.35">
      <c r="K6186" s="4"/>
      <c r="AC6186" s="7">
        <v>2022</v>
      </c>
      <c r="AD6186" s="7">
        <v>9</v>
      </c>
      <c r="AE6186" s="7">
        <v>15</v>
      </c>
      <c r="AF6186" s="8">
        <v>0.66666666666666663</v>
      </c>
      <c r="AG6186" s="9">
        <v>22.4</v>
      </c>
      <c r="AH6186" s="10">
        <f t="shared" si="111"/>
        <v>22</v>
      </c>
    </row>
    <row r="6187" spans="11:34" ht="14.5" x14ac:dyDescent="0.35">
      <c r="K6187" s="4"/>
      <c r="AC6187" s="7">
        <v>2022</v>
      </c>
      <c r="AD6187" s="7">
        <v>9</v>
      </c>
      <c r="AE6187" s="7">
        <v>15</v>
      </c>
      <c r="AF6187" s="8">
        <v>0.70833333333333337</v>
      </c>
      <c r="AG6187" s="9">
        <v>21.5</v>
      </c>
      <c r="AH6187" s="10">
        <f t="shared" si="111"/>
        <v>22</v>
      </c>
    </row>
    <row r="6188" spans="11:34" ht="14.5" x14ac:dyDescent="0.35">
      <c r="K6188" s="4"/>
      <c r="AC6188" s="7">
        <v>2022</v>
      </c>
      <c r="AD6188" s="7">
        <v>9</v>
      </c>
      <c r="AE6188" s="7">
        <v>15</v>
      </c>
      <c r="AF6188" s="8">
        <v>0.75</v>
      </c>
      <c r="AG6188" s="9">
        <v>19.899999999999999</v>
      </c>
      <c r="AH6188" s="10">
        <f t="shared" si="111"/>
        <v>20</v>
      </c>
    </row>
    <row r="6189" spans="11:34" ht="14.5" x14ac:dyDescent="0.35">
      <c r="K6189" s="4"/>
      <c r="AC6189" s="7">
        <v>2022</v>
      </c>
      <c r="AD6189" s="7">
        <v>9</v>
      </c>
      <c r="AE6189" s="7">
        <v>15</v>
      </c>
      <c r="AF6189" s="8">
        <v>0.79166666666666663</v>
      </c>
      <c r="AG6189" s="9">
        <v>16.7</v>
      </c>
      <c r="AH6189" s="10">
        <f t="shared" si="111"/>
        <v>17</v>
      </c>
    </row>
    <row r="6190" spans="11:34" ht="14.5" x14ac:dyDescent="0.35">
      <c r="K6190" s="4"/>
      <c r="AC6190" s="7">
        <v>2022</v>
      </c>
      <c r="AD6190" s="7">
        <v>9</v>
      </c>
      <c r="AE6190" s="7">
        <v>15</v>
      </c>
      <c r="AF6190" s="8">
        <v>0.83333333333333337</v>
      </c>
      <c r="AG6190" s="9">
        <v>15.3</v>
      </c>
      <c r="AH6190" s="10">
        <f t="shared" si="111"/>
        <v>15</v>
      </c>
    </row>
    <row r="6191" spans="11:34" ht="14.5" x14ac:dyDescent="0.35">
      <c r="K6191" s="4"/>
      <c r="AC6191" s="7">
        <v>2022</v>
      </c>
      <c r="AD6191" s="7">
        <v>9</v>
      </c>
      <c r="AE6191" s="7">
        <v>15</v>
      </c>
      <c r="AF6191" s="8">
        <v>0.875</v>
      </c>
      <c r="AG6191" s="9">
        <v>13.9</v>
      </c>
      <c r="AH6191" s="10">
        <f t="shared" si="111"/>
        <v>14</v>
      </c>
    </row>
    <row r="6192" spans="11:34" ht="14.5" x14ac:dyDescent="0.35">
      <c r="K6192" s="4"/>
      <c r="AC6192" s="7">
        <v>2022</v>
      </c>
      <c r="AD6192" s="7">
        <v>9</v>
      </c>
      <c r="AE6192" s="7">
        <v>15</v>
      </c>
      <c r="AF6192" s="8">
        <v>0.91666666666666663</v>
      </c>
      <c r="AG6192" s="9">
        <v>12.9</v>
      </c>
      <c r="AH6192" s="10">
        <f t="shared" si="111"/>
        <v>13</v>
      </c>
    </row>
    <row r="6193" spans="11:34" ht="14.5" x14ac:dyDescent="0.35">
      <c r="K6193" s="4"/>
      <c r="AC6193" s="7">
        <v>2022</v>
      </c>
      <c r="AD6193" s="7">
        <v>9</v>
      </c>
      <c r="AE6193" s="7">
        <v>15</v>
      </c>
      <c r="AF6193" s="8">
        <v>0.95833333333333337</v>
      </c>
      <c r="AG6193" s="9">
        <v>11.3</v>
      </c>
      <c r="AH6193" s="10">
        <f t="shared" si="111"/>
        <v>11</v>
      </c>
    </row>
    <row r="6194" spans="11:34" ht="14.5" x14ac:dyDescent="0.35">
      <c r="K6194" s="4"/>
      <c r="AC6194" s="7">
        <v>2022</v>
      </c>
      <c r="AD6194" s="7">
        <v>9</v>
      </c>
      <c r="AE6194" s="7">
        <v>16</v>
      </c>
      <c r="AF6194" s="8">
        <v>0</v>
      </c>
      <c r="AG6194" s="9">
        <v>11.7</v>
      </c>
      <c r="AH6194" s="10">
        <f t="shared" si="111"/>
        <v>12</v>
      </c>
    </row>
    <row r="6195" spans="11:34" ht="14.5" x14ac:dyDescent="0.35">
      <c r="K6195" s="4"/>
      <c r="AC6195" s="7">
        <v>2022</v>
      </c>
      <c r="AD6195" s="7">
        <v>9</v>
      </c>
      <c r="AE6195" s="7">
        <v>16</v>
      </c>
      <c r="AF6195" s="8">
        <v>4.1666666666666664E-2</v>
      </c>
      <c r="AG6195" s="9">
        <v>11</v>
      </c>
      <c r="AH6195" s="10">
        <f t="shared" si="111"/>
        <v>11</v>
      </c>
    </row>
    <row r="6196" spans="11:34" ht="14.5" x14ac:dyDescent="0.35">
      <c r="K6196" s="4"/>
      <c r="AC6196" s="7">
        <v>2022</v>
      </c>
      <c r="AD6196" s="7">
        <v>9</v>
      </c>
      <c r="AE6196" s="7">
        <v>16</v>
      </c>
      <c r="AF6196" s="8">
        <v>8.3333333333333329E-2</v>
      </c>
      <c r="AG6196" s="9">
        <v>10.4</v>
      </c>
      <c r="AH6196" s="10">
        <f t="shared" si="111"/>
        <v>10</v>
      </c>
    </row>
    <row r="6197" spans="11:34" ht="14.5" x14ac:dyDescent="0.35">
      <c r="K6197" s="4"/>
      <c r="AC6197" s="7">
        <v>2022</v>
      </c>
      <c r="AD6197" s="7">
        <v>9</v>
      </c>
      <c r="AE6197" s="7">
        <v>16</v>
      </c>
      <c r="AF6197" s="8">
        <v>0.125</v>
      </c>
      <c r="AG6197" s="9">
        <v>10.3</v>
      </c>
      <c r="AH6197" s="10">
        <f t="shared" si="111"/>
        <v>10</v>
      </c>
    </row>
    <row r="6198" spans="11:34" ht="14.5" x14ac:dyDescent="0.35">
      <c r="K6198" s="4"/>
      <c r="AC6198" s="7">
        <v>2022</v>
      </c>
      <c r="AD6198" s="7">
        <v>9</v>
      </c>
      <c r="AE6198" s="7">
        <v>16</v>
      </c>
      <c r="AF6198" s="8">
        <v>0.16666666666666666</v>
      </c>
      <c r="AG6198" s="9">
        <v>9.4</v>
      </c>
      <c r="AH6198" s="10">
        <f t="shared" si="111"/>
        <v>9</v>
      </c>
    </row>
    <row r="6199" spans="11:34" ht="14.5" x14ac:dyDescent="0.35">
      <c r="K6199" s="4"/>
      <c r="AC6199" s="7">
        <v>2022</v>
      </c>
      <c r="AD6199" s="7">
        <v>9</v>
      </c>
      <c r="AE6199" s="7">
        <v>16</v>
      </c>
      <c r="AF6199" s="8">
        <v>0.20833333333333334</v>
      </c>
      <c r="AG6199" s="9">
        <v>8</v>
      </c>
      <c r="AH6199" s="10">
        <f t="shared" si="111"/>
        <v>8</v>
      </c>
    </row>
    <row r="6200" spans="11:34" ht="14.5" x14ac:dyDescent="0.35">
      <c r="K6200" s="4"/>
      <c r="AC6200" s="7">
        <v>2022</v>
      </c>
      <c r="AD6200" s="7">
        <v>9</v>
      </c>
      <c r="AE6200" s="7">
        <v>16</v>
      </c>
      <c r="AF6200" s="8">
        <v>0.25</v>
      </c>
      <c r="AG6200" s="9">
        <v>7.1</v>
      </c>
      <c r="AH6200" s="10">
        <f t="shared" si="111"/>
        <v>7</v>
      </c>
    </row>
    <row r="6201" spans="11:34" ht="14.5" x14ac:dyDescent="0.35">
      <c r="K6201" s="4"/>
      <c r="AC6201" s="7">
        <v>2022</v>
      </c>
      <c r="AD6201" s="7">
        <v>9</v>
      </c>
      <c r="AE6201" s="7">
        <v>16</v>
      </c>
      <c r="AF6201" s="8">
        <v>0.29166666666666669</v>
      </c>
      <c r="AG6201" s="9">
        <v>7.4</v>
      </c>
      <c r="AH6201" s="10">
        <f t="shared" si="111"/>
        <v>7</v>
      </c>
    </row>
    <row r="6202" spans="11:34" ht="14.5" x14ac:dyDescent="0.35">
      <c r="K6202" s="4"/>
      <c r="AC6202" s="7">
        <v>2022</v>
      </c>
      <c r="AD6202" s="7">
        <v>9</v>
      </c>
      <c r="AE6202" s="7">
        <v>16</v>
      </c>
      <c r="AF6202" s="8">
        <v>0.33333333333333331</v>
      </c>
      <c r="AG6202" s="9">
        <v>10.199999999999999</v>
      </c>
      <c r="AH6202" s="10">
        <f t="shared" si="111"/>
        <v>10</v>
      </c>
    </row>
    <row r="6203" spans="11:34" ht="14.5" x14ac:dyDescent="0.35">
      <c r="K6203" s="4"/>
      <c r="AC6203" s="7">
        <v>2022</v>
      </c>
      <c r="AD6203" s="7">
        <v>9</v>
      </c>
      <c r="AE6203" s="7">
        <v>16</v>
      </c>
      <c r="AF6203" s="8">
        <v>0.375</v>
      </c>
      <c r="AG6203" s="9">
        <v>12.5</v>
      </c>
      <c r="AH6203" s="10">
        <f t="shared" si="111"/>
        <v>13</v>
      </c>
    </row>
    <row r="6204" spans="11:34" ht="14.5" x14ac:dyDescent="0.35">
      <c r="K6204" s="4"/>
      <c r="AC6204" s="7">
        <v>2022</v>
      </c>
      <c r="AD6204" s="7">
        <v>9</v>
      </c>
      <c r="AE6204" s="7">
        <v>16</v>
      </c>
      <c r="AF6204" s="8">
        <v>0.41666666666666669</v>
      </c>
      <c r="AG6204" s="9">
        <v>15.2</v>
      </c>
      <c r="AH6204" s="10">
        <f t="shared" si="111"/>
        <v>15</v>
      </c>
    </row>
    <row r="6205" spans="11:34" ht="14.5" x14ac:dyDescent="0.35">
      <c r="K6205" s="4"/>
      <c r="AC6205" s="7">
        <v>2022</v>
      </c>
      <c r="AD6205" s="7">
        <v>9</v>
      </c>
      <c r="AE6205" s="7">
        <v>16</v>
      </c>
      <c r="AF6205" s="8">
        <v>0.45833333333333331</v>
      </c>
      <c r="AG6205" s="9">
        <v>18.2</v>
      </c>
      <c r="AH6205" s="10">
        <f t="shared" si="111"/>
        <v>18</v>
      </c>
    </row>
    <row r="6206" spans="11:34" ht="14.5" x14ac:dyDescent="0.35">
      <c r="K6206" s="4"/>
      <c r="AC6206" s="7">
        <v>2022</v>
      </c>
      <c r="AD6206" s="7">
        <v>9</v>
      </c>
      <c r="AE6206" s="7">
        <v>16</v>
      </c>
      <c r="AF6206" s="8">
        <v>0.5</v>
      </c>
      <c r="AG6206" s="9">
        <v>19.399999999999999</v>
      </c>
      <c r="AH6206" s="10">
        <f t="shared" si="111"/>
        <v>19</v>
      </c>
    </row>
    <row r="6207" spans="11:34" ht="14.5" x14ac:dyDescent="0.35">
      <c r="K6207" s="4"/>
      <c r="AC6207" s="7">
        <v>2022</v>
      </c>
      <c r="AD6207" s="7">
        <v>9</v>
      </c>
      <c r="AE6207" s="7">
        <v>16</v>
      </c>
      <c r="AF6207" s="8">
        <v>0.54166666666666663</v>
      </c>
      <c r="AG6207" s="9">
        <v>20.100000000000001</v>
      </c>
      <c r="AH6207" s="10">
        <f t="shared" si="111"/>
        <v>20</v>
      </c>
    </row>
    <row r="6208" spans="11:34" ht="14.5" x14ac:dyDescent="0.35">
      <c r="K6208" s="4"/>
      <c r="AC6208" s="7">
        <v>2022</v>
      </c>
      <c r="AD6208" s="7">
        <v>9</v>
      </c>
      <c r="AE6208" s="7">
        <v>16</v>
      </c>
      <c r="AF6208" s="8">
        <v>0.58333333333333337</v>
      </c>
      <c r="AG6208" s="9">
        <v>20.6</v>
      </c>
      <c r="AH6208" s="10">
        <f t="shared" si="111"/>
        <v>21</v>
      </c>
    </row>
    <row r="6209" spans="11:34" ht="14.5" x14ac:dyDescent="0.35">
      <c r="K6209" s="4"/>
      <c r="AC6209" s="7">
        <v>2022</v>
      </c>
      <c r="AD6209" s="7">
        <v>9</v>
      </c>
      <c r="AE6209" s="7">
        <v>16</v>
      </c>
      <c r="AF6209" s="8">
        <v>0.625</v>
      </c>
      <c r="AG6209" s="9">
        <v>21.6</v>
      </c>
      <c r="AH6209" s="10">
        <f t="shared" si="111"/>
        <v>22</v>
      </c>
    </row>
    <row r="6210" spans="11:34" ht="14.5" x14ac:dyDescent="0.35">
      <c r="K6210" s="4"/>
      <c r="AC6210" s="7">
        <v>2022</v>
      </c>
      <c r="AD6210" s="7">
        <v>9</v>
      </c>
      <c r="AE6210" s="7">
        <v>16</v>
      </c>
      <c r="AF6210" s="8">
        <v>0.66666666666666663</v>
      </c>
      <c r="AG6210" s="9">
        <v>20.6</v>
      </c>
      <c r="AH6210" s="10">
        <f t="shared" si="111"/>
        <v>21</v>
      </c>
    </row>
    <row r="6211" spans="11:34" ht="14.5" x14ac:dyDescent="0.35">
      <c r="K6211" s="4"/>
      <c r="AC6211" s="7">
        <v>2022</v>
      </c>
      <c r="AD6211" s="7">
        <v>9</v>
      </c>
      <c r="AE6211" s="7">
        <v>16</v>
      </c>
      <c r="AF6211" s="8">
        <v>0.70833333333333337</v>
      </c>
      <c r="AG6211" s="9">
        <v>20.8</v>
      </c>
      <c r="AH6211" s="10">
        <f t="shared" si="111"/>
        <v>21</v>
      </c>
    </row>
    <row r="6212" spans="11:34" ht="14.5" x14ac:dyDescent="0.35">
      <c r="K6212" s="4"/>
      <c r="AC6212" s="7">
        <v>2022</v>
      </c>
      <c r="AD6212" s="7">
        <v>9</v>
      </c>
      <c r="AE6212" s="7">
        <v>16</v>
      </c>
      <c r="AF6212" s="8">
        <v>0.75</v>
      </c>
      <c r="AG6212" s="9">
        <v>18.7</v>
      </c>
      <c r="AH6212" s="10">
        <f t="shared" si="111"/>
        <v>19</v>
      </c>
    </row>
    <row r="6213" spans="11:34" ht="14.5" x14ac:dyDescent="0.35">
      <c r="K6213" s="4"/>
      <c r="AC6213" s="7">
        <v>2022</v>
      </c>
      <c r="AD6213" s="7">
        <v>9</v>
      </c>
      <c r="AE6213" s="7">
        <v>16</v>
      </c>
      <c r="AF6213" s="8">
        <v>0.79166666666666663</v>
      </c>
      <c r="AG6213" s="9">
        <v>18.100000000000001</v>
      </c>
      <c r="AH6213" s="10">
        <f t="shared" si="111"/>
        <v>18</v>
      </c>
    </row>
    <row r="6214" spans="11:34" ht="14.5" x14ac:dyDescent="0.35">
      <c r="K6214" s="4"/>
      <c r="AC6214" s="7">
        <v>2022</v>
      </c>
      <c r="AD6214" s="7">
        <v>9</v>
      </c>
      <c r="AE6214" s="7">
        <v>16</v>
      </c>
      <c r="AF6214" s="8">
        <v>0.83333333333333337</v>
      </c>
      <c r="AG6214" s="9">
        <v>14.4</v>
      </c>
      <c r="AH6214" s="10">
        <f t="shared" si="111"/>
        <v>14</v>
      </c>
    </row>
    <row r="6215" spans="11:34" ht="14.5" x14ac:dyDescent="0.35">
      <c r="K6215" s="4"/>
      <c r="AC6215" s="7">
        <v>2022</v>
      </c>
      <c r="AD6215" s="7">
        <v>9</v>
      </c>
      <c r="AE6215" s="7">
        <v>16</v>
      </c>
      <c r="AF6215" s="8">
        <v>0.875</v>
      </c>
      <c r="AG6215" s="9">
        <v>13.3</v>
      </c>
      <c r="AH6215" s="10">
        <f t="shared" si="111"/>
        <v>13</v>
      </c>
    </row>
    <row r="6216" spans="11:34" ht="14.5" x14ac:dyDescent="0.35">
      <c r="K6216" s="4"/>
      <c r="AC6216" s="7">
        <v>2022</v>
      </c>
      <c r="AD6216" s="7">
        <v>9</v>
      </c>
      <c r="AE6216" s="7">
        <v>16</v>
      </c>
      <c r="AF6216" s="8">
        <v>0.91666666666666663</v>
      </c>
      <c r="AG6216" s="9">
        <v>9.6999999999999993</v>
      </c>
      <c r="AH6216" s="10">
        <f t="shared" si="111"/>
        <v>10</v>
      </c>
    </row>
    <row r="6217" spans="11:34" ht="14.5" x14ac:dyDescent="0.35">
      <c r="K6217" s="4"/>
      <c r="AC6217" s="7">
        <v>2022</v>
      </c>
      <c r="AD6217" s="7">
        <v>9</v>
      </c>
      <c r="AE6217" s="7">
        <v>16</v>
      </c>
      <c r="AF6217" s="8">
        <v>0.95833333333333337</v>
      </c>
      <c r="AG6217" s="9">
        <v>10.1</v>
      </c>
      <c r="AH6217" s="10">
        <f t="shared" si="111"/>
        <v>10</v>
      </c>
    </row>
    <row r="6218" spans="11:34" ht="14.5" x14ac:dyDescent="0.35">
      <c r="K6218" s="4"/>
      <c r="AC6218" s="7">
        <v>2022</v>
      </c>
      <c r="AD6218" s="7">
        <v>9</v>
      </c>
      <c r="AE6218" s="7">
        <v>17</v>
      </c>
      <c r="AF6218" s="8">
        <v>0</v>
      </c>
      <c r="AG6218" s="9">
        <v>8.9</v>
      </c>
      <c r="AH6218" s="10">
        <f t="shared" si="111"/>
        <v>9</v>
      </c>
    </row>
    <row r="6219" spans="11:34" ht="14.5" x14ac:dyDescent="0.35">
      <c r="K6219" s="4"/>
      <c r="AC6219" s="7">
        <v>2022</v>
      </c>
      <c r="AD6219" s="7">
        <v>9</v>
      </c>
      <c r="AE6219" s="7">
        <v>17</v>
      </c>
      <c r="AF6219" s="8">
        <v>4.1666666666666664E-2</v>
      </c>
      <c r="AG6219" s="9">
        <v>10.199999999999999</v>
      </c>
      <c r="AH6219" s="10">
        <f t="shared" ref="AH6219:AH6282" si="112">ROUND(AG6219,0)</f>
        <v>10</v>
      </c>
    </row>
    <row r="6220" spans="11:34" ht="14.5" x14ac:dyDescent="0.35">
      <c r="K6220" s="4"/>
      <c r="AC6220" s="7">
        <v>2022</v>
      </c>
      <c r="AD6220" s="7">
        <v>9</v>
      </c>
      <c r="AE6220" s="7">
        <v>17</v>
      </c>
      <c r="AF6220" s="8">
        <v>8.3333333333333329E-2</v>
      </c>
      <c r="AG6220" s="9">
        <v>11.2</v>
      </c>
      <c r="AH6220" s="10">
        <f t="shared" si="112"/>
        <v>11</v>
      </c>
    </row>
    <row r="6221" spans="11:34" ht="14.5" x14ac:dyDescent="0.35">
      <c r="K6221" s="4"/>
      <c r="AC6221" s="7">
        <v>2022</v>
      </c>
      <c r="AD6221" s="7">
        <v>9</v>
      </c>
      <c r="AE6221" s="7">
        <v>17</v>
      </c>
      <c r="AF6221" s="8">
        <v>0.125</v>
      </c>
      <c r="AG6221" s="9">
        <v>11.9</v>
      </c>
      <c r="AH6221" s="10">
        <f t="shared" si="112"/>
        <v>12</v>
      </c>
    </row>
    <row r="6222" spans="11:34" ht="14.5" x14ac:dyDescent="0.35">
      <c r="K6222" s="4"/>
      <c r="AC6222" s="7">
        <v>2022</v>
      </c>
      <c r="AD6222" s="7">
        <v>9</v>
      </c>
      <c r="AE6222" s="7">
        <v>17</v>
      </c>
      <c r="AF6222" s="8">
        <v>0.16666666666666666</v>
      </c>
      <c r="AG6222" s="9">
        <v>12.4</v>
      </c>
      <c r="AH6222" s="10">
        <f t="shared" si="112"/>
        <v>12</v>
      </c>
    </row>
    <row r="6223" spans="11:34" ht="14.5" x14ac:dyDescent="0.35">
      <c r="K6223" s="4"/>
      <c r="AC6223" s="7">
        <v>2022</v>
      </c>
      <c r="AD6223" s="7">
        <v>9</v>
      </c>
      <c r="AE6223" s="7">
        <v>17</v>
      </c>
      <c r="AF6223" s="8">
        <v>0.20833333333333334</v>
      </c>
      <c r="AG6223" s="9">
        <v>9.4</v>
      </c>
      <c r="AH6223" s="10">
        <f t="shared" si="112"/>
        <v>9</v>
      </c>
    </row>
    <row r="6224" spans="11:34" ht="14.5" x14ac:dyDescent="0.35">
      <c r="K6224" s="4"/>
      <c r="AC6224" s="7">
        <v>2022</v>
      </c>
      <c r="AD6224" s="7">
        <v>9</v>
      </c>
      <c r="AE6224" s="7">
        <v>17</v>
      </c>
      <c r="AF6224" s="8">
        <v>0.25</v>
      </c>
      <c r="AG6224" s="9">
        <v>7.4</v>
      </c>
      <c r="AH6224" s="10">
        <f t="shared" si="112"/>
        <v>7</v>
      </c>
    </row>
    <row r="6225" spans="11:34" ht="14.5" x14ac:dyDescent="0.35">
      <c r="K6225" s="4"/>
      <c r="AC6225" s="7">
        <v>2022</v>
      </c>
      <c r="AD6225" s="7">
        <v>9</v>
      </c>
      <c r="AE6225" s="7">
        <v>17</v>
      </c>
      <c r="AF6225" s="8">
        <v>0.29166666666666669</v>
      </c>
      <c r="AG6225" s="9">
        <v>6.9</v>
      </c>
      <c r="AH6225" s="10">
        <f t="shared" si="112"/>
        <v>7</v>
      </c>
    </row>
    <row r="6226" spans="11:34" ht="14.5" x14ac:dyDescent="0.35">
      <c r="K6226" s="4"/>
      <c r="AC6226" s="7">
        <v>2022</v>
      </c>
      <c r="AD6226" s="7">
        <v>9</v>
      </c>
      <c r="AE6226" s="7">
        <v>17</v>
      </c>
      <c r="AF6226" s="8">
        <v>0.33333333333333331</v>
      </c>
      <c r="AG6226" s="9">
        <v>8.6</v>
      </c>
      <c r="AH6226" s="10">
        <f t="shared" si="112"/>
        <v>9</v>
      </c>
    </row>
    <row r="6227" spans="11:34" ht="14.5" x14ac:dyDescent="0.35">
      <c r="K6227" s="4"/>
      <c r="AC6227" s="7">
        <v>2022</v>
      </c>
      <c r="AD6227" s="7">
        <v>9</v>
      </c>
      <c r="AE6227" s="7">
        <v>17</v>
      </c>
      <c r="AF6227" s="8">
        <v>0.375</v>
      </c>
      <c r="AG6227" s="9">
        <v>10.199999999999999</v>
      </c>
      <c r="AH6227" s="10">
        <f t="shared" si="112"/>
        <v>10</v>
      </c>
    </row>
    <row r="6228" spans="11:34" ht="14.5" x14ac:dyDescent="0.35">
      <c r="K6228" s="4"/>
      <c r="AC6228" s="7">
        <v>2022</v>
      </c>
      <c r="AD6228" s="7">
        <v>9</v>
      </c>
      <c r="AE6228" s="7">
        <v>17</v>
      </c>
      <c r="AF6228" s="8">
        <v>0.41666666666666669</v>
      </c>
      <c r="AG6228" s="9">
        <v>11.6</v>
      </c>
      <c r="AH6228" s="10">
        <f t="shared" si="112"/>
        <v>12</v>
      </c>
    </row>
    <row r="6229" spans="11:34" ht="14.5" x14ac:dyDescent="0.35">
      <c r="K6229" s="4"/>
      <c r="AC6229" s="7">
        <v>2022</v>
      </c>
      <c r="AD6229" s="7">
        <v>9</v>
      </c>
      <c r="AE6229" s="7">
        <v>17</v>
      </c>
      <c r="AF6229" s="8">
        <v>0.45833333333333331</v>
      </c>
      <c r="AG6229" s="9">
        <v>12.3</v>
      </c>
      <c r="AH6229" s="10">
        <f t="shared" si="112"/>
        <v>12</v>
      </c>
    </row>
    <row r="6230" spans="11:34" ht="14.5" x14ac:dyDescent="0.35">
      <c r="K6230" s="4"/>
      <c r="AC6230" s="7">
        <v>2022</v>
      </c>
      <c r="AD6230" s="7">
        <v>9</v>
      </c>
      <c r="AE6230" s="7">
        <v>17</v>
      </c>
      <c r="AF6230" s="8">
        <v>0.5</v>
      </c>
      <c r="AG6230" s="9">
        <v>13.9</v>
      </c>
      <c r="AH6230" s="10">
        <f t="shared" si="112"/>
        <v>14</v>
      </c>
    </row>
    <row r="6231" spans="11:34" ht="14.5" x14ac:dyDescent="0.35">
      <c r="K6231" s="4"/>
      <c r="AC6231" s="7">
        <v>2022</v>
      </c>
      <c r="AD6231" s="7">
        <v>9</v>
      </c>
      <c r="AE6231" s="7">
        <v>17</v>
      </c>
      <c r="AF6231" s="8">
        <v>0.54166666666666663</v>
      </c>
      <c r="AG6231" s="9">
        <v>15.1</v>
      </c>
      <c r="AH6231" s="10">
        <f t="shared" si="112"/>
        <v>15</v>
      </c>
    </row>
    <row r="6232" spans="11:34" ht="14.5" x14ac:dyDescent="0.35">
      <c r="K6232" s="4"/>
      <c r="AC6232" s="7">
        <v>2022</v>
      </c>
      <c r="AD6232" s="7">
        <v>9</v>
      </c>
      <c r="AE6232" s="7">
        <v>17</v>
      </c>
      <c r="AF6232" s="8">
        <v>0.58333333333333337</v>
      </c>
      <c r="AG6232" s="9">
        <v>16.8</v>
      </c>
      <c r="AH6232" s="10">
        <f t="shared" si="112"/>
        <v>17</v>
      </c>
    </row>
    <row r="6233" spans="11:34" ht="14.5" x14ac:dyDescent="0.35">
      <c r="K6233" s="4"/>
      <c r="AC6233" s="7">
        <v>2022</v>
      </c>
      <c r="AD6233" s="7">
        <v>9</v>
      </c>
      <c r="AE6233" s="7">
        <v>17</v>
      </c>
      <c r="AF6233" s="8">
        <v>0.625</v>
      </c>
      <c r="AG6233" s="9">
        <v>17.3</v>
      </c>
      <c r="AH6233" s="10">
        <f t="shared" si="112"/>
        <v>17</v>
      </c>
    </row>
    <row r="6234" spans="11:34" ht="14.5" x14ac:dyDescent="0.35">
      <c r="K6234" s="4"/>
      <c r="AC6234" s="7">
        <v>2022</v>
      </c>
      <c r="AD6234" s="7">
        <v>9</v>
      </c>
      <c r="AE6234" s="7">
        <v>17</v>
      </c>
      <c r="AF6234" s="8">
        <v>0.66666666666666663</v>
      </c>
      <c r="AG6234" s="9">
        <v>16.899999999999999</v>
      </c>
      <c r="AH6234" s="10">
        <f t="shared" si="112"/>
        <v>17</v>
      </c>
    </row>
    <row r="6235" spans="11:34" ht="14.5" x14ac:dyDescent="0.35">
      <c r="K6235" s="4"/>
      <c r="AC6235" s="7">
        <v>2022</v>
      </c>
      <c r="AD6235" s="7">
        <v>9</v>
      </c>
      <c r="AE6235" s="7">
        <v>17</v>
      </c>
      <c r="AF6235" s="8">
        <v>0.70833333333333337</v>
      </c>
      <c r="AG6235" s="9">
        <v>16.8</v>
      </c>
      <c r="AH6235" s="10">
        <f t="shared" si="112"/>
        <v>17</v>
      </c>
    </row>
    <row r="6236" spans="11:34" ht="14.5" x14ac:dyDescent="0.35">
      <c r="K6236" s="4"/>
      <c r="AC6236" s="7">
        <v>2022</v>
      </c>
      <c r="AD6236" s="7">
        <v>9</v>
      </c>
      <c r="AE6236" s="7">
        <v>17</v>
      </c>
      <c r="AF6236" s="8">
        <v>0.75</v>
      </c>
      <c r="AG6236" s="9">
        <v>15.1</v>
      </c>
      <c r="AH6236" s="10">
        <f t="shared" si="112"/>
        <v>15</v>
      </c>
    </row>
    <row r="6237" spans="11:34" ht="14.5" x14ac:dyDescent="0.35">
      <c r="K6237" s="4"/>
      <c r="AC6237" s="7">
        <v>2022</v>
      </c>
      <c r="AD6237" s="7">
        <v>9</v>
      </c>
      <c r="AE6237" s="7">
        <v>17</v>
      </c>
      <c r="AF6237" s="8">
        <v>0.79166666666666663</v>
      </c>
      <c r="AG6237" s="9">
        <v>13.2</v>
      </c>
      <c r="AH6237" s="10">
        <f t="shared" si="112"/>
        <v>13</v>
      </c>
    </row>
    <row r="6238" spans="11:34" ht="14.5" x14ac:dyDescent="0.35">
      <c r="K6238" s="4"/>
      <c r="AC6238" s="7">
        <v>2022</v>
      </c>
      <c r="AD6238" s="7">
        <v>9</v>
      </c>
      <c r="AE6238" s="7">
        <v>17</v>
      </c>
      <c r="AF6238" s="8">
        <v>0.83333333333333337</v>
      </c>
      <c r="AG6238" s="9">
        <v>11.4</v>
      </c>
      <c r="AH6238" s="10">
        <f t="shared" si="112"/>
        <v>11</v>
      </c>
    </row>
    <row r="6239" spans="11:34" ht="14.5" x14ac:dyDescent="0.35">
      <c r="K6239" s="4"/>
      <c r="AC6239" s="7">
        <v>2022</v>
      </c>
      <c r="AD6239" s="7">
        <v>9</v>
      </c>
      <c r="AE6239" s="7">
        <v>17</v>
      </c>
      <c r="AF6239" s="8">
        <v>0.875</v>
      </c>
      <c r="AG6239" s="9">
        <v>11</v>
      </c>
      <c r="AH6239" s="10">
        <f t="shared" si="112"/>
        <v>11</v>
      </c>
    </row>
    <row r="6240" spans="11:34" ht="14.5" x14ac:dyDescent="0.35">
      <c r="K6240" s="4"/>
      <c r="AC6240" s="7">
        <v>2022</v>
      </c>
      <c r="AD6240" s="7">
        <v>9</v>
      </c>
      <c r="AE6240" s="7">
        <v>17</v>
      </c>
      <c r="AF6240" s="8">
        <v>0.91666666666666663</v>
      </c>
      <c r="AG6240" s="9">
        <v>9.3000000000000007</v>
      </c>
      <c r="AH6240" s="10">
        <f t="shared" si="112"/>
        <v>9</v>
      </c>
    </row>
    <row r="6241" spans="11:34" ht="14.5" x14ac:dyDescent="0.35">
      <c r="K6241" s="4"/>
      <c r="AC6241" s="7">
        <v>2022</v>
      </c>
      <c r="AD6241" s="7">
        <v>9</v>
      </c>
      <c r="AE6241" s="7">
        <v>17</v>
      </c>
      <c r="AF6241" s="8">
        <v>0.95833333333333337</v>
      </c>
      <c r="AG6241" s="9">
        <v>8.3000000000000007</v>
      </c>
      <c r="AH6241" s="10">
        <f t="shared" si="112"/>
        <v>8</v>
      </c>
    </row>
    <row r="6242" spans="11:34" ht="14.5" x14ac:dyDescent="0.35">
      <c r="K6242" s="4"/>
      <c r="AC6242" s="7">
        <v>2022</v>
      </c>
      <c r="AD6242" s="7">
        <v>9</v>
      </c>
      <c r="AE6242" s="7">
        <v>18</v>
      </c>
      <c r="AF6242" s="8">
        <v>0</v>
      </c>
      <c r="AG6242" s="9">
        <v>7.3</v>
      </c>
      <c r="AH6242" s="10">
        <f t="shared" si="112"/>
        <v>7</v>
      </c>
    </row>
    <row r="6243" spans="11:34" ht="14.5" x14ac:dyDescent="0.35">
      <c r="K6243" s="4"/>
      <c r="AC6243" s="7">
        <v>2022</v>
      </c>
      <c r="AD6243" s="7">
        <v>9</v>
      </c>
      <c r="AE6243" s="7">
        <v>18</v>
      </c>
      <c r="AF6243" s="8">
        <v>4.1666666666666664E-2</v>
      </c>
      <c r="AG6243" s="9">
        <v>6.6</v>
      </c>
      <c r="AH6243" s="10">
        <f t="shared" si="112"/>
        <v>7</v>
      </c>
    </row>
    <row r="6244" spans="11:34" ht="14.5" x14ac:dyDescent="0.35">
      <c r="K6244" s="4"/>
      <c r="AC6244" s="7">
        <v>2022</v>
      </c>
      <c r="AD6244" s="7">
        <v>9</v>
      </c>
      <c r="AE6244" s="7">
        <v>18</v>
      </c>
      <c r="AF6244" s="8">
        <v>8.3333333333333329E-2</v>
      </c>
      <c r="AG6244" s="9">
        <v>5.6</v>
      </c>
      <c r="AH6244" s="10">
        <f t="shared" si="112"/>
        <v>6</v>
      </c>
    </row>
    <row r="6245" spans="11:34" ht="14.5" x14ac:dyDescent="0.35">
      <c r="K6245" s="4"/>
      <c r="AC6245" s="7">
        <v>2022</v>
      </c>
      <c r="AD6245" s="7">
        <v>9</v>
      </c>
      <c r="AE6245" s="7">
        <v>18</v>
      </c>
      <c r="AF6245" s="8">
        <v>0.125</v>
      </c>
      <c r="AG6245" s="9">
        <v>4.9000000000000004</v>
      </c>
      <c r="AH6245" s="10">
        <f t="shared" si="112"/>
        <v>5</v>
      </c>
    </row>
    <row r="6246" spans="11:34" ht="14.5" x14ac:dyDescent="0.35">
      <c r="K6246" s="4"/>
      <c r="AC6246" s="7">
        <v>2022</v>
      </c>
      <c r="AD6246" s="7">
        <v>9</v>
      </c>
      <c r="AE6246" s="7">
        <v>18</v>
      </c>
      <c r="AF6246" s="8">
        <v>0.16666666666666666</v>
      </c>
      <c r="AG6246" s="9">
        <v>3.6</v>
      </c>
      <c r="AH6246" s="10">
        <f t="shared" si="112"/>
        <v>4</v>
      </c>
    </row>
    <row r="6247" spans="11:34" ht="14.5" x14ac:dyDescent="0.35">
      <c r="K6247" s="4"/>
      <c r="AC6247" s="7">
        <v>2022</v>
      </c>
      <c r="AD6247" s="7">
        <v>9</v>
      </c>
      <c r="AE6247" s="7">
        <v>18</v>
      </c>
      <c r="AF6247" s="8">
        <v>0.20833333333333334</v>
      </c>
      <c r="AG6247" s="9">
        <v>3.1</v>
      </c>
      <c r="AH6247" s="10">
        <f t="shared" si="112"/>
        <v>3</v>
      </c>
    </row>
    <row r="6248" spans="11:34" ht="14.5" x14ac:dyDescent="0.35">
      <c r="K6248" s="4"/>
      <c r="AC6248" s="7">
        <v>2022</v>
      </c>
      <c r="AD6248" s="7">
        <v>9</v>
      </c>
      <c r="AE6248" s="7">
        <v>18</v>
      </c>
      <c r="AF6248" s="8">
        <v>0.25</v>
      </c>
      <c r="AG6248" s="9">
        <v>3.3</v>
      </c>
      <c r="AH6248" s="10">
        <f t="shared" si="112"/>
        <v>3</v>
      </c>
    </row>
    <row r="6249" spans="11:34" ht="14.5" x14ac:dyDescent="0.35">
      <c r="K6249" s="4"/>
      <c r="AC6249" s="7">
        <v>2022</v>
      </c>
      <c r="AD6249" s="7">
        <v>9</v>
      </c>
      <c r="AE6249" s="7">
        <v>18</v>
      </c>
      <c r="AF6249" s="8">
        <v>0.29166666666666669</v>
      </c>
      <c r="AG6249" s="9">
        <v>3.1</v>
      </c>
      <c r="AH6249" s="10">
        <f t="shared" si="112"/>
        <v>3</v>
      </c>
    </row>
    <row r="6250" spans="11:34" ht="14.5" x14ac:dyDescent="0.35">
      <c r="K6250" s="4"/>
      <c r="AC6250" s="7">
        <v>2022</v>
      </c>
      <c r="AD6250" s="7">
        <v>9</v>
      </c>
      <c r="AE6250" s="7">
        <v>18</v>
      </c>
      <c r="AF6250" s="8">
        <v>0.33333333333333331</v>
      </c>
      <c r="AG6250" s="9">
        <v>6.4</v>
      </c>
      <c r="AH6250" s="10">
        <f t="shared" si="112"/>
        <v>6</v>
      </c>
    </row>
    <row r="6251" spans="11:34" ht="14.5" x14ac:dyDescent="0.35">
      <c r="K6251" s="4"/>
      <c r="AC6251" s="7">
        <v>2022</v>
      </c>
      <c r="AD6251" s="7">
        <v>9</v>
      </c>
      <c r="AE6251" s="7">
        <v>18</v>
      </c>
      <c r="AF6251" s="8">
        <v>0.375</v>
      </c>
      <c r="AG6251" s="9">
        <v>9.3000000000000007</v>
      </c>
      <c r="AH6251" s="10">
        <f t="shared" si="112"/>
        <v>9</v>
      </c>
    </row>
    <row r="6252" spans="11:34" ht="14.5" x14ac:dyDescent="0.35">
      <c r="K6252" s="4"/>
      <c r="AC6252" s="7">
        <v>2022</v>
      </c>
      <c r="AD6252" s="7">
        <v>9</v>
      </c>
      <c r="AE6252" s="7">
        <v>18</v>
      </c>
      <c r="AF6252" s="8">
        <v>0.41666666666666669</v>
      </c>
      <c r="AG6252" s="9">
        <v>11.6</v>
      </c>
      <c r="AH6252" s="10">
        <f t="shared" si="112"/>
        <v>12</v>
      </c>
    </row>
    <row r="6253" spans="11:34" ht="14.5" x14ac:dyDescent="0.35">
      <c r="K6253" s="4"/>
      <c r="AC6253" s="7">
        <v>2022</v>
      </c>
      <c r="AD6253" s="7">
        <v>9</v>
      </c>
      <c r="AE6253" s="7">
        <v>18</v>
      </c>
      <c r="AF6253" s="8">
        <v>0.45833333333333331</v>
      </c>
      <c r="AG6253" s="9">
        <v>13.5</v>
      </c>
      <c r="AH6253" s="10">
        <f t="shared" si="112"/>
        <v>14</v>
      </c>
    </row>
    <row r="6254" spans="11:34" ht="14.5" x14ac:dyDescent="0.35">
      <c r="K6254" s="4"/>
      <c r="AC6254" s="7">
        <v>2022</v>
      </c>
      <c r="AD6254" s="7">
        <v>9</v>
      </c>
      <c r="AE6254" s="7">
        <v>18</v>
      </c>
      <c r="AF6254" s="8">
        <v>0.5</v>
      </c>
      <c r="AG6254" s="9">
        <v>15.2</v>
      </c>
      <c r="AH6254" s="10">
        <f t="shared" si="112"/>
        <v>15</v>
      </c>
    </row>
    <row r="6255" spans="11:34" ht="14.5" x14ac:dyDescent="0.35">
      <c r="K6255" s="4"/>
      <c r="AC6255" s="7">
        <v>2022</v>
      </c>
      <c r="AD6255" s="7">
        <v>9</v>
      </c>
      <c r="AE6255" s="7">
        <v>18</v>
      </c>
      <c r="AF6255" s="8">
        <v>0.54166666666666663</v>
      </c>
      <c r="AG6255" s="9">
        <v>16.100000000000001</v>
      </c>
      <c r="AH6255" s="10">
        <f t="shared" si="112"/>
        <v>16</v>
      </c>
    </row>
    <row r="6256" spans="11:34" ht="14.5" x14ac:dyDescent="0.35">
      <c r="K6256" s="4"/>
      <c r="AC6256" s="7">
        <v>2022</v>
      </c>
      <c r="AD6256" s="7">
        <v>9</v>
      </c>
      <c r="AE6256" s="7">
        <v>18</v>
      </c>
      <c r="AF6256" s="8">
        <v>0.58333333333333337</v>
      </c>
      <c r="AG6256" s="9">
        <v>17.399999999999999</v>
      </c>
      <c r="AH6256" s="10">
        <f t="shared" si="112"/>
        <v>17</v>
      </c>
    </row>
    <row r="6257" spans="11:34" ht="14.5" x14ac:dyDescent="0.35">
      <c r="K6257" s="4"/>
      <c r="AC6257" s="7">
        <v>2022</v>
      </c>
      <c r="AD6257" s="7">
        <v>9</v>
      </c>
      <c r="AE6257" s="7">
        <v>18</v>
      </c>
      <c r="AF6257" s="8">
        <v>0.625</v>
      </c>
      <c r="AG6257" s="9">
        <v>17.8</v>
      </c>
      <c r="AH6257" s="10">
        <f t="shared" si="112"/>
        <v>18</v>
      </c>
    </row>
    <row r="6258" spans="11:34" ht="14.5" x14ac:dyDescent="0.35">
      <c r="K6258" s="4"/>
      <c r="AC6258" s="7">
        <v>2022</v>
      </c>
      <c r="AD6258" s="7">
        <v>9</v>
      </c>
      <c r="AE6258" s="7">
        <v>18</v>
      </c>
      <c r="AF6258" s="8">
        <v>0.66666666666666663</v>
      </c>
      <c r="AG6258" s="9">
        <v>17.100000000000001</v>
      </c>
      <c r="AH6258" s="10">
        <f t="shared" si="112"/>
        <v>17</v>
      </c>
    </row>
    <row r="6259" spans="11:34" ht="14.5" x14ac:dyDescent="0.35">
      <c r="K6259" s="4"/>
      <c r="AC6259" s="7">
        <v>2022</v>
      </c>
      <c r="AD6259" s="7">
        <v>9</v>
      </c>
      <c r="AE6259" s="7">
        <v>18</v>
      </c>
      <c r="AF6259" s="8">
        <v>0.70833333333333337</v>
      </c>
      <c r="AG6259" s="9">
        <v>16.3</v>
      </c>
      <c r="AH6259" s="10">
        <f t="shared" si="112"/>
        <v>16</v>
      </c>
    </row>
    <row r="6260" spans="11:34" ht="14.5" x14ac:dyDescent="0.35">
      <c r="K6260" s="4"/>
      <c r="AC6260" s="7">
        <v>2022</v>
      </c>
      <c r="AD6260" s="7">
        <v>9</v>
      </c>
      <c r="AE6260" s="7">
        <v>18</v>
      </c>
      <c r="AF6260" s="8">
        <v>0.75</v>
      </c>
      <c r="AG6260" s="9">
        <v>15.4</v>
      </c>
      <c r="AH6260" s="10">
        <f t="shared" si="112"/>
        <v>15</v>
      </c>
    </row>
    <row r="6261" spans="11:34" ht="14.5" x14ac:dyDescent="0.35">
      <c r="K6261" s="4"/>
      <c r="AC6261" s="7">
        <v>2022</v>
      </c>
      <c r="AD6261" s="7">
        <v>9</v>
      </c>
      <c r="AE6261" s="7">
        <v>18</v>
      </c>
      <c r="AF6261" s="8">
        <v>0.79166666666666663</v>
      </c>
      <c r="AG6261" s="9">
        <v>14.1</v>
      </c>
      <c r="AH6261" s="10">
        <f t="shared" si="112"/>
        <v>14</v>
      </c>
    </row>
    <row r="6262" spans="11:34" ht="14.5" x14ac:dyDescent="0.35">
      <c r="K6262" s="4"/>
      <c r="AC6262" s="7">
        <v>2022</v>
      </c>
      <c r="AD6262" s="7">
        <v>9</v>
      </c>
      <c r="AE6262" s="7">
        <v>18</v>
      </c>
      <c r="AF6262" s="8">
        <v>0.83333333333333337</v>
      </c>
      <c r="AG6262" s="9">
        <v>12.7</v>
      </c>
      <c r="AH6262" s="10">
        <f t="shared" si="112"/>
        <v>13</v>
      </c>
    </row>
    <row r="6263" spans="11:34" ht="14.5" x14ac:dyDescent="0.35">
      <c r="K6263" s="4"/>
      <c r="AC6263" s="7">
        <v>2022</v>
      </c>
      <c r="AD6263" s="7">
        <v>9</v>
      </c>
      <c r="AE6263" s="7">
        <v>18</v>
      </c>
      <c r="AF6263" s="8">
        <v>0.875</v>
      </c>
      <c r="AG6263" s="9">
        <v>12.6</v>
      </c>
      <c r="AH6263" s="10">
        <f t="shared" si="112"/>
        <v>13</v>
      </c>
    </row>
    <row r="6264" spans="11:34" ht="14.5" x14ac:dyDescent="0.35">
      <c r="K6264" s="4"/>
      <c r="AC6264" s="7">
        <v>2022</v>
      </c>
      <c r="AD6264" s="7">
        <v>9</v>
      </c>
      <c r="AE6264" s="7">
        <v>18</v>
      </c>
      <c r="AF6264" s="8">
        <v>0.91666666666666663</v>
      </c>
      <c r="AG6264" s="9">
        <v>12.3</v>
      </c>
      <c r="AH6264" s="10">
        <f t="shared" si="112"/>
        <v>12</v>
      </c>
    </row>
    <row r="6265" spans="11:34" ht="14.5" x14ac:dyDescent="0.35">
      <c r="K6265" s="4"/>
      <c r="AC6265" s="7">
        <v>2022</v>
      </c>
      <c r="AD6265" s="7">
        <v>9</v>
      </c>
      <c r="AE6265" s="7">
        <v>18</v>
      </c>
      <c r="AF6265" s="8">
        <v>0.95833333333333337</v>
      </c>
      <c r="AG6265" s="9">
        <v>11.8</v>
      </c>
      <c r="AH6265" s="10">
        <f t="shared" si="112"/>
        <v>12</v>
      </c>
    </row>
    <row r="6266" spans="11:34" ht="14.5" x14ac:dyDescent="0.35">
      <c r="K6266" s="4"/>
      <c r="AC6266" s="7">
        <v>2022</v>
      </c>
      <c r="AD6266" s="7">
        <v>9</v>
      </c>
      <c r="AE6266" s="7">
        <v>19</v>
      </c>
      <c r="AF6266" s="8">
        <v>0</v>
      </c>
      <c r="AG6266" s="9">
        <v>11</v>
      </c>
      <c r="AH6266" s="10">
        <f t="shared" si="112"/>
        <v>11</v>
      </c>
    </row>
    <row r="6267" spans="11:34" ht="14.5" x14ac:dyDescent="0.35">
      <c r="K6267" s="4"/>
      <c r="AC6267" s="7">
        <v>2022</v>
      </c>
      <c r="AD6267" s="7">
        <v>9</v>
      </c>
      <c r="AE6267" s="7">
        <v>19</v>
      </c>
      <c r="AF6267" s="8">
        <v>4.1666666666666664E-2</v>
      </c>
      <c r="AG6267" s="9">
        <v>9.8000000000000007</v>
      </c>
      <c r="AH6267" s="10">
        <f t="shared" si="112"/>
        <v>10</v>
      </c>
    </row>
    <row r="6268" spans="11:34" ht="14.5" x14ac:dyDescent="0.35">
      <c r="K6268" s="4"/>
      <c r="AC6268" s="7">
        <v>2022</v>
      </c>
      <c r="AD6268" s="7">
        <v>9</v>
      </c>
      <c r="AE6268" s="7">
        <v>19</v>
      </c>
      <c r="AF6268" s="8">
        <v>8.3333333333333329E-2</v>
      </c>
      <c r="AG6268" s="9">
        <v>8.6</v>
      </c>
      <c r="AH6268" s="10">
        <f t="shared" si="112"/>
        <v>9</v>
      </c>
    </row>
    <row r="6269" spans="11:34" ht="14.5" x14ac:dyDescent="0.35">
      <c r="K6269" s="4"/>
      <c r="AC6269" s="7">
        <v>2022</v>
      </c>
      <c r="AD6269" s="7">
        <v>9</v>
      </c>
      <c r="AE6269" s="7">
        <v>19</v>
      </c>
      <c r="AF6269" s="8">
        <v>0.125</v>
      </c>
      <c r="AG6269" s="9">
        <v>8.1</v>
      </c>
      <c r="AH6269" s="10">
        <f t="shared" si="112"/>
        <v>8</v>
      </c>
    </row>
    <row r="6270" spans="11:34" ht="14.5" x14ac:dyDescent="0.35">
      <c r="K6270" s="4"/>
      <c r="AC6270" s="7">
        <v>2022</v>
      </c>
      <c r="AD6270" s="7">
        <v>9</v>
      </c>
      <c r="AE6270" s="7">
        <v>19</v>
      </c>
      <c r="AF6270" s="8">
        <v>0.16666666666666666</v>
      </c>
      <c r="AG6270" s="9">
        <v>9.1999999999999993</v>
      </c>
      <c r="AH6270" s="10">
        <f t="shared" si="112"/>
        <v>9</v>
      </c>
    </row>
    <row r="6271" spans="11:34" ht="14.5" x14ac:dyDescent="0.35">
      <c r="K6271" s="4"/>
      <c r="AC6271" s="7">
        <v>2022</v>
      </c>
      <c r="AD6271" s="7">
        <v>9</v>
      </c>
      <c r="AE6271" s="7">
        <v>19</v>
      </c>
      <c r="AF6271" s="8">
        <v>0.20833333333333334</v>
      </c>
      <c r="AG6271" s="9">
        <v>8.9</v>
      </c>
      <c r="AH6271" s="10">
        <f t="shared" si="112"/>
        <v>9</v>
      </c>
    </row>
    <row r="6272" spans="11:34" ht="14.5" x14ac:dyDescent="0.35">
      <c r="K6272" s="4"/>
      <c r="AC6272" s="7">
        <v>2022</v>
      </c>
      <c r="AD6272" s="7">
        <v>9</v>
      </c>
      <c r="AE6272" s="7">
        <v>19</v>
      </c>
      <c r="AF6272" s="8">
        <v>0.25</v>
      </c>
      <c r="AG6272" s="9">
        <v>8.3000000000000007</v>
      </c>
      <c r="AH6272" s="10">
        <f t="shared" si="112"/>
        <v>8</v>
      </c>
    </row>
    <row r="6273" spans="11:34" ht="14.5" x14ac:dyDescent="0.35">
      <c r="K6273" s="4"/>
      <c r="AC6273" s="7">
        <v>2022</v>
      </c>
      <c r="AD6273" s="7">
        <v>9</v>
      </c>
      <c r="AE6273" s="7">
        <v>19</v>
      </c>
      <c r="AF6273" s="8">
        <v>0.29166666666666669</v>
      </c>
      <c r="AG6273" s="9">
        <v>7.8</v>
      </c>
      <c r="AH6273" s="10">
        <f t="shared" si="112"/>
        <v>8</v>
      </c>
    </row>
    <row r="6274" spans="11:34" ht="14.5" x14ac:dyDescent="0.35">
      <c r="K6274" s="4"/>
      <c r="AC6274" s="7">
        <v>2022</v>
      </c>
      <c r="AD6274" s="7">
        <v>9</v>
      </c>
      <c r="AE6274" s="7">
        <v>19</v>
      </c>
      <c r="AF6274" s="8">
        <v>0.33333333333333331</v>
      </c>
      <c r="AG6274" s="9">
        <v>7.2</v>
      </c>
      <c r="AH6274" s="10">
        <f t="shared" si="112"/>
        <v>7</v>
      </c>
    </row>
    <row r="6275" spans="11:34" ht="14.5" x14ac:dyDescent="0.35">
      <c r="K6275" s="4"/>
      <c r="AC6275" s="7">
        <v>2022</v>
      </c>
      <c r="AD6275" s="7">
        <v>9</v>
      </c>
      <c r="AE6275" s="7">
        <v>19</v>
      </c>
      <c r="AF6275" s="8">
        <v>0.375</v>
      </c>
      <c r="AG6275" s="9">
        <v>7</v>
      </c>
      <c r="AH6275" s="10">
        <f t="shared" si="112"/>
        <v>7</v>
      </c>
    </row>
    <row r="6276" spans="11:34" ht="14.5" x14ac:dyDescent="0.35">
      <c r="K6276" s="4"/>
      <c r="AC6276" s="7">
        <v>2022</v>
      </c>
      <c r="AD6276" s="7">
        <v>9</v>
      </c>
      <c r="AE6276" s="7">
        <v>19</v>
      </c>
      <c r="AF6276" s="8">
        <v>0.41666666666666669</v>
      </c>
      <c r="AG6276" s="9">
        <v>7.6</v>
      </c>
      <c r="AH6276" s="10">
        <f t="shared" si="112"/>
        <v>8</v>
      </c>
    </row>
    <row r="6277" spans="11:34" ht="14.5" x14ac:dyDescent="0.35">
      <c r="K6277" s="4"/>
      <c r="AC6277" s="7">
        <v>2022</v>
      </c>
      <c r="AD6277" s="7">
        <v>9</v>
      </c>
      <c r="AE6277" s="7">
        <v>19</v>
      </c>
      <c r="AF6277" s="8">
        <v>0.45833333333333331</v>
      </c>
      <c r="AG6277" s="9">
        <v>7.5</v>
      </c>
      <c r="AH6277" s="10">
        <f t="shared" si="112"/>
        <v>8</v>
      </c>
    </row>
    <row r="6278" spans="11:34" ht="14.5" x14ac:dyDescent="0.35">
      <c r="K6278" s="4"/>
      <c r="AC6278" s="7">
        <v>2022</v>
      </c>
      <c r="AD6278" s="7">
        <v>9</v>
      </c>
      <c r="AE6278" s="7">
        <v>19</v>
      </c>
      <c r="AF6278" s="8">
        <v>0.5</v>
      </c>
      <c r="AG6278" s="9">
        <v>6.6</v>
      </c>
      <c r="AH6278" s="10">
        <f t="shared" si="112"/>
        <v>7</v>
      </c>
    </row>
    <row r="6279" spans="11:34" ht="14.5" x14ac:dyDescent="0.35">
      <c r="K6279" s="4"/>
      <c r="AC6279" s="7">
        <v>2022</v>
      </c>
      <c r="AD6279" s="7">
        <v>9</v>
      </c>
      <c r="AE6279" s="7">
        <v>19</v>
      </c>
      <c r="AF6279" s="8">
        <v>0.54166666666666663</v>
      </c>
      <c r="AG6279" s="9">
        <v>6.6</v>
      </c>
      <c r="AH6279" s="10">
        <f t="shared" si="112"/>
        <v>7</v>
      </c>
    </row>
    <row r="6280" spans="11:34" ht="14.5" x14ac:dyDescent="0.35">
      <c r="K6280" s="4"/>
      <c r="AC6280" s="7">
        <v>2022</v>
      </c>
      <c r="AD6280" s="7">
        <v>9</v>
      </c>
      <c r="AE6280" s="7">
        <v>19</v>
      </c>
      <c r="AF6280" s="8">
        <v>0.58333333333333337</v>
      </c>
      <c r="AG6280" s="9">
        <v>6.2</v>
      </c>
      <c r="AH6280" s="10">
        <f t="shared" si="112"/>
        <v>6</v>
      </c>
    </row>
    <row r="6281" spans="11:34" ht="14.5" x14ac:dyDescent="0.35">
      <c r="K6281" s="4"/>
      <c r="AC6281" s="7">
        <v>2022</v>
      </c>
      <c r="AD6281" s="7">
        <v>9</v>
      </c>
      <c r="AE6281" s="7">
        <v>19</v>
      </c>
      <c r="AF6281" s="8">
        <v>0.625</v>
      </c>
      <c r="AG6281" s="9">
        <v>7.4</v>
      </c>
      <c r="AH6281" s="10">
        <f t="shared" si="112"/>
        <v>7</v>
      </c>
    </row>
    <row r="6282" spans="11:34" ht="14.5" x14ac:dyDescent="0.35">
      <c r="K6282" s="4"/>
      <c r="AC6282" s="7">
        <v>2022</v>
      </c>
      <c r="AD6282" s="7">
        <v>9</v>
      </c>
      <c r="AE6282" s="7">
        <v>19</v>
      </c>
      <c r="AF6282" s="8">
        <v>0.66666666666666663</v>
      </c>
      <c r="AG6282" s="9">
        <v>8.3000000000000007</v>
      </c>
      <c r="AH6282" s="10">
        <f t="shared" si="112"/>
        <v>8</v>
      </c>
    </row>
    <row r="6283" spans="11:34" ht="14.5" x14ac:dyDescent="0.35">
      <c r="K6283" s="4"/>
      <c r="AC6283" s="7">
        <v>2022</v>
      </c>
      <c r="AD6283" s="7">
        <v>9</v>
      </c>
      <c r="AE6283" s="7">
        <v>19</v>
      </c>
      <c r="AF6283" s="8">
        <v>0.70833333333333337</v>
      </c>
      <c r="AG6283" s="9">
        <v>8.6</v>
      </c>
      <c r="AH6283" s="10">
        <f t="shared" ref="AH6283:AH6346" si="113">ROUND(AG6283,0)</f>
        <v>9</v>
      </c>
    </row>
    <row r="6284" spans="11:34" ht="14.5" x14ac:dyDescent="0.35">
      <c r="K6284" s="4"/>
      <c r="AC6284" s="7">
        <v>2022</v>
      </c>
      <c r="AD6284" s="7">
        <v>9</v>
      </c>
      <c r="AE6284" s="7">
        <v>19</v>
      </c>
      <c r="AF6284" s="8">
        <v>0.75</v>
      </c>
      <c r="AG6284" s="9">
        <v>7.7</v>
      </c>
      <c r="AH6284" s="10">
        <f t="shared" si="113"/>
        <v>8</v>
      </c>
    </row>
    <row r="6285" spans="11:34" ht="14.5" x14ac:dyDescent="0.35">
      <c r="K6285" s="4"/>
      <c r="AC6285" s="7">
        <v>2022</v>
      </c>
      <c r="AD6285" s="7">
        <v>9</v>
      </c>
      <c r="AE6285" s="7">
        <v>19</v>
      </c>
      <c r="AF6285" s="8">
        <v>0.79166666666666663</v>
      </c>
      <c r="AG6285" s="9">
        <v>6.1</v>
      </c>
      <c r="AH6285" s="10">
        <f t="shared" si="113"/>
        <v>6</v>
      </c>
    </row>
    <row r="6286" spans="11:34" ht="14.5" x14ac:dyDescent="0.35">
      <c r="K6286" s="4"/>
      <c r="AC6286" s="7">
        <v>2022</v>
      </c>
      <c r="AD6286" s="7">
        <v>9</v>
      </c>
      <c r="AE6286" s="7">
        <v>19</v>
      </c>
      <c r="AF6286" s="8">
        <v>0.83333333333333337</v>
      </c>
      <c r="AG6286" s="9">
        <v>6.5</v>
      </c>
      <c r="AH6286" s="10">
        <f t="shared" si="113"/>
        <v>7</v>
      </c>
    </row>
    <row r="6287" spans="11:34" ht="14.5" x14ac:dyDescent="0.35">
      <c r="K6287" s="4"/>
      <c r="AC6287" s="7">
        <v>2022</v>
      </c>
      <c r="AD6287" s="7">
        <v>9</v>
      </c>
      <c r="AE6287" s="7">
        <v>19</v>
      </c>
      <c r="AF6287" s="8">
        <v>0.875</v>
      </c>
      <c r="AG6287" s="9">
        <v>5.6</v>
      </c>
      <c r="AH6287" s="10">
        <f t="shared" si="113"/>
        <v>6</v>
      </c>
    </row>
    <row r="6288" spans="11:34" ht="14.5" x14ac:dyDescent="0.35">
      <c r="K6288" s="4"/>
      <c r="AC6288" s="7">
        <v>2022</v>
      </c>
      <c r="AD6288" s="7">
        <v>9</v>
      </c>
      <c r="AE6288" s="7">
        <v>19</v>
      </c>
      <c r="AF6288" s="8">
        <v>0.91666666666666663</v>
      </c>
      <c r="AG6288" s="9">
        <v>4.5</v>
      </c>
      <c r="AH6288" s="10">
        <f t="shared" si="113"/>
        <v>5</v>
      </c>
    </row>
    <row r="6289" spans="11:34" ht="14.5" x14ac:dyDescent="0.35">
      <c r="K6289" s="4"/>
      <c r="AC6289" s="7">
        <v>2022</v>
      </c>
      <c r="AD6289" s="7">
        <v>9</v>
      </c>
      <c r="AE6289" s="7">
        <v>19</v>
      </c>
      <c r="AF6289" s="8">
        <v>0.95833333333333337</v>
      </c>
      <c r="AG6289" s="9">
        <v>4.0999999999999996</v>
      </c>
      <c r="AH6289" s="10">
        <f t="shared" si="113"/>
        <v>4</v>
      </c>
    </row>
    <row r="6290" spans="11:34" ht="14.5" x14ac:dyDescent="0.35">
      <c r="K6290" s="4"/>
      <c r="AC6290" s="7">
        <v>2022</v>
      </c>
      <c r="AD6290" s="7">
        <v>9</v>
      </c>
      <c r="AE6290" s="7">
        <v>20</v>
      </c>
      <c r="AF6290" s="8">
        <v>0</v>
      </c>
      <c r="AG6290" s="9">
        <v>3.2</v>
      </c>
      <c r="AH6290" s="10">
        <f t="shared" si="113"/>
        <v>3</v>
      </c>
    </row>
    <row r="6291" spans="11:34" ht="14.5" x14ac:dyDescent="0.35">
      <c r="K6291" s="4"/>
      <c r="AC6291" s="7">
        <v>2022</v>
      </c>
      <c r="AD6291" s="7">
        <v>9</v>
      </c>
      <c r="AE6291" s="7">
        <v>20</v>
      </c>
      <c r="AF6291" s="8">
        <v>4.1666666666666664E-2</v>
      </c>
      <c r="AG6291" s="9">
        <v>2.7</v>
      </c>
      <c r="AH6291" s="10">
        <f t="shared" si="113"/>
        <v>3</v>
      </c>
    </row>
    <row r="6292" spans="11:34" ht="14.5" x14ac:dyDescent="0.35">
      <c r="K6292" s="4"/>
      <c r="AC6292" s="7">
        <v>2022</v>
      </c>
      <c r="AD6292" s="7">
        <v>9</v>
      </c>
      <c r="AE6292" s="7">
        <v>20</v>
      </c>
      <c r="AF6292" s="8">
        <v>8.3333333333333329E-2</v>
      </c>
      <c r="AG6292" s="9">
        <v>3.2</v>
      </c>
      <c r="AH6292" s="10">
        <f t="shared" si="113"/>
        <v>3</v>
      </c>
    </row>
    <row r="6293" spans="11:34" ht="14.5" x14ac:dyDescent="0.35">
      <c r="K6293" s="4"/>
      <c r="AC6293" s="7">
        <v>2022</v>
      </c>
      <c r="AD6293" s="7">
        <v>9</v>
      </c>
      <c r="AE6293" s="7">
        <v>20</v>
      </c>
      <c r="AF6293" s="8">
        <v>0.125</v>
      </c>
      <c r="AG6293" s="9">
        <v>2.2999999999999998</v>
      </c>
      <c r="AH6293" s="10">
        <f t="shared" si="113"/>
        <v>2</v>
      </c>
    </row>
    <row r="6294" spans="11:34" ht="14.5" x14ac:dyDescent="0.35">
      <c r="K6294" s="4"/>
      <c r="AC6294" s="7">
        <v>2022</v>
      </c>
      <c r="AD6294" s="7">
        <v>9</v>
      </c>
      <c r="AE6294" s="7">
        <v>20</v>
      </c>
      <c r="AF6294" s="8">
        <v>0.16666666666666666</v>
      </c>
      <c r="AG6294" s="9">
        <v>1.9</v>
      </c>
      <c r="AH6294" s="10">
        <f t="shared" si="113"/>
        <v>2</v>
      </c>
    </row>
    <row r="6295" spans="11:34" ht="14.5" x14ac:dyDescent="0.35">
      <c r="K6295" s="4"/>
      <c r="AC6295" s="7">
        <v>2022</v>
      </c>
      <c r="AD6295" s="7">
        <v>9</v>
      </c>
      <c r="AE6295" s="7">
        <v>20</v>
      </c>
      <c r="AF6295" s="8">
        <v>0.20833333333333334</v>
      </c>
      <c r="AG6295" s="9">
        <v>2</v>
      </c>
      <c r="AH6295" s="10">
        <f t="shared" si="113"/>
        <v>2</v>
      </c>
    </row>
    <row r="6296" spans="11:34" ht="14.5" x14ac:dyDescent="0.35">
      <c r="K6296" s="4"/>
      <c r="AC6296" s="7">
        <v>2022</v>
      </c>
      <c r="AD6296" s="7">
        <v>9</v>
      </c>
      <c r="AE6296" s="7">
        <v>20</v>
      </c>
      <c r="AF6296" s="8">
        <v>0.25</v>
      </c>
      <c r="AG6296" s="9">
        <v>1.1000000000000001</v>
      </c>
      <c r="AH6296" s="10">
        <f t="shared" si="113"/>
        <v>1</v>
      </c>
    </row>
    <row r="6297" spans="11:34" ht="14.5" x14ac:dyDescent="0.35">
      <c r="K6297" s="4"/>
      <c r="AC6297" s="7">
        <v>2022</v>
      </c>
      <c r="AD6297" s="7">
        <v>9</v>
      </c>
      <c r="AE6297" s="7">
        <v>20</v>
      </c>
      <c r="AF6297" s="8">
        <v>0.29166666666666669</v>
      </c>
      <c r="AG6297" s="9">
        <v>2.2000000000000002</v>
      </c>
      <c r="AH6297" s="10">
        <f t="shared" si="113"/>
        <v>2</v>
      </c>
    </row>
    <row r="6298" spans="11:34" ht="14.5" x14ac:dyDescent="0.35">
      <c r="K6298" s="4"/>
      <c r="AC6298" s="7">
        <v>2022</v>
      </c>
      <c r="AD6298" s="7">
        <v>9</v>
      </c>
      <c r="AE6298" s="7">
        <v>20</v>
      </c>
      <c r="AF6298" s="8">
        <v>0.33333333333333331</v>
      </c>
      <c r="AG6298" s="9">
        <v>4.8</v>
      </c>
      <c r="AH6298" s="10">
        <f t="shared" si="113"/>
        <v>5</v>
      </c>
    </row>
    <row r="6299" spans="11:34" ht="14.5" x14ac:dyDescent="0.35">
      <c r="K6299" s="4"/>
      <c r="AC6299" s="7">
        <v>2022</v>
      </c>
      <c r="AD6299" s="7">
        <v>9</v>
      </c>
      <c r="AE6299" s="7">
        <v>20</v>
      </c>
      <c r="AF6299" s="8">
        <v>0.375</v>
      </c>
      <c r="AG6299" s="9">
        <v>6.9</v>
      </c>
      <c r="AH6299" s="10">
        <f t="shared" si="113"/>
        <v>7</v>
      </c>
    </row>
    <row r="6300" spans="11:34" ht="14.5" x14ac:dyDescent="0.35">
      <c r="K6300" s="4"/>
      <c r="AC6300" s="7">
        <v>2022</v>
      </c>
      <c r="AD6300" s="7">
        <v>9</v>
      </c>
      <c r="AE6300" s="7">
        <v>20</v>
      </c>
      <c r="AF6300" s="8">
        <v>0.41666666666666669</v>
      </c>
      <c r="AG6300" s="9">
        <v>8.6</v>
      </c>
      <c r="AH6300" s="10">
        <f t="shared" si="113"/>
        <v>9</v>
      </c>
    </row>
    <row r="6301" spans="11:34" ht="14.5" x14ac:dyDescent="0.35">
      <c r="K6301" s="4"/>
      <c r="AC6301" s="7">
        <v>2022</v>
      </c>
      <c r="AD6301" s="7">
        <v>9</v>
      </c>
      <c r="AE6301" s="7">
        <v>20</v>
      </c>
      <c r="AF6301" s="8">
        <v>0.45833333333333331</v>
      </c>
      <c r="AG6301" s="9">
        <v>10</v>
      </c>
      <c r="AH6301" s="10">
        <f t="shared" si="113"/>
        <v>10</v>
      </c>
    </row>
    <row r="6302" spans="11:34" ht="14.5" x14ac:dyDescent="0.35">
      <c r="K6302" s="4"/>
      <c r="AC6302" s="7">
        <v>2022</v>
      </c>
      <c r="AD6302" s="7">
        <v>9</v>
      </c>
      <c r="AE6302" s="7">
        <v>20</v>
      </c>
      <c r="AF6302" s="8">
        <v>0.5</v>
      </c>
      <c r="AG6302" s="9">
        <v>10.5</v>
      </c>
      <c r="AH6302" s="10">
        <f t="shared" si="113"/>
        <v>11</v>
      </c>
    </row>
    <row r="6303" spans="11:34" ht="14.5" x14ac:dyDescent="0.35">
      <c r="K6303" s="4"/>
      <c r="AC6303" s="7">
        <v>2022</v>
      </c>
      <c r="AD6303" s="7">
        <v>9</v>
      </c>
      <c r="AE6303" s="7">
        <v>20</v>
      </c>
      <c r="AF6303" s="8">
        <v>0.54166666666666663</v>
      </c>
      <c r="AG6303" s="9">
        <v>11.7</v>
      </c>
      <c r="AH6303" s="10">
        <f t="shared" si="113"/>
        <v>12</v>
      </c>
    </row>
    <row r="6304" spans="11:34" ht="14.5" x14ac:dyDescent="0.35">
      <c r="K6304" s="4"/>
      <c r="AC6304" s="7">
        <v>2022</v>
      </c>
      <c r="AD6304" s="7">
        <v>9</v>
      </c>
      <c r="AE6304" s="7">
        <v>20</v>
      </c>
      <c r="AF6304" s="8">
        <v>0.58333333333333337</v>
      </c>
      <c r="AG6304" s="9">
        <v>12.9</v>
      </c>
      <c r="AH6304" s="10">
        <f t="shared" si="113"/>
        <v>13</v>
      </c>
    </row>
    <row r="6305" spans="11:34" ht="14.5" x14ac:dyDescent="0.35">
      <c r="K6305" s="4"/>
      <c r="AC6305" s="7">
        <v>2022</v>
      </c>
      <c r="AD6305" s="7">
        <v>9</v>
      </c>
      <c r="AE6305" s="7">
        <v>20</v>
      </c>
      <c r="AF6305" s="8">
        <v>0.625</v>
      </c>
      <c r="AG6305" s="9">
        <v>13</v>
      </c>
      <c r="AH6305" s="10">
        <f t="shared" si="113"/>
        <v>13</v>
      </c>
    </row>
    <row r="6306" spans="11:34" ht="14.5" x14ac:dyDescent="0.35">
      <c r="K6306" s="4"/>
      <c r="AC6306" s="7">
        <v>2022</v>
      </c>
      <c r="AD6306" s="7">
        <v>9</v>
      </c>
      <c r="AE6306" s="7">
        <v>20</v>
      </c>
      <c r="AF6306" s="8">
        <v>0.66666666666666663</v>
      </c>
      <c r="AG6306" s="9">
        <v>13.3</v>
      </c>
      <c r="AH6306" s="10">
        <f t="shared" si="113"/>
        <v>13</v>
      </c>
    </row>
    <row r="6307" spans="11:34" ht="14.5" x14ac:dyDescent="0.35">
      <c r="K6307" s="4"/>
      <c r="AC6307" s="7">
        <v>2022</v>
      </c>
      <c r="AD6307" s="7">
        <v>9</v>
      </c>
      <c r="AE6307" s="7">
        <v>20</v>
      </c>
      <c r="AF6307" s="8">
        <v>0.70833333333333337</v>
      </c>
      <c r="AG6307" s="9">
        <v>13.2</v>
      </c>
      <c r="AH6307" s="10">
        <f t="shared" si="113"/>
        <v>13</v>
      </c>
    </row>
    <row r="6308" spans="11:34" ht="14.5" x14ac:dyDescent="0.35">
      <c r="K6308" s="4"/>
      <c r="AC6308" s="7">
        <v>2022</v>
      </c>
      <c r="AD6308" s="7">
        <v>9</v>
      </c>
      <c r="AE6308" s="7">
        <v>20</v>
      </c>
      <c r="AF6308" s="8">
        <v>0.75</v>
      </c>
      <c r="AG6308" s="9">
        <v>12.2</v>
      </c>
      <c r="AH6308" s="10">
        <f t="shared" si="113"/>
        <v>12</v>
      </c>
    </row>
    <row r="6309" spans="11:34" ht="14.5" x14ac:dyDescent="0.35">
      <c r="K6309" s="4"/>
      <c r="AC6309" s="7">
        <v>2022</v>
      </c>
      <c r="AD6309" s="7">
        <v>9</v>
      </c>
      <c r="AE6309" s="7">
        <v>20</v>
      </c>
      <c r="AF6309" s="8">
        <v>0.79166666666666663</v>
      </c>
      <c r="AG6309" s="9">
        <v>8.1999999999999993</v>
      </c>
      <c r="AH6309" s="10">
        <f t="shared" si="113"/>
        <v>8</v>
      </c>
    </row>
    <row r="6310" spans="11:34" ht="14.5" x14ac:dyDescent="0.35">
      <c r="K6310" s="4"/>
      <c r="AC6310" s="7">
        <v>2022</v>
      </c>
      <c r="AD6310" s="7">
        <v>9</v>
      </c>
      <c r="AE6310" s="7">
        <v>20</v>
      </c>
      <c r="AF6310" s="8">
        <v>0.83333333333333337</v>
      </c>
      <c r="AG6310" s="9">
        <v>6.9</v>
      </c>
      <c r="AH6310" s="10">
        <f t="shared" si="113"/>
        <v>7</v>
      </c>
    </row>
    <row r="6311" spans="11:34" ht="14.5" x14ac:dyDescent="0.35">
      <c r="K6311" s="4"/>
      <c r="AC6311" s="7">
        <v>2022</v>
      </c>
      <c r="AD6311" s="7">
        <v>9</v>
      </c>
      <c r="AE6311" s="7">
        <v>20</v>
      </c>
      <c r="AF6311" s="8">
        <v>0.875</v>
      </c>
      <c r="AG6311" s="9">
        <v>5.2</v>
      </c>
      <c r="AH6311" s="10">
        <f t="shared" si="113"/>
        <v>5</v>
      </c>
    </row>
    <row r="6312" spans="11:34" ht="14.5" x14ac:dyDescent="0.35">
      <c r="K6312" s="4"/>
      <c r="AC6312" s="7">
        <v>2022</v>
      </c>
      <c r="AD6312" s="7">
        <v>9</v>
      </c>
      <c r="AE6312" s="7">
        <v>20</v>
      </c>
      <c r="AF6312" s="8">
        <v>0.91666666666666663</v>
      </c>
      <c r="AG6312" s="9">
        <v>4.7</v>
      </c>
      <c r="AH6312" s="10">
        <f t="shared" si="113"/>
        <v>5</v>
      </c>
    </row>
    <row r="6313" spans="11:34" ht="14.5" x14ac:dyDescent="0.35">
      <c r="K6313" s="4"/>
      <c r="AC6313" s="7">
        <v>2022</v>
      </c>
      <c r="AD6313" s="7">
        <v>9</v>
      </c>
      <c r="AE6313" s="7">
        <v>20</v>
      </c>
      <c r="AF6313" s="8">
        <v>0.95833333333333337</v>
      </c>
      <c r="AG6313" s="9">
        <v>3.7</v>
      </c>
      <c r="AH6313" s="10">
        <f t="shared" si="113"/>
        <v>4</v>
      </c>
    </row>
    <row r="6314" spans="11:34" ht="14.5" x14ac:dyDescent="0.35">
      <c r="K6314" s="4"/>
      <c r="AC6314" s="7">
        <v>2022</v>
      </c>
      <c r="AD6314" s="7">
        <v>9</v>
      </c>
      <c r="AE6314" s="7">
        <v>21</v>
      </c>
      <c r="AF6314" s="8">
        <v>0</v>
      </c>
      <c r="AG6314" s="9">
        <v>3.2</v>
      </c>
      <c r="AH6314" s="10">
        <f t="shared" si="113"/>
        <v>3</v>
      </c>
    </row>
    <row r="6315" spans="11:34" ht="14.5" x14ac:dyDescent="0.35">
      <c r="K6315" s="4"/>
      <c r="AC6315" s="7">
        <v>2022</v>
      </c>
      <c r="AD6315" s="7">
        <v>9</v>
      </c>
      <c r="AE6315" s="7">
        <v>21</v>
      </c>
      <c r="AF6315" s="8">
        <v>4.1666666666666664E-2</v>
      </c>
      <c r="AG6315" s="9">
        <v>2.1</v>
      </c>
      <c r="AH6315" s="10">
        <f t="shared" si="113"/>
        <v>2</v>
      </c>
    </row>
    <row r="6316" spans="11:34" ht="14.5" x14ac:dyDescent="0.35">
      <c r="K6316" s="4"/>
      <c r="AC6316" s="7">
        <v>2022</v>
      </c>
      <c r="AD6316" s="7">
        <v>9</v>
      </c>
      <c r="AE6316" s="7">
        <v>21</v>
      </c>
      <c r="AF6316" s="8">
        <v>8.3333333333333329E-2</v>
      </c>
      <c r="AG6316" s="9">
        <v>2.5</v>
      </c>
      <c r="AH6316" s="10">
        <f t="shared" si="113"/>
        <v>3</v>
      </c>
    </row>
    <row r="6317" spans="11:34" ht="14.5" x14ac:dyDescent="0.35">
      <c r="K6317" s="4"/>
      <c r="AC6317" s="7">
        <v>2022</v>
      </c>
      <c r="AD6317" s="7">
        <v>9</v>
      </c>
      <c r="AE6317" s="7">
        <v>21</v>
      </c>
      <c r="AF6317" s="8">
        <v>0.125</v>
      </c>
      <c r="AG6317" s="9">
        <v>2.1</v>
      </c>
      <c r="AH6317" s="10">
        <f t="shared" si="113"/>
        <v>2</v>
      </c>
    </row>
    <row r="6318" spans="11:34" ht="14.5" x14ac:dyDescent="0.35">
      <c r="K6318" s="4"/>
      <c r="AC6318" s="7">
        <v>2022</v>
      </c>
      <c r="AD6318" s="7">
        <v>9</v>
      </c>
      <c r="AE6318" s="7">
        <v>21</v>
      </c>
      <c r="AF6318" s="8">
        <v>0.16666666666666666</v>
      </c>
      <c r="AG6318" s="9">
        <v>1.1000000000000001</v>
      </c>
      <c r="AH6318" s="10">
        <f t="shared" si="113"/>
        <v>1</v>
      </c>
    </row>
    <row r="6319" spans="11:34" ht="14.5" x14ac:dyDescent="0.35">
      <c r="K6319" s="4"/>
      <c r="AC6319" s="7">
        <v>2022</v>
      </c>
      <c r="AD6319" s="7">
        <v>9</v>
      </c>
      <c r="AE6319" s="7">
        <v>21</v>
      </c>
      <c r="AF6319" s="8">
        <v>0.20833333333333334</v>
      </c>
      <c r="AG6319" s="9">
        <v>-0.2</v>
      </c>
      <c r="AH6319" s="10">
        <f t="shared" si="113"/>
        <v>0</v>
      </c>
    </row>
    <row r="6320" spans="11:34" ht="14.5" x14ac:dyDescent="0.35">
      <c r="K6320" s="4"/>
      <c r="AC6320" s="7">
        <v>2022</v>
      </c>
      <c r="AD6320" s="7">
        <v>9</v>
      </c>
      <c r="AE6320" s="7">
        <v>21</v>
      </c>
      <c r="AF6320" s="8">
        <v>0.25</v>
      </c>
      <c r="AG6320" s="9">
        <v>0.2</v>
      </c>
      <c r="AH6320" s="10">
        <f t="shared" si="113"/>
        <v>0</v>
      </c>
    </row>
    <row r="6321" spans="11:34" ht="14.5" x14ac:dyDescent="0.35">
      <c r="K6321" s="4"/>
      <c r="AC6321" s="7">
        <v>2022</v>
      </c>
      <c r="AD6321" s="7">
        <v>9</v>
      </c>
      <c r="AE6321" s="7">
        <v>21</v>
      </c>
      <c r="AF6321" s="8">
        <v>0.29166666666666669</v>
      </c>
      <c r="AG6321" s="9">
        <v>0.6</v>
      </c>
      <c r="AH6321" s="10">
        <f t="shared" si="113"/>
        <v>1</v>
      </c>
    </row>
    <row r="6322" spans="11:34" ht="14.5" x14ac:dyDescent="0.35">
      <c r="K6322" s="4"/>
      <c r="AC6322" s="7">
        <v>2022</v>
      </c>
      <c r="AD6322" s="7">
        <v>9</v>
      </c>
      <c r="AE6322" s="7">
        <v>21</v>
      </c>
      <c r="AF6322" s="8">
        <v>0.33333333333333331</v>
      </c>
      <c r="AG6322" s="9">
        <v>3.7</v>
      </c>
      <c r="AH6322" s="10">
        <f t="shared" si="113"/>
        <v>4</v>
      </c>
    </row>
    <row r="6323" spans="11:34" ht="14.5" x14ac:dyDescent="0.35">
      <c r="K6323" s="4"/>
      <c r="AC6323" s="7">
        <v>2022</v>
      </c>
      <c r="AD6323" s="7">
        <v>9</v>
      </c>
      <c r="AE6323" s="7">
        <v>21</v>
      </c>
      <c r="AF6323" s="8">
        <v>0.375</v>
      </c>
      <c r="AG6323" s="9">
        <v>7.2</v>
      </c>
      <c r="AH6323" s="10">
        <f t="shared" si="113"/>
        <v>7</v>
      </c>
    </row>
    <row r="6324" spans="11:34" ht="14.5" x14ac:dyDescent="0.35">
      <c r="K6324" s="4"/>
      <c r="AC6324" s="7">
        <v>2022</v>
      </c>
      <c r="AD6324" s="7">
        <v>9</v>
      </c>
      <c r="AE6324" s="7">
        <v>21</v>
      </c>
      <c r="AF6324" s="8">
        <v>0.41666666666666669</v>
      </c>
      <c r="AG6324" s="9">
        <v>10.3</v>
      </c>
      <c r="AH6324" s="10">
        <f t="shared" si="113"/>
        <v>10</v>
      </c>
    </row>
    <row r="6325" spans="11:34" ht="14.5" x14ac:dyDescent="0.35">
      <c r="K6325" s="4"/>
      <c r="AC6325" s="7">
        <v>2022</v>
      </c>
      <c r="AD6325" s="7">
        <v>9</v>
      </c>
      <c r="AE6325" s="7">
        <v>21</v>
      </c>
      <c r="AF6325" s="8">
        <v>0.45833333333333331</v>
      </c>
      <c r="AG6325" s="9">
        <v>12.6</v>
      </c>
      <c r="AH6325" s="10">
        <f t="shared" si="113"/>
        <v>13</v>
      </c>
    </row>
    <row r="6326" spans="11:34" ht="14.5" x14ac:dyDescent="0.35">
      <c r="K6326" s="4"/>
      <c r="AC6326" s="7">
        <v>2022</v>
      </c>
      <c r="AD6326" s="7">
        <v>9</v>
      </c>
      <c r="AE6326" s="7">
        <v>21</v>
      </c>
      <c r="AF6326" s="8">
        <v>0.5</v>
      </c>
      <c r="AG6326" s="9">
        <v>14.6</v>
      </c>
      <c r="AH6326" s="10">
        <f t="shared" si="113"/>
        <v>15</v>
      </c>
    </row>
    <row r="6327" spans="11:34" ht="14.5" x14ac:dyDescent="0.35">
      <c r="K6327" s="4"/>
      <c r="AC6327" s="7">
        <v>2022</v>
      </c>
      <c r="AD6327" s="7">
        <v>9</v>
      </c>
      <c r="AE6327" s="7">
        <v>21</v>
      </c>
      <c r="AF6327" s="8">
        <v>0.54166666666666663</v>
      </c>
      <c r="AG6327" s="9">
        <v>15.2</v>
      </c>
      <c r="AH6327" s="10">
        <f t="shared" si="113"/>
        <v>15</v>
      </c>
    </row>
    <row r="6328" spans="11:34" ht="14.5" x14ac:dyDescent="0.35">
      <c r="K6328" s="4"/>
      <c r="AC6328" s="7">
        <v>2022</v>
      </c>
      <c r="AD6328" s="7">
        <v>9</v>
      </c>
      <c r="AE6328" s="7">
        <v>21</v>
      </c>
      <c r="AF6328" s="8">
        <v>0.58333333333333337</v>
      </c>
      <c r="AG6328" s="9">
        <v>15.7</v>
      </c>
      <c r="AH6328" s="10">
        <f t="shared" si="113"/>
        <v>16</v>
      </c>
    </row>
    <row r="6329" spans="11:34" ht="14.5" x14ac:dyDescent="0.35">
      <c r="K6329" s="4"/>
      <c r="AC6329" s="7">
        <v>2022</v>
      </c>
      <c r="AD6329" s="7">
        <v>9</v>
      </c>
      <c r="AE6329" s="7">
        <v>21</v>
      </c>
      <c r="AF6329" s="8">
        <v>0.625</v>
      </c>
      <c r="AG6329" s="9">
        <v>16</v>
      </c>
      <c r="AH6329" s="10">
        <f t="shared" si="113"/>
        <v>16</v>
      </c>
    </row>
    <row r="6330" spans="11:34" ht="14.5" x14ac:dyDescent="0.35">
      <c r="K6330" s="4"/>
      <c r="AC6330" s="7">
        <v>2022</v>
      </c>
      <c r="AD6330" s="7">
        <v>9</v>
      </c>
      <c r="AE6330" s="7">
        <v>21</v>
      </c>
      <c r="AF6330" s="8">
        <v>0.66666666666666663</v>
      </c>
      <c r="AG6330" s="9">
        <v>15.6</v>
      </c>
      <c r="AH6330" s="10">
        <f t="shared" si="113"/>
        <v>16</v>
      </c>
    </row>
    <row r="6331" spans="11:34" ht="14.5" x14ac:dyDescent="0.35">
      <c r="K6331" s="4"/>
      <c r="AC6331" s="7">
        <v>2022</v>
      </c>
      <c r="AD6331" s="7">
        <v>9</v>
      </c>
      <c r="AE6331" s="7">
        <v>21</v>
      </c>
      <c r="AF6331" s="8">
        <v>0.70833333333333337</v>
      </c>
      <c r="AG6331" s="9">
        <v>15.5</v>
      </c>
      <c r="AH6331" s="10">
        <f t="shared" si="113"/>
        <v>16</v>
      </c>
    </row>
    <row r="6332" spans="11:34" ht="14.5" x14ac:dyDescent="0.35">
      <c r="K6332" s="4"/>
      <c r="AC6332" s="7">
        <v>2022</v>
      </c>
      <c r="AD6332" s="7">
        <v>9</v>
      </c>
      <c r="AE6332" s="7">
        <v>21</v>
      </c>
      <c r="AF6332" s="8">
        <v>0.75</v>
      </c>
      <c r="AG6332" s="9">
        <v>14.4</v>
      </c>
      <c r="AH6332" s="10">
        <f t="shared" si="113"/>
        <v>14</v>
      </c>
    </row>
    <row r="6333" spans="11:34" ht="14.5" x14ac:dyDescent="0.35">
      <c r="K6333" s="4"/>
      <c r="AC6333" s="7">
        <v>2022</v>
      </c>
      <c r="AD6333" s="7">
        <v>9</v>
      </c>
      <c r="AE6333" s="7">
        <v>21</v>
      </c>
      <c r="AF6333" s="8">
        <v>0.79166666666666663</v>
      </c>
      <c r="AG6333" s="9">
        <v>12.2</v>
      </c>
      <c r="AH6333" s="10">
        <f t="shared" si="113"/>
        <v>12</v>
      </c>
    </row>
    <row r="6334" spans="11:34" ht="14.5" x14ac:dyDescent="0.35">
      <c r="K6334" s="4"/>
      <c r="AC6334" s="7">
        <v>2022</v>
      </c>
      <c r="AD6334" s="7">
        <v>9</v>
      </c>
      <c r="AE6334" s="7">
        <v>21</v>
      </c>
      <c r="AF6334" s="8">
        <v>0.83333333333333337</v>
      </c>
      <c r="AG6334" s="9">
        <v>10.6</v>
      </c>
      <c r="AH6334" s="10">
        <f t="shared" si="113"/>
        <v>11</v>
      </c>
    </row>
    <row r="6335" spans="11:34" ht="14.5" x14ac:dyDescent="0.35">
      <c r="K6335" s="4"/>
      <c r="AC6335" s="7">
        <v>2022</v>
      </c>
      <c r="AD6335" s="7">
        <v>9</v>
      </c>
      <c r="AE6335" s="7">
        <v>21</v>
      </c>
      <c r="AF6335" s="8">
        <v>0.875</v>
      </c>
      <c r="AG6335" s="9">
        <v>9.6999999999999993</v>
      </c>
      <c r="AH6335" s="10">
        <f t="shared" si="113"/>
        <v>10</v>
      </c>
    </row>
    <row r="6336" spans="11:34" ht="14.5" x14ac:dyDescent="0.35">
      <c r="K6336" s="4"/>
      <c r="AC6336" s="7">
        <v>2022</v>
      </c>
      <c r="AD6336" s="7">
        <v>9</v>
      </c>
      <c r="AE6336" s="7">
        <v>21</v>
      </c>
      <c r="AF6336" s="8">
        <v>0.91666666666666663</v>
      </c>
      <c r="AG6336" s="9">
        <v>8.9</v>
      </c>
      <c r="AH6336" s="10">
        <f t="shared" si="113"/>
        <v>9</v>
      </c>
    </row>
    <row r="6337" spans="11:34" ht="14.5" x14ac:dyDescent="0.35">
      <c r="K6337" s="4"/>
      <c r="AC6337" s="7">
        <v>2022</v>
      </c>
      <c r="AD6337" s="7">
        <v>9</v>
      </c>
      <c r="AE6337" s="7">
        <v>21</v>
      </c>
      <c r="AF6337" s="8">
        <v>0.95833333333333337</v>
      </c>
      <c r="AG6337" s="9">
        <v>8.4</v>
      </c>
      <c r="AH6337" s="10">
        <f t="shared" si="113"/>
        <v>8</v>
      </c>
    </row>
    <row r="6338" spans="11:34" ht="14.5" x14ac:dyDescent="0.35">
      <c r="K6338" s="4"/>
      <c r="AC6338" s="7">
        <v>2022</v>
      </c>
      <c r="AD6338" s="7">
        <v>9</v>
      </c>
      <c r="AE6338" s="7">
        <v>22</v>
      </c>
      <c r="AF6338" s="8">
        <v>0</v>
      </c>
      <c r="AG6338" s="9">
        <v>9</v>
      </c>
      <c r="AH6338" s="10">
        <f t="shared" si="113"/>
        <v>9</v>
      </c>
    </row>
    <row r="6339" spans="11:34" ht="14.5" x14ac:dyDescent="0.35">
      <c r="K6339" s="4"/>
      <c r="AC6339" s="7">
        <v>2022</v>
      </c>
      <c r="AD6339" s="7">
        <v>9</v>
      </c>
      <c r="AE6339" s="7">
        <v>22</v>
      </c>
      <c r="AF6339" s="8">
        <v>4.1666666666666664E-2</v>
      </c>
      <c r="AG6339" s="9">
        <v>7.5</v>
      </c>
      <c r="AH6339" s="10">
        <f t="shared" si="113"/>
        <v>8</v>
      </c>
    </row>
    <row r="6340" spans="11:34" ht="14.5" x14ac:dyDescent="0.35">
      <c r="K6340" s="4"/>
      <c r="AC6340" s="7">
        <v>2022</v>
      </c>
      <c r="AD6340" s="7">
        <v>9</v>
      </c>
      <c r="AE6340" s="7">
        <v>22</v>
      </c>
      <c r="AF6340" s="8">
        <v>8.3333333333333329E-2</v>
      </c>
      <c r="AG6340" s="9">
        <v>6.5</v>
      </c>
      <c r="AH6340" s="10">
        <f t="shared" si="113"/>
        <v>7</v>
      </c>
    </row>
    <row r="6341" spans="11:34" ht="14.5" x14ac:dyDescent="0.35">
      <c r="K6341" s="4"/>
      <c r="AC6341" s="7">
        <v>2022</v>
      </c>
      <c r="AD6341" s="7">
        <v>9</v>
      </c>
      <c r="AE6341" s="7">
        <v>22</v>
      </c>
      <c r="AF6341" s="8">
        <v>0.125</v>
      </c>
      <c r="AG6341" s="9">
        <v>5</v>
      </c>
      <c r="AH6341" s="10">
        <f t="shared" si="113"/>
        <v>5</v>
      </c>
    </row>
    <row r="6342" spans="11:34" ht="14.5" x14ac:dyDescent="0.35">
      <c r="K6342" s="4"/>
      <c r="AC6342" s="7">
        <v>2022</v>
      </c>
      <c r="AD6342" s="7">
        <v>9</v>
      </c>
      <c r="AE6342" s="7">
        <v>22</v>
      </c>
      <c r="AF6342" s="8">
        <v>0.16666666666666666</v>
      </c>
      <c r="AG6342" s="9">
        <v>3.8</v>
      </c>
      <c r="AH6342" s="10">
        <f t="shared" si="113"/>
        <v>4</v>
      </c>
    </row>
    <row r="6343" spans="11:34" ht="14.5" x14ac:dyDescent="0.35">
      <c r="K6343" s="4"/>
      <c r="AC6343" s="7">
        <v>2022</v>
      </c>
      <c r="AD6343" s="7">
        <v>9</v>
      </c>
      <c r="AE6343" s="7">
        <v>22</v>
      </c>
      <c r="AF6343" s="8">
        <v>0.20833333333333334</v>
      </c>
      <c r="AG6343" s="9">
        <v>4.4000000000000004</v>
      </c>
      <c r="AH6343" s="10">
        <f t="shared" si="113"/>
        <v>4</v>
      </c>
    </row>
    <row r="6344" spans="11:34" ht="14.5" x14ac:dyDescent="0.35">
      <c r="K6344" s="4"/>
      <c r="AC6344" s="7">
        <v>2022</v>
      </c>
      <c r="AD6344" s="7">
        <v>9</v>
      </c>
      <c r="AE6344" s="7">
        <v>22</v>
      </c>
      <c r="AF6344" s="8">
        <v>0.25</v>
      </c>
      <c r="AG6344" s="9">
        <v>3.7</v>
      </c>
      <c r="AH6344" s="10">
        <f t="shared" si="113"/>
        <v>4</v>
      </c>
    </row>
    <row r="6345" spans="11:34" ht="14.5" x14ac:dyDescent="0.35">
      <c r="K6345" s="4"/>
      <c r="AC6345" s="7">
        <v>2022</v>
      </c>
      <c r="AD6345" s="7">
        <v>9</v>
      </c>
      <c r="AE6345" s="7">
        <v>22</v>
      </c>
      <c r="AF6345" s="8">
        <v>0.29166666666666669</v>
      </c>
      <c r="AG6345" s="9">
        <v>4.0999999999999996</v>
      </c>
      <c r="AH6345" s="10">
        <f t="shared" si="113"/>
        <v>4</v>
      </c>
    </row>
    <row r="6346" spans="11:34" ht="14.5" x14ac:dyDescent="0.35">
      <c r="K6346" s="4"/>
      <c r="AC6346" s="7">
        <v>2022</v>
      </c>
      <c r="AD6346" s="7">
        <v>9</v>
      </c>
      <c r="AE6346" s="7">
        <v>22</v>
      </c>
      <c r="AF6346" s="8">
        <v>0.33333333333333331</v>
      </c>
      <c r="AG6346" s="9">
        <v>6.3</v>
      </c>
      <c r="AH6346" s="10">
        <f t="shared" si="113"/>
        <v>6</v>
      </c>
    </row>
    <row r="6347" spans="11:34" ht="14.5" x14ac:dyDescent="0.35">
      <c r="K6347" s="4"/>
      <c r="AC6347" s="7">
        <v>2022</v>
      </c>
      <c r="AD6347" s="7">
        <v>9</v>
      </c>
      <c r="AE6347" s="7">
        <v>22</v>
      </c>
      <c r="AF6347" s="8">
        <v>0.375</v>
      </c>
      <c r="AG6347" s="9">
        <v>8</v>
      </c>
      <c r="AH6347" s="10">
        <f t="shared" ref="AH6347:AH6410" si="114">ROUND(AG6347,0)</f>
        <v>8</v>
      </c>
    </row>
    <row r="6348" spans="11:34" ht="14.5" x14ac:dyDescent="0.35">
      <c r="K6348" s="4"/>
      <c r="AC6348" s="7">
        <v>2022</v>
      </c>
      <c r="AD6348" s="7">
        <v>9</v>
      </c>
      <c r="AE6348" s="7">
        <v>22</v>
      </c>
      <c r="AF6348" s="8">
        <v>0.41666666666666669</v>
      </c>
      <c r="AG6348" s="9">
        <v>9.3000000000000007</v>
      </c>
      <c r="AH6348" s="10">
        <f t="shared" si="114"/>
        <v>9</v>
      </c>
    </row>
    <row r="6349" spans="11:34" ht="14.5" x14ac:dyDescent="0.35">
      <c r="K6349" s="4"/>
      <c r="AC6349" s="7">
        <v>2022</v>
      </c>
      <c r="AD6349" s="7">
        <v>9</v>
      </c>
      <c r="AE6349" s="7">
        <v>22</v>
      </c>
      <c r="AF6349" s="8">
        <v>0.45833333333333331</v>
      </c>
      <c r="AG6349" s="9">
        <v>11.2</v>
      </c>
      <c r="AH6349" s="10">
        <f t="shared" si="114"/>
        <v>11</v>
      </c>
    </row>
    <row r="6350" spans="11:34" ht="14.5" x14ac:dyDescent="0.35">
      <c r="K6350" s="4"/>
      <c r="AC6350" s="7">
        <v>2022</v>
      </c>
      <c r="AD6350" s="7">
        <v>9</v>
      </c>
      <c r="AE6350" s="7">
        <v>22</v>
      </c>
      <c r="AF6350" s="8">
        <v>0.5</v>
      </c>
      <c r="AG6350" s="9">
        <v>14.5</v>
      </c>
      <c r="AH6350" s="10">
        <f t="shared" si="114"/>
        <v>15</v>
      </c>
    </row>
    <row r="6351" spans="11:34" ht="14.5" x14ac:dyDescent="0.35">
      <c r="K6351" s="4"/>
      <c r="AC6351" s="7">
        <v>2022</v>
      </c>
      <c r="AD6351" s="7">
        <v>9</v>
      </c>
      <c r="AE6351" s="7">
        <v>22</v>
      </c>
      <c r="AF6351" s="8">
        <v>0.54166666666666663</v>
      </c>
      <c r="AG6351" s="9">
        <v>15.4</v>
      </c>
      <c r="AH6351" s="10">
        <f t="shared" si="114"/>
        <v>15</v>
      </c>
    </row>
    <row r="6352" spans="11:34" ht="14.5" x14ac:dyDescent="0.35">
      <c r="K6352" s="4"/>
      <c r="AC6352" s="7">
        <v>2022</v>
      </c>
      <c r="AD6352" s="7">
        <v>9</v>
      </c>
      <c r="AE6352" s="7">
        <v>22</v>
      </c>
      <c r="AF6352" s="8">
        <v>0.58333333333333337</v>
      </c>
      <c r="AG6352" s="9">
        <v>15.4</v>
      </c>
      <c r="AH6352" s="10">
        <f t="shared" si="114"/>
        <v>15</v>
      </c>
    </row>
    <row r="6353" spans="11:34" ht="14.5" x14ac:dyDescent="0.35">
      <c r="K6353" s="4"/>
      <c r="AC6353" s="7">
        <v>2022</v>
      </c>
      <c r="AD6353" s="7">
        <v>9</v>
      </c>
      <c r="AE6353" s="7">
        <v>22</v>
      </c>
      <c r="AF6353" s="8">
        <v>0.625</v>
      </c>
      <c r="AG6353" s="9">
        <v>16.600000000000001</v>
      </c>
      <c r="AH6353" s="10">
        <f t="shared" si="114"/>
        <v>17</v>
      </c>
    </row>
    <row r="6354" spans="11:34" ht="14.5" x14ac:dyDescent="0.35">
      <c r="K6354" s="4"/>
      <c r="AC6354" s="7">
        <v>2022</v>
      </c>
      <c r="AD6354" s="7">
        <v>9</v>
      </c>
      <c r="AE6354" s="7">
        <v>22</v>
      </c>
      <c r="AF6354" s="8">
        <v>0.66666666666666663</v>
      </c>
      <c r="AG6354" s="9">
        <v>16.399999999999999</v>
      </c>
      <c r="AH6354" s="10">
        <f t="shared" si="114"/>
        <v>16</v>
      </c>
    </row>
    <row r="6355" spans="11:34" ht="14.5" x14ac:dyDescent="0.35">
      <c r="K6355" s="4"/>
      <c r="AC6355" s="7">
        <v>2022</v>
      </c>
      <c r="AD6355" s="7">
        <v>9</v>
      </c>
      <c r="AE6355" s="7">
        <v>22</v>
      </c>
      <c r="AF6355" s="8">
        <v>0.70833333333333337</v>
      </c>
      <c r="AG6355" s="9">
        <v>14.8</v>
      </c>
      <c r="AH6355" s="10">
        <f t="shared" si="114"/>
        <v>15</v>
      </c>
    </row>
    <row r="6356" spans="11:34" ht="14.5" x14ac:dyDescent="0.35">
      <c r="K6356" s="4"/>
      <c r="AC6356" s="7">
        <v>2022</v>
      </c>
      <c r="AD6356" s="7">
        <v>9</v>
      </c>
      <c r="AE6356" s="7">
        <v>22</v>
      </c>
      <c r="AF6356" s="8">
        <v>0.75</v>
      </c>
      <c r="AG6356" s="9">
        <v>13.1</v>
      </c>
      <c r="AH6356" s="10">
        <f t="shared" si="114"/>
        <v>13</v>
      </c>
    </row>
    <row r="6357" spans="11:34" ht="14.5" x14ac:dyDescent="0.35">
      <c r="K6357" s="4"/>
      <c r="AC6357" s="7">
        <v>2022</v>
      </c>
      <c r="AD6357" s="7">
        <v>9</v>
      </c>
      <c r="AE6357" s="7">
        <v>22</v>
      </c>
      <c r="AF6357" s="8">
        <v>0.79166666666666663</v>
      </c>
      <c r="AG6357" s="9">
        <v>11.5</v>
      </c>
      <c r="AH6357" s="10">
        <f t="shared" si="114"/>
        <v>12</v>
      </c>
    </row>
    <row r="6358" spans="11:34" ht="14.5" x14ac:dyDescent="0.35">
      <c r="K6358" s="4"/>
      <c r="AC6358" s="7">
        <v>2022</v>
      </c>
      <c r="AD6358" s="7">
        <v>9</v>
      </c>
      <c r="AE6358" s="7">
        <v>22</v>
      </c>
      <c r="AF6358" s="8">
        <v>0.83333333333333337</v>
      </c>
      <c r="AG6358" s="9">
        <v>10</v>
      </c>
      <c r="AH6358" s="10">
        <f t="shared" si="114"/>
        <v>10</v>
      </c>
    </row>
    <row r="6359" spans="11:34" ht="14.5" x14ac:dyDescent="0.35">
      <c r="K6359" s="4"/>
      <c r="AC6359" s="7">
        <v>2022</v>
      </c>
      <c r="AD6359" s="7">
        <v>9</v>
      </c>
      <c r="AE6359" s="7">
        <v>22</v>
      </c>
      <c r="AF6359" s="8">
        <v>0.875</v>
      </c>
      <c r="AG6359" s="9">
        <v>7.6</v>
      </c>
      <c r="AH6359" s="10">
        <f t="shared" si="114"/>
        <v>8</v>
      </c>
    </row>
    <row r="6360" spans="11:34" ht="14.5" x14ac:dyDescent="0.35">
      <c r="K6360" s="4"/>
      <c r="AC6360" s="7">
        <v>2022</v>
      </c>
      <c r="AD6360" s="7">
        <v>9</v>
      </c>
      <c r="AE6360" s="7">
        <v>22</v>
      </c>
      <c r="AF6360" s="8">
        <v>0.91666666666666663</v>
      </c>
      <c r="AG6360" s="9">
        <v>6.5</v>
      </c>
      <c r="AH6360" s="10">
        <f t="shared" si="114"/>
        <v>7</v>
      </c>
    </row>
    <row r="6361" spans="11:34" ht="14.5" x14ac:dyDescent="0.35">
      <c r="K6361" s="4"/>
      <c r="AC6361" s="7">
        <v>2022</v>
      </c>
      <c r="AD6361" s="7">
        <v>9</v>
      </c>
      <c r="AE6361" s="7">
        <v>22</v>
      </c>
      <c r="AF6361" s="8">
        <v>0.95833333333333337</v>
      </c>
      <c r="AG6361" s="9">
        <v>6.4</v>
      </c>
      <c r="AH6361" s="10">
        <f t="shared" si="114"/>
        <v>6</v>
      </c>
    </row>
    <row r="6362" spans="11:34" ht="14.5" x14ac:dyDescent="0.35">
      <c r="K6362" s="4"/>
      <c r="AC6362" s="7">
        <v>2022</v>
      </c>
      <c r="AD6362" s="7">
        <v>9</v>
      </c>
      <c r="AE6362" s="7">
        <v>23</v>
      </c>
      <c r="AF6362" s="8">
        <v>0</v>
      </c>
      <c r="AG6362" s="9">
        <v>5.0999999999999996</v>
      </c>
      <c r="AH6362" s="10">
        <f t="shared" si="114"/>
        <v>5</v>
      </c>
    </row>
    <row r="6363" spans="11:34" ht="14.5" x14ac:dyDescent="0.35">
      <c r="K6363" s="4"/>
      <c r="AC6363" s="7">
        <v>2022</v>
      </c>
      <c r="AD6363" s="7">
        <v>9</v>
      </c>
      <c r="AE6363" s="7">
        <v>23</v>
      </c>
      <c r="AF6363" s="8">
        <v>4.1666666666666664E-2</v>
      </c>
      <c r="AG6363" s="9">
        <v>4.7</v>
      </c>
      <c r="AH6363" s="10">
        <f t="shared" si="114"/>
        <v>5</v>
      </c>
    </row>
    <row r="6364" spans="11:34" ht="14.5" x14ac:dyDescent="0.35">
      <c r="K6364" s="4"/>
      <c r="AC6364" s="7">
        <v>2022</v>
      </c>
      <c r="AD6364" s="7">
        <v>9</v>
      </c>
      <c r="AE6364" s="7">
        <v>23</v>
      </c>
      <c r="AF6364" s="8">
        <v>8.3333333333333329E-2</v>
      </c>
      <c r="AG6364" s="9">
        <v>5.8</v>
      </c>
      <c r="AH6364" s="10">
        <f t="shared" si="114"/>
        <v>6</v>
      </c>
    </row>
    <row r="6365" spans="11:34" ht="14.5" x14ac:dyDescent="0.35">
      <c r="K6365" s="4"/>
      <c r="AC6365" s="7">
        <v>2022</v>
      </c>
      <c r="AD6365" s="7">
        <v>9</v>
      </c>
      <c r="AE6365" s="7">
        <v>23</v>
      </c>
      <c r="AF6365" s="8">
        <v>0.125</v>
      </c>
      <c r="AG6365" s="9">
        <v>9.8000000000000007</v>
      </c>
      <c r="AH6365" s="10">
        <f t="shared" si="114"/>
        <v>10</v>
      </c>
    </row>
    <row r="6366" spans="11:34" ht="14.5" x14ac:dyDescent="0.35">
      <c r="K6366" s="4"/>
      <c r="AC6366" s="7">
        <v>2022</v>
      </c>
      <c r="AD6366" s="7">
        <v>9</v>
      </c>
      <c r="AE6366" s="7">
        <v>23</v>
      </c>
      <c r="AF6366" s="8">
        <v>0.16666666666666666</v>
      </c>
      <c r="AG6366" s="9">
        <v>10.4</v>
      </c>
      <c r="AH6366" s="10">
        <f t="shared" si="114"/>
        <v>10</v>
      </c>
    </row>
    <row r="6367" spans="11:34" ht="14.5" x14ac:dyDescent="0.35">
      <c r="K6367" s="4"/>
      <c r="AC6367" s="7">
        <v>2022</v>
      </c>
      <c r="AD6367" s="7">
        <v>9</v>
      </c>
      <c r="AE6367" s="7">
        <v>23</v>
      </c>
      <c r="AF6367" s="8">
        <v>0.20833333333333334</v>
      </c>
      <c r="AG6367" s="9">
        <v>12.1</v>
      </c>
      <c r="AH6367" s="10">
        <f t="shared" si="114"/>
        <v>12</v>
      </c>
    </row>
    <row r="6368" spans="11:34" ht="14.5" x14ac:dyDescent="0.35">
      <c r="K6368" s="4"/>
      <c r="AC6368" s="7">
        <v>2022</v>
      </c>
      <c r="AD6368" s="7">
        <v>9</v>
      </c>
      <c r="AE6368" s="7">
        <v>23</v>
      </c>
      <c r="AF6368" s="8">
        <v>0.25</v>
      </c>
      <c r="AG6368" s="9">
        <v>11.1</v>
      </c>
      <c r="AH6368" s="10">
        <f t="shared" si="114"/>
        <v>11</v>
      </c>
    </row>
    <row r="6369" spans="11:34" ht="14.5" x14ac:dyDescent="0.35">
      <c r="K6369" s="4"/>
      <c r="AC6369" s="7">
        <v>2022</v>
      </c>
      <c r="AD6369" s="7">
        <v>9</v>
      </c>
      <c r="AE6369" s="7">
        <v>23</v>
      </c>
      <c r="AF6369" s="8">
        <v>0.29166666666666669</v>
      </c>
      <c r="AG6369" s="9">
        <v>11.1</v>
      </c>
      <c r="AH6369" s="10">
        <f t="shared" si="114"/>
        <v>11</v>
      </c>
    </row>
    <row r="6370" spans="11:34" ht="14.5" x14ac:dyDescent="0.35">
      <c r="K6370" s="4"/>
      <c r="AC6370" s="7">
        <v>2022</v>
      </c>
      <c r="AD6370" s="7">
        <v>9</v>
      </c>
      <c r="AE6370" s="7">
        <v>23</v>
      </c>
      <c r="AF6370" s="8">
        <v>0.33333333333333331</v>
      </c>
      <c r="AG6370" s="9">
        <v>14.8</v>
      </c>
      <c r="AH6370" s="10">
        <f t="shared" si="114"/>
        <v>15</v>
      </c>
    </row>
    <row r="6371" spans="11:34" ht="14.5" x14ac:dyDescent="0.35">
      <c r="K6371" s="4"/>
      <c r="AC6371" s="7">
        <v>2022</v>
      </c>
      <c r="AD6371" s="7">
        <v>9</v>
      </c>
      <c r="AE6371" s="7">
        <v>23</v>
      </c>
      <c r="AF6371" s="8">
        <v>0.375</v>
      </c>
      <c r="AG6371" s="9">
        <v>18.2</v>
      </c>
      <c r="AH6371" s="10">
        <f t="shared" si="114"/>
        <v>18</v>
      </c>
    </row>
    <row r="6372" spans="11:34" ht="14.5" x14ac:dyDescent="0.35">
      <c r="K6372" s="4"/>
      <c r="AC6372" s="7">
        <v>2022</v>
      </c>
      <c r="AD6372" s="7">
        <v>9</v>
      </c>
      <c r="AE6372" s="7">
        <v>23</v>
      </c>
      <c r="AF6372" s="8">
        <v>0.41666666666666669</v>
      </c>
      <c r="AG6372" s="9">
        <v>19.3</v>
      </c>
      <c r="AH6372" s="10">
        <f t="shared" si="114"/>
        <v>19</v>
      </c>
    </row>
    <row r="6373" spans="11:34" ht="14.5" x14ac:dyDescent="0.35">
      <c r="K6373" s="4"/>
      <c r="AC6373" s="7">
        <v>2022</v>
      </c>
      <c r="AD6373" s="7">
        <v>9</v>
      </c>
      <c r="AE6373" s="7">
        <v>23</v>
      </c>
      <c r="AF6373" s="8">
        <v>0.45833333333333331</v>
      </c>
      <c r="AG6373" s="9">
        <v>18.5</v>
      </c>
      <c r="AH6373" s="10">
        <f t="shared" si="114"/>
        <v>19</v>
      </c>
    </row>
    <row r="6374" spans="11:34" ht="14.5" x14ac:dyDescent="0.35">
      <c r="K6374" s="4"/>
      <c r="AC6374" s="7">
        <v>2022</v>
      </c>
      <c r="AD6374" s="7">
        <v>9</v>
      </c>
      <c r="AE6374" s="7">
        <v>23</v>
      </c>
      <c r="AF6374" s="8">
        <v>0.5</v>
      </c>
      <c r="AG6374" s="9">
        <v>19.100000000000001</v>
      </c>
      <c r="AH6374" s="10">
        <f t="shared" si="114"/>
        <v>19</v>
      </c>
    </row>
    <row r="6375" spans="11:34" ht="14.5" x14ac:dyDescent="0.35">
      <c r="K6375" s="4"/>
      <c r="AC6375" s="7">
        <v>2022</v>
      </c>
      <c r="AD6375" s="7">
        <v>9</v>
      </c>
      <c r="AE6375" s="7">
        <v>23</v>
      </c>
      <c r="AF6375" s="8">
        <v>0.54166666666666663</v>
      </c>
      <c r="AG6375" s="9">
        <v>18</v>
      </c>
      <c r="AH6375" s="10">
        <f t="shared" si="114"/>
        <v>18</v>
      </c>
    </row>
    <row r="6376" spans="11:34" ht="14.5" x14ac:dyDescent="0.35">
      <c r="K6376" s="4"/>
      <c r="AC6376" s="7">
        <v>2022</v>
      </c>
      <c r="AD6376" s="7">
        <v>9</v>
      </c>
      <c r="AE6376" s="7">
        <v>23</v>
      </c>
      <c r="AF6376" s="8">
        <v>0.58333333333333337</v>
      </c>
      <c r="AG6376" s="9">
        <v>18.5</v>
      </c>
      <c r="AH6376" s="10">
        <f t="shared" si="114"/>
        <v>19</v>
      </c>
    </row>
    <row r="6377" spans="11:34" ht="14.5" x14ac:dyDescent="0.35">
      <c r="K6377" s="4"/>
      <c r="AC6377" s="7">
        <v>2022</v>
      </c>
      <c r="AD6377" s="7">
        <v>9</v>
      </c>
      <c r="AE6377" s="7">
        <v>23</v>
      </c>
      <c r="AF6377" s="8">
        <v>0.625</v>
      </c>
      <c r="AG6377" s="9">
        <v>19.3</v>
      </c>
      <c r="AH6377" s="10">
        <f t="shared" si="114"/>
        <v>19</v>
      </c>
    </row>
    <row r="6378" spans="11:34" ht="14.5" x14ac:dyDescent="0.35">
      <c r="K6378" s="4"/>
      <c r="AC6378" s="7">
        <v>2022</v>
      </c>
      <c r="AD6378" s="7">
        <v>9</v>
      </c>
      <c r="AE6378" s="7">
        <v>23</v>
      </c>
      <c r="AF6378" s="8">
        <v>0.66666666666666663</v>
      </c>
      <c r="AG6378" s="9">
        <v>18.600000000000001</v>
      </c>
      <c r="AH6378" s="10">
        <f t="shared" si="114"/>
        <v>19</v>
      </c>
    </row>
    <row r="6379" spans="11:34" ht="14.5" x14ac:dyDescent="0.35">
      <c r="K6379" s="4"/>
      <c r="AC6379" s="7">
        <v>2022</v>
      </c>
      <c r="AD6379" s="7">
        <v>9</v>
      </c>
      <c r="AE6379" s="7">
        <v>23</v>
      </c>
      <c r="AF6379" s="8">
        <v>0.70833333333333337</v>
      </c>
      <c r="AG6379" s="9">
        <v>17.7</v>
      </c>
      <c r="AH6379" s="10">
        <f t="shared" si="114"/>
        <v>18</v>
      </c>
    </row>
    <row r="6380" spans="11:34" ht="14.5" x14ac:dyDescent="0.35">
      <c r="K6380" s="4"/>
      <c r="AC6380" s="7">
        <v>2022</v>
      </c>
      <c r="AD6380" s="7">
        <v>9</v>
      </c>
      <c r="AE6380" s="7">
        <v>23</v>
      </c>
      <c r="AF6380" s="8">
        <v>0.75</v>
      </c>
      <c r="AG6380" s="9">
        <v>15.5</v>
      </c>
      <c r="AH6380" s="10">
        <f t="shared" si="114"/>
        <v>16</v>
      </c>
    </row>
    <row r="6381" spans="11:34" ht="14.5" x14ac:dyDescent="0.35">
      <c r="K6381" s="4"/>
      <c r="AC6381" s="7">
        <v>2022</v>
      </c>
      <c r="AD6381" s="7">
        <v>9</v>
      </c>
      <c r="AE6381" s="7">
        <v>23</v>
      </c>
      <c r="AF6381" s="8">
        <v>0.79166666666666663</v>
      </c>
      <c r="AG6381" s="9">
        <v>13.6</v>
      </c>
      <c r="AH6381" s="10">
        <f t="shared" si="114"/>
        <v>14</v>
      </c>
    </row>
    <row r="6382" spans="11:34" ht="14.5" x14ac:dyDescent="0.35">
      <c r="K6382" s="4"/>
      <c r="AC6382" s="7">
        <v>2022</v>
      </c>
      <c r="AD6382" s="7">
        <v>9</v>
      </c>
      <c r="AE6382" s="7">
        <v>23</v>
      </c>
      <c r="AF6382" s="8">
        <v>0.83333333333333337</v>
      </c>
      <c r="AG6382" s="9">
        <v>13.4</v>
      </c>
      <c r="AH6382" s="10">
        <f t="shared" si="114"/>
        <v>13</v>
      </c>
    </row>
    <row r="6383" spans="11:34" ht="14.5" x14ac:dyDescent="0.35">
      <c r="K6383" s="4"/>
      <c r="AC6383" s="7">
        <v>2022</v>
      </c>
      <c r="AD6383" s="7">
        <v>9</v>
      </c>
      <c r="AE6383" s="7">
        <v>23</v>
      </c>
      <c r="AF6383" s="8">
        <v>0.875</v>
      </c>
      <c r="AG6383" s="9">
        <v>13.2</v>
      </c>
      <c r="AH6383" s="10">
        <f t="shared" si="114"/>
        <v>13</v>
      </c>
    </row>
    <row r="6384" spans="11:34" ht="14.5" x14ac:dyDescent="0.35">
      <c r="K6384" s="4"/>
      <c r="AC6384" s="7">
        <v>2022</v>
      </c>
      <c r="AD6384" s="7">
        <v>9</v>
      </c>
      <c r="AE6384" s="7">
        <v>23</v>
      </c>
      <c r="AF6384" s="8">
        <v>0.91666666666666663</v>
      </c>
      <c r="AG6384" s="9">
        <v>12.4</v>
      </c>
      <c r="AH6384" s="10">
        <f t="shared" si="114"/>
        <v>12</v>
      </c>
    </row>
    <row r="6385" spans="11:34" ht="14.5" x14ac:dyDescent="0.35">
      <c r="K6385" s="4"/>
      <c r="AC6385" s="7">
        <v>2022</v>
      </c>
      <c r="AD6385" s="7">
        <v>9</v>
      </c>
      <c r="AE6385" s="7">
        <v>23</v>
      </c>
      <c r="AF6385" s="8">
        <v>0.95833333333333337</v>
      </c>
      <c r="AG6385" s="9">
        <v>12</v>
      </c>
      <c r="AH6385" s="10">
        <f t="shared" si="114"/>
        <v>12</v>
      </c>
    </row>
    <row r="6386" spans="11:34" ht="14.5" x14ac:dyDescent="0.35">
      <c r="K6386" s="4"/>
      <c r="AC6386" s="7">
        <v>2022</v>
      </c>
      <c r="AD6386" s="7">
        <v>9</v>
      </c>
      <c r="AE6386" s="7">
        <v>24</v>
      </c>
      <c r="AF6386" s="8">
        <v>0</v>
      </c>
      <c r="AG6386" s="9">
        <v>13.8</v>
      </c>
      <c r="AH6386" s="10">
        <f t="shared" si="114"/>
        <v>14</v>
      </c>
    </row>
    <row r="6387" spans="11:34" ht="14.5" x14ac:dyDescent="0.35">
      <c r="K6387" s="4"/>
      <c r="AC6387" s="7">
        <v>2022</v>
      </c>
      <c r="AD6387" s="7">
        <v>9</v>
      </c>
      <c r="AE6387" s="7">
        <v>24</v>
      </c>
      <c r="AF6387" s="8">
        <v>4.1666666666666664E-2</v>
      </c>
      <c r="AG6387" s="9">
        <v>12.3</v>
      </c>
      <c r="AH6387" s="10">
        <f t="shared" si="114"/>
        <v>12</v>
      </c>
    </row>
    <row r="6388" spans="11:34" ht="14.5" x14ac:dyDescent="0.35">
      <c r="K6388" s="4"/>
      <c r="AC6388" s="7">
        <v>2022</v>
      </c>
      <c r="AD6388" s="7">
        <v>9</v>
      </c>
      <c r="AE6388" s="7">
        <v>24</v>
      </c>
      <c r="AF6388" s="8">
        <v>8.3333333333333329E-2</v>
      </c>
      <c r="AG6388" s="9">
        <v>10.4</v>
      </c>
      <c r="AH6388" s="10">
        <f t="shared" si="114"/>
        <v>10</v>
      </c>
    </row>
    <row r="6389" spans="11:34" ht="14.5" x14ac:dyDescent="0.35">
      <c r="K6389" s="4"/>
      <c r="AC6389" s="7">
        <v>2022</v>
      </c>
      <c r="AD6389" s="7">
        <v>9</v>
      </c>
      <c r="AE6389" s="7">
        <v>24</v>
      </c>
      <c r="AF6389" s="8">
        <v>0.125</v>
      </c>
      <c r="AG6389" s="9">
        <v>13.5</v>
      </c>
      <c r="AH6389" s="10">
        <f t="shared" si="114"/>
        <v>14</v>
      </c>
    </row>
    <row r="6390" spans="11:34" ht="14.5" x14ac:dyDescent="0.35">
      <c r="K6390" s="4"/>
      <c r="AC6390" s="7">
        <v>2022</v>
      </c>
      <c r="AD6390" s="7">
        <v>9</v>
      </c>
      <c r="AE6390" s="7">
        <v>24</v>
      </c>
      <c r="AF6390" s="8">
        <v>0.16666666666666666</v>
      </c>
      <c r="AG6390" s="9">
        <v>13.1</v>
      </c>
      <c r="AH6390" s="10">
        <f t="shared" si="114"/>
        <v>13</v>
      </c>
    </row>
    <row r="6391" spans="11:34" ht="14.5" x14ac:dyDescent="0.35">
      <c r="K6391" s="4"/>
      <c r="AC6391" s="7">
        <v>2022</v>
      </c>
      <c r="AD6391" s="7">
        <v>9</v>
      </c>
      <c r="AE6391" s="7">
        <v>24</v>
      </c>
      <c r="AF6391" s="8">
        <v>0.20833333333333334</v>
      </c>
      <c r="AG6391" s="9">
        <v>12.1</v>
      </c>
      <c r="AH6391" s="10">
        <f t="shared" si="114"/>
        <v>12</v>
      </c>
    </row>
    <row r="6392" spans="11:34" ht="14.5" x14ac:dyDescent="0.35">
      <c r="K6392" s="4"/>
      <c r="AC6392" s="7">
        <v>2022</v>
      </c>
      <c r="AD6392" s="7">
        <v>9</v>
      </c>
      <c r="AE6392" s="7">
        <v>24</v>
      </c>
      <c r="AF6392" s="8">
        <v>0.25</v>
      </c>
      <c r="AG6392" s="9">
        <v>12.1</v>
      </c>
      <c r="AH6392" s="10">
        <f t="shared" si="114"/>
        <v>12</v>
      </c>
    </row>
    <row r="6393" spans="11:34" ht="14.5" x14ac:dyDescent="0.35">
      <c r="K6393" s="4"/>
      <c r="AC6393" s="7">
        <v>2022</v>
      </c>
      <c r="AD6393" s="7">
        <v>9</v>
      </c>
      <c r="AE6393" s="7">
        <v>24</v>
      </c>
      <c r="AF6393" s="8">
        <v>0.29166666666666669</v>
      </c>
      <c r="AG6393" s="9">
        <v>8.1999999999999993</v>
      </c>
      <c r="AH6393" s="10">
        <f t="shared" si="114"/>
        <v>8</v>
      </c>
    </row>
    <row r="6394" spans="11:34" ht="14.5" x14ac:dyDescent="0.35">
      <c r="K6394" s="4"/>
      <c r="AC6394" s="7">
        <v>2022</v>
      </c>
      <c r="AD6394" s="7">
        <v>9</v>
      </c>
      <c r="AE6394" s="7">
        <v>24</v>
      </c>
      <c r="AF6394" s="8">
        <v>0.33333333333333331</v>
      </c>
      <c r="AG6394" s="9">
        <v>14.3</v>
      </c>
      <c r="AH6394" s="10">
        <f t="shared" si="114"/>
        <v>14</v>
      </c>
    </row>
    <row r="6395" spans="11:34" ht="14.5" x14ac:dyDescent="0.35">
      <c r="K6395" s="4"/>
      <c r="AC6395" s="7">
        <v>2022</v>
      </c>
      <c r="AD6395" s="7">
        <v>9</v>
      </c>
      <c r="AE6395" s="7">
        <v>24</v>
      </c>
      <c r="AF6395" s="8">
        <v>0.375</v>
      </c>
      <c r="AG6395" s="9">
        <v>16.5</v>
      </c>
      <c r="AH6395" s="10">
        <f t="shared" si="114"/>
        <v>17</v>
      </c>
    </row>
    <row r="6396" spans="11:34" ht="14.5" x14ac:dyDescent="0.35">
      <c r="K6396" s="4"/>
      <c r="AC6396" s="7">
        <v>2022</v>
      </c>
      <c r="AD6396" s="7">
        <v>9</v>
      </c>
      <c r="AE6396" s="7">
        <v>24</v>
      </c>
      <c r="AF6396" s="8">
        <v>0.41666666666666669</v>
      </c>
      <c r="AG6396" s="9">
        <v>17.7</v>
      </c>
      <c r="AH6396" s="10">
        <f t="shared" si="114"/>
        <v>18</v>
      </c>
    </row>
    <row r="6397" spans="11:34" ht="14.5" x14ac:dyDescent="0.35">
      <c r="K6397" s="4"/>
      <c r="AC6397" s="7">
        <v>2022</v>
      </c>
      <c r="AD6397" s="7">
        <v>9</v>
      </c>
      <c r="AE6397" s="7">
        <v>24</v>
      </c>
      <c r="AF6397" s="8">
        <v>0.45833333333333331</v>
      </c>
      <c r="AG6397" s="9">
        <v>18.7</v>
      </c>
      <c r="AH6397" s="10">
        <f t="shared" si="114"/>
        <v>19</v>
      </c>
    </row>
    <row r="6398" spans="11:34" ht="14.5" x14ac:dyDescent="0.35">
      <c r="K6398" s="4"/>
      <c r="AC6398" s="7">
        <v>2022</v>
      </c>
      <c r="AD6398" s="7">
        <v>9</v>
      </c>
      <c r="AE6398" s="7">
        <v>24</v>
      </c>
      <c r="AF6398" s="8">
        <v>0.5</v>
      </c>
      <c r="AG6398" s="9">
        <v>19.3</v>
      </c>
      <c r="AH6398" s="10">
        <f t="shared" si="114"/>
        <v>19</v>
      </c>
    </row>
    <row r="6399" spans="11:34" ht="14.5" x14ac:dyDescent="0.35">
      <c r="K6399" s="4"/>
      <c r="AC6399" s="7">
        <v>2022</v>
      </c>
      <c r="AD6399" s="7">
        <v>9</v>
      </c>
      <c r="AE6399" s="7">
        <v>24</v>
      </c>
      <c r="AF6399" s="8">
        <v>0.54166666666666663</v>
      </c>
      <c r="AG6399" s="9">
        <v>20.2</v>
      </c>
      <c r="AH6399" s="10">
        <f t="shared" si="114"/>
        <v>20</v>
      </c>
    </row>
    <row r="6400" spans="11:34" ht="14.5" x14ac:dyDescent="0.35">
      <c r="K6400" s="4"/>
      <c r="AC6400" s="7">
        <v>2022</v>
      </c>
      <c r="AD6400" s="7">
        <v>9</v>
      </c>
      <c r="AE6400" s="7">
        <v>24</v>
      </c>
      <c r="AF6400" s="8">
        <v>0.58333333333333337</v>
      </c>
      <c r="AG6400" s="9">
        <v>20.9</v>
      </c>
      <c r="AH6400" s="10">
        <f t="shared" si="114"/>
        <v>21</v>
      </c>
    </row>
    <row r="6401" spans="11:34" ht="14.5" x14ac:dyDescent="0.35">
      <c r="K6401" s="4"/>
      <c r="AC6401" s="7">
        <v>2022</v>
      </c>
      <c r="AD6401" s="7">
        <v>9</v>
      </c>
      <c r="AE6401" s="7">
        <v>24</v>
      </c>
      <c r="AF6401" s="8">
        <v>0.625</v>
      </c>
      <c r="AG6401" s="9">
        <v>21.2</v>
      </c>
      <c r="AH6401" s="10">
        <f t="shared" si="114"/>
        <v>21</v>
      </c>
    </row>
    <row r="6402" spans="11:34" ht="14.5" x14ac:dyDescent="0.35">
      <c r="K6402" s="4"/>
      <c r="AC6402" s="7">
        <v>2022</v>
      </c>
      <c r="AD6402" s="7">
        <v>9</v>
      </c>
      <c r="AE6402" s="7">
        <v>24</v>
      </c>
      <c r="AF6402" s="8">
        <v>0.66666666666666663</v>
      </c>
      <c r="AG6402" s="9">
        <v>21.1</v>
      </c>
      <c r="AH6402" s="10">
        <f t="shared" si="114"/>
        <v>21</v>
      </c>
    </row>
    <row r="6403" spans="11:34" ht="14.5" x14ac:dyDescent="0.35">
      <c r="K6403" s="4"/>
      <c r="AC6403" s="7">
        <v>2022</v>
      </c>
      <c r="AD6403" s="7">
        <v>9</v>
      </c>
      <c r="AE6403" s="7">
        <v>24</v>
      </c>
      <c r="AF6403" s="8">
        <v>0.70833333333333337</v>
      </c>
      <c r="AG6403" s="9">
        <v>20.5</v>
      </c>
      <c r="AH6403" s="10">
        <f t="shared" si="114"/>
        <v>21</v>
      </c>
    </row>
    <row r="6404" spans="11:34" ht="14.5" x14ac:dyDescent="0.35">
      <c r="K6404" s="4"/>
      <c r="AC6404" s="7">
        <v>2022</v>
      </c>
      <c r="AD6404" s="7">
        <v>9</v>
      </c>
      <c r="AE6404" s="7">
        <v>24</v>
      </c>
      <c r="AF6404" s="8">
        <v>0.75</v>
      </c>
      <c r="AG6404" s="9">
        <v>18.7</v>
      </c>
      <c r="AH6404" s="10">
        <f t="shared" si="114"/>
        <v>19</v>
      </c>
    </row>
    <row r="6405" spans="11:34" ht="14.5" x14ac:dyDescent="0.35">
      <c r="K6405" s="4"/>
      <c r="AC6405" s="7">
        <v>2022</v>
      </c>
      <c r="AD6405" s="7">
        <v>9</v>
      </c>
      <c r="AE6405" s="7">
        <v>24</v>
      </c>
      <c r="AF6405" s="8">
        <v>0.79166666666666663</v>
      </c>
      <c r="AG6405" s="9">
        <v>15.3</v>
      </c>
      <c r="AH6405" s="10">
        <f t="shared" si="114"/>
        <v>15</v>
      </c>
    </row>
    <row r="6406" spans="11:34" ht="14.5" x14ac:dyDescent="0.35">
      <c r="K6406" s="4"/>
      <c r="AC6406" s="7">
        <v>2022</v>
      </c>
      <c r="AD6406" s="7">
        <v>9</v>
      </c>
      <c r="AE6406" s="7">
        <v>24</v>
      </c>
      <c r="AF6406" s="8">
        <v>0.83333333333333337</v>
      </c>
      <c r="AG6406" s="9">
        <v>14.6</v>
      </c>
      <c r="AH6406" s="10">
        <f t="shared" si="114"/>
        <v>15</v>
      </c>
    </row>
    <row r="6407" spans="11:34" ht="14.5" x14ac:dyDescent="0.35">
      <c r="K6407" s="4"/>
      <c r="AC6407" s="7">
        <v>2022</v>
      </c>
      <c r="AD6407" s="7">
        <v>9</v>
      </c>
      <c r="AE6407" s="7">
        <v>24</v>
      </c>
      <c r="AF6407" s="8">
        <v>0.875</v>
      </c>
      <c r="AG6407" s="9">
        <v>12.5</v>
      </c>
      <c r="AH6407" s="10">
        <f t="shared" si="114"/>
        <v>13</v>
      </c>
    </row>
    <row r="6408" spans="11:34" ht="14.5" x14ac:dyDescent="0.35">
      <c r="K6408" s="4"/>
      <c r="AC6408" s="7">
        <v>2022</v>
      </c>
      <c r="AD6408" s="7">
        <v>9</v>
      </c>
      <c r="AE6408" s="7">
        <v>24</v>
      </c>
      <c r="AF6408" s="8">
        <v>0.91666666666666663</v>
      </c>
      <c r="AG6408" s="9">
        <v>10.9</v>
      </c>
      <c r="AH6408" s="10">
        <f t="shared" si="114"/>
        <v>11</v>
      </c>
    </row>
    <row r="6409" spans="11:34" ht="14.5" x14ac:dyDescent="0.35">
      <c r="K6409" s="4"/>
      <c r="AC6409" s="7">
        <v>2022</v>
      </c>
      <c r="AD6409" s="7">
        <v>9</v>
      </c>
      <c r="AE6409" s="7">
        <v>24</v>
      </c>
      <c r="AF6409" s="8">
        <v>0.95833333333333337</v>
      </c>
      <c r="AG6409" s="9">
        <v>10.1</v>
      </c>
      <c r="AH6409" s="10">
        <f t="shared" si="114"/>
        <v>10</v>
      </c>
    </row>
    <row r="6410" spans="11:34" ht="14.5" x14ac:dyDescent="0.35">
      <c r="K6410" s="4"/>
      <c r="AC6410" s="7">
        <v>2022</v>
      </c>
      <c r="AD6410" s="7">
        <v>9</v>
      </c>
      <c r="AE6410" s="7">
        <v>25</v>
      </c>
      <c r="AF6410" s="8">
        <v>0</v>
      </c>
      <c r="AG6410" s="9">
        <v>7.8</v>
      </c>
      <c r="AH6410" s="10">
        <f t="shared" si="114"/>
        <v>8</v>
      </c>
    </row>
    <row r="6411" spans="11:34" ht="14.5" x14ac:dyDescent="0.35">
      <c r="K6411" s="4"/>
      <c r="AC6411" s="7">
        <v>2022</v>
      </c>
      <c r="AD6411" s="7">
        <v>9</v>
      </c>
      <c r="AE6411" s="7">
        <v>25</v>
      </c>
      <c r="AF6411" s="8">
        <v>4.1666666666666664E-2</v>
      </c>
      <c r="AG6411" s="9">
        <v>6.9</v>
      </c>
      <c r="AH6411" s="10">
        <f t="shared" ref="AH6411:AH6474" si="115">ROUND(AG6411,0)</f>
        <v>7</v>
      </c>
    </row>
    <row r="6412" spans="11:34" ht="14.5" x14ac:dyDescent="0.35">
      <c r="K6412" s="4"/>
      <c r="AC6412" s="7">
        <v>2022</v>
      </c>
      <c r="AD6412" s="7">
        <v>9</v>
      </c>
      <c r="AE6412" s="7">
        <v>25</v>
      </c>
      <c r="AF6412" s="8">
        <v>8.3333333333333329E-2</v>
      </c>
      <c r="AG6412" s="9">
        <v>5.9</v>
      </c>
      <c r="AH6412" s="10">
        <f t="shared" si="115"/>
        <v>6</v>
      </c>
    </row>
    <row r="6413" spans="11:34" ht="14.5" x14ac:dyDescent="0.35">
      <c r="K6413" s="4"/>
      <c r="AC6413" s="7">
        <v>2022</v>
      </c>
      <c r="AD6413" s="7">
        <v>9</v>
      </c>
      <c r="AE6413" s="7">
        <v>25</v>
      </c>
      <c r="AF6413" s="8">
        <v>0.125</v>
      </c>
      <c r="AG6413" s="9">
        <v>5.5</v>
      </c>
      <c r="AH6413" s="10">
        <f t="shared" si="115"/>
        <v>6</v>
      </c>
    </row>
    <row r="6414" spans="11:34" ht="14.5" x14ac:dyDescent="0.35">
      <c r="K6414" s="4"/>
      <c r="AC6414" s="7">
        <v>2022</v>
      </c>
      <c r="AD6414" s="7">
        <v>9</v>
      </c>
      <c r="AE6414" s="7">
        <v>25</v>
      </c>
      <c r="AF6414" s="8">
        <v>0.16666666666666666</v>
      </c>
      <c r="AG6414" s="9">
        <v>4.9000000000000004</v>
      </c>
      <c r="AH6414" s="10">
        <f t="shared" si="115"/>
        <v>5</v>
      </c>
    </row>
    <row r="6415" spans="11:34" ht="14.5" x14ac:dyDescent="0.35">
      <c r="K6415" s="4"/>
      <c r="AC6415" s="7">
        <v>2022</v>
      </c>
      <c r="AD6415" s="7">
        <v>9</v>
      </c>
      <c r="AE6415" s="7">
        <v>25</v>
      </c>
      <c r="AF6415" s="8">
        <v>0.20833333333333334</v>
      </c>
      <c r="AG6415" s="9">
        <v>2.9</v>
      </c>
      <c r="AH6415" s="10">
        <f t="shared" si="115"/>
        <v>3</v>
      </c>
    </row>
    <row r="6416" spans="11:34" ht="14.5" x14ac:dyDescent="0.35">
      <c r="K6416" s="4"/>
      <c r="AC6416" s="7">
        <v>2022</v>
      </c>
      <c r="AD6416" s="7">
        <v>9</v>
      </c>
      <c r="AE6416" s="7">
        <v>25</v>
      </c>
      <c r="AF6416" s="8">
        <v>0.25</v>
      </c>
      <c r="AG6416" s="9">
        <v>3</v>
      </c>
      <c r="AH6416" s="10">
        <f t="shared" si="115"/>
        <v>3</v>
      </c>
    </row>
    <row r="6417" spans="11:34" ht="14.5" x14ac:dyDescent="0.35">
      <c r="K6417" s="4"/>
      <c r="AC6417" s="7">
        <v>2022</v>
      </c>
      <c r="AD6417" s="7">
        <v>9</v>
      </c>
      <c r="AE6417" s="7">
        <v>25</v>
      </c>
      <c r="AF6417" s="8">
        <v>0.29166666666666669</v>
      </c>
      <c r="AG6417" s="9">
        <v>4.9000000000000004</v>
      </c>
      <c r="AH6417" s="10">
        <f t="shared" si="115"/>
        <v>5</v>
      </c>
    </row>
    <row r="6418" spans="11:34" ht="14.5" x14ac:dyDescent="0.35">
      <c r="K6418" s="4"/>
      <c r="AC6418" s="7">
        <v>2022</v>
      </c>
      <c r="AD6418" s="7">
        <v>9</v>
      </c>
      <c r="AE6418" s="7">
        <v>25</v>
      </c>
      <c r="AF6418" s="8">
        <v>0.33333333333333331</v>
      </c>
      <c r="AG6418" s="9">
        <v>8.6999999999999993</v>
      </c>
      <c r="AH6418" s="10">
        <f t="shared" si="115"/>
        <v>9</v>
      </c>
    </row>
    <row r="6419" spans="11:34" ht="14.5" x14ac:dyDescent="0.35">
      <c r="K6419" s="4"/>
      <c r="AC6419" s="7">
        <v>2022</v>
      </c>
      <c r="AD6419" s="7">
        <v>9</v>
      </c>
      <c r="AE6419" s="7">
        <v>25</v>
      </c>
      <c r="AF6419" s="8">
        <v>0.375</v>
      </c>
      <c r="AG6419" s="9">
        <v>13.2</v>
      </c>
      <c r="AH6419" s="10">
        <f t="shared" si="115"/>
        <v>13</v>
      </c>
    </row>
    <row r="6420" spans="11:34" ht="14.5" x14ac:dyDescent="0.35">
      <c r="K6420" s="4"/>
      <c r="AC6420" s="7">
        <v>2022</v>
      </c>
      <c r="AD6420" s="7">
        <v>9</v>
      </c>
      <c r="AE6420" s="7">
        <v>25</v>
      </c>
      <c r="AF6420" s="8">
        <v>0.41666666666666669</v>
      </c>
      <c r="AG6420" s="9">
        <v>15.2</v>
      </c>
      <c r="AH6420" s="10">
        <f t="shared" si="115"/>
        <v>15</v>
      </c>
    </row>
    <row r="6421" spans="11:34" ht="14.5" x14ac:dyDescent="0.35">
      <c r="K6421" s="4"/>
      <c r="AC6421" s="7">
        <v>2022</v>
      </c>
      <c r="AD6421" s="7">
        <v>9</v>
      </c>
      <c r="AE6421" s="7">
        <v>25</v>
      </c>
      <c r="AF6421" s="8">
        <v>0.45833333333333331</v>
      </c>
      <c r="AG6421" s="9">
        <v>16.899999999999999</v>
      </c>
      <c r="AH6421" s="10">
        <f t="shared" si="115"/>
        <v>17</v>
      </c>
    </row>
    <row r="6422" spans="11:34" ht="14.5" x14ac:dyDescent="0.35">
      <c r="K6422" s="4"/>
      <c r="AC6422" s="7">
        <v>2022</v>
      </c>
      <c r="AD6422" s="7">
        <v>9</v>
      </c>
      <c r="AE6422" s="7">
        <v>25</v>
      </c>
      <c r="AF6422" s="8">
        <v>0.5</v>
      </c>
      <c r="AG6422" s="9">
        <v>18.899999999999999</v>
      </c>
      <c r="AH6422" s="10">
        <f t="shared" si="115"/>
        <v>19</v>
      </c>
    </row>
    <row r="6423" spans="11:34" ht="14.5" x14ac:dyDescent="0.35">
      <c r="K6423" s="4"/>
      <c r="AC6423" s="7">
        <v>2022</v>
      </c>
      <c r="AD6423" s="7">
        <v>9</v>
      </c>
      <c r="AE6423" s="7">
        <v>25</v>
      </c>
      <c r="AF6423" s="8">
        <v>0.54166666666666663</v>
      </c>
      <c r="AG6423" s="9">
        <v>20.2</v>
      </c>
      <c r="AH6423" s="10">
        <f t="shared" si="115"/>
        <v>20</v>
      </c>
    </row>
    <row r="6424" spans="11:34" ht="14.5" x14ac:dyDescent="0.35">
      <c r="K6424" s="4"/>
      <c r="AC6424" s="7">
        <v>2022</v>
      </c>
      <c r="AD6424" s="7">
        <v>9</v>
      </c>
      <c r="AE6424" s="7">
        <v>25</v>
      </c>
      <c r="AF6424" s="8">
        <v>0.58333333333333337</v>
      </c>
      <c r="AG6424" s="9">
        <v>21.5</v>
      </c>
      <c r="AH6424" s="10">
        <f t="shared" si="115"/>
        <v>22</v>
      </c>
    </row>
    <row r="6425" spans="11:34" ht="14.5" x14ac:dyDescent="0.35">
      <c r="K6425" s="4"/>
      <c r="AC6425" s="7">
        <v>2022</v>
      </c>
      <c r="AD6425" s="7">
        <v>9</v>
      </c>
      <c r="AE6425" s="7">
        <v>25</v>
      </c>
      <c r="AF6425" s="8">
        <v>0.625</v>
      </c>
      <c r="AG6425" s="9">
        <v>21.7</v>
      </c>
      <c r="AH6425" s="10">
        <f t="shared" si="115"/>
        <v>22</v>
      </c>
    </row>
    <row r="6426" spans="11:34" ht="14.5" x14ac:dyDescent="0.35">
      <c r="K6426" s="4"/>
      <c r="AC6426" s="7">
        <v>2022</v>
      </c>
      <c r="AD6426" s="7">
        <v>9</v>
      </c>
      <c r="AE6426" s="7">
        <v>25</v>
      </c>
      <c r="AF6426" s="8">
        <v>0.66666666666666663</v>
      </c>
      <c r="AG6426" s="9">
        <v>22.8</v>
      </c>
      <c r="AH6426" s="10">
        <f t="shared" si="115"/>
        <v>23</v>
      </c>
    </row>
    <row r="6427" spans="11:34" ht="14.5" x14ac:dyDescent="0.35">
      <c r="K6427" s="4"/>
      <c r="AC6427" s="7">
        <v>2022</v>
      </c>
      <c r="AD6427" s="7">
        <v>9</v>
      </c>
      <c r="AE6427" s="7">
        <v>25</v>
      </c>
      <c r="AF6427" s="8">
        <v>0.70833333333333337</v>
      </c>
      <c r="AG6427" s="9">
        <v>22.3</v>
      </c>
      <c r="AH6427" s="10">
        <f t="shared" si="115"/>
        <v>22</v>
      </c>
    </row>
    <row r="6428" spans="11:34" ht="14.5" x14ac:dyDescent="0.35">
      <c r="K6428" s="4"/>
      <c r="AC6428" s="7">
        <v>2022</v>
      </c>
      <c r="AD6428" s="7">
        <v>9</v>
      </c>
      <c r="AE6428" s="7">
        <v>25</v>
      </c>
      <c r="AF6428" s="8">
        <v>0.75</v>
      </c>
      <c r="AG6428" s="9">
        <v>18.3</v>
      </c>
      <c r="AH6428" s="10">
        <f t="shared" si="115"/>
        <v>18</v>
      </c>
    </row>
    <row r="6429" spans="11:34" ht="14.5" x14ac:dyDescent="0.35">
      <c r="K6429" s="4"/>
      <c r="AC6429" s="7">
        <v>2022</v>
      </c>
      <c r="AD6429" s="7">
        <v>9</v>
      </c>
      <c r="AE6429" s="7">
        <v>25</v>
      </c>
      <c r="AF6429" s="8">
        <v>0.79166666666666663</v>
      </c>
      <c r="AG6429" s="9">
        <v>14.7</v>
      </c>
      <c r="AH6429" s="10">
        <f t="shared" si="115"/>
        <v>15</v>
      </c>
    </row>
    <row r="6430" spans="11:34" ht="14.5" x14ac:dyDescent="0.35">
      <c r="K6430" s="4"/>
      <c r="AC6430" s="7">
        <v>2022</v>
      </c>
      <c r="AD6430" s="7">
        <v>9</v>
      </c>
      <c r="AE6430" s="7">
        <v>25</v>
      </c>
      <c r="AF6430" s="8">
        <v>0.83333333333333337</v>
      </c>
      <c r="AG6430" s="9">
        <v>14.4</v>
      </c>
      <c r="AH6430" s="10">
        <f t="shared" si="115"/>
        <v>14</v>
      </c>
    </row>
    <row r="6431" spans="11:34" ht="14.5" x14ac:dyDescent="0.35">
      <c r="K6431" s="4"/>
      <c r="AC6431" s="7">
        <v>2022</v>
      </c>
      <c r="AD6431" s="7">
        <v>9</v>
      </c>
      <c r="AE6431" s="7">
        <v>25</v>
      </c>
      <c r="AF6431" s="8">
        <v>0.875</v>
      </c>
      <c r="AG6431" s="9">
        <v>12.1</v>
      </c>
      <c r="AH6431" s="10">
        <f t="shared" si="115"/>
        <v>12</v>
      </c>
    </row>
    <row r="6432" spans="11:34" ht="14.5" x14ac:dyDescent="0.35">
      <c r="K6432" s="4"/>
      <c r="AC6432" s="7">
        <v>2022</v>
      </c>
      <c r="AD6432" s="7">
        <v>9</v>
      </c>
      <c r="AE6432" s="7">
        <v>25</v>
      </c>
      <c r="AF6432" s="8">
        <v>0.91666666666666663</v>
      </c>
      <c r="AG6432" s="9">
        <v>11.1</v>
      </c>
      <c r="AH6432" s="10">
        <f t="shared" si="115"/>
        <v>11</v>
      </c>
    </row>
    <row r="6433" spans="11:34" ht="14.5" x14ac:dyDescent="0.35">
      <c r="K6433" s="4"/>
      <c r="AC6433" s="7">
        <v>2022</v>
      </c>
      <c r="AD6433" s="7">
        <v>9</v>
      </c>
      <c r="AE6433" s="7">
        <v>25</v>
      </c>
      <c r="AF6433" s="8">
        <v>0.95833333333333337</v>
      </c>
      <c r="AG6433" s="9">
        <v>9.9</v>
      </c>
      <c r="AH6433" s="10">
        <f t="shared" si="115"/>
        <v>10</v>
      </c>
    </row>
    <row r="6434" spans="11:34" ht="14.5" x14ac:dyDescent="0.35">
      <c r="K6434" s="4"/>
      <c r="AC6434" s="7">
        <v>2022</v>
      </c>
      <c r="AD6434" s="7">
        <v>9</v>
      </c>
      <c r="AE6434" s="7">
        <v>26</v>
      </c>
      <c r="AF6434" s="8">
        <v>0</v>
      </c>
      <c r="AG6434" s="9">
        <v>7.9</v>
      </c>
      <c r="AH6434" s="10">
        <f t="shared" si="115"/>
        <v>8</v>
      </c>
    </row>
    <row r="6435" spans="11:34" ht="14.5" x14ac:dyDescent="0.35">
      <c r="K6435" s="4"/>
      <c r="AC6435" s="7">
        <v>2022</v>
      </c>
      <c r="AD6435" s="7">
        <v>9</v>
      </c>
      <c r="AE6435" s="7">
        <v>26</v>
      </c>
      <c r="AF6435" s="8">
        <v>4.1666666666666664E-2</v>
      </c>
      <c r="AG6435" s="9">
        <v>6.6</v>
      </c>
      <c r="AH6435" s="10">
        <f t="shared" si="115"/>
        <v>7</v>
      </c>
    </row>
    <row r="6436" spans="11:34" ht="14.5" x14ac:dyDescent="0.35">
      <c r="K6436" s="4"/>
      <c r="AC6436" s="7">
        <v>2022</v>
      </c>
      <c r="AD6436" s="7">
        <v>9</v>
      </c>
      <c r="AE6436" s="7">
        <v>26</v>
      </c>
      <c r="AF6436" s="8">
        <v>8.3333333333333329E-2</v>
      </c>
      <c r="AG6436" s="9">
        <v>6.9</v>
      </c>
      <c r="AH6436" s="10">
        <f t="shared" si="115"/>
        <v>7</v>
      </c>
    </row>
    <row r="6437" spans="11:34" ht="14.5" x14ac:dyDescent="0.35">
      <c r="K6437" s="4"/>
      <c r="AC6437" s="7">
        <v>2022</v>
      </c>
      <c r="AD6437" s="7">
        <v>9</v>
      </c>
      <c r="AE6437" s="7">
        <v>26</v>
      </c>
      <c r="AF6437" s="8">
        <v>0.125</v>
      </c>
      <c r="AG6437" s="9">
        <v>7.1</v>
      </c>
      <c r="AH6437" s="10">
        <f t="shared" si="115"/>
        <v>7</v>
      </c>
    </row>
    <row r="6438" spans="11:34" ht="14.5" x14ac:dyDescent="0.35">
      <c r="K6438" s="4"/>
      <c r="AC6438" s="7">
        <v>2022</v>
      </c>
      <c r="AD6438" s="7">
        <v>9</v>
      </c>
      <c r="AE6438" s="7">
        <v>26</v>
      </c>
      <c r="AF6438" s="8">
        <v>0.16666666666666666</v>
      </c>
      <c r="AG6438" s="9">
        <v>7.5</v>
      </c>
      <c r="AH6438" s="10">
        <f t="shared" si="115"/>
        <v>8</v>
      </c>
    </row>
    <row r="6439" spans="11:34" ht="14.5" x14ac:dyDescent="0.35">
      <c r="K6439" s="4"/>
      <c r="AC6439" s="7">
        <v>2022</v>
      </c>
      <c r="AD6439" s="7">
        <v>9</v>
      </c>
      <c r="AE6439" s="7">
        <v>26</v>
      </c>
      <c r="AF6439" s="8">
        <v>0.20833333333333334</v>
      </c>
      <c r="AG6439" s="9">
        <v>6</v>
      </c>
      <c r="AH6439" s="10">
        <f t="shared" si="115"/>
        <v>6</v>
      </c>
    </row>
    <row r="6440" spans="11:34" ht="14.5" x14ac:dyDescent="0.35">
      <c r="K6440" s="4"/>
      <c r="AC6440" s="7">
        <v>2022</v>
      </c>
      <c r="AD6440" s="7">
        <v>9</v>
      </c>
      <c r="AE6440" s="7">
        <v>26</v>
      </c>
      <c r="AF6440" s="8">
        <v>0.25</v>
      </c>
      <c r="AG6440" s="9">
        <v>6.4</v>
      </c>
      <c r="AH6440" s="10">
        <f t="shared" si="115"/>
        <v>6</v>
      </c>
    </row>
    <row r="6441" spans="11:34" ht="14.5" x14ac:dyDescent="0.35">
      <c r="K6441" s="4"/>
      <c r="AC6441" s="7">
        <v>2022</v>
      </c>
      <c r="AD6441" s="7">
        <v>9</v>
      </c>
      <c r="AE6441" s="7">
        <v>26</v>
      </c>
      <c r="AF6441" s="8">
        <v>0.29166666666666669</v>
      </c>
      <c r="AG6441" s="9">
        <v>6.9</v>
      </c>
      <c r="AH6441" s="10">
        <f t="shared" si="115"/>
        <v>7</v>
      </c>
    </row>
    <row r="6442" spans="11:34" ht="14.5" x14ac:dyDescent="0.35">
      <c r="K6442" s="4"/>
      <c r="AC6442" s="7">
        <v>2022</v>
      </c>
      <c r="AD6442" s="7">
        <v>9</v>
      </c>
      <c r="AE6442" s="7">
        <v>26</v>
      </c>
      <c r="AF6442" s="8">
        <v>0.33333333333333331</v>
      </c>
      <c r="AG6442" s="9">
        <v>12</v>
      </c>
      <c r="AH6442" s="10">
        <f t="shared" si="115"/>
        <v>12</v>
      </c>
    </row>
    <row r="6443" spans="11:34" ht="14.5" x14ac:dyDescent="0.35">
      <c r="K6443" s="4"/>
      <c r="AC6443" s="7">
        <v>2022</v>
      </c>
      <c r="AD6443" s="7">
        <v>9</v>
      </c>
      <c r="AE6443" s="7">
        <v>26</v>
      </c>
      <c r="AF6443" s="8">
        <v>0.375</v>
      </c>
      <c r="AG6443" s="9">
        <v>14.6</v>
      </c>
      <c r="AH6443" s="10">
        <f t="shared" si="115"/>
        <v>15</v>
      </c>
    </row>
    <row r="6444" spans="11:34" ht="14.5" x14ac:dyDescent="0.35">
      <c r="K6444" s="4"/>
      <c r="AC6444" s="7">
        <v>2022</v>
      </c>
      <c r="AD6444" s="7">
        <v>9</v>
      </c>
      <c r="AE6444" s="7">
        <v>26</v>
      </c>
      <c r="AF6444" s="8">
        <v>0.41666666666666669</v>
      </c>
      <c r="AG6444" s="9">
        <v>18.100000000000001</v>
      </c>
      <c r="AH6444" s="10">
        <f t="shared" si="115"/>
        <v>18</v>
      </c>
    </row>
    <row r="6445" spans="11:34" ht="14.5" x14ac:dyDescent="0.35">
      <c r="K6445" s="4"/>
      <c r="AC6445" s="7">
        <v>2022</v>
      </c>
      <c r="AD6445" s="7">
        <v>9</v>
      </c>
      <c r="AE6445" s="7">
        <v>26</v>
      </c>
      <c r="AF6445" s="8">
        <v>0.45833333333333331</v>
      </c>
      <c r="AG6445" s="9">
        <v>20.100000000000001</v>
      </c>
      <c r="AH6445" s="10">
        <f t="shared" si="115"/>
        <v>20</v>
      </c>
    </row>
    <row r="6446" spans="11:34" ht="14.5" x14ac:dyDescent="0.35">
      <c r="K6446" s="4"/>
      <c r="AC6446" s="7">
        <v>2022</v>
      </c>
      <c r="AD6446" s="7">
        <v>9</v>
      </c>
      <c r="AE6446" s="7">
        <v>26</v>
      </c>
      <c r="AF6446" s="8">
        <v>0.5</v>
      </c>
      <c r="AG6446" s="9">
        <v>22</v>
      </c>
      <c r="AH6446" s="10">
        <f t="shared" si="115"/>
        <v>22</v>
      </c>
    </row>
    <row r="6447" spans="11:34" ht="14.5" x14ac:dyDescent="0.35">
      <c r="K6447" s="4"/>
      <c r="AC6447" s="7">
        <v>2022</v>
      </c>
      <c r="AD6447" s="7">
        <v>9</v>
      </c>
      <c r="AE6447" s="7">
        <v>26</v>
      </c>
      <c r="AF6447" s="8">
        <v>0.54166666666666663</v>
      </c>
      <c r="AG6447" s="9">
        <v>23.4</v>
      </c>
      <c r="AH6447" s="10">
        <f t="shared" si="115"/>
        <v>23</v>
      </c>
    </row>
    <row r="6448" spans="11:34" ht="14.5" x14ac:dyDescent="0.35">
      <c r="K6448" s="4"/>
      <c r="AC6448" s="7">
        <v>2022</v>
      </c>
      <c r="AD6448" s="7">
        <v>9</v>
      </c>
      <c r="AE6448" s="7">
        <v>26</v>
      </c>
      <c r="AF6448" s="8">
        <v>0.58333333333333337</v>
      </c>
      <c r="AG6448" s="9">
        <v>24.3</v>
      </c>
      <c r="AH6448" s="10">
        <f t="shared" si="115"/>
        <v>24</v>
      </c>
    </row>
    <row r="6449" spans="11:34" ht="14.5" x14ac:dyDescent="0.35">
      <c r="K6449" s="4"/>
      <c r="AC6449" s="7">
        <v>2022</v>
      </c>
      <c r="AD6449" s="7">
        <v>9</v>
      </c>
      <c r="AE6449" s="7">
        <v>26</v>
      </c>
      <c r="AF6449" s="8">
        <v>0.625</v>
      </c>
      <c r="AG6449" s="9">
        <v>24.7</v>
      </c>
      <c r="AH6449" s="10">
        <f t="shared" si="115"/>
        <v>25</v>
      </c>
    </row>
    <row r="6450" spans="11:34" ht="14.5" x14ac:dyDescent="0.35">
      <c r="K6450" s="4"/>
      <c r="AC6450" s="7">
        <v>2022</v>
      </c>
      <c r="AD6450" s="7">
        <v>9</v>
      </c>
      <c r="AE6450" s="7">
        <v>26</v>
      </c>
      <c r="AF6450" s="8">
        <v>0.66666666666666663</v>
      </c>
      <c r="AG6450" s="9">
        <v>25</v>
      </c>
      <c r="AH6450" s="10">
        <f t="shared" si="115"/>
        <v>25</v>
      </c>
    </row>
    <row r="6451" spans="11:34" ht="14.5" x14ac:dyDescent="0.35">
      <c r="K6451" s="4"/>
      <c r="AC6451" s="7">
        <v>2022</v>
      </c>
      <c r="AD6451" s="7">
        <v>9</v>
      </c>
      <c r="AE6451" s="7">
        <v>26</v>
      </c>
      <c r="AF6451" s="8">
        <v>0.70833333333333337</v>
      </c>
      <c r="AG6451" s="9">
        <v>24</v>
      </c>
      <c r="AH6451" s="10">
        <f t="shared" si="115"/>
        <v>24</v>
      </c>
    </row>
    <row r="6452" spans="11:34" ht="14.5" x14ac:dyDescent="0.35">
      <c r="K6452" s="4"/>
      <c r="AC6452" s="7">
        <v>2022</v>
      </c>
      <c r="AD6452" s="7">
        <v>9</v>
      </c>
      <c r="AE6452" s="7">
        <v>26</v>
      </c>
      <c r="AF6452" s="8">
        <v>0.75</v>
      </c>
      <c r="AG6452" s="9">
        <v>21.6</v>
      </c>
      <c r="AH6452" s="10">
        <f t="shared" si="115"/>
        <v>22</v>
      </c>
    </row>
    <row r="6453" spans="11:34" ht="14.5" x14ac:dyDescent="0.35">
      <c r="K6453" s="4"/>
      <c r="AC6453" s="7">
        <v>2022</v>
      </c>
      <c r="AD6453" s="7">
        <v>9</v>
      </c>
      <c r="AE6453" s="7">
        <v>26</v>
      </c>
      <c r="AF6453" s="8">
        <v>0.79166666666666663</v>
      </c>
      <c r="AG6453" s="9">
        <v>17.5</v>
      </c>
      <c r="AH6453" s="10">
        <f t="shared" si="115"/>
        <v>18</v>
      </c>
    </row>
    <row r="6454" spans="11:34" ht="14.5" x14ac:dyDescent="0.35">
      <c r="K6454" s="4"/>
      <c r="AC6454" s="7">
        <v>2022</v>
      </c>
      <c r="AD6454" s="7">
        <v>9</v>
      </c>
      <c r="AE6454" s="7">
        <v>26</v>
      </c>
      <c r="AF6454" s="8">
        <v>0.83333333333333337</v>
      </c>
      <c r="AG6454" s="9">
        <v>15.8</v>
      </c>
      <c r="AH6454" s="10">
        <f t="shared" si="115"/>
        <v>16</v>
      </c>
    </row>
    <row r="6455" spans="11:34" ht="14.5" x14ac:dyDescent="0.35">
      <c r="K6455" s="4"/>
      <c r="AC6455" s="7">
        <v>2022</v>
      </c>
      <c r="AD6455" s="7">
        <v>9</v>
      </c>
      <c r="AE6455" s="7">
        <v>26</v>
      </c>
      <c r="AF6455" s="8">
        <v>0.875</v>
      </c>
      <c r="AG6455" s="9">
        <v>15.5</v>
      </c>
      <c r="AH6455" s="10">
        <f t="shared" si="115"/>
        <v>16</v>
      </c>
    </row>
    <row r="6456" spans="11:34" ht="14.5" x14ac:dyDescent="0.35">
      <c r="K6456" s="4"/>
      <c r="AC6456" s="7">
        <v>2022</v>
      </c>
      <c r="AD6456" s="7">
        <v>9</v>
      </c>
      <c r="AE6456" s="7">
        <v>26</v>
      </c>
      <c r="AF6456" s="8">
        <v>0.91666666666666663</v>
      </c>
      <c r="AG6456" s="9">
        <v>15.2</v>
      </c>
      <c r="AH6456" s="10">
        <f t="shared" si="115"/>
        <v>15</v>
      </c>
    </row>
    <row r="6457" spans="11:34" ht="14.5" x14ac:dyDescent="0.35">
      <c r="K6457" s="4"/>
      <c r="AC6457" s="7">
        <v>2022</v>
      </c>
      <c r="AD6457" s="7">
        <v>9</v>
      </c>
      <c r="AE6457" s="7">
        <v>26</v>
      </c>
      <c r="AF6457" s="8">
        <v>0.95833333333333337</v>
      </c>
      <c r="AG6457" s="9">
        <v>15.1</v>
      </c>
      <c r="AH6457" s="10">
        <f t="shared" si="115"/>
        <v>15</v>
      </c>
    </row>
    <row r="6458" spans="11:34" ht="14.5" x14ac:dyDescent="0.35">
      <c r="K6458" s="4"/>
      <c r="AC6458" s="7">
        <v>2022</v>
      </c>
      <c r="AD6458" s="7">
        <v>9</v>
      </c>
      <c r="AE6458" s="7">
        <v>27</v>
      </c>
      <c r="AF6458" s="8">
        <v>0</v>
      </c>
      <c r="AG6458" s="9">
        <v>14.1</v>
      </c>
      <c r="AH6458" s="10">
        <f t="shared" si="115"/>
        <v>14</v>
      </c>
    </row>
    <row r="6459" spans="11:34" ht="14.5" x14ac:dyDescent="0.35">
      <c r="K6459" s="4"/>
      <c r="AC6459" s="7">
        <v>2022</v>
      </c>
      <c r="AD6459" s="7">
        <v>9</v>
      </c>
      <c r="AE6459" s="7">
        <v>27</v>
      </c>
      <c r="AF6459" s="8">
        <v>4.1666666666666664E-2</v>
      </c>
      <c r="AG6459" s="9">
        <v>11.7</v>
      </c>
      <c r="AH6459" s="10">
        <f t="shared" si="115"/>
        <v>12</v>
      </c>
    </row>
    <row r="6460" spans="11:34" ht="14.5" x14ac:dyDescent="0.35">
      <c r="K6460" s="4"/>
      <c r="AC6460" s="7">
        <v>2022</v>
      </c>
      <c r="AD6460" s="7">
        <v>9</v>
      </c>
      <c r="AE6460" s="7">
        <v>27</v>
      </c>
      <c r="AF6460" s="8">
        <v>8.3333333333333329E-2</v>
      </c>
      <c r="AG6460" s="9">
        <v>8.3000000000000007</v>
      </c>
      <c r="AH6460" s="10">
        <f t="shared" si="115"/>
        <v>8</v>
      </c>
    </row>
    <row r="6461" spans="11:34" ht="14.5" x14ac:dyDescent="0.35">
      <c r="K6461" s="4"/>
      <c r="AC6461" s="7">
        <v>2022</v>
      </c>
      <c r="AD6461" s="7">
        <v>9</v>
      </c>
      <c r="AE6461" s="7">
        <v>27</v>
      </c>
      <c r="AF6461" s="8">
        <v>0.125</v>
      </c>
      <c r="AG6461" s="9">
        <v>8.5</v>
      </c>
      <c r="AH6461" s="10">
        <f t="shared" si="115"/>
        <v>9</v>
      </c>
    </row>
    <row r="6462" spans="11:34" ht="14.5" x14ac:dyDescent="0.35">
      <c r="K6462" s="4"/>
      <c r="AC6462" s="7">
        <v>2022</v>
      </c>
      <c r="AD6462" s="7">
        <v>9</v>
      </c>
      <c r="AE6462" s="7">
        <v>27</v>
      </c>
      <c r="AF6462" s="8">
        <v>0.16666666666666666</v>
      </c>
      <c r="AG6462" s="9">
        <v>7.3</v>
      </c>
      <c r="AH6462" s="10">
        <f t="shared" si="115"/>
        <v>7</v>
      </c>
    </row>
    <row r="6463" spans="11:34" ht="14.5" x14ac:dyDescent="0.35">
      <c r="K6463" s="4"/>
      <c r="AC6463" s="7">
        <v>2022</v>
      </c>
      <c r="AD6463" s="7">
        <v>9</v>
      </c>
      <c r="AE6463" s="7">
        <v>27</v>
      </c>
      <c r="AF6463" s="8">
        <v>0.20833333333333334</v>
      </c>
      <c r="AG6463" s="9">
        <v>10.8</v>
      </c>
      <c r="AH6463" s="10">
        <f t="shared" si="115"/>
        <v>11</v>
      </c>
    </row>
    <row r="6464" spans="11:34" ht="14.5" x14ac:dyDescent="0.35">
      <c r="K6464" s="4"/>
      <c r="AC6464" s="7">
        <v>2022</v>
      </c>
      <c r="AD6464" s="7">
        <v>9</v>
      </c>
      <c r="AE6464" s="7">
        <v>27</v>
      </c>
      <c r="AF6464" s="8">
        <v>0.25</v>
      </c>
      <c r="AG6464" s="9">
        <v>11.4</v>
      </c>
      <c r="AH6464" s="10">
        <f t="shared" si="115"/>
        <v>11</v>
      </c>
    </row>
    <row r="6465" spans="11:34" ht="14.5" x14ac:dyDescent="0.35">
      <c r="K6465" s="4"/>
      <c r="AC6465" s="7">
        <v>2022</v>
      </c>
      <c r="AD6465" s="7">
        <v>9</v>
      </c>
      <c r="AE6465" s="7">
        <v>27</v>
      </c>
      <c r="AF6465" s="8">
        <v>0.29166666666666669</v>
      </c>
      <c r="AG6465" s="9">
        <v>10.8</v>
      </c>
      <c r="AH6465" s="10">
        <f t="shared" si="115"/>
        <v>11</v>
      </c>
    </row>
    <row r="6466" spans="11:34" ht="14.5" x14ac:dyDescent="0.35">
      <c r="K6466" s="4"/>
      <c r="AC6466" s="7">
        <v>2022</v>
      </c>
      <c r="AD6466" s="7">
        <v>9</v>
      </c>
      <c r="AE6466" s="7">
        <v>27</v>
      </c>
      <c r="AF6466" s="8">
        <v>0.33333333333333331</v>
      </c>
      <c r="AG6466" s="9">
        <v>16.600000000000001</v>
      </c>
      <c r="AH6466" s="10">
        <f t="shared" si="115"/>
        <v>17</v>
      </c>
    </row>
    <row r="6467" spans="11:34" ht="14.5" x14ac:dyDescent="0.35">
      <c r="K6467" s="4"/>
      <c r="AC6467" s="7">
        <v>2022</v>
      </c>
      <c r="AD6467" s="7">
        <v>9</v>
      </c>
      <c r="AE6467" s="7">
        <v>27</v>
      </c>
      <c r="AF6467" s="8">
        <v>0.375</v>
      </c>
      <c r="AG6467" s="9">
        <v>19.8</v>
      </c>
      <c r="AH6467" s="10">
        <f t="shared" si="115"/>
        <v>20</v>
      </c>
    </row>
    <row r="6468" spans="11:34" ht="14.5" x14ac:dyDescent="0.35">
      <c r="K6468" s="4"/>
      <c r="AC6468" s="7">
        <v>2022</v>
      </c>
      <c r="AD6468" s="7">
        <v>9</v>
      </c>
      <c r="AE6468" s="7">
        <v>27</v>
      </c>
      <c r="AF6468" s="8">
        <v>0.41666666666666669</v>
      </c>
      <c r="AG6468" s="9">
        <v>22.8</v>
      </c>
      <c r="AH6468" s="10">
        <f t="shared" si="115"/>
        <v>23</v>
      </c>
    </row>
    <row r="6469" spans="11:34" ht="14.5" x14ac:dyDescent="0.35">
      <c r="K6469" s="4"/>
      <c r="AC6469" s="7">
        <v>2022</v>
      </c>
      <c r="AD6469" s="7">
        <v>9</v>
      </c>
      <c r="AE6469" s="7">
        <v>27</v>
      </c>
      <c r="AF6469" s="8">
        <v>0.45833333333333331</v>
      </c>
      <c r="AG6469" s="9">
        <v>24.7</v>
      </c>
      <c r="AH6469" s="10">
        <f t="shared" si="115"/>
        <v>25</v>
      </c>
    </row>
    <row r="6470" spans="11:34" ht="14.5" x14ac:dyDescent="0.35">
      <c r="K6470" s="4"/>
      <c r="AC6470" s="7">
        <v>2022</v>
      </c>
      <c r="AD6470" s="7">
        <v>9</v>
      </c>
      <c r="AE6470" s="7">
        <v>27</v>
      </c>
      <c r="AF6470" s="8">
        <v>0.5</v>
      </c>
      <c r="AG6470" s="9">
        <v>25.8</v>
      </c>
      <c r="AH6470" s="10">
        <f t="shared" si="115"/>
        <v>26</v>
      </c>
    </row>
    <row r="6471" spans="11:34" ht="14.5" x14ac:dyDescent="0.35">
      <c r="K6471" s="4"/>
      <c r="AC6471" s="7">
        <v>2022</v>
      </c>
      <c r="AD6471" s="7">
        <v>9</v>
      </c>
      <c r="AE6471" s="7">
        <v>27</v>
      </c>
      <c r="AF6471" s="8">
        <v>0.54166666666666663</v>
      </c>
      <c r="AG6471" s="9">
        <v>26.4</v>
      </c>
      <c r="AH6471" s="10">
        <f t="shared" si="115"/>
        <v>26</v>
      </c>
    </row>
    <row r="6472" spans="11:34" ht="14.5" x14ac:dyDescent="0.35">
      <c r="K6472" s="4"/>
      <c r="AC6472" s="7">
        <v>2022</v>
      </c>
      <c r="AD6472" s="7">
        <v>9</v>
      </c>
      <c r="AE6472" s="7">
        <v>27</v>
      </c>
      <c r="AF6472" s="8">
        <v>0.58333333333333337</v>
      </c>
      <c r="AG6472" s="9">
        <v>27</v>
      </c>
      <c r="AH6472" s="10">
        <f t="shared" si="115"/>
        <v>27</v>
      </c>
    </row>
    <row r="6473" spans="11:34" ht="14.5" x14ac:dyDescent="0.35">
      <c r="K6473" s="4"/>
      <c r="AC6473" s="7">
        <v>2022</v>
      </c>
      <c r="AD6473" s="7">
        <v>9</v>
      </c>
      <c r="AE6473" s="7">
        <v>27</v>
      </c>
      <c r="AF6473" s="8">
        <v>0.625</v>
      </c>
      <c r="AG6473" s="9">
        <v>27</v>
      </c>
      <c r="AH6473" s="10">
        <f t="shared" si="115"/>
        <v>27</v>
      </c>
    </row>
    <row r="6474" spans="11:34" ht="14.5" x14ac:dyDescent="0.35">
      <c r="K6474" s="4"/>
      <c r="AC6474" s="7">
        <v>2022</v>
      </c>
      <c r="AD6474" s="7">
        <v>9</v>
      </c>
      <c r="AE6474" s="7">
        <v>27</v>
      </c>
      <c r="AF6474" s="8">
        <v>0.66666666666666663</v>
      </c>
      <c r="AG6474" s="9">
        <v>27</v>
      </c>
      <c r="AH6474" s="10">
        <f t="shared" si="115"/>
        <v>27</v>
      </c>
    </row>
    <row r="6475" spans="11:34" ht="14.5" x14ac:dyDescent="0.35">
      <c r="K6475" s="4"/>
      <c r="AC6475" s="7">
        <v>2022</v>
      </c>
      <c r="AD6475" s="7">
        <v>9</v>
      </c>
      <c r="AE6475" s="7">
        <v>27</v>
      </c>
      <c r="AF6475" s="8">
        <v>0.70833333333333337</v>
      </c>
      <c r="AG6475" s="9">
        <v>26</v>
      </c>
      <c r="AH6475" s="10">
        <f t="shared" ref="AH6475:AH6538" si="116">ROUND(AG6475,0)</f>
        <v>26</v>
      </c>
    </row>
    <row r="6476" spans="11:34" ht="14.5" x14ac:dyDescent="0.35">
      <c r="K6476" s="4"/>
      <c r="AC6476" s="7">
        <v>2022</v>
      </c>
      <c r="AD6476" s="7">
        <v>9</v>
      </c>
      <c r="AE6476" s="7">
        <v>27</v>
      </c>
      <c r="AF6476" s="8">
        <v>0.75</v>
      </c>
      <c r="AG6476" s="9">
        <v>23.2</v>
      </c>
      <c r="AH6476" s="10">
        <f t="shared" si="116"/>
        <v>23</v>
      </c>
    </row>
    <row r="6477" spans="11:34" ht="14.5" x14ac:dyDescent="0.35">
      <c r="K6477" s="4"/>
      <c r="AC6477" s="7">
        <v>2022</v>
      </c>
      <c r="AD6477" s="7">
        <v>9</v>
      </c>
      <c r="AE6477" s="7">
        <v>27</v>
      </c>
      <c r="AF6477" s="8">
        <v>0.79166666666666663</v>
      </c>
      <c r="AG6477" s="9">
        <v>21</v>
      </c>
      <c r="AH6477" s="10">
        <f t="shared" si="116"/>
        <v>21</v>
      </c>
    </row>
    <row r="6478" spans="11:34" ht="14.5" x14ac:dyDescent="0.35">
      <c r="K6478" s="4"/>
      <c r="AC6478" s="7">
        <v>2022</v>
      </c>
      <c r="AD6478" s="7">
        <v>9</v>
      </c>
      <c r="AE6478" s="7">
        <v>27</v>
      </c>
      <c r="AF6478" s="8">
        <v>0.83333333333333337</v>
      </c>
      <c r="AG6478" s="9">
        <v>16</v>
      </c>
      <c r="AH6478" s="10">
        <f t="shared" si="116"/>
        <v>16</v>
      </c>
    </row>
    <row r="6479" spans="11:34" ht="14.5" x14ac:dyDescent="0.35">
      <c r="K6479" s="4"/>
      <c r="AC6479" s="7">
        <v>2022</v>
      </c>
      <c r="AD6479" s="7">
        <v>9</v>
      </c>
      <c r="AE6479" s="7">
        <v>27</v>
      </c>
      <c r="AF6479" s="8">
        <v>0.875</v>
      </c>
      <c r="AG6479" s="9">
        <v>15.3</v>
      </c>
      <c r="AH6479" s="10">
        <f t="shared" si="116"/>
        <v>15</v>
      </c>
    </row>
    <row r="6480" spans="11:34" ht="14.5" x14ac:dyDescent="0.35">
      <c r="K6480" s="4"/>
      <c r="AC6480" s="7">
        <v>2022</v>
      </c>
      <c r="AD6480" s="7">
        <v>9</v>
      </c>
      <c r="AE6480" s="7">
        <v>27</v>
      </c>
      <c r="AF6480" s="8">
        <v>0.91666666666666663</v>
      </c>
      <c r="AG6480" s="9">
        <v>14.7</v>
      </c>
      <c r="AH6480" s="10">
        <f t="shared" si="116"/>
        <v>15</v>
      </c>
    </row>
    <row r="6481" spans="11:34" ht="14.5" x14ac:dyDescent="0.35">
      <c r="K6481" s="4"/>
      <c r="AC6481" s="7">
        <v>2022</v>
      </c>
      <c r="AD6481" s="7">
        <v>9</v>
      </c>
      <c r="AE6481" s="7">
        <v>27</v>
      </c>
      <c r="AF6481" s="8">
        <v>0.95833333333333337</v>
      </c>
      <c r="AG6481" s="9">
        <v>12.1</v>
      </c>
      <c r="AH6481" s="10">
        <f t="shared" si="116"/>
        <v>12</v>
      </c>
    </row>
    <row r="6482" spans="11:34" ht="14.5" x14ac:dyDescent="0.35">
      <c r="K6482" s="4"/>
      <c r="AC6482" s="7">
        <v>2022</v>
      </c>
      <c r="AD6482" s="7">
        <v>9</v>
      </c>
      <c r="AE6482" s="7">
        <v>28</v>
      </c>
      <c r="AF6482" s="8">
        <v>0</v>
      </c>
      <c r="AG6482" s="9">
        <v>11.5</v>
      </c>
      <c r="AH6482" s="10">
        <f t="shared" si="116"/>
        <v>12</v>
      </c>
    </row>
    <row r="6483" spans="11:34" ht="14.5" x14ac:dyDescent="0.35">
      <c r="K6483" s="4"/>
      <c r="AC6483" s="7">
        <v>2022</v>
      </c>
      <c r="AD6483" s="7">
        <v>9</v>
      </c>
      <c r="AE6483" s="7">
        <v>28</v>
      </c>
      <c r="AF6483" s="8">
        <v>4.1666666666666664E-2</v>
      </c>
      <c r="AG6483" s="9">
        <v>9.9</v>
      </c>
      <c r="AH6483" s="10">
        <f t="shared" si="116"/>
        <v>10</v>
      </c>
    </row>
    <row r="6484" spans="11:34" ht="14.5" x14ac:dyDescent="0.35">
      <c r="K6484" s="4"/>
      <c r="AC6484" s="7">
        <v>2022</v>
      </c>
      <c r="AD6484" s="7">
        <v>9</v>
      </c>
      <c r="AE6484" s="7">
        <v>28</v>
      </c>
      <c r="AF6484" s="8">
        <v>8.3333333333333329E-2</v>
      </c>
      <c r="AG6484" s="9">
        <v>9</v>
      </c>
      <c r="AH6484" s="10">
        <f t="shared" si="116"/>
        <v>9</v>
      </c>
    </row>
    <row r="6485" spans="11:34" ht="14.5" x14ac:dyDescent="0.35">
      <c r="K6485" s="4"/>
      <c r="AC6485" s="7">
        <v>2022</v>
      </c>
      <c r="AD6485" s="7">
        <v>9</v>
      </c>
      <c r="AE6485" s="7">
        <v>28</v>
      </c>
      <c r="AF6485" s="8">
        <v>0.125</v>
      </c>
      <c r="AG6485" s="9">
        <v>8.6999999999999993</v>
      </c>
      <c r="AH6485" s="10">
        <f t="shared" si="116"/>
        <v>9</v>
      </c>
    </row>
    <row r="6486" spans="11:34" ht="14.5" x14ac:dyDescent="0.35">
      <c r="K6486" s="4"/>
      <c r="AC6486" s="7">
        <v>2022</v>
      </c>
      <c r="AD6486" s="7">
        <v>9</v>
      </c>
      <c r="AE6486" s="7">
        <v>28</v>
      </c>
      <c r="AF6486" s="8">
        <v>0.16666666666666666</v>
      </c>
      <c r="AG6486" s="9">
        <v>10</v>
      </c>
      <c r="AH6486" s="10">
        <f t="shared" si="116"/>
        <v>10</v>
      </c>
    </row>
    <row r="6487" spans="11:34" ht="14.5" x14ac:dyDescent="0.35">
      <c r="K6487" s="4"/>
      <c r="AC6487" s="7">
        <v>2022</v>
      </c>
      <c r="AD6487" s="7">
        <v>9</v>
      </c>
      <c r="AE6487" s="7">
        <v>28</v>
      </c>
      <c r="AF6487" s="8">
        <v>0.20833333333333334</v>
      </c>
      <c r="AG6487" s="9">
        <v>9.5</v>
      </c>
      <c r="AH6487" s="10">
        <f t="shared" si="116"/>
        <v>10</v>
      </c>
    </row>
    <row r="6488" spans="11:34" ht="14.5" x14ac:dyDescent="0.35">
      <c r="K6488" s="4"/>
      <c r="AC6488" s="7">
        <v>2022</v>
      </c>
      <c r="AD6488" s="7">
        <v>9</v>
      </c>
      <c r="AE6488" s="7">
        <v>28</v>
      </c>
      <c r="AF6488" s="8">
        <v>0.25</v>
      </c>
      <c r="AG6488" s="9">
        <v>7.9</v>
      </c>
      <c r="AH6488" s="10">
        <f t="shared" si="116"/>
        <v>8</v>
      </c>
    </row>
    <row r="6489" spans="11:34" ht="14.5" x14ac:dyDescent="0.35">
      <c r="K6489" s="4"/>
      <c r="AC6489" s="7">
        <v>2022</v>
      </c>
      <c r="AD6489" s="7">
        <v>9</v>
      </c>
      <c r="AE6489" s="7">
        <v>28</v>
      </c>
      <c r="AF6489" s="8">
        <v>0.29166666666666669</v>
      </c>
      <c r="AG6489" s="9">
        <v>7.1</v>
      </c>
      <c r="AH6489" s="10">
        <f t="shared" si="116"/>
        <v>7</v>
      </c>
    </row>
    <row r="6490" spans="11:34" ht="14.5" x14ac:dyDescent="0.35">
      <c r="K6490" s="4"/>
      <c r="AC6490" s="7">
        <v>2022</v>
      </c>
      <c r="AD6490" s="7">
        <v>9</v>
      </c>
      <c r="AE6490" s="7">
        <v>28</v>
      </c>
      <c r="AF6490" s="8">
        <v>0.33333333333333331</v>
      </c>
      <c r="AG6490" s="9">
        <v>12.2</v>
      </c>
      <c r="AH6490" s="10">
        <f t="shared" si="116"/>
        <v>12</v>
      </c>
    </row>
    <row r="6491" spans="11:34" ht="14.5" x14ac:dyDescent="0.35">
      <c r="K6491" s="4"/>
      <c r="AC6491" s="7">
        <v>2022</v>
      </c>
      <c r="AD6491" s="7">
        <v>9</v>
      </c>
      <c r="AE6491" s="7">
        <v>28</v>
      </c>
      <c r="AF6491" s="8">
        <v>0.375</v>
      </c>
      <c r="AG6491" s="9">
        <v>15.9</v>
      </c>
      <c r="AH6491" s="10">
        <f t="shared" si="116"/>
        <v>16</v>
      </c>
    </row>
    <row r="6492" spans="11:34" ht="14.5" x14ac:dyDescent="0.35">
      <c r="K6492" s="4"/>
      <c r="AC6492" s="7">
        <v>2022</v>
      </c>
      <c r="AD6492" s="7">
        <v>9</v>
      </c>
      <c r="AE6492" s="7">
        <v>28</v>
      </c>
      <c r="AF6492" s="8">
        <v>0.41666666666666669</v>
      </c>
      <c r="AG6492" s="9">
        <v>20.5</v>
      </c>
      <c r="AH6492" s="10">
        <f t="shared" si="116"/>
        <v>21</v>
      </c>
    </row>
    <row r="6493" spans="11:34" ht="14.5" x14ac:dyDescent="0.35">
      <c r="K6493" s="4"/>
      <c r="AC6493" s="7">
        <v>2022</v>
      </c>
      <c r="AD6493" s="7">
        <v>9</v>
      </c>
      <c r="AE6493" s="7">
        <v>28</v>
      </c>
      <c r="AF6493" s="8">
        <v>0.45833333333333331</v>
      </c>
      <c r="AG6493" s="9">
        <v>22.8</v>
      </c>
      <c r="AH6493" s="10">
        <f t="shared" si="116"/>
        <v>23</v>
      </c>
    </row>
    <row r="6494" spans="11:34" ht="14.5" x14ac:dyDescent="0.35">
      <c r="K6494" s="4"/>
      <c r="AC6494" s="7">
        <v>2022</v>
      </c>
      <c r="AD6494" s="7">
        <v>9</v>
      </c>
      <c r="AE6494" s="7">
        <v>28</v>
      </c>
      <c r="AF6494" s="8">
        <v>0.5</v>
      </c>
      <c r="AG6494" s="9">
        <v>24.5</v>
      </c>
      <c r="AH6494" s="10">
        <f t="shared" si="116"/>
        <v>25</v>
      </c>
    </row>
    <row r="6495" spans="11:34" ht="14.5" x14ac:dyDescent="0.35">
      <c r="K6495" s="4"/>
      <c r="AC6495" s="7">
        <v>2022</v>
      </c>
      <c r="AD6495" s="7">
        <v>9</v>
      </c>
      <c r="AE6495" s="7">
        <v>28</v>
      </c>
      <c r="AF6495" s="8">
        <v>0.54166666666666663</v>
      </c>
      <c r="AG6495" s="9">
        <v>26</v>
      </c>
      <c r="AH6495" s="10">
        <f t="shared" si="116"/>
        <v>26</v>
      </c>
    </row>
    <row r="6496" spans="11:34" ht="14.5" x14ac:dyDescent="0.35">
      <c r="K6496" s="4"/>
      <c r="AC6496" s="7">
        <v>2022</v>
      </c>
      <c r="AD6496" s="7">
        <v>9</v>
      </c>
      <c r="AE6496" s="7">
        <v>28</v>
      </c>
      <c r="AF6496" s="8">
        <v>0.58333333333333337</v>
      </c>
      <c r="AG6496" s="9">
        <v>27.2</v>
      </c>
      <c r="AH6496" s="10">
        <f t="shared" si="116"/>
        <v>27</v>
      </c>
    </row>
    <row r="6497" spans="11:34" ht="14.5" x14ac:dyDescent="0.35">
      <c r="K6497" s="4"/>
      <c r="AC6497" s="7">
        <v>2022</v>
      </c>
      <c r="AD6497" s="7">
        <v>9</v>
      </c>
      <c r="AE6497" s="7">
        <v>28</v>
      </c>
      <c r="AF6497" s="8">
        <v>0.625</v>
      </c>
      <c r="AG6497" s="9">
        <v>27.8</v>
      </c>
      <c r="AH6497" s="10">
        <f t="shared" si="116"/>
        <v>28</v>
      </c>
    </row>
    <row r="6498" spans="11:34" ht="14.5" x14ac:dyDescent="0.35">
      <c r="K6498" s="4"/>
      <c r="AC6498" s="7">
        <v>2022</v>
      </c>
      <c r="AD6498" s="7">
        <v>9</v>
      </c>
      <c r="AE6498" s="7">
        <v>28</v>
      </c>
      <c r="AF6498" s="8">
        <v>0.66666666666666663</v>
      </c>
      <c r="AG6498" s="9">
        <v>25.7</v>
      </c>
      <c r="AH6498" s="10">
        <f t="shared" si="116"/>
        <v>26</v>
      </c>
    </row>
    <row r="6499" spans="11:34" ht="14.5" x14ac:dyDescent="0.35">
      <c r="K6499" s="4"/>
      <c r="AC6499" s="7">
        <v>2022</v>
      </c>
      <c r="AD6499" s="7">
        <v>9</v>
      </c>
      <c r="AE6499" s="7">
        <v>28</v>
      </c>
      <c r="AF6499" s="8">
        <v>0.70833333333333337</v>
      </c>
      <c r="AG6499" s="9">
        <v>26.4</v>
      </c>
      <c r="AH6499" s="10">
        <f t="shared" si="116"/>
        <v>26</v>
      </c>
    </row>
    <row r="6500" spans="11:34" ht="14.5" x14ac:dyDescent="0.35">
      <c r="K6500" s="4"/>
      <c r="AC6500" s="7">
        <v>2022</v>
      </c>
      <c r="AD6500" s="7">
        <v>9</v>
      </c>
      <c r="AE6500" s="7">
        <v>28</v>
      </c>
      <c r="AF6500" s="8">
        <v>0.75</v>
      </c>
      <c r="AG6500" s="9">
        <v>22.2</v>
      </c>
      <c r="AH6500" s="10">
        <f t="shared" si="116"/>
        <v>22</v>
      </c>
    </row>
    <row r="6501" spans="11:34" ht="14.5" x14ac:dyDescent="0.35">
      <c r="K6501" s="4"/>
      <c r="AC6501" s="7">
        <v>2022</v>
      </c>
      <c r="AD6501" s="7">
        <v>9</v>
      </c>
      <c r="AE6501" s="7">
        <v>28</v>
      </c>
      <c r="AF6501" s="8">
        <v>0.79166666666666663</v>
      </c>
      <c r="AG6501" s="9">
        <v>19.600000000000001</v>
      </c>
      <c r="AH6501" s="10">
        <f t="shared" si="116"/>
        <v>20</v>
      </c>
    </row>
    <row r="6502" spans="11:34" ht="14.5" x14ac:dyDescent="0.35">
      <c r="K6502" s="4"/>
      <c r="AC6502" s="7">
        <v>2022</v>
      </c>
      <c r="AD6502" s="7">
        <v>9</v>
      </c>
      <c r="AE6502" s="7">
        <v>28</v>
      </c>
      <c r="AF6502" s="8">
        <v>0.83333333333333337</v>
      </c>
      <c r="AG6502" s="9">
        <v>18.100000000000001</v>
      </c>
      <c r="AH6502" s="10">
        <f t="shared" si="116"/>
        <v>18</v>
      </c>
    </row>
    <row r="6503" spans="11:34" ht="14.5" x14ac:dyDescent="0.35">
      <c r="K6503" s="4"/>
      <c r="AC6503" s="7">
        <v>2022</v>
      </c>
      <c r="AD6503" s="7">
        <v>9</v>
      </c>
      <c r="AE6503" s="7">
        <v>28</v>
      </c>
      <c r="AF6503" s="8">
        <v>0.875</v>
      </c>
      <c r="AG6503" s="9">
        <v>15.8</v>
      </c>
      <c r="AH6503" s="10">
        <f t="shared" si="116"/>
        <v>16</v>
      </c>
    </row>
    <row r="6504" spans="11:34" ht="14.5" x14ac:dyDescent="0.35">
      <c r="K6504" s="4"/>
      <c r="AC6504" s="7">
        <v>2022</v>
      </c>
      <c r="AD6504" s="7">
        <v>9</v>
      </c>
      <c r="AE6504" s="7">
        <v>28</v>
      </c>
      <c r="AF6504" s="8">
        <v>0.91666666666666663</v>
      </c>
      <c r="AG6504" s="9">
        <v>14.5</v>
      </c>
      <c r="AH6504" s="10">
        <f t="shared" si="116"/>
        <v>15</v>
      </c>
    </row>
    <row r="6505" spans="11:34" ht="14.5" x14ac:dyDescent="0.35">
      <c r="K6505" s="4"/>
      <c r="AC6505" s="7">
        <v>2022</v>
      </c>
      <c r="AD6505" s="7">
        <v>9</v>
      </c>
      <c r="AE6505" s="7">
        <v>28</v>
      </c>
      <c r="AF6505" s="8">
        <v>0.95833333333333337</v>
      </c>
      <c r="AG6505" s="9">
        <v>13.8</v>
      </c>
      <c r="AH6505" s="10">
        <f t="shared" si="116"/>
        <v>14</v>
      </c>
    </row>
    <row r="6506" spans="11:34" ht="14.5" x14ac:dyDescent="0.35">
      <c r="K6506" s="4"/>
      <c r="AC6506" s="7">
        <v>2022</v>
      </c>
      <c r="AD6506" s="7">
        <v>9</v>
      </c>
      <c r="AE6506" s="7">
        <v>29</v>
      </c>
      <c r="AF6506" s="8">
        <v>0</v>
      </c>
      <c r="AG6506" s="9">
        <v>13.3</v>
      </c>
      <c r="AH6506" s="10">
        <f t="shared" si="116"/>
        <v>13</v>
      </c>
    </row>
    <row r="6507" spans="11:34" ht="14.5" x14ac:dyDescent="0.35">
      <c r="K6507" s="4"/>
      <c r="AC6507" s="7">
        <v>2022</v>
      </c>
      <c r="AD6507" s="7">
        <v>9</v>
      </c>
      <c r="AE6507" s="7">
        <v>29</v>
      </c>
      <c r="AF6507" s="8">
        <v>4.1666666666666664E-2</v>
      </c>
      <c r="AG6507" s="9">
        <v>12</v>
      </c>
      <c r="AH6507" s="10">
        <f t="shared" si="116"/>
        <v>12</v>
      </c>
    </row>
    <row r="6508" spans="11:34" ht="14.5" x14ac:dyDescent="0.35">
      <c r="K6508" s="4"/>
      <c r="AC6508" s="7">
        <v>2022</v>
      </c>
      <c r="AD6508" s="7">
        <v>9</v>
      </c>
      <c r="AE6508" s="7">
        <v>29</v>
      </c>
      <c r="AF6508" s="8">
        <v>8.3333333333333329E-2</v>
      </c>
      <c r="AG6508" s="9">
        <v>11.7</v>
      </c>
      <c r="AH6508" s="10">
        <f t="shared" si="116"/>
        <v>12</v>
      </c>
    </row>
    <row r="6509" spans="11:34" ht="14.5" x14ac:dyDescent="0.35">
      <c r="K6509" s="4"/>
      <c r="AC6509" s="7">
        <v>2022</v>
      </c>
      <c r="AD6509" s="7">
        <v>9</v>
      </c>
      <c r="AE6509" s="7">
        <v>29</v>
      </c>
      <c r="AF6509" s="8">
        <v>0.125</v>
      </c>
      <c r="AG6509" s="9">
        <v>9.9</v>
      </c>
      <c r="AH6509" s="10">
        <f t="shared" si="116"/>
        <v>10</v>
      </c>
    </row>
    <row r="6510" spans="11:34" ht="14.5" x14ac:dyDescent="0.35">
      <c r="K6510" s="4"/>
      <c r="AC6510" s="7">
        <v>2022</v>
      </c>
      <c r="AD6510" s="7">
        <v>9</v>
      </c>
      <c r="AE6510" s="7">
        <v>29</v>
      </c>
      <c r="AF6510" s="8">
        <v>0.16666666666666666</v>
      </c>
      <c r="AG6510" s="9">
        <v>11.7</v>
      </c>
      <c r="AH6510" s="10">
        <f t="shared" si="116"/>
        <v>12</v>
      </c>
    </row>
    <row r="6511" spans="11:34" ht="14.5" x14ac:dyDescent="0.35">
      <c r="K6511" s="4"/>
      <c r="AC6511" s="7">
        <v>2022</v>
      </c>
      <c r="AD6511" s="7">
        <v>9</v>
      </c>
      <c r="AE6511" s="7">
        <v>29</v>
      </c>
      <c r="AF6511" s="8">
        <v>0.20833333333333334</v>
      </c>
      <c r="AG6511" s="9">
        <v>15.7</v>
      </c>
      <c r="AH6511" s="10">
        <f t="shared" si="116"/>
        <v>16</v>
      </c>
    </row>
    <row r="6512" spans="11:34" ht="14.5" x14ac:dyDescent="0.35">
      <c r="K6512" s="4"/>
      <c r="AC6512" s="7">
        <v>2022</v>
      </c>
      <c r="AD6512" s="7">
        <v>9</v>
      </c>
      <c r="AE6512" s="7">
        <v>29</v>
      </c>
      <c r="AF6512" s="8">
        <v>0.25</v>
      </c>
      <c r="AG6512" s="9">
        <v>19.399999999999999</v>
      </c>
      <c r="AH6512" s="10">
        <f t="shared" si="116"/>
        <v>19</v>
      </c>
    </row>
    <row r="6513" spans="11:34" ht="14.5" x14ac:dyDescent="0.35">
      <c r="K6513" s="4"/>
      <c r="AC6513" s="7">
        <v>2022</v>
      </c>
      <c r="AD6513" s="7">
        <v>9</v>
      </c>
      <c r="AE6513" s="7">
        <v>29</v>
      </c>
      <c r="AF6513" s="8">
        <v>0.29166666666666669</v>
      </c>
      <c r="AG6513" s="9">
        <v>18.2</v>
      </c>
      <c r="AH6513" s="10">
        <f t="shared" si="116"/>
        <v>18</v>
      </c>
    </row>
    <row r="6514" spans="11:34" ht="14.5" x14ac:dyDescent="0.35">
      <c r="K6514" s="4"/>
      <c r="AC6514" s="7">
        <v>2022</v>
      </c>
      <c r="AD6514" s="7">
        <v>9</v>
      </c>
      <c r="AE6514" s="7">
        <v>29</v>
      </c>
      <c r="AF6514" s="8">
        <v>0.33333333333333331</v>
      </c>
      <c r="AG6514" s="9">
        <v>17.8</v>
      </c>
      <c r="AH6514" s="10">
        <f t="shared" si="116"/>
        <v>18</v>
      </c>
    </row>
    <row r="6515" spans="11:34" ht="14.5" x14ac:dyDescent="0.35">
      <c r="K6515" s="4"/>
      <c r="AC6515" s="7">
        <v>2022</v>
      </c>
      <c r="AD6515" s="7">
        <v>9</v>
      </c>
      <c r="AE6515" s="7">
        <v>29</v>
      </c>
      <c r="AF6515" s="8">
        <v>0.375</v>
      </c>
      <c r="AG6515" s="9">
        <v>14.4</v>
      </c>
      <c r="AH6515" s="10">
        <f t="shared" si="116"/>
        <v>14</v>
      </c>
    </row>
    <row r="6516" spans="11:34" ht="14.5" x14ac:dyDescent="0.35">
      <c r="K6516" s="4"/>
      <c r="AC6516" s="7">
        <v>2022</v>
      </c>
      <c r="AD6516" s="7">
        <v>9</v>
      </c>
      <c r="AE6516" s="7">
        <v>29</v>
      </c>
      <c r="AF6516" s="8">
        <v>0.41666666666666669</v>
      </c>
      <c r="AG6516" s="9">
        <v>14</v>
      </c>
      <c r="AH6516" s="10">
        <f t="shared" si="116"/>
        <v>14</v>
      </c>
    </row>
    <row r="6517" spans="11:34" ht="14.5" x14ac:dyDescent="0.35">
      <c r="K6517" s="4"/>
      <c r="AC6517" s="7">
        <v>2022</v>
      </c>
      <c r="AD6517" s="7">
        <v>9</v>
      </c>
      <c r="AE6517" s="7">
        <v>29</v>
      </c>
      <c r="AF6517" s="8">
        <v>0.45833333333333331</v>
      </c>
      <c r="AG6517" s="9">
        <v>15.7</v>
      </c>
      <c r="AH6517" s="10">
        <f t="shared" si="116"/>
        <v>16</v>
      </c>
    </row>
    <row r="6518" spans="11:34" ht="14.5" x14ac:dyDescent="0.35">
      <c r="K6518" s="4"/>
      <c r="AC6518" s="7">
        <v>2022</v>
      </c>
      <c r="AD6518" s="7">
        <v>9</v>
      </c>
      <c r="AE6518" s="7">
        <v>29</v>
      </c>
      <c r="AF6518" s="8">
        <v>0.5</v>
      </c>
      <c r="AG6518" s="9">
        <v>14.1</v>
      </c>
      <c r="AH6518" s="10">
        <f t="shared" si="116"/>
        <v>14</v>
      </c>
    </row>
    <row r="6519" spans="11:34" ht="14.5" x14ac:dyDescent="0.35">
      <c r="K6519" s="4"/>
      <c r="AC6519" s="7">
        <v>2022</v>
      </c>
      <c r="AD6519" s="7">
        <v>9</v>
      </c>
      <c r="AE6519" s="7">
        <v>29</v>
      </c>
      <c r="AF6519" s="8">
        <v>0.54166666666666663</v>
      </c>
      <c r="AG6519" s="9">
        <v>15</v>
      </c>
      <c r="AH6519" s="10">
        <f t="shared" si="116"/>
        <v>15</v>
      </c>
    </row>
    <row r="6520" spans="11:34" ht="14.5" x14ac:dyDescent="0.35">
      <c r="K6520" s="4"/>
      <c r="AC6520" s="7">
        <v>2022</v>
      </c>
      <c r="AD6520" s="7">
        <v>9</v>
      </c>
      <c r="AE6520" s="7">
        <v>29</v>
      </c>
      <c r="AF6520" s="8">
        <v>0.58333333333333337</v>
      </c>
      <c r="AG6520" s="9">
        <v>16.8</v>
      </c>
      <c r="AH6520" s="10">
        <f t="shared" si="116"/>
        <v>17</v>
      </c>
    </row>
    <row r="6521" spans="11:34" ht="14.5" x14ac:dyDescent="0.35">
      <c r="K6521" s="4"/>
      <c r="AC6521" s="7">
        <v>2022</v>
      </c>
      <c r="AD6521" s="7">
        <v>9</v>
      </c>
      <c r="AE6521" s="7">
        <v>29</v>
      </c>
      <c r="AF6521" s="8">
        <v>0.625</v>
      </c>
      <c r="AG6521" s="9">
        <v>16.600000000000001</v>
      </c>
      <c r="AH6521" s="10">
        <f t="shared" si="116"/>
        <v>17</v>
      </c>
    </row>
    <row r="6522" spans="11:34" ht="14.5" x14ac:dyDescent="0.35">
      <c r="K6522" s="4"/>
      <c r="AC6522" s="7">
        <v>2022</v>
      </c>
      <c r="AD6522" s="7">
        <v>9</v>
      </c>
      <c r="AE6522" s="7">
        <v>29</v>
      </c>
      <c r="AF6522" s="8">
        <v>0.66666666666666663</v>
      </c>
      <c r="AG6522" s="9">
        <v>14.7</v>
      </c>
      <c r="AH6522" s="10">
        <f t="shared" si="116"/>
        <v>15</v>
      </c>
    </row>
    <row r="6523" spans="11:34" ht="14.5" x14ac:dyDescent="0.35">
      <c r="K6523" s="4"/>
      <c r="AC6523" s="7">
        <v>2022</v>
      </c>
      <c r="AD6523" s="7">
        <v>9</v>
      </c>
      <c r="AE6523" s="7">
        <v>29</v>
      </c>
      <c r="AF6523" s="8">
        <v>0.70833333333333337</v>
      </c>
      <c r="AG6523" s="9">
        <v>14.7</v>
      </c>
      <c r="AH6523" s="10">
        <f t="shared" si="116"/>
        <v>15</v>
      </c>
    </row>
    <row r="6524" spans="11:34" ht="14.5" x14ac:dyDescent="0.35">
      <c r="K6524" s="4"/>
      <c r="AC6524" s="7">
        <v>2022</v>
      </c>
      <c r="AD6524" s="7">
        <v>9</v>
      </c>
      <c r="AE6524" s="7">
        <v>29</v>
      </c>
      <c r="AF6524" s="8">
        <v>0.75</v>
      </c>
      <c r="AG6524" s="9">
        <v>13.6</v>
      </c>
      <c r="AH6524" s="10">
        <f t="shared" si="116"/>
        <v>14</v>
      </c>
    </row>
    <row r="6525" spans="11:34" ht="14.5" x14ac:dyDescent="0.35">
      <c r="K6525" s="4"/>
      <c r="AC6525" s="7">
        <v>2022</v>
      </c>
      <c r="AD6525" s="7">
        <v>9</v>
      </c>
      <c r="AE6525" s="7">
        <v>29</v>
      </c>
      <c r="AF6525" s="8">
        <v>0.79166666666666663</v>
      </c>
      <c r="AG6525" s="9">
        <v>12.7</v>
      </c>
      <c r="AH6525" s="10">
        <f t="shared" si="116"/>
        <v>13</v>
      </c>
    </row>
    <row r="6526" spans="11:34" ht="14.5" x14ac:dyDescent="0.35">
      <c r="K6526" s="4"/>
      <c r="AC6526" s="7">
        <v>2022</v>
      </c>
      <c r="AD6526" s="7">
        <v>9</v>
      </c>
      <c r="AE6526" s="7">
        <v>29</v>
      </c>
      <c r="AF6526" s="8">
        <v>0.83333333333333337</v>
      </c>
      <c r="AG6526" s="9">
        <v>12.5</v>
      </c>
      <c r="AH6526" s="10">
        <f t="shared" si="116"/>
        <v>13</v>
      </c>
    </row>
    <row r="6527" spans="11:34" ht="14.5" x14ac:dyDescent="0.35">
      <c r="K6527" s="4"/>
      <c r="AC6527" s="7">
        <v>2022</v>
      </c>
      <c r="AD6527" s="7">
        <v>9</v>
      </c>
      <c r="AE6527" s="7">
        <v>29</v>
      </c>
      <c r="AF6527" s="8">
        <v>0.875</v>
      </c>
      <c r="AG6527" s="9">
        <v>12</v>
      </c>
      <c r="AH6527" s="10">
        <f t="shared" si="116"/>
        <v>12</v>
      </c>
    </row>
    <row r="6528" spans="11:34" ht="14.5" x14ac:dyDescent="0.35">
      <c r="K6528" s="4"/>
      <c r="AC6528" s="7">
        <v>2022</v>
      </c>
      <c r="AD6528" s="7">
        <v>9</v>
      </c>
      <c r="AE6528" s="7">
        <v>29</v>
      </c>
      <c r="AF6528" s="8">
        <v>0.91666666666666663</v>
      </c>
      <c r="AG6528" s="9">
        <v>12.4</v>
      </c>
      <c r="AH6528" s="10">
        <f t="shared" si="116"/>
        <v>12</v>
      </c>
    </row>
    <row r="6529" spans="11:34" ht="14.5" x14ac:dyDescent="0.35">
      <c r="K6529" s="4"/>
      <c r="AC6529" s="7">
        <v>2022</v>
      </c>
      <c r="AD6529" s="7">
        <v>9</v>
      </c>
      <c r="AE6529" s="7">
        <v>29</v>
      </c>
      <c r="AF6529" s="8">
        <v>0.95833333333333337</v>
      </c>
      <c r="AG6529" s="9">
        <v>12.2</v>
      </c>
      <c r="AH6529" s="10">
        <f t="shared" si="116"/>
        <v>12</v>
      </c>
    </row>
    <row r="6530" spans="11:34" ht="14.5" x14ac:dyDescent="0.35">
      <c r="K6530" s="4"/>
      <c r="AC6530" s="7">
        <v>2022</v>
      </c>
      <c r="AD6530" s="7">
        <v>9</v>
      </c>
      <c r="AE6530" s="7">
        <v>30</v>
      </c>
      <c r="AF6530" s="8">
        <v>0</v>
      </c>
      <c r="AG6530" s="9">
        <v>12.1</v>
      </c>
      <c r="AH6530" s="10">
        <f t="shared" si="116"/>
        <v>12</v>
      </c>
    </row>
    <row r="6531" spans="11:34" ht="14.5" x14ac:dyDescent="0.35">
      <c r="K6531" s="4"/>
      <c r="AC6531" s="7">
        <v>2022</v>
      </c>
      <c r="AD6531" s="7">
        <v>9</v>
      </c>
      <c r="AE6531" s="7">
        <v>30</v>
      </c>
      <c r="AF6531" s="8">
        <v>4.1666666666666664E-2</v>
      </c>
      <c r="AG6531" s="9">
        <v>12.1</v>
      </c>
      <c r="AH6531" s="10">
        <f t="shared" si="116"/>
        <v>12</v>
      </c>
    </row>
    <row r="6532" spans="11:34" ht="14.5" x14ac:dyDescent="0.35">
      <c r="K6532" s="4"/>
      <c r="AC6532" s="7">
        <v>2022</v>
      </c>
      <c r="AD6532" s="7">
        <v>9</v>
      </c>
      <c r="AE6532" s="7">
        <v>30</v>
      </c>
      <c r="AF6532" s="8">
        <v>8.3333333333333329E-2</v>
      </c>
      <c r="AG6532" s="9">
        <v>11.4</v>
      </c>
      <c r="AH6532" s="10">
        <f t="shared" si="116"/>
        <v>11</v>
      </c>
    </row>
    <row r="6533" spans="11:34" ht="14.5" x14ac:dyDescent="0.35">
      <c r="K6533" s="4"/>
      <c r="AC6533" s="7">
        <v>2022</v>
      </c>
      <c r="AD6533" s="7">
        <v>9</v>
      </c>
      <c r="AE6533" s="7">
        <v>30</v>
      </c>
      <c r="AF6533" s="8">
        <v>0.125</v>
      </c>
      <c r="AG6533" s="9">
        <v>11.3</v>
      </c>
      <c r="AH6533" s="10">
        <f t="shared" si="116"/>
        <v>11</v>
      </c>
    </row>
    <row r="6534" spans="11:34" ht="14.5" x14ac:dyDescent="0.35">
      <c r="K6534" s="4"/>
      <c r="AC6534" s="7">
        <v>2022</v>
      </c>
      <c r="AD6534" s="7">
        <v>9</v>
      </c>
      <c r="AE6534" s="7">
        <v>30</v>
      </c>
      <c r="AF6534" s="8">
        <v>0.16666666666666666</v>
      </c>
      <c r="AG6534" s="9">
        <v>11.4</v>
      </c>
      <c r="AH6534" s="10">
        <f t="shared" si="116"/>
        <v>11</v>
      </c>
    </row>
    <row r="6535" spans="11:34" ht="14.5" x14ac:dyDescent="0.35">
      <c r="K6535" s="4"/>
      <c r="AC6535" s="7">
        <v>2022</v>
      </c>
      <c r="AD6535" s="7">
        <v>9</v>
      </c>
      <c r="AE6535" s="7">
        <v>30</v>
      </c>
      <c r="AF6535" s="8">
        <v>0.20833333333333334</v>
      </c>
      <c r="AG6535" s="9">
        <v>11.7</v>
      </c>
      <c r="AH6535" s="10">
        <f t="shared" si="116"/>
        <v>12</v>
      </c>
    </row>
    <row r="6536" spans="11:34" ht="14.5" x14ac:dyDescent="0.35">
      <c r="K6536" s="4"/>
      <c r="AC6536" s="7">
        <v>2022</v>
      </c>
      <c r="AD6536" s="7">
        <v>9</v>
      </c>
      <c r="AE6536" s="7">
        <v>30</v>
      </c>
      <c r="AF6536" s="8">
        <v>0.25</v>
      </c>
      <c r="AG6536" s="9">
        <v>11.9</v>
      </c>
      <c r="AH6536" s="10">
        <f t="shared" si="116"/>
        <v>12</v>
      </c>
    </row>
    <row r="6537" spans="11:34" ht="14.5" x14ac:dyDescent="0.35">
      <c r="K6537" s="4"/>
      <c r="AC6537" s="7">
        <v>2022</v>
      </c>
      <c r="AD6537" s="7">
        <v>9</v>
      </c>
      <c r="AE6537" s="7">
        <v>30</v>
      </c>
      <c r="AF6537" s="8">
        <v>0.29166666666666669</v>
      </c>
      <c r="AG6537" s="9">
        <v>11.6</v>
      </c>
      <c r="AH6537" s="10">
        <f t="shared" si="116"/>
        <v>12</v>
      </c>
    </row>
    <row r="6538" spans="11:34" ht="14.5" x14ac:dyDescent="0.35">
      <c r="K6538" s="4"/>
      <c r="AC6538" s="7">
        <v>2022</v>
      </c>
      <c r="AD6538" s="7">
        <v>9</v>
      </c>
      <c r="AE6538" s="7">
        <v>30</v>
      </c>
      <c r="AF6538" s="8">
        <v>0.33333333333333331</v>
      </c>
      <c r="AG6538" s="9">
        <v>11.7</v>
      </c>
      <c r="AH6538" s="10">
        <f t="shared" si="116"/>
        <v>12</v>
      </c>
    </row>
    <row r="6539" spans="11:34" ht="14.5" x14ac:dyDescent="0.35">
      <c r="K6539" s="4"/>
      <c r="AC6539" s="7">
        <v>2022</v>
      </c>
      <c r="AD6539" s="7">
        <v>9</v>
      </c>
      <c r="AE6539" s="7">
        <v>30</v>
      </c>
      <c r="AF6539" s="8">
        <v>0.375</v>
      </c>
      <c r="AG6539" s="9">
        <v>12.3</v>
      </c>
      <c r="AH6539" s="10">
        <f t="shared" ref="AH6539:AH6602" si="117">ROUND(AG6539,0)</f>
        <v>12</v>
      </c>
    </row>
    <row r="6540" spans="11:34" ht="14.5" x14ac:dyDescent="0.35">
      <c r="K6540" s="4"/>
      <c r="AC6540" s="7">
        <v>2022</v>
      </c>
      <c r="AD6540" s="7">
        <v>9</v>
      </c>
      <c r="AE6540" s="7">
        <v>30</v>
      </c>
      <c r="AF6540" s="8">
        <v>0.41666666666666669</v>
      </c>
      <c r="AG6540" s="9">
        <v>12.9</v>
      </c>
      <c r="AH6540" s="10">
        <f t="shared" si="117"/>
        <v>13</v>
      </c>
    </row>
    <row r="6541" spans="11:34" ht="14.5" x14ac:dyDescent="0.35">
      <c r="K6541" s="4"/>
      <c r="AC6541" s="7">
        <v>2022</v>
      </c>
      <c r="AD6541" s="7">
        <v>9</v>
      </c>
      <c r="AE6541" s="7">
        <v>30</v>
      </c>
      <c r="AF6541" s="8">
        <v>0.45833333333333331</v>
      </c>
      <c r="AG6541" s="9">
        <v>14.2</v>
      </c>
      <c r="AH6541" s="10">
        <f t="shared" si="117"/>
        <v>14</v>
      </c>
    </row>
    <row r="6542" spans="11:34" ht="14.5" x14ac:dyDescent="0.35">
      <c r="K6542" s="4"/>
      <c r="AC6542" s="7">
        <v>2022</v>
      </c>
      <c r="AD6542" s="7">
        <v>9</v>
      </c>
      <c r="AE6542" s="7">
        <v>30</v>
      </c>
      <c r="AF6542" s="8">
        <v>0.5</v>
      </c>
      <c r="AG6542" s="9">
        <v>15</v>
      </c>
      <c r="AH6542" s="10">
        <f t="shared" si="117"/>
        <v>15</v>
      </c>
    </row>
    <row r="6543" spans="11:34" ht="14.5" x14ac:dyDescent="0.35">
      <c r="K6543" s="4"/>
      <c r="AC6543" s="7">
        <v>2022</v>
      </c>
      <c r="AD6543" s="7">
        <v>9</v>
      </c>
      <c r="AE6543" s="7">
        <v>30</v>
      </c>
      <c r="AF6543" s="8">
        <v>0.54166666666666663</v>
      </c>
      <c r="AG6543" s="9">
        <v>15.1</v>
      </c>
      <c r="AH6543" s="10">
        <f t="shared" si="117"/>
        <v>15</v>
      </c>
    </row>
    <row r="6544" spans="11:34" ht="14.5" x14ac:dyDescent="0.35">
      <c r="K6544" s="4"/>
      <c r="AC6544" s="7">
        <v>2022</v>
      </c>
      <c r="AD6544" s="7">
        <v>9</v>
      </c>
      <c r="AE6544" s="7">
        <v>30</v>
      </c>
      <c r="AF6544" s="8">
        <v>0.58333333333333337</v>
      </c>
      <c r="AG6544" s="9">
        <v>14.4</v>
      </c>
      <c r="AH6544" s="10">
        <f t="shared" si="117"/>
        <v>14</v>
      </c>
    </row>
    <row r="6545" spans="11:34" ht="14.5" x14ac:dyDescent="0.35">
      <c r="K6545" s="4"/>
      <c r="AC6545" s="7">
        <v>2022</v>
      </c>
      <c r="AD6545" s="7">
        <v>9</v>
      </c>
      <c r="AE6545" s="7">
        <v>30</v>
      </c>
      <c r="AF6545" s="8">
        <v>0.625</v>
      </c>
      <c r="AG6545" s="9">
        <v>14.5</v>
      </c>
      <c r="AH6545" s="10">
        <f t="shared" si="117"/>
        <v>15</v>
      </c>
    </row>
    <row r="6546" spans="11:34" ht="14.5" x14ac:dyDescent="0.35">
      <c r="K6546" s="4"/>
      <c r="AC6546" s="7">
        <v>2022</v>
      </c>
      <c r="AD6546" s="7">
        <v>9</v>
      </c>
      <c r="AE6546" s="7">
        <v>30</v>
      </c>
      <c r="AF6546" s="8">
        <v>0.66666666666666663</v>
      </c>
      <c r="AG6546" s="9">
        <v>14.9</v>
      </c>
      <c r="AH6546" s="10">
        <f t="shared" si="117"/>
        <v>15</v>
      </c>
    </row>
    <row r="6547" spans="11:34" ht="14.5" x14ac:dyDescent="0.35">
      <c r="K6547" s="4"/>
      <c r="AC6547" s="7">
        <v>2022</v>
      </c>
      <c r="AD6547" s="7">
        <v>9</v>
      </c>
      <c r="AE6547" s="7">
        <v>30</v>
      </c>
      <c r="AF6547" s="8">
        <v>0.70833333333333337</v>
      </c>
      <c r="AG6547" s="9">
        <v>14.2</v>
      </c>
      <c r="AH6547" s="10">
        <f t="shared" si="117"/>
        <v>14</v>
      </c>
    </row>
    <row r="6548" spans="11:34" ht="14.5" x14ac:dyDescent="0.35">
      <c r="K6548" s="4"/>
      <c r="AC6548" s="7">
        <v>2022</v>
      </c>
      <c r="AD6548" s="7">
        <v>9</v>
      </c>
      <c r="AE6548" s="7">
        <v>30</v>
      </c>
      <c r="AF6548" s="8">
        <v>0.75</v>
      </c>
      <c r="AG6548" s="9">
        <v>13.9</v>
      </c>
      <c r="AH6548" s="10">
        <f t="shared" si="117"/>
        <v>14</v>
      </c>
    </row>
    <row r="6549" spans="11:34" ht="14.5" x14ac:dyDescent="0.35">
      <c r="K6549" s="4"/>
      <c r="AC6549" s="7">
        <v>2022</v>
      </c>
      <c r="AD6549" s="7">
        <v>9</v>
      </c>
      <c r="AE6549" s="7">
        <v>30</v>
      </c>
      <c r="AF6549" s="8">
        <v>0.79166666666666663</v>
      </c>
      <c r="AG6549" s="9">
        <v>11.9</v>
      </c>
      <c r="AH6549" s="10">
        <f t="shared" si="117"/>
        <v>12</v>
      </c>
    </row>
    <row r="6550" spans="11:34" ht="14.5" x14ac:dyDescent="0.35">
      <c r="K6550" s="4"/>
      <c r="AC6550" s="7">
        <v>2022</v>
      </c>
      <c r="AD6550" s="7">
        <v>9</v>
      </c>
      <c r="AE6550" s="7">
        <v>30</v>
      </c>
      <c r="AF6550" s="8">
        <v>0.83333333333333337</v>
      </c>
      <c r="AG6550" s="9">
        <v>11.8</v>
      </c>
      <c r="AH6550" s="10">
        <f t="shared" si="117"/>
        <v>12</v>
      </c>
    </row>
    <row r="6551" spans="11:34" ht="14.5" x14ac:dyDescent="0.35">
      <c r="K6551" s="4"/>
      <c r="AC6551" s="7">
        <v>2022</v>
      </c>
      <c r="AD6551" s="7">
        <v>9</v>
      </c>
      <c r="AE6551" s="7">
        <v>30</v>
      </c>
      <c r="AF6551" s="8">
        <v>0.875</v>
      </c>
      <c r="AG6551" s="9">
        <v>10.9</v>
      </c>
      <c r="AH6551" s="10">
        <f t="shared" si="117"/>
        <v>11</v>
      </c>
    </row>
    <row r="6552" spans="11:34" ht="14.5" x14ac:dyDescent="0.35">
      <c r="K6552" s="4"/>
      <c r="AC6552" s="7">
        <v>2022</v>
      </c>
      <c r="AD6552" s="7">
        <v>9</v>
      </c>
      <c r="AE6552" s="7">
        <v>30</v>
      </c>
      <c r="AF6552" s="8">
        <v>0.91666666666666663</v>
      </c>
      <c r="AG6552" s="9">
        <v>8.6999999999999993</v>
      </c>
      <c r="AH6552" s="10">
        <f t="shared" si="117"/>
        <v>9</v>
      </c>
    </row>
    <row r="6553" spans="11:34" ht="14.5" x14ac:dyDescent="0.35">
      <c r="K6553" s="4"/>
      <c r="AC6553" s="7">
        <v>2022</v>
      </c>
      <c r="AD6553" s="7">
        <v>9</v>
      </c>
      <c r="AE6553" s="7">
        <v>30</v>
      </c>
      <c r="AF6553" s="8">
        <v>0.95833333333333337</v>
      </c>
      <c r="AG6553" s="9">
        <v>8.6999999999999993</v>
      </c>
      <c r="AH6553" s="10">
        <f t="shared" si="117"/>
        <v>9</v>
      </c>
    </row>
    <row r="6554" spans="11:34" ht="14.5" x14ac:dyDescent="0.35">
      <c r="K6554" s="4"/>
      <c r="AC6554" s="7">
        <v>2022</v>
      </c>
      <c r="AD6554" s="7">
        <v>10</v>
      </c>
      <c r="AE6554" s="7">
        <v>1</v>
      </c>
      <c r="AF6554" s="8">
        <v>0</v>
      </c>
      <c r="AG6554" s="9">
        <v>8</v>
      </c>
      <c r="AH6554" s="10">
        <f t="shared" si="117"/>
        <v>8</v>
      </c>
    </row>
    <row r="6555" spans="11:34" ht="14.5" x14ac:dyDescent="0.35">
      <c r="K6555" s="4"/>
      <c r="AC6555" s="7">
        <v>2022</v>
      </c>
      <c r="AD6555" s="7">
        <v>10</v>
      </c>
      <c r="AE6555" s="7">
        <v>1</v>
      </c>
      <c r="AF6555" s="8">
        <v>4.1666666666666664E-2</v>
      </c>
      <c r="AG6555" s="9">
        <v>7.4</v>
      </c>
      <c r="AH6555" s="10">
        <f t="shared" si="117"/>
        <v>7</v>
      </c>
    </row>
    <row r="6556" spans="11:34" ht="14.5" x14ac:dyDescent="0.35">
      <c r="K6556" s="4"/>
      <c r="AC6556" s="7">
        <v>2022</v>
      </c>
      <c r="AD6556" s="7">
        <v>10</v>
      </c>
      <c r="AE6556" s="7">
        <v>1</v>
      </c>
      <c r="AF6556" s="8">
        <v>8.3333333333333329E-2</v>
      </c>
      <c r="AG6556" s="9">
        <v>6.8</v>
      </c>
      <c r="AH6556" s="10">
        <f t="shared" si="117"/>
        <v>7</v>
      </c>
    </row>
    <row r="6557" spans="11:34" ht="14.5" x14ac:dyDescent="0.35">
      <c r="K6557" s="4"/>
      <c r="AC6557" s="7">
        <v>2022</v>
      </c>
      <c r="AD6557" s="7">
        <v>10</v>
      </c>
      <c r="AE6557" s="7">
        <v>1</v>
      </c>
      <c r="AF6557" s="8">
        <v>0.125</v>
      </c>
      <c r="AG6557" s="9">
        <v>6</v>
      </c>
      <c r="AH6557" s="10">
        <f t="shared" si="117"/>
        <v>6</v>
      </c>
    </row>
    <row r="6558" spans="11:34" ht="14.5" x14ac:dyDescent="0.35">
      <c r="K6558" s="4"/>
      <c r="AC6558" s="7">
        <v>2022</v>
      </c>
      <c r="AD6558" s="7">
        <v>10</v>
      </c>
      <c r="AE6558" s="7">
        <v>1</v>
      </c>
      <c r="AF6558" s="8">
        <v>0.16666666666666666</v>
      </c>
      <c r="AG6558" s="9">
        <v>5.9</v>
      </c>
      <c r="AH6558" s="10">
        <f t="shared" si="117"/>
        <v>6</v>
      </c>
    </row>
    <row r="6559" spans="11:34" ht="14.5" x14ac:dyDescent="0.35">
      <c r="K6559" s="4"/>
      <c r="AC6559" s="7">
        <v>2022</v>
      </c>
      <c r="AD6559" s="7">
        <v>10</v>
      </c>
      <c r="AE6559" s="7">
        <v>1</v>
      </c>
      <c r="AF6559" s="8">
        <v>0.20833333333333334</v>
      </c>
      <c r="AG6559" s="9">
        <v>4.7</v>
      </c>
      <c r="AH6559" s="10">
        <f t="shared" si="117"/>
        <v>5</v>
      </c>
    </row>
    <row r="6560" spans="11:34" ht="14.5" x14ac:dyDescent="0.35">
      <c r="K6560" s="4"/>
      <c r="AC6560" s="7">
        <v>2022</v>
      </c>
      <c r="AD6560" s="7">
        <v>10</v>
      </c>
      <c r="AE6560" s="7">
        <v>1</v>
      </c>
      <c r="AF6560" s="8">
        <v>0.25</v>
      </c>
      <c r="AG6560" s="9">
        <v>4.5999999999999996</v>
      </c>
      <c r="AH6560" s="10">
        <f t="shared" si="117"/>
        <v>5</v>
      </c>
    </row>
    <row r="6561" spans="11:34" ht="14.5" x14ac:dyDescent="0.35">
      <c r="K6561" s="4"/>
      <c r="AC6561" s="7">
        <v>2022</v>
      </c>
      <c r="AD6561" s="7">
        <v>10</v>
      </c>
      <c r="AE6561" s="7">
        <v>1</v>
      </c>
      <c r="AF6561" s="8">
        <v>0.29166666666666669</v>
      </c>
      <c r="AG6561" s="9">
        <v>3.9</v>
      </c>
      <c r="AH6561" s="10">
        <f t="shared" si="117"/>
        <v>4</v>
      </c>
    </row>
    <row r="6562" spans="11:34" ht="14.5" x14ac:dyDescent="0.35">
      <c r="K6562" s="4"/>
      <c r="AC6562" s="7">
        <v>2022</v>
      </c>
      <c r="AD6562" s="7">
        <v>10</v>
      </c>
      <c r="AE6562" s="7">
        <v>1</v>
      </c>
      <c r="AF6562" s="8">
        <v>0.33333333333333331</v>
      </c>
      <c r="AG6562" s="9">
        <v>7.3</v>
      </c>
      <c r="AH6562" s="10">
        <f t="shared" si="117"/>
        <v>7</v>
      </c>
    </row>
    <row r="6563" spans="11:34" ht="14.5" x14ac:dyDescent="0.35">
      <c r="K6563" s="4"/>
      <c r="AC6563" s="7">
        <v>2022</v>
      </c>
      <c r="AD6563" s="7">
        <v>10</v>
      </c>
      <c r="AE6563" s="7">
        <v>1</v>
      </c>
      <c r="AF6563" s="8">
        <v>0.375</v>
      </c>
      <c r="AG6563" s="9">
        <v>10.8</v>
      </c>
      <c r="AH6563" s="10">
        <f t="shared" si="117"/>
        <v>11</v>
      </c>
    </row>
    <row r="6564" spans="11:34" ht="14.5" x14ac:dyDescent="0.35">
      <c r="K6564" s="4"/>
      <c r="AC6564" s="7">
        <v>2022</v>
      </c>
      <c r="AD6564" s="7">
        <v>10</v>
      </c>
      <c r="AE6564" s="7">
        <v>1</v>
      </c>
      <c r="AF6564" s="8">
        <v>0.41666666666666669</v>
      </c>
      <c r="AG6564" s="9">
        <v>13.6</v>
      </c>
      <c r="AH6564" s="10">
        <f t="shared" si="117"/>
        <v>14</v>
      </c>
    </row>
    <row r="6565" spans="11:34" ht="14.5" x14ac:dyDescent="0.35">
      <c r="K6565" s="4"/>
      <c r="AC6565" s="7">
        <v>2022</v>
      </c>
      <c r="AD6565" s="7">
        <v>10</v>
      </c>
      <c r="AE6565" s="7">
        <v>1</v>
      </c>
      <c r="AF6565" s="8">
        <v>0.45833333333333331</v>
      </c>
      <c r="AG6565" s="9">
        <v>16.100000000000001</v>
      </c>
      <c r="AH6565" s="10">
        <f t="shared" si="117"/>
        <v>16</v>
      </c>
    </row>
    <row r="6566" spans="11:34" ht="14.5" x14ac:dyDescent="0.35">
      <c r="K6566" s="4"/>
      <c r="AC6566" s="7">
        <v>2022</v>
      </c>
      <c r="AD6566" s="7">
        <v>10</v>
      </c>
      <c r="AE6566" s="7">
        <v>1</v>
      </c>
      <c r="AF6566" s="8">
        <v>0.5</v>
      </c>
      <c r="AG6566" s="9">
        <v>17.899999999999999</v>
      </c>
      <c r="AH6566" s="10">
        <f t="shared" si="117"/>
        <v>18</v>
      </c>
    </row>
    <row r="6567" spans="11:34" ht="14.5" x14ac:dyDescent="0.35">
      <c r="K6567" s="4"/>
      <c r="AC6567" s="7">
        <v>2022</v>
      </c>
      <c r="AD6567" s="7">
        <v>10</v>
      </c>
      <c r="AE6567" s="7">
        <v>1</v>
      </c>
      <c r="AF6567" s="8">
        <v>0.54166666666666663</v>
      </c>
      <c r="AG6567" s="9">
        <v>19.399999999999999</v>
      </c>
      <c r="AH6567" s="10">
        <f t="shared" si="117"/>
        <v>19</v>
      </c>
    </row>
    <row r="6568" spans="11:34" ht="14.5" x14ac:dyDescent="0.35">
      <c r="K6568" s="4"/>
      <c r="AC6568" s="7">
        <v>2022</v>
      </c>
      <c r="AD6568" s="7">
        <v>10</v>
      </c>
      <c r="AE6568" s="7">
        <v>1</v>
      </c>
      <c r="AF6568" s="8">
        <v>0.58333333333333337</v>
      </c>
      <c r="AG6568" s="9">
        <v>20.7</v>
      </c>
      <c r="AH6568" s="10">
        <f t="shared" si="117"/>
        <v>21</v>
      </c>
    </row>
    <row r="6569" spans="11:34" ht="14.5" x14ac:dyDescent="0.35">
      <c r="K6569" s="4"/>
      <c r="AC6569" s="7">
        <v>2022</v>
      </c>
      <c r="AD6569" s="7">
        <v>10</v>
      </c>
      <c r="AE6569" s="7">
        <v>1</v>
      </c>
      <c r="AF6569" s="8">
        <v>0.625</v>
      </c>
      <c r="AG6569" s="9">
        <v>21.4</v>
      </c>
      <c r="AH6569" s="10">
        <f t="shared" si="117"/>
        <v>21</v>
      </c>
    </row>
    <row r="6570" spans="11:34" ht="14.5" x14ac:dyDescent="0.35">
      <c r="K6570" s="4"/>
      <c r="AC6570" s="7">
        <v>2022</v>
      </c>
      <c r="AD6570" s="7">
        <v>10</v>
      </c>
      <c r="AE6570" s="7">
        <v>1</v>
      </c>
      <c r="AF6570" s="8">
        <v>0.66666666666666663</v>
      </c>
      <c r="AG6570" s="9">
        <v>21.3</v>
      </c>
      <c r="AH6570" s="10">
        <f t="shared" si="117"/>
        <v>21</v>
      </c>
    </row>
    <row r="6571" spans="11:34" ht="14.5" x14ac:dyDescent="0.35">
      <c r="K6571" s="4"/>
      <c r="AC6571" s="7">
        <v>2022</v>
      </c>
      <c r="AD6571" s="7">
        <v>10</v>
      </c>
      <c r="AE6571" s="7">
        <v>1</v>
      </c>
      <c r="AF6571" s="8">
        <v>0.70833333333333337</v>
      </c>
      <c r="AG6571" s="9">
        <v>20.100000000000001</v>
      </c>
      <c r="AH6571" s="10">
        <f t="shared" si="117"/>
        <v>20</v>
      </c>
    </row>
    <row r="6572" spans="11:34" ht="14.5" x14ac:dyDescent="0.35">
      <c r="K6572" s="4"/>
      <c r="AC6572" s="7">
        <v>2022</v>
      </c>
      <c r="AD6572" s="7">
        <v>10</v>
      </c>
      <c r="AE6572" s="7">
        <v>1</v>
      </c>
      <c r="AF6572" s="8">
        <v>0.75</v>
      </c>
      <c r="AG6572" s="9">
        <v>17.899999999999999</v>
      </c>
      <c r="AH6572" s="10">
        <f t="shared" si="117"/>
        <v>18</v>
      </c>
    </row>
    <row r="6573" spans="11:34" ht="14.5" x14ac:dyDescent="0.35">
      <c r="K6573" s="4"/>
      <c r="AC6573" s="7">
        <v>2022</v>
      </c>
      <c r="AD6573" s="7">
        <v>10</v>
      </c>
      <c r="AE6573" s="7">
        <v>1</v>
      </c>
      <c r="AF6573" s="8">
        <v>0.79166666666666663</v>
      </c>
      <c r="AG6573" s="9">
        <v>15.1</v>
      </c>
      <c r="AH6573" s="10">
        <f t="shared" si="117"/>
        <v>15</v>
      </c>
    </row>
    <row r="6574" spans="11:34" ht="14.5" x14ac:dyDescent="0.35">
      <c r="K6574" s="4"/>
      <c r="AC6574" s="7">
        <v>2022</v>
      </c>
      <c r="AD6574" s="7">
        <v>10</v>
      </c>
      <c r="AE6574" s="7">
        <v>1</v>
      </c>
      <c r="AF6574" s="8">
        <v>0.83333333333333337</v>
      </c>
      <c r="AG6574" s="9">
        <v>14</v>
      </c>
      <c r="AH6574" s="10">
        <f t="shared" si="117"/>
        <v>14</v>
      </c>
    </row>
    <row r="6575" spans="11:34" ht="14.5" x14ac:dyDescent="0.35">
      <c r="K6575" s="4"/>
      <c r="AC6575" s="7">
        <v>2022</v>
      </c>
      <c r="AD6575" s="7">
        <v>10</v>
      </c>
      <c r="AE6575" s="7">
        <v>1</v>
      </c>
      <c r="AF6575" s="8">
        <v>0.875</v>
      </c>
      <c r="AG6575" s="9">
        <v>12.7</v>
      </c>
      <c r="AH6575" s="10">
        <f t="shared" si="117"/>
        <v>13</v>
      </c>
    </row>
    <row r="6576" spans="11:34" ht="14.5" x14ac:dyDescent="0.35">
      <c r="K6576" s="4"/>
      <c r="AC6576" s="7">
        <v>2022</v>
      </c>
      <c r="AD6576" s="7">
        <v>10</v>
      </c>
      <c r="AE6576" s="7">
        <v>1</v>
      </c>
      <c r="AF6576" s="8">
        <v>0.91666666666666663</v>
      </c>
      <c r="AG6576" s="9">
        <v>11.6</v>
      </c>
      <c r="AH6576" s="10">
        <f t="shared" si="117"/>
        <v>12</v>
      </c>
    </row>
    <row r="6577" spans="11:34" ht="14.5" x14ac:dyDescent="0.35">
      <c r="K6577" s="4"/>
      <c r="AC6577" s="7">
        <v>2022</v>
      </c>
      <c r="AD6577" s="7">
        <v>10</v>
      </c>
      <c r="AE6577" s="7">
        <v>1</v>
      </c>
      <c r="AF6577" s="8">
        <v>0.95833333333333337</v>
      </c>
      <c r="AG6577" s="9">
        <v>11.4</v>
      </c>
      <c r="AH6577" s="10">
        <f t="shared" si="117"/>
        <v>11</v>
      </c>
    </row>
    <row r="6578" spans="11:34" ht="14.5" x14ac:dyDescent="0.35">
      <c r="K6578" s="4"/>
      <c r="AC6578" s="7">
        <v>2022</v>
      </c>
      <c r="AD6578" s="7">
        <v>10</v>
      </c>
      <c r="AE6578" s="7">
        <v>2</v>
      </c>
      <c r="AF6578" s="8">
        <v>0</v>
      </c>
      <c r="AG6578" s="9">
        <v>11</v>
      </c>
      <c r="AH6578" s="10">
        <f t="shared" si="117"/>
        <v>11</v>
      </c>
    </row>
    <row r="6579" spans="11:34" ht="14.5" x14ac:dyDescent="0.35">
      <c r="K6579" s="4"/>
      <c r="AC6579" s="7">
        <v>2022</v>
      </c>
      <c r="AD6579" s="7">
        <v>10</v>
      </c>
      <c r="AE6579" s="7">
        <v>2</v>
      </c>
      <c r="AF6579" s="8">
        <v>4.1666666666666664E-2</v>
      </c>
      <c r="AG6579" s="9">
        <v>10.4</v>
      </c>
      <c r="AH6579" s="10">
        <f t="shared" si="117"/>
        <v>10</v>
      </c>
    </row>
    <row r="6580" spans="11:34" ht="14.5" x14ac:dyDescent="0.35">
      <c r="K6580" s="4"/>
      <c r="AC6580" s="7">
        <v>2022</v>
      </c>
      <c r="AD6580" s="7">
        <v>10</v>
      </c>
      <c r="AE6580" s="7">
        <v>2</v>
      </c>
      <c r="AF6580" s="8">
        <v>8.3333333333333329E-2</v>
      </c>
      <c r="AG6580" s="9">
        <v>8.4</v>
      </c>
      <c r="AH6580" s="10">
        <f t="shared" si="117"/>
        <v>8</v>
      </c>
    </row>
    <row r="6581" spans="11:34" ht="14.5" x14ac:dyDescent="0.35">
      <c r="K6581" s="4"/>
      <c r="AC6581" s="7">
        <v>2022</v>
      </c>
      <c r="AD6581" s="7">
        <v>10</v>
      </c>
      <c r="AE6581" s="7">
        <v>2</v>
      </c>
      <c r="AF6581" s="8">
        <v>0.125</v>
      </c>
      <c r="AG6581" s="9">
        <v>7.4</v>
      </c>
      <c r="AH6581" s="10">
        <f t="shared" si="117"/>
        <v>7</v>
      </c>
    </row>
    <row r="6582" spans="11:34" ht="14.5" x14ac:dyDescent="0.35">
      <c r="K6582" s="4"/>
      <c r="AC6582" s="7">
        <v>2022</v>
      </c>
      <c r="AD6582" s="7">
        <v>10</v>
      </c>
      <c r="AE6582" s="7">
        <v>2</v>
      </c>
      <c r="AF6582" s="8">
        <v>0.16666666666666666</v>
      </c>
      <c r="AG6582" s="9">
        <v>7</v>
      </c>
      <c r="AH6582" s="10">
        <f t="shared" si="117"/>
        <v>7</v>
      </c>
    </row>
    <row r="6583" spans="11:34" ht="14.5" x14ac:dyDescent="0.35">
      <c r="K6583" s="4"/>
      <c r="AC6583" s="7">
        <v>2022</v>
      </c>
      <c r="AD6583" s="7">
        <v>10</v>
      </c>
      <c r="AE6583" s="7">
        <v>2</v>
      </c>
      <c r="AF6583" s="8">
        <v>0.20833333333333334</v>
      </c>
      <c r="AG6583" s="9">
        <v>5.3</v>
      </c>
      <c r="AH6583" s="10">
        <f t="shared" si="117"/>
        <v>5</v>
      </c>
    </row>
    <row r="6584" spans="11:34" ht="14.5" x14ac:dyDescent="0.35">
      <c r="K6584" s="4"/>
      <c r="AC6584" s="7">
        <v>2022</v>
      </c>
      <c r="AD6584" s="7">
        <v>10</v>
      </c>
      <c r="AE6584" s="7">
        <v>2</v>
      </c>
      <c r="AF6584" s="8">
        <v>0.25</v>
      </c>
      <c r="AG6584" s="9">
        <v>4.7</v>
      </c>
      <c r="AH6584" s="10">
        <f t="shared" si="117"/>
        <v>5</v>
      </c>
    </row>
    <row r="6585" spans="11:34" ht="14.5" x14ac:dyDescent="0.35">
      <c r="K6585" s="4"/>
      <c r="AC6585" s="7">
        <v>2022</v>
      </c>
      <c r="AD6585" s="7">
        <v>10</v>
      </c>
      <c r="AE6585" s="7">
        <v>2</v>
      </c>
      <c r="AF6585" s="8">
        <v>0.29166666666666669</v>
      </c>
      <c r="AG6585" s="9">
        <v>3.9</v>
      </c>
      <c r="AH6585" s="10">
        <f t="shared" si="117"/>
        <v>4</v>
      </c>
    </row>
    <row r="6586" spans="11:34" ht="14.5" x14ac:dyDescent="0.35">
      <c r="K6586" s="4"/>
      <c r="AC6586" s="7">
        <v>2022</v>
      </c>
      <c r="AD6586" s="7">
        <v>10</v>
      </c>
      <c r="AE6586" s="7">
        <v>2</v>
      </c>
      <c r="AF6586" s="8">
        <v>0.33333333333333331</v>
      </c>
      <c r="AG6586" s="9">
        <v>7.2</v>
      </c>
      <c r="AH6586" s="10">
        <f t="shared" si="117"/>
        <v>7</v>
      </c>
    </row>
    <row r="6587" spans="11:34" ht="14.5" x14ac:dyDescent="0.35">
      <c r="K6587" s="4"/>
      <c r="AC6587" s="7">
        <v>2022</v>
      </c>
      <c r="AD6587" s="7">
        <v>10</v>
      </c>
      <c r="AE6587" s="7">
        <v>2</v>
      </c>
      <c r="AF6587" s="8">
        <v>0.375</v>
      </c>
      <c r="AG6587" s="9">
        <v>11.2</v>
      </c>
      <c r="AH6587" s="10">
        <f t="shared" si="117"/>
        <v>11</v>
      </c>
    </row>
    <row r="6588" spans="11:34" ht="14.5" x14ac:dyDescent="0.35">
      <c r="K6588" s="4"/>
      <c r="AC6588" s="7">
        <v>2022</v>
      </c>
      <c r="AD6588" s="7">
        <v>10</v>
      </c>
      <c r="AE6588" s="7">
        <v>2</v>
      </c>
      <c r="AF6588" s="8">
        <v>0.41666666666666669</v>
      </c>
      <c r="AG6588" s="9">
        <v>15.8</v>
      </c>
      <c r="AH6588" s="10">
        <f t="shared" si="117"/>
        <v>16</v>
      </c>
    </row>
    <row r="6589" spans="11:34" ht="14.5" x14ac:dyDescent="0.35">
      <c r="K6589" s="4"/>
      <c r="AC6589" s="7">
        <v>2022</v>
      </c>
      <c r="AD6589" s="7">
        <v>10</v>
      </c>
      <c r="AE6589" s="7">
        <v>2</v>
      </c>
      <c r="AF6589" s="8">
        <v>0.45833333333333331</v>
      </c>
      <c r="AG6589" s="9">
        <v>18.2</v>
      </c>
      <c r="AH6589" s="10">
        <f t="shared" si="117"/>
        <v>18</v>
      </c>
    </row>
    <row r="6590" spans="11:34" ht="14.5" x14ac:dyDescent="0.35">
      <c r="K6590" s="4"/>
      <c r="AC6590" s="7">
        <v>2022</v>
      </c>
      <c r="AD6590" s="7">
        <v>10</v>
      </c>
      <c r="AE6590" s="7">
        <v>2</v>
      </c>
      <c r="AF6590" s="8">
        <v>0.5</v>
      </c>
      <c r="AG6590" s="9">
        <v>20</v>
      </c>
      <c r="AH6590" s="10">
        <f t="shared" si="117"/>
        <v>20</v>
      </c>
    </row>
    <row r="6591" spans="11:34" ht="14.5" x14ac:dyDescent="0.35">
      <c r="K6591" s="4"/>
      <c r="AC6591" s="7">
        <v>2022</v>
      </c>
      <c r="AD6591" s="7">
        <v>10</v>
      </c>
      <c r="AE6591" s="7">
        <v>2</v>
      </c>
      <c r="AF6591" s="8">
        <v>0.54166666666666663</v>
      </c>
      <c r="AG6591" s="9">
        <v>21.3</v>
      </c>
      <c r="AH6591" s="10">
        <f t="shared" si="117"/>
        <v>21</v>
      </c>
    </row>
    <row r="6592" spans="11:34" ht="14.5" x14ac:dyDescent="0.35">
      <c r="K6592" s="4"/>
      <c r="AC6592" s="7">
        <v>2022</v>
      </c>
      <c r="AD6592" s="7">
        <v>10</v>
      </c>
      <c r="AE6592" s="7">
        <v>2</v>
      </c>
      <c r="AF6592" s="8">
        <v>0.58333333333333337</v>
      </c>
      <c r="AG6592" s="9">
        <v>22.2</v>
      </c>
      <c r="AH6592" s="10">
        <f t="shared" si="117"/>
        <v>22</v>
      </c>
    </row>
    <row r="6593" spans="11:34" ht="14.5" x14ac:dyDescent="0.35">
      <c r="K6593" s="4"/>
      <c r="AC6593" s="7">
        <v>2022</v>
      </c>
      <c r="AD6593" s="7">
        <v>10</v>
      </c>
      <c r="AE6593" s="7">
        <v>2</v>
      </c>
      <c r="AF6593" s="8">
        <v>0.625</v>
      </c>
      <c r="AG6593" s="9">
        <v>23.1</v>
      </c>
      <c r="AH6593" s="10">
        <f t="shared" si="117"/>
        <v>23</v>
      </c>
    </row>
    <row r="6594" spans="11:34" ht="14.5" x14ac:dyDescent="0.35">
      <c r="K6594" s="4"/>
      <c r="AC6594" s="7">
        <v>2022</v>
      </c>
      <c r="AD6594" s="7">
        <v>10</v>
      </c>
      <c r="AE6594" s="7">
        <v>2</v>
      </c>
      <c r="AF6594" s="8">
        <v>0.66666666666666663</v>
      </c>
      <c r="AG6594" s="9">
        <v>22.7</v>
      </c>
      <c r="AH6594" s="10">
        <f t="shared" si="117"/>
        <v>23</v>
      </c>
    </row>
    <row r="6595" spans="11:34" ht="14.5" x14ac:dyDescent="0.35">
      <c r="K6595" s="4"/>
      <c r="AC6595" s="7">
        <v>2022</v>
      </c>
      <c r="AD6595" s="7">
        <v>10</v>
      </c>
      <c r="AE6595" s="7">
        <v>2</v>
      </c>
      <c r="AF6595" s="8">
        <v>0.70833333333333337</v>
      </c>
      <c r="AG6595" s="9">
        <v>21.5</v>
      </c>
      <c r="AH6595" s="10">
        <f t="shared" si="117"/>
        <v>22</v>
      </c>
    </row>
    <row r="6596" spans="11:34" ht="14.5" x14ac:dyDescent="0.35">
      <c r="K6596" s="4"/>
      <c r="AC6596" s="7">
        <v>2022</v>
      </c>
      <c r="AD6596" s="7">
        <v>10</v>
      </c>
      <c r="AE6596" s="7">
        <v>2</v>
      </c>
      <c r="AF6596" s="8">
        <v>0.75</v>
      </c>
      <c r="AG6596" s="9">
        <v>18.600000000000001</v>
      </c>
      <c r="AH6596" s="10">
        <f t="shared" si="117"/>
        <v>19</v>
      </c>
    </row>
    <row r="6597" spans="11:34" ht="14.5" x14ac:dyDescent="0.35">
      <c r="K6597" s="4"/>
      <c r="AC6597" s="7">
        <v>2022</v>
      </c>
      <c r="AD6597" s="7">
        <v>10</v>
      </c>
      <c r="AE6597" s="7">
        <v>2</v>
      </c>
      <c r="AF6597" s="8">
        <v>0.79166666666666663</v>
      </c>
      <c r="AG6597" s="9">
        <v>15.5</v>
      </c>
      <c r="AH6597" s="10">
        <f t="shared" si="117"/>
        <v>16</v>
      </c>
    </row>
    <row r="6598" spans="11:34" ht="14.5" x14ac:dyDescent="0.35">
      <c r="K6598" s="4"/>
      <c r="AC6598" s="7">
        <v>2022</v>
      </c>
      <c r="AD6598" s="7">
        <v>10</v>
      </c>
      <c r="AE6598" s="7">
        <v>2</v>
      </c>
      <c r="AF6598" s="8">
        <v>0.83333333333333337</v>
      </c>
      <c r="AG6598" s="9">
        <v>12.4</v>
      </c>
      <c r="AH6598" s="10">
        <f t="shared" si="117"/>
        <v>12</v>
      </c>
    </row>
    <row r="6599" spans="11:34" ht="14.5" x14ac:dyDescent="0.35">
      <c r="K6599" s="4"/>
      <c r="AC6599" s="7">
        <v>2022</v>
      </c>
      <c r="AD6599" s="7">
        <v>10</v>
      </c>
      <c r="AE6599" s="7">
        <v>2</v>
      </c>
      <c r="AF6599" s="8">
        <v>0.875</v>
      </c>
      <c r="AG6599" s="9">
        <v>11</v>
      </c>
      <c r="AH6599" s="10">
        <f t="shared" si="117"/>
        <v>11</v>
      </c>
    </row>
    <row r="6600" spans="11:34" ht="14.5" x14ac:dyDescent="0.35">
      <c r="K6600" s="4"/>
      <c r="AC6600" s="7">
        <v>2022</v>
      </c>
      <c r="AD6600" s="7">
        <v>10</v>
      </c>
      <c r="AE6600" s="7">
        <v>2</v>
      </c>
      <c r="AF6600" s="8">
        <v>0.91666666666666663</v>
      </c>
      <c r="AG6600" s="9">
        <v>10.9</v>
      </c>
      <c r="AH6600" s="10">
        <f t="shared" si="117"/>
        <v>11</v>
      </c>
    </row>
    <row r="6601" spans="11:34" ht="14.5" x14ac:dyDescent="0.35">
      <c r="K6601" s="4"/>
      <c r="AC6601" s="7">
        <v>2022</v>
      </c>
      <c r="AD6601" s="7">
        <v>10</v>
      </c>
      <c r="AE6601" s="7">
        <v>2</v>
      </c>
      <c r="AF6601" s="8">
        <v>0.95833333333333337</v>
      </c>
      <c r="AG6601" s="9">
        <v>10.3</v>
      </c>
      <c r="AH6601" s="10">
        <f t="shared" si="117"/>
        <v>10</v>
      </c>
    </row>
    <row r="6602" spans="11:34" ht="14.5" x14ac:dyDescent="0.35">
      <c r="K6602" s="4"/>
      <c r="AC6602" s="7">
        <v>2022</v>
      </c>
      <c r="AD6602" s="7">
        <v>10</v>
      </c>
      <c r="AE6602" s="7">
        <v>3</v>
      </c>
      <c r="AF6602" s="8">
        <v>0</v>
      </c>
      <c r="AG6602" s="9">
        <v>8.6999999999999993</v>
      </c>
      <c r="AH6602" s="10">
        <f t="shared" si="117"/>
        <v>9</v>
      </c>
    </row>
    <row r="6603" spans="11:34" ht="14.5" x14ac:dyDescent="0.35">
      <c r="K6603" s="4"/>
      <c r="AC6603" s="7">
        <v>2022</v>
      </c>
      <c r="AD6603" s="7">
        <v>10</v>
      </c>
      <c r="AE6603" s="7">
        <v>3</v>
      </c>
      <c r="AF6603" s="8">
        <v>4.1666666666666664E-2</v>
      </c>
      <c r="AG6603" s="9">
        <v>8.6</v>
      </c>
      <c r="AH6603" s="10">
        <f t="shared" ref="AH6603:AH6666" si="118">ROUND(AG6603,0)</f>
        <v>9</v>
      </c>
    </row>
    <row r="6604" spans="11:34" ht="14.5" x14ac:dyDescent="0.35">
      <c r="K6604" s="4"/>
      <c r="AC6604" s="7">
        <v>2022</v>
      </c>
      <c r="AD6604" s="7">
        <v>10</v>
      </c>
      <c r="AE6604" s="7">
        <v>3</v>
      </c>
      <c r="AF6604" s="8">
        <v>8.3333333333333329E-2</v>
      </c>
      <c r="AG6604" s="9">
        <v>8.1999999999999993</v>
      </c>
      <c r="AH6604" s="10">
        <f t="shared" si="118"/>
        <v>8</v>
      </c>
    </row>
    <row r="6605" spans="11:34" ht="14.5" x14ac:dyDescent="0.35">
      <c r="K6605" s="4"/>
      <c r="AC6605" s="7">
        <v>2022</v>
      </c>
      <c r="AD6605" s="7">
        <v>10</v>
      </c>
      <c r="AE6605" s="7">
        <v>3</v>
      </c>
      <c r="AF6605" s="8">
        <v>0.125</v>
      </c>
      <c r="AG6605" s="9">
        <v>7</v>
      </c>
      <c r="AH6605" s="10">
        <f t="shared" si="118"/>
        <v>7</v>
      </c>
    </row>
    <row r="6606" spans="11:34" ht="14.5" x14ac:dyDescent="0.35">
      <c r="K6606" s="4"/>
      <c r="AC6606" s="7">
        <v>2022</v>
      </c>
      <c r="AD6606" s="7">
        <v>10</v>
      </c>
      <c r="AE6606" s="7">
        <v>3</v>
      </c>
      <c r="AF6606" s="8">
        <v>0.16666666666666666</v>
      </c>
      <c r="AG6606" s="9">
        <v>6.7</v>
      </c>
      <c r="AH6606" s="10">
        <f t="shared" si="118"/>
        <v>7</v>
      </c>
    </row>
    <row r="6607" spans="11:34" ht="14.5" x14ac:dyDescent="0.35">
      <c r="K6607" s="4"/>
      <c r="AC6607" s="7">
        <v>2022</v>
      </c>
      <c r="AD6607" s="7">
        <v>10</v>
      </c>
      <c r="AE6607" s="7">
        <v>3</v>
      </c>
      <c r="AF6607" s="8">
        <v>0.20833333333333334</v>
      </c>
      <c r="AG6607" s="9">
        <v>6.2</v>
      </c>
      <c r="AH6607" s="10">
        <f t="shared" si="118"/>
        <v>6</v>
      </c>
    </row>
    <row r="6608" spans="11:34" ht="14.5" x14ac:dyDescent="0.35">
      <c r="K6608" s="4"/>
      <c r="AC6608" s="7">
        <v>2022</v>
      </c>
      <c r="AD6608" s="7">
        <v>10</v>
      </c>
      <c r="AE6608" s="7">
        <v>3</v>
      </c>
      <c r="AF6608" s="8">
        <v>0.25</v>
      </c>
      <c r="AG6608" s="9">
        <v>6.9</v>
      </c>
      <c r="AH6608" s="10">
        <f t="shared" si="118"/>
        <v>7</v>
      </c>
    </row>
    <row r="6609" spans="11:34" ht="14.5" x14ac:dyDescent="0.35">
      <c r="K6609" s="4"/>
      <c r="AC6609" s="7">
        <v>2022</v>
      </c>
      <c r="AD6609" s="7">
        <v>10</v>
      </c>
      <c r="AE6609" s="7">
        <v>3</v>
      </c>
      <c r="AF6609" s="8">
        <v>0.29166666666666669</v>
      </c>
      <c r="AG6609" s="9">
        <v>7.1</v>
      </c>
      <c r="AH6609" s="10">
        <f t="shared" si="118"/>
        <v>7</v>
      </c>
    </row>
    <row r="6610" spans="11:34" ht="14.5" x14ac:dyDescent="0.35">
      <c r="K6610" s="4"/>
      <c r="AC6610" s="7">
        <v>2022</v>
      </c>
      <c r="AD6610" s="7">
        <v>10</v>
      </c>
      <c r="AE6610" s="7">
        <v>3</v>
      </c>
      <c r="AF6610" s="8">
        <v>0.33333333333333331</v>
      </c>
      <c r="AG6610" s="9">
        <v>9.5</v>
      </c>
      <c r="AH6610" s="10">
        <f t="shared" si="118"/>
        <v>10</v>
      </c>
    </row>
    <row r="6611" spans="11:34" ht="14.5" x14ac:dyDescent="0.35">
      <c r="K6611" s="4"/>
      <c r="AC6611" s="7">
        <v>2022</v>
      </c>
      <c r="AD6611" s="7">
        <v>10</v>
      </c>
      <c r="AE6611" s="7">
        <v>3</v>
      </c>
      <c r="AF6611" s="8">
        <v>0.375</v>
      </c>
      <c r="AG6611" s="9">
        <v>12.9</v>
      </c>
      <c r="AH6611" s="10">
        <f t="shared" si="118"/>
        <v>13</v>
      </c>
    </row>
    <row r="6612" spans="11:34" ht="14.5" x14ac:dyDescent="0.35">
      <c r="K6612" s="4"/>
      <c r="AC6612" s="7">
        <v>2022</v>
      </c>
      <c r="AD6612" s="7">
        <v>10</v>
      </c>
      <c r="AE6612" s="7">
        <v>3</v>
      </c>
      <c r="AF6612" s="8">
        <v>0.41666666666666669</v>
      </c>
      <c r="AG6612" s="9">
        <v>16.100000000000001</v>
      </c>
      <c r="AH6612" s="10">
        <f t="shared" si="118"/>
        <v>16</v>
      </c>
    </row>
    <row r="6613" spans="11:34" ht="14.5" x14ac:dyDescent="0.35">
      <c r="K6613" s="4"/>
      <c r="AC6613" s="7">
        <v>2022</v>
      </c>
      <c r="AD6613" s="7">
        <v>10</v>
      </c>
      <c r="AE6613" s="7">
        <v>3</v>
      </c>
      <c r="AF6613" s="8">
        <v>0.45833333333333331</v>
      </c>
      <c r="AG6613" s="9">
        <v>18.2</v>
      </c>
      <c r="AH6613" s="10">
        <f t="shared" si="118"/>
        <v>18</v>
      </c>
    </row>
    <row r="6614" spans="11:34" ht="14.5" x14ac:dyDescent="0.35">
      <c r="K6614" s="4"/>
      <c r="AC6614" s="7">
        <v>2022</v>
      </c>
      <c r="AD6614" s="7">
        <v>10</v>
      </c>
      <c r="AE6614" s="7">
        <v>3</v>
      </c>
      <c r="AF6614" s="8">
        <v>0.5</v>
      </c>
      <c r="AG6614" s="9">
        <v>20.100000000000001</v>
      </c>
      <c r="AH6614" s="10">
        <f t="shared" si="118"/>
        <v>20</v>
      </c>
    </row>
    <row r="6615" spans="11:34" ht="14.5" x14ac:dyDescent="0.35">
      <c r="K6615" s="4"/>
      <c r="AC6615" s="7">
        <v>2022</v>
      </c>
      <c r="AD6615" s="7">
        <v>10</v>
      </c>
      <c r="AE6615" s="7">
        <v>3</v>
      </c>
      <c r="AF6615" s="8">
        <v>0.54166666666666663</v>
      </c>
      <c r="AG6615" s="9">
        <v>21.1</v>
      </c>
      <c r="AH6615" s="10">
        <f t="shared" si="118"/>
        <v>21</v>
      </c>
    </row>
    <row r="6616" spans="11:34" ht="14.5" x14ac:dyDescent="0.35">
      <c r="K6616" s="4"/>
      <c r="AC6616" s="7">
        <v>2022</v>
      </c>
      <c r="AD6616" s="7">
        <v>10</v>
      </c>
      <c r="AE6616" s="7">
        <v>3</v>
      </c>
      <c r="AF6616" s="8">
        <v>0.58333333333333337</v>
      </c>
      <c r="AG6616" s="9">
        <v>22</v>
      </c>
      <c r="AH6616" s="10">
        <f t="shared" si="118"/>
        <v>22</v>
      </c>
    </row>
    <row r="6617" spans="11:34" ht="14.5" x14ac:dyDescent="0.35">
      <c r="K6617" s="4"/>
      <c r="AC6617" s="7">
        <v>2022</v>
      </c>
      <c r="AD6617" s="7">
        <v>10</v>
      </c>
      <c r="AE6617" s="7">
        <v>3</v>
      </c>
      <c r="AF6617" s="8">
        <v>0.625</v>
      </c>
      <c r="AG6617" s="9">
        <v>22.7</v>
      </c>
      <c r="AH6617" s="10">
        <f t="shared" si="118"/>
        <v>23</v>
      </c>
    </row>
    <row r="6618" spans="11:34" ht="14.5" x14ac:dyDescent="0.35">
      <c r="K6618" s="4"/>
      <c r="AC6618" s="7">
        <v>2022</v>
      </c>
      <c r="AD6618" s="7">
        <v>10</v>
      </c>
      <c r="AE6618" s="7">
        <v>3</v>
      </c>
      <c r="AF6618" s="8">
        <v>0.66666666666666663</v>
      </c>
      <c r="AG6618" s="9">
        <v>23.3</v>
      </c>
      <c r="AH6618" s="10">
        <f t="shared" si="118"/>
        <v>23</v>
      </c>
    </row>
    <row r="6619" spans="11:34" ht="14.5" x14ac:dyDescent="0.35">
      <c r="K6619" s="4"/>
      <c r="AC6619" s="7">
        <v>2022</v>
      </c>
      <c r="AD6619" s="7">
        <v>10</v>
      </c>
      <c r="AE6619" s="7">
        <v>3</v>
      </c>
      <c r="AF6619" s="8">
        <v>0.70833333333333337</v>
      </c>
      <c r="AG6619" s="9">
        <v>22.3</v>
      </c>
      <c r="AH6619" s="10">
        <f t="shared" si="118"/>
        <v>22</v>
      </c>
    </row>
    <row r="6620" spans="11:34" ht="14.5" x14ac:dyDescent="0.35">
      <c r="K6620" s="4"/>
      <c r="AC6620" s="7">
        <v>2022</v>
      </c>
      <c r="AD6620" s="7">
        <v>10</v>
      </c>
      <c r="AE6620" s="7">
        <v>3</v>
      </c>
      <c r="AF6620" s="8">
        <v>0.75</v>
      </c>
      <c r="AG6620" s="9">
        <v>18.399999999999999</v>
      </c>
      <c r="AH6620" s="10">
        <f t="shared" si="118"/>
        <v>18</v>
      </c>
    </row>
    <row r="6621" spans="11:34" ht="14.5" x14ac:dyDescent="0.35">
      <c r="K6621" s="4"/>
      <c r="AC6621" s="7">
        <v>2022</v>
      </c>
      <c r="AD6621" s="7">
        <v>10</v>
      </c>
      <c r="AE6621" s="7">
        <v>3</v>
      </c>
      <c r="AF6621" s="8">
        <v>0.79166666666666663</v>
      </c>
      <c r="AG6621" s="9">
        <v>15.8</v>
      </c>
      <c r="AH6621" s="10">
        <f t="shared" si="118"/>
        <v>16</v>
      </c>
    </row>
    <row r="6622" spans="11:34" ht="14.5" x14ac:dyDescent="0.35">
      <c r="K6622" s="4"/>
      <c r="AC6622" s="7">
        <v>2022</v>
      </c>
      <c r="AD6622" s="7">
        <v>10</v>
      </c>
      <c r="AE6622" s="7">
        <v>3</v>
      </c>
      <c r="AF6622" s="8">
        <v>0.83333333333333337</v>
      </c>
      <c r="AG6622" s="9">
        <v>15.3</v>
      </c>
      <c r="AH6622" s="10">
        <f t="shared" si="118"/>
        <v>15</v>
      </c>
    </row>
    <row r="6623" spans="11:34" ht="14.5" x14ac:dyDescent="0.35">
      <c r="K6623" s="4"/>
      <c r="AC6623" s="7">
        <v>2022</v>
      </c>
      <c r="AD6623" s="7">
        <v>10</v>
      </c>
      <c r="AE6623" s="7">
        <v>3</v>
      </c>
      <c r="AF6623" s="8">
        <v>0.875</v>
      </c>
      <c r="AG6623" s="9">
        <v>12.9</v>
      </c>
      <c r="AH6623" s="10">
        <f t="shared" si="118"/>
        <v>13</v>
      </c>
    </row>
    <row r="6624" spans="11:34" ht="14.5" x14ac:dyDescent="0.35">
      <c r="K6624" s="4"/>
      <c r="AC6624" s="7">
        <v>2022</v>
      </c>
      <c r="AD6624" s="7">
        <v>10</v>
      </c>
      <c r="AE6624" s="7">
        <v>3</v>
      </c>
      <c r="AF6624" s="8">
        <v>0.91666666666666663</v>
      </c>
      <c r="AG6624" s="9">
        <v>10.9</v>
      </c>
      <c r="AH6624" s="10">
        <f t="shared" si="118"/>
        <v>11</v>
      </c>
    </row>
    <row r="6625" spans="11:34" ht="14.5" x14ac:dyDescent="0.35">
      <c r="K6625" s="4"/>
      <c r="AC6625" s="7">
        <v>2022</v>
      </c>
      <c r="AD6625" s="7">
        <v>10</v>
      </c>
      <c r="AE6625" s="7">
        <v>3</v>
      </c>
      <c r="AF6625" s="8">
        <v>0.95833333333333337</v>
      </c>
      <c r="AG6625" s="9">
        <v>10.1</v>
      </c>
      <c r="AH6625" s="10">
        <f t="shared" si="118"/>
        <v>10</v>
      </c>
    </row>
    <row r="6626" spans="11:34" ht="14.5" x14ac:dyDescent="0.35">
      <c r="K6626" s="4"/>
      <c r="AC6626" s="7">
        <v>2022</v>
      </c>
      <c r="AD6626" s="7">
        <v>10</v>
      </c>
      <c r="AE6626" s="7">
        <v>4</v>
      </c>
      <c r="AF6626" s="8">
        <v>0</v>
      </c>
      <c r="AG6626" s="9">
        <v>8.3000000000000007</v>
      </c>
      <c r="AH6626" s="10">
        <f t="shared" si="118"/>
        <v>8</v>
      </c>
    </row>
    <row r="6627" spans="11:34" ht="14.5" x14ac:dyDescent="0.35">
      <c r="K6627" s="4"/>
      <c r="AC6627" s="7">
        <v>2022</v>
      </c>
      <c r="AD6627" s="7">
        <v>10</v>
      </c>
      <c r="AE6627" s="7">
        <v>4</v>
      </c>
      <c r="AF6627" s="8">
        <v>4.1666666666666664E-2</v>
      </c>
      <c r="AG6627" s="9">
        <v>7.2</v>
      </c>
      <c r="AH6627" s="10">
        <f t="shared" si="118"/>
        <v>7</v>
      </c>
    </row>
    <row r="6628" spans="11:34" ht="14.5" x14ac:dyDescent="0.35">
      <c r="K6628" s="4"/>
      <c r="AC6628" s="7">
        <v>2022</v>
      </c>
      <c r="AD6628" s="7">
        <v>10</v>
      </c>
      <c r="AE6628" s="7">
        <v>4</v>
      </c>
      <c r="AF6628" s="8">
        <v>8.3333333333333329E-2</v>
      </c>
      <c r="AG6628" s="9">
        <v>6.6</v>
      </c>
      <c r="AH6628" s="10">
        <f t="shared" si="118"/>
        <v>7</v>
      </c>
    </row>
    <row r="6629" spans="11:34" ht="14.5" x14ac:dyDescent="0.35">
      <c r="K6629" s="4"/>
      <c r="AC6629" s="7">
        <v>2022</v>
      </c>
      <c r="AD6629" s="7">
        <v>10</v>
      </c>
      <c r="AE6629" s="7">
        <v>4</v>
      </c>
      <c r="AF6629" s="8">
        <v>0.125</v>
      </c>
      <c r="AG6629" s="9">
        <v>6.4</v>
      </c>
      <c r="AH6629" s="10">
        <f t="shared" si="118"/>
        <v>6</v>
      </c>
    </row>
    <row r="6630" spans="11:34" ht="14.5" x14ac:dyDescent="0.35">
      <c r="K6630" s="4"/>
      <c r="AC6630" s="7">
        <v>2022</v>
      </c>
      <c r="AD6630" s="7">
        <v>10</v>
      </c>
      <c r="AE6630" s="7">
        <v>4</v>
      </c>
      <c r="AF6630" s="8">
        <v>0.16666666666666666</v>
      </c>
      <c r="AG6630" s="9">
        <v>6.7</v>
      </c>
      <c r="AH6630" s="10">
        <f t="shared" si="118"/>
        <v>7</v>
      </c>
    </row>
    <row r="6631" spans="11:34" ht="14.5" x14ac:dyDescent="0.35">
      <c r="K6631" s="4"/>
      <c r="AC6631" s="7">
        <v>2022</v>
      </c>
      <c r="AD6631" s="7">
        <v>10</v>
      </c>
      <c r="AE6631" s="7">
        <v>4</v>
      </c>
      <c r="AF6631" s="8">
        <v>0.20833333333333334</v>
      </c>
      <c r="AG6631" s="9">
        <v>6.8</v>
      </c>
      <c r="AH6631" s="10">
        <f t="shared" si="118"/>
        <v>7</v>
      </c>
    </row>
    <row r="6632" spans="11:34" ht="14.5" x14ac:dyDescent="0.35">
      <c r="K6632" s="4"/>
      <c r="AC6632" s="7">
        <v>2022</v>
      </c>
      <c r="AD6632" s="7">
        <v>10</v>
      </c>
      <c r="AE6632" s="7">
        <v>4</v>
      </c>
      <c r="AF6632" s="8">
        <v>0.25</v>
      </c>
      <c r="AG6632" s="9">
        <v>7.9</v>
      </c>
      <c r="AH6632" s="10">
        <f t="shared" si="118"/>
        <v>8</v>
      </c>
    </row>
    <row r="6633" spans="11:34" ht="14.5" x14ac:dyDescent="0.35">
      <c r="K6633" s="4"/>
      <c r="AC6633" s="7">
        <v>2022</v>
      </c>
      <c r="AD6633" s="7">
        <v>10</v>
      </c>
      <c r="AE6633" s="7">
        <v>4</v>
      </c>
      <c r="AF6633" s="8">
        <v>0.29166666666666669</v>
      </c>
      <c r="AG6633" s="9">
        <v>7.7</v>
      </c>
      <c r="AH6633" s="10">
        <f t="shared" si="118"/>
        <v>8</v>
      </c>
    </row>
    <row r="6634" spans="11:34" ht="14.5" x14ac:dyDescent="0.35">
      <c r="K6634" s="4"/>
      <c r="AC6634" s="7">
        <v>2022</v>
      </c>
      <c r="AD6634" s="7">
        <v>10</v>
      </c>
      <c r="AE6634" s="7">
        <v>4</v>
      </c>
      <c r="AF6634" s="8">
        <v>0.33333333333333331</v>
      </c>
      <c r="AG6634" s="9">
        <v>11</v>
      </c>
      <c r="AH6634" s="10">
        <f t="shared" si="118"/>
        <v>11</v>
      </c>
    </row>
    <row r="6635" spans="11:34" ht="14.5" x14ac:dyDescent="0.35">
      <c r="K6635" s="4"/>
      <c r="AC6635" s="7">
        <v>2022</v>
      </c>
      <c r="AD6635" s="7">
        <v>10</v>
      </c>
      <c r="AE6635" s="7">
        <v>4</v>
      </c>
      <c r="AF6635" s="8">
        <v>0.375</v>
      </c>
      <c r="AG6635" s="9">
        <v>16.100000000000001</v>
      </c>
      <c r="AH6635" s="10">
        <f t="shared" si="118"/>
        <v>16</v>
      </c>
    </row>
    <row r="6636" spans="11:34" ht="14.5" x14ac:dyDescent="0.35">
      <c r="K6636" s="4"/>
      <c r="AC6636" s="7">
        <v>2022</v>
      </c>
      <c r="AD6636" s="7">
        <v>10</v>
      </c>
      <c r="AE6636" s="7">
        <v>4</v>
      </c>
      <c r="AF6636" s="8">
        <v>0.41666666666666669</v>
      </c>
      <c r="AG6636" s="9">
        <v>19.3</v>
      </c>
      <c r="AH6636" s="10">
        <f t="shared" si="118"/>
        <v>19</v>
      </c>
    </row>
    <row r="6637" spans="11:34" ht="14.5" x14ac:dyDescent="0.35">
      <c r="K6637" s="4"/>
      <c r="AC6637" s="7">
        <v>2022</v>
      </c>
      <c r="AD6637" s="7">
        <v>10</v>
      </c>
      <c r="AE6637" s="7">
        <v>4</v>
      </c>
      <c r="AF6637" s="8">
        <v>0.45833333333333331</v>
      </c>
      <c r="AG6637" s="9">
        <v>20.3</v>
      </c>
      <c r="AH6637" s="10">
        <f t="shared" si="118"/>
        <v>20</v>
      </c>
    </row>
    <row r="6638" spans="11:34" ht="14.5" x14ac:dyDescent="0.35">
      <c r="K6638" s="4"/>
      <c r="AC6638" s="7">
        <v>2022</v>
      </c>
      <c r="AD6638" s="7">
        <v>10</v>
      </c>
      <c r="AE6638" s="7">
        <v>4</v>
      </c>
      <c r="AF6638" s="8">
        <v>0.5</v>
      </c>
      <c r="AG6638" s="9">
        <v>21.5</v>
      </c>
      <c r="AH6638" s="10">
        <f t="shared" si="118"/>
        <v>22</v>
      </c>
    </row>
    <row r="6639" spans="11:34" ht="14.5" x14ac:dyDescent="0.35">
      <c r="K6639" s="4"/>
      <c r="AC6639" s="7">
        <v>2022</v>
      </c>
      <c r="AD6639" s="7">
        <v>10</v>
      </c>
      <c r="AE6639" s="7">
        <v>4</v>
      </c>
      <c r="AF6639" s="8">
        <v>0.54166666666666663</v>
      </c>
      <c r="AG6639" s="9">
        <v>22.4</v>
      </c>
      <c r="AH6639" s="10">
        <f t="shared" si="118"/>
        <v>22</v>
      </c>
    </row>
    <row r="6640" spans="11:34" ht="14.5" x14ac:dyDescent="0.35">
      <c r="K6640" s="4"/>
      <c r="AC6640" s="7">
        <v>2022</v>
      </c>
      <c r="AD6640" s="7">
        <v>10</v>
      </c>
      <c r="AE6640" s="7">
        <v>4</v>
      </c>
      <c r="AF6640" s="8">
        <v>0.58333333333333337</v>
      </c>
      <c r="AG6640" s="9">
        <v>22.8</v>
      </c>
      <c r="AH6640" s="10">
        <f t="shared" si="118"/>
        <v>23</v>
      </c>
    </row>
    <row r="6641" spans="11:34" ht="14.5" x14ac:dyDescent="0.35">
      <c r="K6641" s="4"/>
      <c r="AC6641" s="7">
        <v>2022</v>
      </c>
      <c r="AD6641" s="7">
        <v>10</v>
      </c>
      <c r="AE6641" s="7">
        <v>4</v>
      </c>
      <c r="AF6641" s="8">
        <v>0.625</v>
      </c>
      <c r="AG6641" s="9">
        <v>22.5</v>
      </c>
      <c r="AH6641" s="10">
        <f t="shared" si="118"/>
        <v>23</v>
      </c>
    </row>
    <row r="6642" spans="11:34" ht="14.5" x14ac:dyDescent="0.35">
      <c r="K6642" s="4"/>
      <c r="AC6642" s="7">
        <v>2022</v>
      </c>
      <c r="AD6642" s="7">
        <v>10</v>
      </c>
      <c r="AE6642" s="7">
        <v>4</v>
      </c>
      <c r="AF6642" s="8">
        <v>0.66666666666666663</v>
      </c>
      <c r="AG6642" s="9">
        <v>22.1</v>
      </c>
      <c r="AH6642" s="10">
        <f t="shared" si="118"/>
        <v>22</v>
      </c>
    </row>
    <row r="6643" spans="11:34" ht="14.5" x14ac:dyDescent="0.35">
      <c r="K6643" s="4"/>
      <c r="AC6643" s="7">
        <v>2022</v>
      </c>
      <c r="AD6643" s="7">
        <v>10</v>
      </c>
      <c r="AE6643" s="7">
        <v>4</v>
      </c>
      <c r="AF6643" s="8">
        <v>0.70833333333333337</v>
      </c>
      <c r="AG6643" s="9">
        <v>21</v>
      </c>
      <c r="AH6643" s="10">
        <f t="shared" si="118"/>
        <v>21</v>
      </c>
    </row>
    <row r="6644" spans="11:34" ht="14.5" x14ac:dyDescent="0.35">
      <c r="K6644" s="4"/>
      <c r="AC6644" s="7">
        <v>2022</v>
      </c>
      <c r="AD6644" s="7">
        <v>10</v>
      </c>
      <c r="AE6644" s="7">
        <v>4</v>
      </c>
      <c r="AF6644" s="8">
        <v>0.75</v>
      </c>
      <c r="AG6644" s="9">
        <v>18.600000000000001</v>
      </c>
      <c r="AH6644" s="10">
        <f t="shared" si="118"/>
        <v>19</v>
      </c>
    </row>
    <row r="6645" spans="11:34" ht="14.5" x14ac:dyDescent="0.35">
      <c r="K6645" s="4"/>
      <c r="AC6645" s="7">
        <v>2022</v>
      </c>
      <c r="AD6645" s="7">
        <v>10</v>
      </c>
      <c r="AE6645" s="7">
        <v>4</v>
      </c>
      <c r="AF6645" s="8">
        <v>0.79166666666666663</v>
      </c>
      <c r="AG6645" s="9">
        <v>17.100000000000001</v>
      </c>
      <c r="AH6645" s="10">
        <f t="shared" si="118"/>
        <v>17</v>
      </c>
    </row>
    <row r="6646" spans="11:34" ht="14.5" x14ac:dyDescent="0.35">
      <c r="K6646" s="4"/>
      <c r="AC6646" s="7">
        <v>2022</v>
      </c>
      <c r="AD6646" s="7">
        <v>10</v>
      </c>
      <c r="AE6646" s="7">
        <v>4</v>
      </c>
      <c r="AF6646" s="8">
        <v>0.83333333333333337</v>
      </c>
      <c r="AG6646" s="9">
        <v>15.7</v>
      </c>
      <c r="AH6646" s="10">
        <f t="shared" si="118"/>
        <v>16</v>
      </c>
    </row>
    <row r="6647" spans="11:34" ht="14.5" x14ac:dyDescent="0.35">
      <c r="K6647" s="4"/>
      <c r="AC6647" s="7">
        <v>2022</v>
      </c>
      <c r="AD6647" s="7">
        <v>10</v>
      </c>
      <c r="AE6647" s="7">
        <v>4</v>
      </c>
      <c r="AF6647" s="8">
        <v>0.875</v>
      </c>
      <c r="AG6647" s="9">
        <v>14.4</v>
      </c>
      <c r="AH6647" s="10">
        <f t="shared" si="118"/>
        <v>14</v>
      </c>
    </row>
    <row r="6648" spans="11:34" ht="14.5" x14ac:dyDescent="0.35">
      <c r="K6648" s="4"/>
      <c r="AC6648" s="7">
        <v>2022</v>
      </c>
      <c r="AD6648" s="7">
        <v>10</v>
      </c>
      <c r="AE6648" s="7">
        <v>4</v>
      </c>
      <c r="AF6648" s="8">
        <v>0.91666666666666663</v>
      </c>
      <c r="AG6648" s="9">
        <v>12.1</v>
      </c>
      <c r="AH6648" s="10">
        <f t="shared" si="118"/>
        <v>12</v>
      </c>
    </row>
    <row r="6649" spans="11:34" ht="14.5" x14ac:dyDescent="0.35">
      <c r="K6649" s="4"/>
      <c r="AC6649" s="7">
        <v>2022</v>
      </c>
      <c r="AD6649" s="7">
        <v>10</v>
      </c>
      <c r="AE6649" s="7">
        <v>4</v>
      </c>
      <c r="AF6649" s="8">
        <v>0.95833333333333337</v>
      </c>
      <c r="AG6649" s="9">
        <v>11.5</v>
      </c>
      <c r="AH6649" s="10">
        <f t="shared" si="118"/>
        <v>12</v>
      </c>
    </row>
    <row r="6650" spans="11:34" ht="14.5" x14ac:dyDescent="0.35">
      <c r="K6650" s="4"/>
      <c r="AC6650" s="7">
        <v>2022</v>
      </c>
      <c r="AD6650" s="7">
        <v>10</v>
      </c>
      <c r="AE6650" s="7">
        <v>5</v>
      </c>
      <c r="AF6650" s="8">
        <v>0</v>
      </c>
      <c r="AG6650" s="9">
        <v>8.9</v>
      </c>
      <c r="AH6650" s="10">
        <f t="shared" si="118"/>
        <v>9</v>
      </c>
    </row>
    <row r="6651" spans="11:34" ht="14.5" x14ac:dyDescent="0.35">
      <c r="K6651" s="4"/>
      <c r="AC6651" s="7">
        <v>2022</v>
      </c>
      <c r="AD6651" s="7">
        <v>10</v>
      </c>
      <c r="AE6651" s="7">
        <v>5</v>
      </c>
      <c r="AF6651" s="8">
        <v>4.1666666666666664E-2</v>
      </c>
      <c r="AG6651" s="9">
        <v>8.1</v>
      </c>
      <c r="AH6651" s="10">
        <f t="shared" si="118"/>
        <v>8</v>
      </c>
    </row>
    <row r="6652" spans="11:34" ht="14.5" x14ac:dyDescent="0.35">
      <c r="K6652" s="4"/>
      <c r="AC6652" s="7">
        <v>2022</v>
      </c>
      <c r="AD6652" s="7">
        <v>10</v>
      </c>
      <c r="AE6652" s="7">
        <v>5</v>
      </c>
      <c r="AF6652" s="8">
        <v>8.3333333333333329E-2</v>
      </c>
      <c r="AG6652" s="9">
        <v>7</v>
      </c>
      <c r="AH6652" s="10">
        <f t="shared" si="118"/>
        <v>7</v>
      </c>
    </row>
    <row r="6653" spans="11:34" ht="14.5" x14ac:dyDescent="0.35">
      <c r="K6653" s="4"/>
      <c r="AC6653" s="7">
        <v>2022</v>
      </c>
      <c r="AD6653" s="7">
        <v>10</v>
      </c>
      <c r="AE6653" s="7">
        <v>5</v>
      </c>
      <c r="AF6653" s="8">
        <v>0.125</v>
      </c>
      <c r="AG6653" s="9">
        <v>6.2</v>
      </c>
      <c r="AH6653" s="10">
        <f t="shared" si="118"/>
        <v>6</v>
      </c>
    </row>
    <row r="6654" spans="11:34" ht="14.5" x14ac:dyDescent="0.35">
      <c r="K6654" s="4"/>
      <c r="AC6654" s="7">
        <v>2022</v>
      </c>
      <c r="AD6654" s="7">
        <v>10</v>
      </c>
      <c r="AE6654" s="7">
        <v>5</v>
      </c>
      <c r="AF6654" s="8">
        <v>0.16666666666666666</v>
      </c>
      <c r="AG6654" s="9">
        <v>4.9000000000000004</v>
      </c>
      <c r="AH6654" s="10">
        <f t="shared" si="118"/>
        <v>5</v>
      </c>
    </row>
    <row r="6655" spans="11:34" ht="14.5" x14ac:dyDescent="0.35">
      <c r="K6655" s="4"/>
      <c r="AC6655" s="7">
        <v>2022</v>
      </c>
      <c r="AD6655" s="7">
        <v>10</v>
      </c>
      <c r="AE6655" s="7">
        <v>5</v>
      </c>
      <c r="AF6655" s="8">
        <v>0.20833333333333334</v>
      </c>
      <c r="AG6655" s="9">
        <v>4.5999999999999996</v>
      </c>
      <c r="AH6655" s="10">
        <f t="shared" si="118"/>
        <v>5</v>
      </c>
    </row>
    <row r="6656" spans="11:34" ht="14.5" x14ac:dyDescent="0.35">
      <c r="K6656" s="4"/>
      <c r="AC6656" s="7">
        <v>2022</v>
      </c>
      <c r="AD6656" s="7">
        <v>10</v>
      </c>
      <c r="AE6656" s="7">
        <v>5</v>
      </c>
      <c r="AF6656" s="8">
        <v>0.25</v>
      </c>
      <c r="AG6656" s="9">
        <v>4.5999999999999996</v>
      </c>
      <c r="AH6656" s="10">
        <f t="shared" si="118"/>
        <v>5</v>
      </c>
    </row>
    <row r="6657" spans="11:34" ht="14.5" x14ac:dyDescent="0.35">
      <c r="K6657" s="4"/>
      <c r="AC6657" s="7">
        <v>2022</v>
      </c>
      <c r="AD6657" s="7">
        <v>10</v>
      </c>
      <c r="AE6657" s="7">
        <v>5</v>
      </c>
      <c r="AF6657" s="8">
        <v>0.29166666666666669</v>
      </c>
      <c r="AG6657" s="9">
        <v>4</v>
      </c>
      <c r="AH6657" s="10">
        <f t="shared" si="118"/>
        <v>4</v>
      </c>
    </row>
    <row r="6658" spans="11:34" ht="14.5" x14ac:dyDescent="0.35">
      <c r="K6658" s="4"/>
      <c r="AC6658" s="7">
        <v>2022</v>
      </c>
      <c r="AD6658" s="7">
        <v>10</v>
      </c>
      <c r="AE6658" s="7">
        <v>5</v>
      </c>
      <c r="AF6658" s="8">
        <v>0.33333333333333331</v>
      </c>
      <c r="AG6658" s="9">
        <v>6.7</v>
      </c>
      <c r="AH6658" s="10">
        <f t="shared" si="118"/>
        <v>7</v>
      </c>
    </row>
    <row r="6659" spans="11:34" ht="14.5" x14ac:dyDescent="0.35">
      <c r="K6659" s="4"/>
      <c r="AC6659" s="7">
        <v>2022</v>
      </c>
      <c r="AD6659" s="7">
        <v>10</v>
      </c>
      <c r="AE6659" s="7">
        <v>5</v>
      </c>
      <c r="AF6659" s="8">
        <v>0.375</v>
      </c>
      <c r="AG6659" s="9">
        <v>11.4</v>
      </c>
      <c r="AH6659" s="10">
        <f t="shared" si="118"/>
        <v>11</v>
      </c>
    </row>
    <row r="6660" spans="11:34" ht="14.5" x14ac:dyDescent="0.35">
      <c r="K6660" s="4"/>
      <c r="AC6660" s="7">
        <v>2022</v>
      </c>
      <c r="AD6660" s="7">
        <v>10</v>
      </c>
      <c r="AE6660" s="7">
        <v>5</v>
      </c>
      <c r="AF6660" s="8">
        <v>0.41666666666666669</v>
      </c>
      <c r="AG6660" s="9">
        <v>13.2</v>
      </c>
      <c r="AH6660" s="10">
        <f t="shared" si="118"/>
        <v>13</v>
      </c>
    </row>
    <row r="6661" spans="11:34" ht="14.5" x14ac:dyDescent="0.35">
      <c r="K6661" s="4"/>
      <c r="AC6661" s="7">
        <v>2022</v>
      </c>
      <c r="AD6661" s="7">
        <v>10</v>
      </c>
      <c r="AE6661" s="7">
        <v>5</v>
      </c>
      <c r="AF6661" s="8">
        <v>0.45833333333333331</v>
      </c>
      <c r="AG6661" s="9">
        <v>14.6</v>
      </c>
      <c r="AH6661" s="10">
        <f t="shared" si="118"/>
        <v>15</v>
      </c>
    </row>
    <row r="6662" spans="11:34" ht="14.5" x14ac:dyDescent="0.35">
      <c r="K6662" s="4"/>
      <c r="AC6662" s="7">
        <v>2022</v>
      </c>
      <c r="AD6662" s="7">
        <v>10</v>
      </c>
      <c r="AE6662" s="7">
        <v>5</v>
      </c>
      <c r="AF6662" s="8">
        <v>0.5</v>
      </c>
      <c r="AG6662" s="9">
        <v>15.1</v>
      </c>
      <c r="AH6662" s="10">
        <f t="shared" si="118"/>
        <v>15</v>
      </c>
    </row>
    <row r="6663" spans="11:34" ht="14.5" x14ac:dyDescent="0.35">
      <c r="K6663" s="4"/>
      <c r="AC6663" s="7">
        <v>2022</v>
      </c>
      <c r="AD6663" s="7">
        <v>10</v>
      </c>
      <c r="AE6663" s="7">
        <v>5</v>
      </c>
      <c r="AF6663" s="8">
        <v>0.54166666666666663</v>
      </c>
      <c r="AG6663" s="9">
        <v>16.7</v>
      </c>
      <c r="AH6663" s="10">
        <f t="shared" si="118"/>
        <v>17</v>
      </c>
    </row>
    <row r="6664" spans="11:34" ht="14.5" x14ac:dyDescent="0.35">
      <c r="K6664" s="4"/>
      <c r="AC6664" s="7">
        <v>2022</v>
      </c>
      <c r="AD6664" s="7">
        <v>10</v>
      </c>
      <c r="AE6664" s="7">
        <v>5</v>
      </c>
      <c r="AF6664" s="8">
        <v>0.58333333333333337</v>
      </c>
      <c r="AG6664" s="9">
        <v>17.5</v>
      </c>
      <c r="AH6664" s="10">
        <f t="shared" si="118"/>
        <v>18</v>
      </c>
    </row>
    <row r="6665" spans="11:34" ht="14.5" x14ac:dyDescent="0.35">
      <c r="K6665" s="4"/>
      <c r="AC6665" s="7">
        <v>2022</v>
      </c>
      <c r="AD6665" s="7">
        <v>10</v>
      </c>
      <c r="AE6665" s="7">
        <v>5</v>
      </c>
      <c r="AF6665" s="8">
        <v>0.625</v>
      </c>
      <c r="AG6665" s="9">
        <v>17.5</v>
      </c>
      <c r="AH6665" s="10">
        <f t="shared" si="118"/>
        <v>18</v>
      </c>
    </row>
    <row r="6666" spans="11:34" ht="14.5" x14ac:dyDescent="0.35">
      <c r="K6666" s="4"/>
      <c r="AC6666" s="7">
        <v>2022</v>
      </c>
      <c r="AD6666" s="7">
        <v>10</v>
      </c>
      <c r="AE6666" s="7">
        <v>5</v>
      </c>
      <c r="AF6666" s="8">
        <v>0.66666666666666663</v>
      </c>
      <c r="AG6666" s="9">
        <v>17.100000000000001</v>
      </c>
      <c r="AH6666" s="10">
        <f t="shared" si="118"/>
        <v>17</v>
      </c>
    </row>
    <row r="6667" spans="11:34" ht="14.5" x14ac:dyDescent="0.35">
      <c r="K6667" s="4"/>
      <c r="AC6667" s="7">
        <v>2022</v>
      </c>
      <c r="AD6667" s="7">
        <v>10</v>
      </c>
      <c r="AE6667" s="7">
        <v>5</v>
      </c>
      <c r="AF6667" s="8">
        <v>0.70833333333333337</v>
      </c>
      <c r="AG6667" s="9">
        <v>15.5</v>
      </c>
      <c r="AH6667" s="10">
        <f t="shared" ref="AH6667:AH6730" si="119">ROUND(AG6667,0)</f>
        <v>16</v>
      </c>
    </row>
    <row r="6668" spans="11:34" ht="14.5" x14ac:dyDescent="0.35">
      <c r="K6668" s="4"/>
      <c r="AC6668" s="7">
        <v>2022</v>
      </c>
      <c r="AD6668" s="7">
        <v>10</v>
      </c>
      <c r="AE6668" s="7">
        <v>5</v>
      </c>
      <c r="AF6668" s="8">
        <v>0.75</v>
      </c>
      <c r="AG6668" s="9">
        <v>13.1</v>
      </c>
      <c r="AH6668" s="10">
        <f t="shared" si="119"/>
        <v>13</v>
      </c>
    </row>
    <row r="6669" spans="11:34" ht="14.5" x14ac:dyDescent="0.35">
      <c r="K6669" s="4"/>
      <c r="AC6669" s="7">
        <v>2022</v>
      </c>
      <c r="AD6669" s="7">
        <v>10</v>
      </c>
      <c r="AE6669" s="7">
        <v>5</v>
      </c>
      <c r="AF6669" s="8">
        <v>0.79166666666666663</v>
      </c>
      <c r="AG6669" s="9">
        <v>10.9</v>
      </c>
      <c r="AH6669" s="10">
        <f t="shared" si="119"/>
        <v>11</v>
      </c>
    </row>
    <row r="6670" spans="11:34" ht="14.5" x14ac:dyDescent="0.35">
      <c r="K6670" s="4"/>
      <c r="AC6670" s="7">
        <v>2022</v>
      </c>
      <c r="AD6670" s="7">
        <v>10</v>
      </c>
      <c r="AE6670" s="7">
        <v>5</v>
      </c>
      <c r="AF6670" s="8">
        <v>0.83333333333333337</v>
      </c>
      <c r="AG6670" s="9">
        <v>9.5</v>
      </c>
      <c r="AH6670" s="10">
        <f t="shared" si="119"/>
        <v>10</v>
      </c>
    </row>
    <row r="6671" spans="11:34" ht="14.5" x14ac:dyDescent="0.35">
      <c r="K6671" s="4"/>
      <c r="AC6671" s="7">
        <v>2022</v>
      </c>
      <c r="AD6671" s="7">
        <v>10</v>
      </c>
      <c r="AE6671" s="7">
        <v>5</v>
      </c>
      <c r="AF6671" s="8">
        <v>0.875</v>
      </c>
      <c r="AG6671" s="9">
        <v>8.4</v>
      </c>
      <c r="AH6671" s="10">
        <f t="shared" si="119"/>
        <v>8</v>
      </c>
    </row>
    <row r="6672" spans="11:34" ht="14.5" x14ac:dyDescent="0.35">
      <c r="K6672" s="4"/>
      <c r="AC6672" s="7">
        <v>2022</v>
      </c>
      <c r="AD6672" s="7">
        <v>10</v>
      </c>
      <c r="AE6672" s="7">
        <v>5</v>
      </c>
      <c r="AF6672" s="8">
        <v>0.91666666666666663</v>
      </c>
      <c r="AG6672" s="9">
        <v>6.9</v>
      </c>
      <c r="AH6672" s="10">
        <f t="shared" si="119"/>
        <v>7</v>
      </c>
    </row>
    <row r="6673" spans="11:34" ht="14.5" x14ac:dyDescent="0.35">
      <c r="K6673" s="4"/>
      <c r="AC6673" s="7">
        <v>2022</v>
      </c>
      <c r="AD6673" s="7">
        <v>10</v>
      </c>
      <c r="AE6673" s="7">
        <v>5</v>
      </c>
      <c r="AF6673" s="8">
        <v>0.95833333333333337</v>
      </c>
      <c r="AG6673" s="9">
        <v>5.9</v>
      </c>
      <c r="AH6673" s="10">
        <f t="shared" si="119"/>
        <v>6</v>
      </c>
    </row>
    <row r="6674" spans="11:34" ht="14.5" x14ac:dyDescent="0.35">
      <c r="K6674" s="4"/>
      <c r="AC6674" s="7">
        <v>2022</v>
      </c>
      <c r="AD6674" s="7">
        <v>10</v>
      </c>
      <c r="AE6674" s="7">
        <v>6</v>
      </c>
      <c r="AF6674" s="8">
        <v>0</v>
      </c>
      <c r="AG6674" s="9">
        <v>5.2</v>
      </c>
      <c r="AH6674" s="10">
        <f t="shared" si="119"/>
        <v>5</v>
      </c>
    </row>
    <row r="6675" spans="11:34" ht="14.5" x14ac:dyDescent="0.35">
      <c r="K6675" s="4"/>
      <c r="AC6675" s="7">
        <v>2022</v>
      </c>
      <c r="AD6675" s="7">
        <v>10</v>
      </c>
      <c r="AE6675" s="7">
        <v>6</v>
      </c>
      <c r="AF6675" s="8">
        <v>4.1666666666666664E-2</v>
      </c>
      <c r="AG6675" s="9">
        <v>4.8</v>
      </c>
      <c r="AH6675" s="10">
        <f t="shared" si="119"/>
        <v>5</v>
      </c>
    </row>
    <row r="6676" spans="11:34" ht="14.5" x14ac:dyDescent="0.35">
      <c r="K6676" s="4"/>
      <c r="AC6676" s="7">
        <v>2022</v>
      </c>
      <c r="AD6676" s="7">
        <v>10</v>
      </c>
      <c r="AE6676" s="7">
        <v>6</v>
      </c>
      <c r="AF6676" s="8">
        <v>8.3333333333333329E-2</v>
      </c>
      <c r="AG6676" s="9">
        <v>3.9</v>
      </c>
      <c r="AH6676" s="10">
        <f t="shared" si="119"/>
        <v>4</v>
      </c>
    </row>
    <row r="6677" spans="11:34" ht="14.5" x14ac:dyDescent="0.35">
      <c r="K6677" s="4"/>
      <c r="AC6677" s="7">
        <v>2022</v>
      </c>
      <c r="AD6677" s="7">
        <v>10</v>
      </c>
      <c r="AE6677" s="7">
        <v>6</v>
      </c>
      <c r="AF6677" s="8">
        <v>0.125</v>
      </c>
      <c r="AG6677" s="9">
        <v>3</v>
      </c>
      <c r="AH6677" s="10">
        <f t="shared" si="119"/>
        <v>3</v>
      </c>
    </row>
    <row r="6678" spans="11:34" ht="14.5" x14ac:dyDescent="0.35">
      <c r="K6678" s="4"/>
      <c r="AC6678" s="7">
        <v>2022</v>
      </c>
      <c r="AD6678" s="7">
        <v>10</v>
      </c>
      <c r="AE6678" s="7">
        <v>6</v>
      </c>
      <c r="AF6678" s="8">
        <v>0.16666666666666666</v>
      </c>
      <c r="AG6678" s="9">
        <v>2.2000000000000002</v>
      </c>
      <c r="AH6678" s="10">
        <f t="shared" si="119"/>
        <v>2</v>
      </c>
    </row>
    <row r="6679" spans="11:34" ht="14.5" x14ac:dyDescent="0.35">
      <c r="K6679" s="4"/>
      <c r="AC6679" s="7">
        <v>2022</v>
      </c>
      <c r="AD6679" s="7">
        <v>10</v>
      </c>
      <c r="AE6679" s="7">
        <v>6</v>
      </c>
      <c r="AF6679" s="8">
        <v>0.20833333333333334</v>
      </c>
      <c r="AG6679" s="9">
        <v>2.2999999999999998</v>
      </c>
      <c r="AH6679" s="10">
        <f t="shared" si="119"/>
        <v>2</v>
      </c>
    </row>
    <row r="6680" spans="11:34" ht="14.5" x14ac:dyDescent="0.35">
      <c r="K6680" s="4"/>
      <c r="AC6680" s="7">
        <v>2022</v>
      </c>
      <c r="AD6680" s="7">
        <v>10</v>
      </c>
      <c r="AE6680" s="7">
        <v>6</v>
      </c>
      <c r="AF6680" s="8">
        <v>0.25</v>
      </c>
      <c r="AG6680" s="9">
        <v>2.6</v>
      </c>
      <c r="AH6680" s="10">
        <f t="shared" si="119"/>
        <v>3</v>
      </c>
    </row>
    <row r="6681" spans="11:34" ht="14.5" x14ac:dyDescent="0.35">
      <c r="K6681" s="4"/>
      <c r="AC6681" s="7">
        <v>2022</v>
      </c>
      <c r="AD6681" s="7">
        <v>10</v>
      </c>
      <c r="AE6681" s="7">
        <v>6</v>
      </c>
      <c r="AF6681" s="8">
        <v>0.29166666666666669</v>
      </c>
      <c r="AG6681" s="9">
        <v>2.4</v>
      </c>
      <c r="AH6681" s="10">
        <f t="shared" si="119"/>
        <v>2</v>
      </c>
    </row>
    <row r="6682" spans="11:34" ht="14.5" x14ac:dyDescent="0.35">
      <c r="K6682" s="4"/>
      <c r="AC6682" s="7">
        <v>2022</v>
      </c>
      <c r="AD6682" s="7">
        <v>10</v>
      </c>
      <c r="AE6682" s="7">
        <v>6</v>
      </c>
      <c r="AF6682" s="8">
        <v>0.33333333333333331</v>
      </c>
      <c r="AG6682" s="9">
        <v>4.0999999999999996</v>
      </c>
      <c r="AH6682" s="10">
        <f t="shared" si="119"/>
        <v>4</v>
      </c>
    </row>
    <row r="6683" spans="11:34" ht="14.5" x14ac:dyDescent="0.35">
      <c r="K6683" s="4"/>
      <c r="AC6683" s="7">
        <v>2022</v>
      </c>
      <c r="AD6683" s="7">
        <v>10</v>
      </c>
      <c r="AE6683" s="7">
        <v>6</v>
      </c>
      <c r="AF6683" s="8">
        <v>0.375</v>
      </c>
      <c r="AG6683" s="9">
        <v>6.7</v>
      </c>
      <c r="AH6683" s="10">
        <f t="shared" si="119"/>
        <v>7</v>
      </c>
    </row>
    <row r="6684" spans="11:34" ht="14.5" x14ac:dyDescent="0.35">
      <c r="K6684" s="4"/>
      <c r="AC6684" s="7">
        <v>2022</v>
      </c>
      <c r="AD6684" s="7">
        <v>10</v>
      </c>
      <c r="AE6684" s="7">
        <v>6</v>
      </c>
      <c r="AF6684" s="8">
        <v>0.41666666666666669</v>
      </c>
      <c r="AG6684" s="9">
        <v>8.6999999999999993</v>
      </c>
      <c r="AH6684" s="10">
        <f t="shared" si="119"/>
        <v>9</v>
      </c>
    </row>
    <row r="6685" spans="11:34" ht="14.5" x14ac:dyDescent="0.35">
      <c r="K6685" s="4"/>
      <c r="AC6685" s="7">
        <v>2022</v>
      </c>
      <c r="AD6685" s="7">
        <v>10</v>
      </c>
      <c r="AE6685" s="7">
        <v>6</v>
      </c>
      <c r="AF6685" s="8">
        <v>0.45833333333333331</v>
      </c>
      <c r="AG6685" s="9">
        <v>10.5</v>
      </c>
      <c r="AH6685" s="10">
        <f t="shared" si="119"/>
        <v>11</v>
      </c>
    </row>
    <row r="6686" spans="11:34" ht="14.5" x14ac:dyDescent="0.35">
      <c r="K6686" s="4"/>
      <c r="AC6686" s="7">
        <v>2022</v>
      </c>
      <c r="AD6686" s="7">
        <v>10</v>
      </c>
      <c r="AE6686" s="7">
        <v>6</v>
      </c>
      <c r="AF6686" s="8">
        <v>0.5</v>
      </c>
      <c r="AG6686" s="9">
        <v>11.6</v>
      </c>
      <c r="AH6686" s="10">
        <f t="shared" si="119"/>
        <v>12</v>
      </c>
    </row>
    <row r="6687" spans="11:34" ht="14.5" x14ac:dyDescent="0.35">
      <c r="K6687" s="4"/>
      <c r="AC6687" s="7">
        <v>2022</v>
      </c>
      <c r="AD6687" s="7">
        <v>10</v>
      </c>
      <c r="AE6687" s="7">
        <v>6</v>
      </c>
      <c r="AF6687" s="8">
        <v>0.54166666666666663</v>
      </c>
      <c r="AG6687" s="9">
        <v>13.2</v>
      </c>
      <c r="AH6687" s="10">
        <f t="shared" si="119"/>
        <v>13</v>
      </c>
    </row>
    <row r="6688" spans="11:34" ht="14.5" x14ac:dyDescent="0.35">
      <c r="K6688" s="4"/>
      <c r="AC6688" s="7">
        <v>2022</v>
      </c>
      <c r="AD6688" s="7">
        <v>10</v>
      </c>
      <c r="AE6688" s="7">
        <v>6</v>
      </c>
      <c r="AF6688" s="8">
        <v>0.58333333333333337</v>
      </c>
      <c r="AG6688" s="9">
        <v>15.1</v>
      </c>
      <c r="AH6688" s="10">
        <f t="shared" si="119"/>
        <v>15</v>
      </c>
    </row>
    <row r="6689" spans="11:34" ht="14.5" x14ac:dyDescent="0.35">
      <c r="K6689" s="4"/>
      <c r="AC6689" s="7">
        <v>2022</v>
      </c>
      <c r="AD6689" s="7">
        <v>10</v>
      </c>
      <c r="AE6689" s="7">
        <v>6</v>
      </c>
      <c r="AF6689" s="8">
        <v>0.625</v>
      </c>
      <c r="AG6689" s="9">
        <v>16</v>
      </c>
      <c r="AH6689" s="10">
        <f t="shared" si="119"/>
        <v>16</v>
      </c>
    </row>
    <row r="6690" spans="11:34" ht="14.5" x14ac:dyDescent="0.35">
      <c r="K6690" s="4"/>
      <c r="AC6690" s="7">
        <v>2022</v>
      </c>
      <c r="AD6690" s="7">
        <v>10</v>
      </c>
      <c r="AE6690" s="7">
        <v>6</v>
      </c>
      <c r="AF6690" s="8">
        <v>0.66666666666666663</v>
      </c>
      <c r="AG6690" s="9">
        <v>16</v>
      </c>
      <c r="AH6690" s="10">
        <f t="shared" si="119"/>
        <v>16</v>
      </c>
    </row>
    <row r="6691" spans="11:34" ht="14.5" x14ac:dyDescent="0.35">
      <c r="K6691" s="4"/>
      <c r="AC6691" s="7">
        <v>2022</v>
      </c>
      <c r="AD6691" s="7">
        <v>10</v>
      </c>
      <c r="AE6691" s="7">
        <v>6</v>
      </c>
      <c r="AF6691" s="8">
        <v>0.70833333333333337</v>
      </c>
      <c r="AG6691" s="9">
        <v>14.5</v>
      </c>
      <c r="AH6691" s="10">
        <f t="shared" si="119"/>
        <v>15</v>
      </c>
    </row>
    <row r="6692" spans="11:34" ht="14.5" x14ac:dyDescent="0.35">
      <c r="K6692" s="4"/>
      <c r="AC6692" s="7">
        <v>2022</v>
      </c>
      <c r="AD6692" s="7">
        <v>10</v>
      </c>
      <c r="AE6692" s="7">
        <v>6</v>
      </c>
      <c r="AF6692" s="8">
        <v>0.75</v>
      </c>
      <c r="AG6692" s="9">
        <v>12</v>
      </c>
      <c r="AH6692" s="10">
        <f t="shared" si="119"/>
        <v>12</v>
      </c>
    </row>
    <row r="6693" spans="11:34" ht="14.5" x14ac:dyDescent="0.35">
      <c r="K6693" s="4"/>
      <c r="AC6693" s="7">
        <v>2022</v>
      </c>
      <c r="AD6693" s="7">
        <v>10</v>
      </c>
      <c r="AE6693" s="7">
        <v>6</v>
      </c>
      <c r="AF6693" s="8">
        <v>0.79166666666666663</v>
      </c>
      <c r="AG6693" s="9">
        <v>10.5</v>
      </c>
      <c r="AH6693" s="10">
        <f t="shared" si="119"/>
        <v>11</v>
      </c>
    </row>
    <row r="6694" spans="11:34" ht="14.5" x14ac:dyDescent="0.35">
      <c r="K6694" s="4"/>
      <c r="AC6694" s="7">
        <v>2022</v>
      </c>
      <c r="AD6694" s="7">
        <v>10</v>
      </c>
      <c r="AE6694" s="7">
        <v>6</v>
      </c>
      <c r="AF6694" s="8">
        <v>0.83333333333333337</v>
      </c>
      <c r="AG6694" s="9">
        <v>9.9</v>
      </c>
      <c r="AH6694" s="10">
        <f t="shared" si="119"/>
        <v>10</v>
      </c>
    </row>
    <row r="6695" spans="11:34" ht="14.5" x14ac:dyDescent="0.35">
      <c r="K6695" s="4"/>
      <c r="AC6695" s="7">
        <v>2022</v>
      </c>
      <c r="AD6695" s="7">
        <v>10</v>
      </c>
      <c r="AE6695" s="7">
        <v>6</v>
      </c>
      <c r="AF6695" s="8">
        <v>0.875</v>
      </c>
      <c r="AG6695" s="9">
        <v>8.5</v>
      </c>
      <c r="AH6695" s="10">
        <f t="shared" si="119"/>
        <v>9</v>
      </c>
    </row>
    <row r="6696" spans="11:34" ht="14.5" x14ac:dyDescent="0.35">
      <c r="K6696" s="4"/>
      <c r="AC6696" s="7">
        <v>2022</v>
      </c>
      <c r="AD6696" s="7">
        <v>10</v>
      </c>
      <c r="AE6696" s="7">
        <v>6</v>
      </c>
      <c r="AF6696" s="8">
        <v>0.91666666666666663</v>
      </c>
      <c r="AG6696" s="9">
        <v>7.6</v>
      </c>
      <c r="AH6696" s="10">
        <f t="shared" si="119"/>
        <v>8</v>
      </c>
    </row>
    <row r="6697" spans="11:34" ht="14.5" x14ac:dyDescent="0.35">
      <c r="K6697" s="4"/>
      <c r="AC6697" s="7">
        <v>2022</v>
      </c>
      <c r="AD6697" s="7">
        <v>10</v>
      </c>
      <c r="AE6697" s="7">
        <v>6</v>
      </c>
      <c r="AF6697" s="8">
        <v>0.95833333333333337</v>
      </c>
      <c r="AG6697" s="9">
        <v>4.7</v>
      </c>
      <c r="AH6697" s="10">
        <f t="shared" si="119"/>
        <v>5</v>
      </c>
    </row>
    <row r="6698" spans="11:34" ht="14.5" x14ac:dyDescent="0.35">
      <c r="K6698" s="4"/>
      <c r="AC6698" s="7">
        <v>2022</v>
      </c>
      <c r="AD6698" s="7">
        <v>10</v>
      </c>
      <c r="AE6698" s="7">
        <v>7</v>
      </c>
      <c r="AF6698" s="8">
        <v>0</v>
      </c>
      <c r="AG6698" s="9">
        <v>4.2</v>
      </c>
      <c r="AH6698" s="10">
        <f t="shared" si="119"/>
        <v>4</v>
      </c>
    </row>
    <row r="6699" spans="11:34" ht="14.5" x14ac:dyDescent="0.35">
      <c r="K6699" s="4"/>
      <c r="AC6699" s="7">
        <v>2022</v>
      </c>
      <c r="AD6699" s="7">
        <v>10</v>
      </c>
      <c r="AE6699" s="7">
        <v>7</v>
      </c>
      <c r="AF6699" s="8">
        <v>4.1666666666666664E-2</v>
      </c>
      <c r="AG6699" s="9">
        <v>3</v>
      </c>
      <c r="AH6699" s="10">
        <f t="shared" si="119"/>
        <v>3</v>
      </c>
    </row>
    <row r="6700" spans="11:34" ht="14.5" x14ac:dyDescent="0.35">
      <c r="K6700" s="4"/>
      <c r="AC6700" s="7">
        <v>2022</v>
      </c>
      <c r="AD6700" s="7">
        <v>10</v>
      </c>
      <c r="AE6700" s="7">
        <v>7</v>
      </c>
      <c r="AF6700" s="8">
        <v>8.3333333333333329E-2</v>
      </c>
      <c r="AG6700" s="9">
        <v>2.6</v>
      </c>
      <c r="AH6700" s="10">
        <f t="shared" si="119"/>
        <v>3</v>
      </c>
    </row>
    <row r="6701" spans="11:34" ht="14.5" x14ac:dyDescent="0.35">
      <c r="K6701" s="4"/>
      <c r="AC6701" s="7">
        <v>2022</v>
      </c>
      <c r="AD6701" s="7">
        <v>10</v>
      </c>
      <c r="AE6701" s="7">
        <v>7</v>
      </c>
      <c r="AF6701" s="8">
        <v>0.125</v>
      </c>
      <c r="AG6701" s="9">
        <v>2.8</v>
      </c>
      <c r="AH6701" s="10">
        <f t="shared" si="119"/>
        <v>3</v>
      </c>
    </row>
    <row r="6702" spans="11:34" ht="14.5" x14ac:dyDescent="0.35">
      <c r="K6702" s="4"/>
      <c r="AC6702" s="7">
        <v>2022</v>
      </c>
      <c r="AD6702" s="7">
        <v>10</v>
      </c>
      <c r="AE6702" s="7">
        <v>7</v>
      </c>
      <c r="AF6702" s="8">
        <v>0.16666666666666666</v>
      </c>
      <c r="AG6702" s="9">
        <v>2.4</v>
      </c>
      <c r="AH6702" s="10">
        <f t="shared" si="119"/>
        <v>2</v>
      </c>
    </row>
    <row r="6703" spans="11:34" ht="14.5" x14ac:dyDescent="0.35">
      <c r="K6703" s="4"/>
      <c r="AC6703" s="7">
        <v>2022</v>
      </c>
      <c r="AD6703" s="7">
        <v>10</v>
      </c>
      <c r="AE6703" s="7">
        <v>7</v>
      </c>
      <c r="AF6703" s="8">
        <v>0.20833333333333334</v>
      </c>
      <c r="AG6703" s="9">
        <v>2.9</v>
      </c>
      <c r="AH6703" s="10">
        <f t="shared" si="119"/>
        <v>3</v>
      </c>
    </row>
    <row r="6704" spans="11:34" ht="14.5" x14ac:dyDescent="0.35">
      <c r="K6704" s="4"/>
      <c r="AC6704" s="7">
        <v>2022</v>
      </c>
      <c r="AD6704" s="7">
        <v>10</v>
      </c>
      <c r="AE6704" s="7">
        <v>7</v>
      </c>
      <c r="AF6704" s="8">
        <v>0.25</v>
      </c>
      <c r="AG6704" s="9">
        <v>2.6</v>
      </c>
      <c r="AH6704" s="10">
        <f t="shared" si="119"/>
        <v>3</v>
      </c>
    </row>
    <row r="6705" spans="11:34" ht="14.5" x14ac:dyDescent="0.35">
      <c r="K6705" s="4"/>
      <c r="AC6705" s="7">
        <v>2022</v>
      </c>
      <c r="AD6705" s="7">
        <v>10</v>
      </c>
      <c r="AE6705" s="7">
        <v>7</v>
      </c>
      <c r="AF6705" s="8">
        <v>0.29166666666666669</v>
      </c>
      <c r="AG6705" s="9">
        <v>2.2999999999999998</v>
      </c>
      <c r="AH6705" s="10">
        <f t="shared" si="119"/>
        <v>2</v>
      </c>
    </row>
    <row r="6706" spans="11:34" ht="14.5" x14ac:dyDescent="0.35">
      <c r="K6706" s="4"/>
      <c r="AC6706" s="7">
        <v>2022</v>
      </c>
      <c r="AD6706" s="7">
        <v>10</v>
      </c>
      <c r="AE6706" s="7">
        <v>7</v>
      </c>
      <c r="AF6706" s="8">
        <v>0.33333333333333331</v>
      </c>
      <c r="AG6706" s="9">
        <v>5.8</v>
      </c>
      <c r="AH6706" s="10">
        <f t="shared" si="119"/>
        <v>6</v>
      </c>
    </row>
    <row r="6707" spans="11:34" ht="14.5" x14ac:dyDescent="0.35">
      <c r="K6707" s="4"/>
      <c r="AC6707" s="7">
        <v>2022</v>
      </c>
      <c r="AD6707" s="7">
        <v>10</v>
      </c>
      <c r="AE6707" s="7">
        <v>7</v>
      </c>
      <c r="AF6707" s="8">
        <v>0.375</v>
      </c>
      <c r="AG6707" s="9">
        <v>9.5</v>
      </c>
      <c r="AH6707" s="10">
        <f t="shared" si="119"/>
        <v>10</v>
      </c>
    </row>
    <row r="6708" spans="11:34" ht="14.5" x14ac:dyDescent="0.35">
      <c r="K6708" s="4"/>
      <c r="AC6708" s="7">
        <v>2022</v>
      </c>
      <c r="AD6708" s="7">
        <v>10</v>
      </c>
      <c r="AE6708" s="7">
        <v>7</v>
      </c>
      <c r="AF6708" s="8">
        <v>0.41666666666666669</v>
      </c>
      <c r="AG6708" s="9">
        <v>13.7</v>
      </c>
      <c r="AH6708" s="10">
        <f t="shared" si="119"/>
        <v>14</v>
      </c>
    </row>
    <row r="6709" spans="11:34" ht="14.5" x14ac:dyDescent="0.35">
      <c r="K6709" s="4"/>
      <c r="AC6709" s="7">
        <v>2022</v>
      </c>
      <c r="AD6709" s="7">
        <v>10</v>
      </c>
      <c r="AE6709" s="7">
        <v>7</v>
      </c>
      <c r="AF6709" s="8">
        <v>0.45833333333333331</v>
      </c>
      <c r="AG6709" s="9">
        <v>16.100000000000001</v>
      </c>
      <c r="AH6709" s="10">
        <f t="shared" si="119"/>
        <v>16</v>
      </c>
    </row>
    <row r="6710" spans="11:34" ht="14.5" x14ac:dyDescent="0.35">
      <c r="K6710" s="4"/>
      <c r="AC6710" s="7">
        <v>2022</v>
      </c>
      <c r="AD6710" s="7">
        <v>10</v>
      </c>
      <c r="AE6710" s="7">
        <v>7</v>
      </c>
      <c r="AF6710" s="8">
        <v>0.5</v>
      </c>
      <c r="AG6710" s="9">
        <v>18.100000000000001</v>
      </c>
      <c r="AH6710" s="10">
        <f t="shared" si="119"/>
        <v>18</v>
      </c>
    </row>
    <row r="6711" spans="11:34" ht="14.5" x14ac:dyDescent="0.35">
      <c r="K6711" s="4"/>
      <c r="AC6711" s="7">
        <v>2022</v>
      </c>
      <c r="AD6711" s="7">
        <v>10</v>
      </c>
      <c r="AE6711" s="7">
        <v>7</v>
      </c>
      <c r="AF6711" s="8">
        <v>0.54166666666666663</v>
      </c>
      <c r="AG6711" s="9">
        <v>19.7</v>
      </c>
      <c r="AH6711" s="10">
        <f t="shared" si="119"/>
        <v>20</v>
      </c>
    </row>
    <row r="6712" spans="11:34" ht="14.5" x14ac:dyDescent="0.35">
      <c r="K6712" s="4"/>
      <c r="AC6712" s="7">
        <v>2022</v>
      </c>
      <c r="AD6712" s="7">
        <v>10</v>
      </c>
      <c r="AE6712" s="7">
        <v>7</v>
      </c>
      <c r="AF6712" s="8">
        <v>0.58333333333333337</v>
      </c>
      <c r="AG6712" s="9">
        <v>19.899999999999999</v>
      </c>
      <c r="AH6712" s="10">
        <f t="shared" si="119"/>
        <v>20</v>
      </c>
    </row>
    <row r="6713" spans="11:34" ht="14.5" x14ac:dyDescent="0.35">
      <c r="K6713" s="4"/>
      <c r="AC6713" s="7">
        <v>2022</v>
      </c>
      <c r="AD6713" s="7">
        <v>10</v>
      </c>
      <c r="AE6713" s="7">
        <v>7</v>
      </c>
      <c r="AF6713" s="8">
        <v>0.625</v>
      </c>
      <c r="AG6713" s="9">
        <v>20.399999999999999</v>
      </c>
      <c r="AH6713" s="10">
        <f t="shared" si="119"/>
        <v>20</v>
      </c>
    </row>
    <row r="6714" spans="11:34" ht="14.5" x14ac:dyDescent="0.35">
      <c r="K6714" s="4"/>
      <c r="AC6714" s="7">
        <v>2022</v>
      </c>
      <c r="AD6714" s="7">
        <v>10</v>
      </c>
      <c r="AE6714" s="7">
        <v>7</v>
      </c>
      <c r="AF6714" s="8">
        <v>0.66666666666666663</v>
      </c>
      <c r="AG6714" s="9">
        <v>20.2</v>
      </c>
      <c r="AH6714" s="10">
        <f t="shared" si="119"/>
        <v>20</v>
      </c>
    </row>
    <row r="6715" spans="11:34" ht="14.5" x14ac:dyDescent="0.35">
      <c r="K6715" s="4"/>
      <c r="AC6715" s="7">
        <v>2022</v>
      </c>
      <c r="AD6715" s="7">
        <v>10</v>
      </c>
      <c r="AE6715" s="7">
        <v>7</v>
      </c>
      <c r="AF6715" s="8">
        <v>0.70833333333333337</v>
      </c>
      <c r="AG6715" s="9">
        <v>18.399999999999999</v>
      </c>
      <c r="AH6715" s="10">
        <f t="shared" si="119"/>
        <v>18</v>
      </c>
    </row>
    <row r="6716" spans="11:34" ht="14.5" x14ac:dyDescent="0.35">
      <c r="K6716" s="4"/>
      <c r="AC6716" s="7">
        <v>2022</v>
      </c>
      <c r="AD6716" s="7">
        <v>10</v>
      </c>
      <c r="AE6716" s="7">
        <v>7</v>
      </c>
      <c r="AF6716" s="8">
        <v>0.75</v>
      </c>
      <c r="AG6716" s="9">
        <v>14.7</v>
      </c>
      <c r="AH6716" s="10">
        <f t="shared" si="119"/>
        <v>15</v>
      </c>
    </row>
    <row r="6717" spans="11:34" ht="14.5" x14ac:dyDescent="0.35">
      <c r="K6717" s="4"/>
      <c r="AC6717" s="7">
        <v>2022</v>
      </c>
      <c r="AD6717" s="7">
        <v>10</v>
      </c>
      <c r="AE6717" s="7">
        <v>7</v>
      </c>
      <c r="AF6717" s="8">
        <v>0.79166666666666663</v>
      </c>
      <c r="AG6717" s="9">
        <v>13.4</v>
      </c>
      <c r="AH6717" s="10">
        <f t="shared" si="119"/>
        <v>13</v>
      </c>
    </row>
    <row r="6718" spans="11:34" ht="14.5" x14ac:dyDescent="0.35">
      <c r="K6718" s="4"/>
      <c r="AC6718" s="7">
        <v>2022</v>
      </c>
      <c r="AD6718" s="7">
        <v>10</v>
      </c>
      <c r="AE6718" s="7">
        <v>7</v>
      </c>
      <c r="AF6718" s="8">
        <v>0.83333333333333337</v>
      </c>
      <c r="AG6718" s="9">
        <v>11.8</v>
      </c>
      <c r="AH6718" s="10">
        <f t="shared" si="119"/>
        <v>12</v>
      </c>
    </row>
    <row r="6719" spans="11:34" ht="14.5" x14ac:dyDescent="0.35">
      <c r="K6719" s="4"/>
      <c r="AC6719" s="7">
        <v>2022</v>
      </c>
      <c r="AD6719" s="7">
        <v>10</v>
      </c>
      <c r="AE6719" s="7">
        <v>7</v>
      </c>
      <c r="AF6719" s="8">
        <v>0.875</v>
      </c>
      <c r="AG6719" s="9">
        <v>9.5</v>
      </c>
      <c r="AH6719" s="10">
        <f t="shared" si="119"/>
        <v>10</v>
      </c>
    </row>
    <row r="6720" spans="11:34" ht="14.5" x14ac:dyDescent="0.35">
      <c r="K6720" s="4"/>
      <c r="AC6720" s="7">
        <v>2022</v>
      </c>
      <c r="AD6720" s="7">
        <v>10</v>
      </c>
      <c r="AE6720" s="7">
        <v>7</v>
      </c>
      <c r="AF6720" s="8">
        <v>0.91666666666666663</v>
      </c>
      <c r="AG6720" s="9">
        <v>7.5</v>
      </c>
      <c r="AH6720" s="10">
        <f t="shared" si="119"/>
        <v>8</v>
      </c>
    </row>
    <row r="6721" spans="11:34" ht="14.5" x14ac:dyDescent="0.35">
      <c r="K6721" s="4"/>
      <c r="AC6721" s="7">
        <v>2022</v>
      </c>
      <c r="AD6721" s="7">
        <v>10</v>
      </c>
      <c r="AE6721" s="7">
        <v>7</v>
      </c>
      <c r="AF6721" s="8">
        <v>0.95833333333333337</v>
      </c>
      <c r="AG6721" s="9">
        <v>6.7</v>
      </c>
      <c r="AH6721" s="10">
        <f t="shared" si="119"/>
        <v>7</v>
      </c>
    </row>
    <row r="6722" spans="11:34" ht="14.5" x14ac:dyDescent="0.35">
      <c r="K6722" s="4"/>
      <c r="AC6722" s="7">
        <v>2022</v>
      </c>
      <c r="AD6722" s="7">
        <v>10</v>
      </c>
      <c r="AE6722" s="7">
        <v>8</v>
      </c>
      <c r="AF6722" s="8">
        <v>0</v>
      </c>
      <c r="AG6722" s="9">
        <v>4.8</v>
      </c>
      <c r="AH6722" s="10">
        <f t="shared" si="119"/>
        <v>5</v>
      </c>
    </row>
    <row r="6723" spans="11:34" ht="14.5" x14ac:dyDescent="0.35">
      <c r="K6723" s="4"/>
      <c r="AC6723" s="7">
        <v>2022</v>
      </c>
      <c r="AD6723" s="7">
        <v>10</v>
      </c>
      <c r="AE6723" s="7">
        <v>8</v>
      </c>
      <c r="AF6723" s="8">
        <v>4.1666666666666664E-2</v>
      </c>
      <c r="AG6723" s="9">
        <v>5.2</v>
      </c>
      <c r="AH6723" s="10">
        <f t="shared" si="119"/>
        <v>5</v>
      </c>
    </row>
    <row r="6724" spans="11:34" ht="14.5" x14ac:dyDescent="0.35">
      <c r="K6724" s="4"/>
      <c r="AC6724" s="7">
        <v>2022</v>
      </c>
      <c r="AD6724" s="7">
        <v>10</v>
      </c>
      <c r="AE6724" s="7">
        <v>8</v>
      </c>
      <c r="AF6724" s="8">
        <v>8.3333333333333329E-2</v>
      </c>
      <c r="AG6724" s="9">
        <v>3.9</v>
      </c>
      <c r="AH6724" s="10">
        <f t="shared" si="119"/>
        <v>4</v>
      </c>
    </row>
    <row r="6725" spans="11:34" ht="14.5" x14ac:dyDescent="0.35">
      <c r="K6725" s="4"/>
      <c r="AC6725" s="7">
        <v>2022</v>
      </c>
      <c r="AD6725" s="7">
        <v>10</v>
      </c>
      <c r="AE6725" s="7">
        <v>8</v>
      </c>
      <c r="AF6725" s="8">
        <v>0.125</v>
      </c>
      <c r="AG6725" s="9">
        <v>6.2</v>
      </c>
      <c r="AH6725" s="10">
        <f t="shared" si="119"/>
        <v>6</v>
      </c>
    </row>
    <row r="6726" spans="11:34" ht="14.5" x14ac:dyDescent="0.35">
      <c r="K6726" s="4"/>
      <c r="AC6726" s="7">
        <v>2022</v>
      </c>
      <c r="AD6726" s="7">
        <v>10</v>
      </c>
      <c r="AE6726" s="7">
        <v>8</v>
      </c>
      <c r="AF6726" s="8">
        <v>0.16666666666666666</v>
      </c>
      <c r="AG6726" s="9">
        <v>4.5999999999999996</v>
      </c>
      <c r="AH6726" s="10">
        <f t="shared" si="119"/>
        <v>5</v>
      </c>
    </row>
    <row r="6727" spans="11:34" ht="14.5" x14ac:dyDescent="0.35">
      <c r="K6727" s="4"/>
      <c r="AC6727" s="7">
        <v>2022</v>
      </c>
      <c r="AD6727" s="7">
        <v>10</v>
      </c>
      <c r="AE6727" s="7">
        <v>8</v>
      </c>
      <c r="AF6727" s="8">
        <v>0.20833333333333334</v>
      </c>
      <c r="AG6727" s="9">
        <v>3.3</v>
      </c>
      <c r="AH6727" s="10">
        <f t="shared" si="119"/>
        <v>3</v>
      </c>
    </row>
    <row r="6728" spans="11:34" ht="14.5" x14ac:dyDescent="0.35">
      <c r="K6728" s="4"/>
      <c r="AC6728" s="7">
        <v>2022</v>
      </c>
      <c r="AD6728" s="7">
        <v>10</v>
      </c>
      <c r="AE6728" s="7">
        <v>8</v>
      </c>
      <c r="AF6728" s="8">
        <v>0.25</v>
      </c>
      <c r="AG6728" s="9">
        <v>3.5</v>
      </c>
      <c r="AH6728" s="10">
        <f t="shared" si="119"/>
        <v>4</v>
      </c>
    </row>
    <row r="6729" spans="11:34" ht="14.5" x14ac:dyDescent="0.35">
      <c r="K6729" s="4"/>
      <c r="AC6729" s="7">
        <v>2022</v>
      </c>
      <c r="AD6729" s="7">
        <v>10</v>
      </c>
      <c r="AE6729" s="7">
        <v>8</v>
      </c>
      <c r="AF6729" s="8">
        <v>0.29166666666666669</v>
      </c>
      <c r="AG6729" s="9">
        <v>4.0999999999999996</v>
      </c>
      <c r="AH6729" s="10">
        <f t="shared" si="119"/>
        <v>4</v>
      </c>
    </row>
    <row r="6730" spans="11:34" ht="14.5" x14ac:dyDescent="0.35">
      <c r="K6730" s="4"/>
      <c r="AC6730" s="7">
        <v>2022</v>
      </c>
      <c r="AD6730" s="7">
        <v>10</v>
      </c>
      <c r="AE6730" s="7">
        <v>8</v>
      </c>
      <c r="AF6730" s="8">
        <v>0.33333333333333331</v>
      </c>
      <c r="AG6730" s="9">
        <v>6.5</v>
      </c>
      <c r="AH6730" s="10">
        <f t="shared" si="119"/>
        <v>7</v>
      </c>
    </row>
    <row r="6731" spans="11:34" ht="14.5" x14ac:dyDescent="0.35">
      <c r="K6731" s="4"/>
      <c r="AC6731" s="7">
        <v>2022</v>
      </c>
      <c r="AD6731" s="7">
        <v>10</v>
      </c>
      <c r="AE6731" s="7">
        <v>8</v>
      </c>
      <c r="AF6731" s="8">
        <v>0.375</v>
      </c>
      <c r="AG6731" s="9">
        <v>11.7</v>
      </c>
      <c r="AH6731" s="10">
        <f t="shared" ref="AH6731:AH6794" si="120">ROUND(AG6731,0)</f>
        <v>12</v>
      </c>
    </row>
    <row r="6732" spans="11:34" ht="14.5" x14ac:dyDescent="0.35">
      <c r="K6732" s="4"/>
      <c r="AC6732" s="7">
        <v>2022</v>
      </c>
      <c r="AD6732" s="7">
        <v>10</v>
      </c>
      <c r="AE6732" s="7">
        <v>8</v>
      </c>
      <c r="AF6732" s="8">
        <v>0.41666666666666669</v>
      </c>
      <c r="AG6732" s="9">
        <v>16.899999999999999</v>
      </c>
      <c r="AH6732" s="10">
        <f t="shared" si="120"/>
        <v>17</v>
      </c>
    </row>
    <row r="6733" spans="11:34" ht="14.5" x14ac:dyDescent="0.35">
      <c r="K6733" s="4"/>
      <c r="AC6733" s="7">
        <v>2022</v>
      </c>
      <c r="AD6733" s="7">
        <v>10</v>
      </c>
      <c r="AE6733" s="7">
        <v>8</v>
      </c>
      <c r="AF6733" s="8">
        <v>0.45833333333333331</v>
      </c>
      <c r="AG6733" s="9">
        <v>19.3</v>
      </c>
      <c r="AH6733" s="10">
        <f t="shared" si="120"/>
        <v>19</v>
      </c>
    </row>
    <row r="6734" spans="11:34" ht="14.5" x14ac:dyDescent="0.35">
      <c r="K6734" s="4"/>
      <c r="AC6734" s="7">
        <v>2022</v>
      </c>
      <c r="AD6734" s="7">
        <v>10</v>
      </c>
      <c r="AE6734" s="7">
        <v>8</v>
      </c>
      <c r="AF6734" s="8">
        <v>0.5</v>
      </c>
      <c r="AG6734" s="9">
        <v>20.399999999999999</v>
      </c>
      <c r="AH6734" s="10">
        <f t="shared" si="120"/>
        <v>20</v>
      </c>
    </row>
    <row r="6735" spans="11:34" ht="14.5" x14ac:dyDescent="0.35">
      <c r="K6735" s="4"/>
      <c r="AC6735" s="7">
        <v>2022</v>
      </c>
      <c r="AD6735" s="7">
        <v>10</v>
      </c>
      <c r="AE6735" s="7">
        <v>8</v>
      </c>
      <c r="AF6735" s="8">
        <v>0.54166666666666663</v>
      </c>
      <c r="AG6735" s="9">
        <v>22</v>
      </c>
      <c r="AH6735" s="10">
        <f t="shared" si="120"/>
        <v>22</v>
      </c>
    </row>
    <row r="6736" spans="11:34" ht="14.5" x14ac:dyDescent="0.35">
      <c r="K6736" s="4"/>
      <c r="AC6736" s="7">
        <v>2022</v>
      </c>
      <c r="AD6736" s="7">
        <v>10</v>
      </c>
      <c r="AE6736" s="7">
        <v>8</v>
      </c>
      <c r="AF6736" s="8">
        <v>0.58333333333333337</v>
      </c>
      <c r="AG6736" s="9">
        <v>22.4</v>
      </c>
      <c r="AH6736" s="10">
        <f t="shared" si="120"/>
        <v>22</v>
      </c>
    </row>
    <row r="6737" spans="11:34" ht="14.5" x14ac:dyDescent="0.35">
      <c r="K6737" s="4"/>
      <c r="AC6737" s="7">
        <v>2022</v>
      </c>
      <c r="AD6737" s="7">
        <v>10</v>
      </c>
      <c r="AE6737" s="7">
        <v>8</v>
      </c>
      <c r="AF6737" s="8">
        <v>0.625</v>
      </c>
      <c r="AG6737" s="9">
        <v>22.1</v>
      </c>
      <c r="AH6737" s="10">
        <f t="shared" si="120"/>
        <v>22</v>
      </c>
    </row>
    <row r="6738" spans="11:34" ht="14.5" x14ac:dyDescent="0.35">
      <c r="K6738" s="4"/>
      <c r="AC6738" s="7">
        <v>2022</v>
      </c>
      <c r="AD6738" s="7">
        <v>10</v>
      </c>
      <c r="AE6738" s="7">
        <v>8</v>
      </c>
      <c r="AF6738" s="8">
        <v>0.66666666666666663</v>
      </c>
      <c r="AG6738" s="9">
        <v>21.9</v>
      </c>
      <c r="AH6738" s="10">
        <f t="shared" si="120"/>
        <v>22</v>
      </c>
    </row>
    <row r="6739" spans="11:34" ht="14.5" x14ac:dyDescent="0.35">
      <c r="K6739" s="4"/>
      <c r="AC6739" s="7">
        <v>2022</v>
      </c>
      <c r="AD6739" s="7">
        <v>10</v>
      </c>
      <c r="AE6739" s="7">
        <v>8</v>
      </c>
      <c r="AF6739" s="8">
        <v>0.70833333333333337</v>
      </c>
      <c r="AG6739" s="9">
        <v>20.5</v>
      </c>
      <c r="AH6739" s="10">
        <f t="shared" si="120"/>
        <v>21</v>
      </c>
    </row>
    <row r="6740" spans="11:34" ht="14.5" x14ac:dyDescent="0.35">
      <c r="K6740" s="4"/>
      <c r="AC6740" s="7">
        <v>2022</v>
      </c>
      <c r="AD6740" s="7">
        <v>10</v>
      </c>
      <c r="AE6740" s="7">
        <v>8</v>
      </c>
      <c r="AF6740" s="8">
        <v>0.75</v>
      </c>
      <c r="AG6740" s="9">
        <v>15.5</v>
      </c>
      <c r="AH6740" s="10">
        <f t="shared" si="120"/>
        <v>16</v>
      </c>
    </row>
    <row r="6741" spans="11:34" ht="14.5" x14ac:dyDescent="0.35">
      <c r="K6741" s="4"/>
      <c r="AC6741" s="7">
        <v>2022</v>
      </c>
      <c r="AD6741" s="7">
        <v>10</v>
      </c>
      <c r="AE6741" s="7">
        <v>8</v>
      </c>
      <c r="AF6741" s="8">
        <v>0.79166666666666663</v>
      </c>
      <c r="AG6741" s="9">
        <v>13.9</v>
      </c>
      <c r="AH6741" s="10">
        <f t="shared" si="120"/>
        <v>14</v>
      </c>
    </row>
    <row r="6742" spans="11:34" ht="14.5" x14ac:dyDescent="0.35">
      <c r="K6742" s="4"/>
      <c r="AC6742" s="7">
        <v>2022</v>
      </c>
      <c r="AD6742" s="7">
        <v>10</v>
      </c>
      <c r="AE6742" s="7">
        <v>8</v>
      </c>
      <c r="AF6742" s="8">
        <v>0.83333333333333337</v>
      </c>
      <c r="AG6742" s="9">
        <v>11.3</v>
      </c>
      <c r="AH6742" s="10">
        <f t="shared" si="120"/>
        <v>11</v>
      </c>
    </row>
    <row r="6743" spans="11:34" ht="14.5" x14ac:dyDescent="0.35">
      <c r="K6743" s="4"/>
      <c r="AC6743" s="7">
        <v>2022</v>
      </c>
      <c r="AD6743" s="7">
        <v>10</v>
      </c>
      <c r="AE6743" s="7">
        <v>8</v>
      </c>
      <c r="AF6743" s="8">
        <v>0.875</v>
      </c>
      <c r="AG6743" s="9">
        <v>9.6</v>
      </c>
      <c r="AH6743" s="10">
        <f t="shared" si="120"/>
        <v>10</v>
      </c>
    </row>
    <row r="6744" spans="11:34" ht="14.5" x14ac:dyDescent="0.35">
      <c r="K6744" s="4"/>
      <c r="AC6744" s="7">
        <v>2022</v>
      </c>
      <c r="AD6744" s="7">
        <v>10</v>
      </c>
      <c r="AE6744" s="7">
        <v>8</v>
      </c>
      <c r="AF6744" s="8">
        <v>0.91666666666666663</v>
      </c>
      <c r="AG6744" s="9">
        <v>7.1</v>
      </c>
      <c r="AH6744" s="10">
        <f t="shared" si="120"/>
        <v>7</v>
      </c>
    </row>
    <row r="6745" spans="11:34" ht="14.5" x14ac:dyDescent="0.35">
      <c r="K6745" s="4"/>
      <c r="AC6745" s="7">
        <v>2022</v>
      </c>
      <c r="AD6745" s="7">
        <v>10</v>
      </c>
      <c r="AE6745" s="7">
        <v>8</v>
      </c>
      <c r="AF6745" s="8">
        <v>0.95833333333333337</v>
      </c>
      <c r="AG6745" s="9">
        <v>6.6</v>
      </c>
      <c r="AH6745" s="10">
        <f t="shared" si="120"/>
        <v>7</v>
      </c>
    </row>
    <row r="6746" spans="11:34" ht="14.5" x14ac:dyDescent="0.35">
      <c r="K6746" s="4"/>
      <c r="AC6746" s="7">
        <v>2022</v>
      </c>
      <c r="AD6746" s="7">
        <v>10</v>
      </c>
      <c r="AE6746" s="7">
        <v>9</v>
      </c>
      <c r="AF6746" s="8">
        <v>0</v>
      </c>
      <c r="AG6746" s="9">
        <v>6.7</v>
      </c>
      <c r="AH6746" s="10">
        <f t="shared" si="120"/>
        <v>7</v>
      </c>
    </row>
    <row r="6747" spans="11:34" ht="14.5" x14ac:dyDescent="0.35">
      <c r="K6747" s="4"/>
      <c r="AC6747" s="7">
        <v>2022</v>
      </c>
      <c r="AD6747" s="7">
        <v>10</v>
      </c>
      <c r="AE6747" s="7">
        <v>9</v>
      </c>
      <c r="AF6747" s="8">
        <v>4.1666666666666664E-2</v>
      </c>
      <c r="AG6747" s="9">
        <v>4.9000000000000004</v>
      </c>
      <c r="AH6747" s="10">
        <f t="shared" si="120"/>
        <v>5</v>
      </c>
    </row>
    <row r="6748" spans="11:34" ht="14.5" x14ac:dyDescent="0.35">
      <c r="K6748" s="4"/>
      <c r="AC6748" s="7">
        <v>2022</v>
      </c>
      <c r="AD6748" s="7">
        <v>10</v>
      </c>
      <c r="AE6748" s="7">
        <v>9</v>
      </c>
      <c r="AF6748" s="8">
        <v>8.3333333333333329E-2</v>
      </c>
      <c r="AG6748" s="9">
        <v>4.5999999999999996</v>
      </c>
      <c r="AH6748" s="10">
        <f t="shared" si="120"/>
        <v>5</v>
      </c>
    </row>
    <row r="6749" spans="11:34" ht="14.5" x14ac:dyDescent="0.35">
      <c r="K6749" s="4"/>
      <c r="AC6749" s="7">
        <v>2022</v>
      </c>
      <c r="AD6749" s="7">
        <v>10</v>
      </c>
      <c r="AE6749" s="7">
        <v>9</v>
      </c>
      <c r="AF6749" s="8">
        <v>0.125</v>
      </c>
      <c r="AG6749" s="9">
        <v>5.0999999999999996</v>
      </c>
      <c r="AH6749" s="10">
        <f t="shared" si="120"/>
        <v>5</v>
      </c>
    </row>
    <row r="6750" spans="11:34" ht="14.5" x14ac:dyDescent="0.35">
      <c r="K6750" s="4"/>
      <c r="AC6750" s="7">
        <v>2022</v>
      </c>
      <c r="AD6750" s="7">
        <v>10</v>
      </c>
      <c r="AE6750" s="7">
        <v>9</v>
      </c>
      <c r="AF6750" s="8">
        <v>0.16666666666666666</v>
      </c>
      <c r="AG6750" s="9">
        <v>4.9000000000000004</v>
      </c>
      <c r="AH6750" s="10">
        <f t="shared" si="120"/>
        <v>5</v>
      </c>
    </row>
    <row r="6751" spans="11:34" ht="14.5" x14ac:dyDescent="0.35">
      <c r="K6751" s="4"/>
      <c r="AC6751" s="7">
        <v>2022</v>
      </c>
      <c r="AD6751" s="7">
        <v>10</v>
      </c>
      <c r="AE6751" s="7">
        <v>9</v>
      </c>
      <c r="AF6751" s="8">
        <v>0.20833333333333334</v>
      </c>
      <c r="AG6751" s="9">
        <v>5.0999999999999996</v>
      </c>
      <c r="AH6751" s="10">
        <f t="shared" si="120"/>
        <v>5</v>
      </c>
    </row>
    <row r="6752" spans="11:34" ht="14.5" x14ac:dyDescent="0.35">
      <c r="K6752" s="4"/>
      <c r="AC6752" s="7">
        <v>2022</v>
      </c>
      <c r="AD6752" s="7">
        <v>10</v>
      </c>
      <c r="AE6752" s="7">
        <v>9</v>
      </c>
      <c r="AF6752" s="8">
        <v>0.25</v>
      </c>
      <c r="AG6752" s="9">
        <v>4.9000000000000004</v>
      </c>
      <c r="AH6752" s="10">
        <f t="shared" si="120"/>
        <v>5</v>
      </c>
    </row>
    <row r="6753" spans="11:34" ht="14.5" x14ac:dyDescent="0.35">
      <c r="K6753" s="4"/>
      <c r="AC6753" s="7">
        <v>2022</v>
      </c>
      <c r="AD6753" s="7">
        <v>10</v>
      </c>
      <c r="AE6753" s="7">
        <v>9</v>
      </c>
      <c r="AF6753" s="8">
        <v>0.29166666666666669</v>
      </c>
      <c r="AG6753" s="9">
        <v>4.2</v>
      </c>
      <c r="AH6753" s="10">
        <f t="shared" si="120"/>
        <v>4</v>
      </c>
    </row>
    <row r="6754" spans="11:34" ht="14.5" x14ac:dyDescent="0.35">
      <c r="K6754" s="4"/>
      <c r="AC6754" s="7">
        <v>2022</v>
      </c>
      <c r="AD6754" s="7">
        <v>10</v>
      </c>
      <c r="AE6754" s="7">
        <v>9</v>
      </c>
      <c r="AF6754" s="8">
        <v>0.33333333333333331</v>
      </c>
      <c r="AG6754" s="9">
        <v>7.2</v>
      </c>
      <c r="AH6754" s="10">
        <f t="shared" si="120"/>
        <v>7</v>
      </c>
    </row>
    <row r="6755" spans="11:34" ht="14.5" x14ac:dyDescent="0.35">
      <c r="K6755" s="4"/>
      <c r="AC6755" s="7">
        <v>2022</v>
      </c>
      <c r="AD6755" s="7">
        <v>10</v>
      </c>
      <c r="AE6755" s="7">
        <v>9</v>
      </c>
      <c r="AF6755" s="8">
        <v>0.375</v>
      </c>
      <c r="AG6755" s="9">
        <v>11.6</v>
      </c>
      <c r="AH6755" s="10">
        <f t="shared" si="120"/>
        <v>12</v>
      </c>
    </row>
    <row r="6756" spans="11:34" ht="14.5" x14ac:dyDescent="0.35">
      <c r="K6756" s="4"/>
      <c r="AC6756" s="7">
        <v>2022</v>
      </c>
      <c r="AD6756" s="7">
        <v>10</v>
      </c>
      <c r="AE6756" s="7">
        <v>9</v>
      </c>
      <c r="AF6756" s="8">
        <v>0.41666666666666669</v>
      </c>
      <c r="AG6756" s="9">
        <v>14.6</v>
      </c>
      <c r="AH6756" s="10">
        <f t="shared" si="120"/>
        <v>15</v>
      </c>
    </row>
    <row r="6757" spans="11:34" ht="14.5" x14ac:dyDescent="0.35">
      <c r="K6757" s="4"/>
      <c r="AC6757" s="7">
        <v>2022</v>
      </c>
      <c r="AD6757" s="7">
        <v>10</v>
      </c>
      <c r="AE6757" s="7">
        <v>9</v>
      </c>
      <c r="AF6757" s="8">
        <v>0.45833333333333331</v>
      </c>
      <c r="AG6757" s="9">
        <v>16.5</v>
      </c>
      <c r="AH6757" s="10">
        <f t="shared" si="120"/>
        <v>17</v>
      </c>
    </row>
    <row r="6758" spans="11:34" ht="14.5" x14ac:dyDescent="0.35">
      <c r="K6758" s="4"/>
      <c r="AC6758" s="7">
        <v>2022</v>
      </c>
      <c r="AD6758" s="7">
        <v>10</v>
      </c>
      <c r="AE6758" s="7">
        <v>9</v>
      </c>
      <c r="AF6758" s="8">
        <v>0.5</v>
      </c>
      <c r="AG6758" s="9">
        <v>18.2</v>
      </c>
      <c r="AH6758" s="10">
        <f t="shared" si="120"/>
        <v>18</v>
      </c>
    </row>
    <row r="6759" spans="11:34" ht="14.5" x14ac:dyDescent="0.35">
      <c r="K6759" s="4"/>
      <c r="AC6759" s="7">
        <v>2022</v>
      </c>
      <c r="AD6759" s="7">
        <v>10</v>
      </c>
      <c r="AE6759" s="7">
        <v>9</v>
      </c>
      <c r="AF6759" s="8">
        <v>0.54166666666666663</v>
      </c>
      <c r="AG6759" s="9">
        <v>19.3</v>
      </c>
      <c r="AH6759" s="10">
        <f t="shared" si="120"/>
        <v>19</v>
      </c>
    </row>
    <row r="6760" spans="11:34" ht="14.5" x14ac:dyDescent="0.35">
      <c r="K6760" s="4"/>
      <c r="AC6760" s="7">
        <v>2022</v>
      </c>
      <c r="AD6760" s="7">
        <v>10</v>
      </c>
      <c r="AE6760" s="7">
        <v>9</v>
      </c>
      <c r="AF6760" s="8">
        <v>0.58333333333333337</v>
      </c>
      <c r="AG6760" s="9">
        <v>20.2</v>
      </c>
      <c r="AH6760" s="10">
        <f t="shared" si="120"/>
        <v>20</v>
      </c>
    </row>
    <row r="6761" spans="11:34" ht="14.5" x14ac:dyDescent="0.35">
      <c r="K6761" s="4"/>
      <c r="AC6761" s="7">
        <v>2022</v>
      </c>
      <c r="AD6761" s="7">
        <v>10</v>
      </c>
      <c r="AE6761" s="7">
        <v>9</v>
      </c>
      <c r="AF6761" s="8">
        <v>0.625</v>
      </c>
      <c r="AG6761" s="9">
        <v>20.5</v>
      </c>
      <c r="AH6761" s="10">
        <f t="shared" si="120"/>
        <v>21</v>
      </c>
    </row>
    <row r="6762" spans="11:34" ht="14.5" x14ac:dyDescent="0.35">
      <c r="K6762" s="4"/>
      <c r="AC6762" s="7">
        <v>2022</v>
      </c>
      <c r="AD6762" s="7">
        <v>10</v>
      </c>
      <c r="AE6762" s="7">
        <v>9</v>
      </c>
      <c r="AF6762" s="8">
        <v>0.66666666666666663</v>
      </c>
      <c r="AG6762" s="9">
        <v>20.100000000000001</v>
      </c>
      <c r="AH6762" s="10">
        <f t="shared" si="120"/>
        <v>20</v>
      </c>
    </row>
    <row r="6763" spans="11:34" ht="14.5" x14ac:dyDescent="0.35">
      <c r="K6763" s="4"/>
      <c r="AC6763" s="7">
        <v>2022</v>
      </c>
      <c r="AD6763" s="7">
        <v>10</v>
      </c>
      <c r="AE6763" s="7">
        <v>9</v>
      </c>
      <c r="AF6763" s="8">
        <v>0.70833333333333337</v>
      </c>
      <c r="AG6763" s="9">
        <v>18.5</v>
      </c>
      <c r="AH6763" s="10">
        <f t="shared" si="120"/>
        <v>19</v>
      </c>
    </row>
    <row r="6764" spans="11:34" ht="14.5" x14ac:dyDescent="0.35">
      <c r="K6764" s="4"/>
      <c r="AC6764" s="7">
        <v>2022</v>
      </c>
      <c r="AD6764" s="7">
        <v>10</v>
      </c>
      <c r="AE6764" s="7">
        <v>9</v>
      </c>
      <c r="AF6764" s="8">
        <v>0.75</v>
      </c>
      <c r="AG6764" s="9">
        <v>14.7</v>
      </c>
      <c r="AH6764" s="10">
        <f t="shared" si="120"/>
        <v>15</v>
      </c>
    </row>
    <row r="6765" spans="11:34" ht="14.5" x14ac:dyDescent="0.35">
      <c r="K6765" s="4"/>
      <c r="AC6765" s="7">
        <v>2022</v>
      </c>
      <c r="AD6765" s="7">
        <v>10</v>
      </c>
      <c r="AE6765" s="7">
        <v>9</v>
      </c>
      <c r="AF6765" s="8">
        <v>0.79166666666666663</v>
      </c>
      <c r="AG6765" s="9">
        <v>13.1</v>
      </c>
      <c r="AH6765" s="10">
        <f t="shared" si="120"/>
        <v>13</v>
      </c>
    </row>
    <row r="6766" spans="11:34" ht="14.5" x14ac:dyDescent="0.35">
      <c r="K6766" s="4"/>
      <c r="AC6766" s="7">
        <v>2022</v>
      </c>
      <c r="AD6766" s="7">
        <v>10</v>
      </c>
      <c r="AE6766" s="7">
        <v>9</v>
      </c>
      <c r="AF6766" s="8">
        <v>0.83333333333333337</v>
      </c>
      <c r="AG6766" s="9">
        <v>11</v>
      </c>
      <c r="AH6766" s="10">
        <f t="shared" si="120"/>
        <v>11</v>
      </c>
    </row>
    <row r="6767" spans="11:34" ht="14.5" x14ac:dyDescent="0.35">
      <c r="K6767" s="4"/>
      <c r="AC6767" s="7">
        <v>2022</v>
      </c>
      <c r="AD6767" s="7">
        <v>10</v>
      </c>
      <c r="AE6767" s="7">
        <v>9</v>
      </c>
      <c r="AF6767" s="8">
        <v>0.875</v>
      </c>
      <c r="AG6767" s="9">
        <v>11.2</v>
      </c>
      <c r="AH6767" s="10">
        <f t="shared" si="120"/>
        <v>11</v>
      </c>
    </row>
    <row r="6768" spans="11:34" ht="14.5" x14ac:dyDescent="0.35">
      <c r="K6768" s="4"/>
      <c r="AC6768" s="7">
        <v>2022</v>
      </c>
      <c r="AD6768" s="7">
        <v>10</v>
      </c>
      <c r="AE6768" s="7">
        <v>9</v>
      </c>
      <c r="AF6768" s="8">
        <v>0.91666666666666663</v>
      </c>
      <c r="AG6768" s="9">
        <v>10.199999999999999</v>
      </c>
      <c r="AH6768" s="10">
        <f t="shared" si="120"/>
        <v>10</v>
      </c>
    </row>
    <row r="6769" spans="11:34" ht="14.5" x14ac:dyDescent="0.35">
      <c r="K6769" s="4"/>
      <c r="AC6769" s="7">
        <v>2022</v>
      </c>
      <c r="AD6769" s="7">
        <v>10</v>
      </c>
      <c r="AE6769" s="7">
        <v>9</v>
      </c>
      <c r="AF6769" s="8">
        <v>0.95833333333333337</v>
      </c>
      <c r="AG6769" s="9">
        <v>10.6</v>
      </c>
      <c r="AH6769" s="10">
        <f t="shared" si="120"/>
        <v>11</v>
      </c>
    </row>
    <row r="6770" spans="11:34" ht="14.5" x14ac:dyDescent="0.35">
      <c r="K6770" s="4"/>
      <c r="AC6770" s="7">
        <v>2022</v>
      </c>
      <c r="AD6770" s="7">
        <v>10</v>
      </c>
      <c r="AE6770" s="7">
        <v>10</v>
      </c>
      <c r="AF6770" s="8">
        <v>0</v>
      </c>
      <c r="AG6770" s="9">
        <v>7.8</v>
      </c>
      <c r="AH6770" s="10">
        <f t="shared" si="120"/>
        <v>8</v>
      </c>
    </row>
    <row r="6771" spans="11:34" ht="14.5" x14ac:dyDescent="0.35">
      <c r="K6771" s="4"/>
      <c r="AC6771" s="7">
        <v>2022</v>
      </c>
      <c r="AD6771" s="7">
        <v>10</v>
      </c>
      <c r="AE6771" s="7">
        <v>10</v>
      </c>
      <c r="AF6771" s="8">
        <v>4.1666666666666664E-2</v>
      </c>
      <c r="AG6771" s="9">
        <v>6.8</v>
      </c>
      <c r="AH6771" s="10">
        <f t="shared" si="120"/>
        <v>7</v>
      </c>
    </row>
    <row r="6772" spans="11:34" ht="14.5" x14ac:dyDescent="0.35">
      <c r="K6772" s="4"/>
      <c r="AC6772" s="7">
        <v>2022</v>
      </c>
      <c r="AD6772" s="7">
        <v>10</v>
      </c>
      <c r="AE6772" s="7">
        <v>10</v>
      </c>
      <c r="AF6772" s="8">
        <v>8.3333333333333329E-2</v>
      </c>
      <c r="AG6772" s="9">
        <v>6.8</v>
      </c>
      <c r="AH6772" s="10">
        <f t="shared" si="120"/>
        <v>7</v>
      </c>
    </row>
    <row r="6773" spans="11:34" ht="14.5" x14ac:dyDescent="0.35">
      <c r="K6773" s="4"/>
      <c r="AC6773" s="7">
        <v>2022</v>
      </c>
      <c r="AD6773" s="7">
        <v>10</v>
      </c>
      <c r="AE6773" s="7">
        <v>10</v>
      </c>
      <c r="AF6773" s="8">
        <v>0.125</v>
      </c>
      <c r="AG6773" s="9">
        <v>6.5</v>
      </c>
      <c r="AH6773" s="10">
        <f t="shared" si="120"/>
        <v>7</v>
      </c>
    </row>
    <row r="6774" spans="11:34" ht="14.5" x14ac:dyDescent="0.35">
      <c r="K6774" s="4"/>
      <c r="AC6774" s="7">
        <v>2022</v>
      </c>
      <c r="AD6774" s="7">
        <v>10</v>
      </c>
      <c r="AE6774" s="7">
        <v>10</v>
      </c>
      <c r="AF6774" s="8">
        <v>0.16666666666666666</v>
      </c>
      <c r="AG6774" s="9">
        <v>6.7</v>
      </c>
      <c r="AH6774" s="10">
        <f t="shared" si="120"/>
        <v>7</v>
      </c>
    </row>
    <row r="6775" spans="11:34" ht="14.5" x14ac:dyDescent="0.35">
      <c r="K6775" s="4"/>
      <c r="AC6775" s="7">
        <v>2022</v>
      </c>
      <c r="AD6775" s="7">
        <v>10</v>
      </c>
      <c r="AE6775" s="7">
        <v>10</v>
      </c>
      <c r="AF6775" s="8">
        <v>0.20833333333333334</v>
      </c>
      <c r="AG6775" s="9">
        <v>7.1</v>
      </c>
      <c r="AH6775" s="10">
        <f t="shared" si="120"/>
        <v>7</v>
      </c>
    </row>
    <row r="6776" spans="11:34" ht="14.5" x14ac:dyDescent="0.35">
      <c r="K6776" s="4"/>
      <c r="AC6776" s="7">
        <v>2022</v>
      </c>
      <c r="AD6776" s="7">
        <v>10</v>
      </c>
      <c r="AE6776" s="7">
        <v>10</v>
      </c>
      <c r="AF6776" s="8">
        <v>0.25</v>
      </c>
      <c r="AG6776" s="9">
        <v>7</v>
      </c>
      <c r="AH6776" s="10">
        <f t="shared" si="120"/>
        <v>7</v>
      </c>
    </row>
    <row r="6777" spans="11:34" ht="14.5" x14ac:dyDescent="0.35">
      <c r="K6777" s="4"/>
      <c r="AC6777" s="7">
        <v>2022</v>
      </c>
      <c r="AD6777" s="7">
        <v>10</v>
      </c>
      <c r="AE6777" s="7">
        <v>10</v>
      </c>
      <c r="AF6777" s="8">
        <v>0.29166666666666669</v>
      </c>
      <c r="AG6777" s="9">
        <v>7.2</v>
      </c>
      <c r="AH6777" s="10">
        <f t="shared" si="120"/>
        <v>7</v>
      </c>
    </row>
    <row r="6778" spans="11:34" ht="14.5" x14ac:dyDescent="0.35">
      <c r="K6778" s="4"/>
      <c r="AC6778" s="7">
        <v>2022</v>
      </c>
      <c r="AD6778" s="7">
        <v>10</v>
      </c>
      <c r="AE6778" s="7">
        <v>10</v>
      </c>
      <c r="AF6778" s="8">
        <v>0.33333333333333331</v>
      </c>
      <c r="AG6778" s="9">
        <v>10.4</v>
      </c>
      <c r="AH6778" s="10">
        <f t="shared" si="120"/>
        <v>10</v>
      </c>
    </row>
    <row r="6779" spans="11:34" ht="14.5" x14ac:dyDescent="0.35">
      <c r="K6779" s="4"/>
      <c r="AC6779" s="7">
        <v>2022</v>
      </c>
      <c r="AD6779" s="7">
        <v>10</v>
      </c>
      <c r="AE6779" s="7">
        <v>10</v>
      </c>
      <c r="AF6779" s="8">
        <v>0.375</v>
      </c>
      <c r="AG6779" s="9">
        <v>14.4</v>
      </c>
      <c r="AH6779" s="10">
        <f t="shared" si="120"/>
        <v>14</v>
      </c>
    </row>
    <row r="6780" spans="11:34" ht="14.5" x14ac:dyDescent="0.35">
      <c r="K6780" s="4"/>
      <c r="AC6780" s="7">
        <v>2022</v>
      </c>
      <c r="AD6780" s="7">
        <v>10</v>
      </c>
      <c r="AE6780" s="7">
        <v>10</v>
      </c>
      <c r="AF6780" s="8">
        <v>0.41666666666666669</v>
      </c>
      <c r="AG6780" s="9">
        <v>20.5</v>
      </c>
      <c r="AH6780" s="10">
        <f t="shared" si="120"/>
        <v>21</v>
      </c>
    </row>
    <row r="6781" spans="11:34" ht="14.5" x14ac:dyDescent="0.35">
      <c r="K6781" s="4"/>
      <c r="AC6781" s="7">
        <v>2022</v>
      </c>
      <c r="AD6781" s="7">
        <v>10</v>
      </c>
      <c r="AE6781" s="7">
        <v>10</v>
      </c>
      <c r="AF6781" s="8">
        <v>0.45833333333333331</v>
      </c>
      <c r="AG6781" s="9">
        <v>19.5</v>
      </c>
      <c r="AH6781" s="10">
        <f t="shared" si="120"/>
        <v>20</v>
      </c>
    </row>
    <row r="6782" spans="11:34" ht="14.5" x14ac:dyDescent="0.35">
      <c r="K6782" s="4"/>
      <c r="AC6782" s="7">
        <v>2022</v>
      </c>
      <c r="AD6782" s="7">
        <v>10</v>
      </c>
      <c r="AE6782" s="7">
        <v>10</v>
      </c>
      <c r="AF6782" s="8">
        <v>0.5</v>
      </c>
      <c r="AG6782" s="9">
        <v>17.8</v>
      </c>
      <c r="AH6782" s="10">
        <f t="shared" si="120"/>
        <v>18</v>
      </c>
    </row>
    <row r="6783" spans="11:34" ht="14.5" x14ac:dyDescent="0.35">
      <c r="K6783" s="4"/>
      <c r="AC6783" s="7">
        <v>2022</v>
      </c>
      <c r="AD6783" s="7">
        <v>10</v>
      </c>
      <c r="AE6783" s="7">
        <v>10</v>
      </c>
      <c r="AF6783" s="8">
        <v>0.54166666666666663</v>
      </c>
      <c r="AG6783" s="9">
        <v>20</v>
      </c>
      <c r="AH6783" s="10">
        <f t="shared" si="120"/>
        <v>20</v>
      </c>
    </row>
    <row r="6784" spans="11:34" ht="14.5" x14ac:dyDescent="0.35">
      <c r="K6784" s="4"/>
      <c r="AC6784" s="7">
        <v>2022</v>
      </c>
      <c r="AD6784" s="7">
        <v>10</v>
      </c>
      <c r="AE6784" s="7">
        <v>10</v>
      </c>
      <c r="AF6784" s="8">
        <v>0.58333333333333337</v>
      </c>
      <c r="AG6784" s="9">
        <v>20.8</v>
      </c>
      <c r="AH6784" s="10">
        <f t="shared" si="120"/>
        <v>21</v>
      </c>
    </row>
    <row r="6785" spans="11:34" ht="14.5" x14ac:dyDescent="0.35">
      <c r="K6785" s="4"/>
      <c r="AC6785" s="7">
        <v>2022</v>
      </c>
      <c r="AD6785" s="7">
        <v>10</v>
      </c>
      <c r="AE6785" s="7">
        <v>10</v>
      </c>
      <c r="AF6785" s="8">
        <v>0.625</v>
      </c>
      <c r="AG6785" s="9">
        <v>22</v>
      </c>
      <c r="AH6785" s="10">
        <f t="shared" si="120"/>
        <v>22</v>
      </c>
    </row>
    <row r="6786" spans="11:34" ht="14.5" x14ac:dyDescent="0.35">
      <c r="K6786" s="4"/>
      <c r="AC6786" s="7">
        <v>2022</v>
      </c>
      <c r="AD6786" s="7">
        <v>10</v>
      </c>
      <c r="AE6786" s="7">
        <v>10</v>
      </c>
      <c r="AF6786" s="8">
        <v>0.66666666666666663</v>
      </c>
      <c r="AG6786" s="9">
        <v>20.100000000000001</v>
      </c>
      <c r="AH6786" s="10">
        <f t="shared" si="120"/>
        <v>20</v>
      </c>
    </row>
    <row r="6787" spans="11:34" ht="14.5" x14ac:dyDescent="0.35">
      <c r="K6787" s="4"/>
      <c r="AC6787" s="7">
        <v>2022</v>
      </c>
      <c r="AD6787" s="7">
        <v>10</v>
      </c>
      <c r="AE6787" s="7">
        <v>10</v>
      </c>
      <c r="AF6787" s="8">
        <v>0.70833333333333337</v>
      </c>
      <c r="AG6787" s="9">
        <v>19.3</v>
      </c>
      <c r="AH6787" s="10">
        <f t="shared" si="120"/>
        <v>19</v>
      </c>
    </row>
    <row r="6788" spans="11:34" ht="14.5" x14ac:dyDescent="0.35">
      <c r="K6788" s="4"/>
      <c r="AC6788" s="7">
        <v>2022</v>
      </c>
      <c r="AD6788" s="7">
        <v>10</v>
      </c>
      <c r="AE6788" s="7">
        <v>10</v>
      </c>
      <c r="AF6788" s="8">
        <v>0.75</v>
      </c>
      <c r="AG6788" s="9">
        <v>16.7</v>
      </c>
      <c r="AH6788" s="10">
        <f t="shared" si="120"/>
        <v>17</v>
      </c>
    </row>
    <row r="6789" spans="11:34" ht="14.5" x14ac:dyDescent="0.35">
      <c r="K6789" s="4"/>
      <c r="AC6789" s="7">
        <v>2022</v>
      </c>
      <c r="AD6789" s="7">
        <v>10</v>
      </c>
      <c r="AE6789" s="7">
        <v>10</v>
      </c>
      <c r="AF6789" s="8">
        <v>0.79166666666666663</v>
      </c>
      <c r="AG6789" s="9">
        <v>13.8</v>
      </c>
      <c r="AH6789" s="10">
        <f t="shared" si="120"/>
        <v>14</v>
      </c>
    </row>
    <row r="6790" spans="11:34" ht="14.5" x14ac:dyDescent="0.35">
      <c r="K6790" s="4"/>
      <c r="AC6790" s="7">
        <v>2022</v>
      </c>
      <c r="AD6790" s="7">
        <v>10</v>
      </c>
      <c r="AE6790" s="7">
        <v>10</v>
      </c>
      <c r="AF6790" s="8">
        <v>0.83333333333333337</v>
      </c>
      <c r="AG6790" s="9">
        <v>10.7</v>
      </c>
      <c r="AH6790" s="10">
        <f t="shared" si="120"/>
        <v>11</v>
      </c>
    </row>
    <row r="6791" spans="11:34" ht="14.5" x14ac:dyDescent="0.35">
      <c r="K6791" s="4"/>
      <c r="AC6791" s="7">
        <v>2022</v>
      </c>
      <c r="AD6791" s="7">
        <v>10</v>
      </c>
      <c r="AE6791" s="7">
        <v>10</v>
      </c>
      <c r="AF6791" s="8">
        <v>0.875</v>
      </c>
      <c r="AG6791" s="9">
        <v>7.8</v>
      </c>
      <c r="AH6791" s="10">
        <f t="shared" si="120"/>
        <v>8</v>
      </c>
    </row>
    <row r="6792" spans="11:34" ht="14.5" x14ac:dyDescent="0.35">
      <c r="K6792" s="4"/>
      <c r="AC6792" s="7">
        <v>2022</v>
      </c>
      <c r="AD6792" s="7">
        <v>10</v>
      </c>
      <c r="AE6792" s="7">
        <v>10</v>
      </c>
      <c r="AF6792" s="8">
        <v>0.91666666666666663</v>
      </c>
      <c r="AG6792" s="9">
        <v>6</v>
      </c>
      <c r="AH6792" s="10">
        <f t="shared" si="120"/>
        <v>6</v>
      </c>
    </row>
    <row r="6793" spans="11:34" ht="14.5" x14ac:dyDescent="0.35">
      <c r="K6793" s="4"/>
      <c r="AC6793" s="7">
        <v>2022</v>
      </c>
      <c r="AD6793" s="7">
        <v>10</v>
      </c>
      <c r="AE6793" s="7">
        <v>10</v>
      </c>
      <c r="AF6793" s="8">
        <v>0.95833333333333337</v>
      </c>
      <c r="AG6793" s="9">
        <v>5.6</v>
      </c>
      <c r="AH6793" s="10">
        <f t="shared" si="120"/>
        <v>6</v>
      </c>
    </row>
    <row r="6794" spans="11:34" ht="14.5" x14ac:dyDescent="0.35">
      <c r="K6794" s="4"/>
      <c r="AC6794" s="7">
        <v>2022</v>
      </c>
      <c r="AD6794" s="7">
        <v>10</v>
      </c>
      <c r="AE6794" s="7">
        <v>11</v>
      </c>
      <c r="AF6794" s="8">
        <v>0</v>
      </c>
      <c r="AG6794" s="9">
        <v>5.3</v>
      </c>
      <c r="AH6794" s="10">
        <f t="shared" si="120"/>
        <v>5</v>
      </c>
    </row>
    <row r="6795" spans="11:34" ht="14.5" x14ac:dyDescent="0.35">
      <c r="K6795" s="4"/>
      <c r="AC6795" s="7">
        <v>2022</v>
      </c>
      <c r="AD6795" s="7">
        <v>10</v>
      </c>
      <c r="AE6795" s="7">
        <v>11</v>
      </c>
      <c r="AF6795" s="8">
        <v>4.1666666666666664E-2</v>
      </c>
      <c r="AG6795" s="9">
        <v>5.5</v>
      </c>
      <c r="AH6795" s="10">
        <f t="shared" ref="AH6795:AH6858" si="121">ROUND(AG6795,0)</f>
        <v>6</v>
      </c>
    </row>
    <row r="6796" spans="11:34" ht="14.5" x14ac:dyDescent="0.35">
      <c r="K6796" s="4"/>
      <c r="AC6796" s="7">
        <v>2022</v>
      </c>
      <c r="AD6796" s="7">
        <v>10</v>
      </c>
      <c r="AE6796" s="7">
        <v>11</v>
      </c>
      <c r="AF6796" s="8">
        <v>8.3333333333333329E-2</v>
      </c>
      <c r="AG6796" s="9">
        <v>5.6</v>
      </c>
      <c r="AH6796" s="10">
        <f t="shared" si="121"/>
        <v>6</v>
      </c>
    </row>
    <row r="6797" spans="11:34" ht="14.5" x14ac:dyDescent="0.35">
      <c r="K6797" s="4"/>
      <c r="AC6797" s="7">
        <v>2022</v>
      </c>
      <c r="AD6797" s="7">
        <v>10</v>
      </c>
      <c r="AE6797" s="7">
        <v>11</v>
      </c>
      <c r="AF6797" s="8">
        <v>0.125</v>
      </c>
      <c r="AG6797" s="9">
        <v>5.0999999999999996</v>
      </c>
      <c r="AH6797" s="10">
        <f t="shared" si="121"/>
        <v>5</v>
      </c>
    </row>
    <row r="6798" spans="11:34" ht="14.5" x14ac:dyDescent="0.35">
      <c r="K6798" s="4"/>
      <c r="AC6798" s="7">
        <v>2022</v>
      </c>
      <c r="AD6798" s="7">
        <v>10</v>
      </c>
      <c r="AE6798" s="7">
        <v>11</v>
      </c>
      <c r="AF6798" s="8">
        <v>0.16666666666666666</v>
      </c>
      <c r="AG6798" s="9">
        <v>3.8</v>
      </c>
      <c r="AH6798" s="10">
        <f t="shared" si="121"/>
        <v>4</v>
      </c>
    </row>
    <row r="6799" spans="11:34" ht="14.5" x14ac:dyDescent="0.35">
      <c r="K6799" s="4"/>
      <c r="AC6799" s="7">
        <v>2022</v>
      </c>
      <c r="AD6799" s="7">
        <v>10</v>
      </c>
      <c r="AE6799" s="7">
        <v>11</v>
      </c>
      <c r="AF6799" s="8">
        <v>0.20833333333333334</v>
      </c>
      <c r="AG6799" s="9">
        <v>1.9</v>
      </c>
      <c r="AH6799" s="10">
        <f t="shared" si="121"/>
        <v>2</v>
      </c>
    </row>
    <row r="6800" spans="11:34" ht="14.5" x14ac:dyDescent="0.35">
      <c r="K6800" s="4"/>
      <c r="AC6800" s="7">
        <v>2022</v>
      </c>
      <c r="AD6800" s="7">
        <v>10</v>
      </c>
      <c r="AE6800" s="7">
        <v>11</v>
      </c>
      <c r="AF6800" s="8">
        <v>0.25</v>
      </c>
      <c r="AG6800" s="9">
        <v>2.2999999999999998</v>
      </c>
      <c r="AH6800" s="10">
        <f t="shared" si="121"/>
        <v>2</v>
      </c>
    </row>
    <row r="6801" spans="11:34" ht="14.5" x14ac:dyDescent="0.35">
      <c r="K6801" s="4"/>
      <c r="AC6801" s="7">
        <v>2022</v>
      </c>
      <c r="AD6801" s="7">
        <v>10</v>
      </c>
      <c r="AE6801" s="7">
        <v>11</v>
      </c>
      <c r="AF6801" s="8">
        <v>0.29166666666666669</v>
      </c>
      <c r="AG6801" s="9">
        <v>0.6</v>
      </c>
      <c r="AH6801" s="10">
        <f t="shared" si="121"/>
        <v>1</v>
      </c>
    </row>
    <row r="6802" spans="11:34" ht="14.5" x14ac:dyDescent="0.35">
      <c r="K6802" s="4"/>
      <c r="AC6802" s="7">
        <v>2022</v>
      </c>
      <c r="AD6802" s="7">
        <v>10</v>
      </c>
      <c r="AE6802" s="7">
        <v>11</v>
      </c>
      <c r="AF6802" s="8">
        <v>0.33333333333333331</v>
      </c>
      <c r="AG6802" s="9">
        <v>4.2</v>
      </c>
      <c r="AH6802" s="10">
        <f t="shared" si="121"/>
        <v>4</v>
      </c>
    </row>
    <row r="6803" spans="11:34" ht="14.5" x14ac:dyDescent="0.35">
      <c r="K6803" s="4"/>
      <c r="AC6803" s="7">
        <v>2022</v>
      </c>
      <c r="AD6803" s="7">
        <v>10</v>
      </c>
      <c r="AE6803" s="7">
        <v>11</v>
      </c>
      <c r="AF6803" s="8">
        <v>0.375</v>
      </c>
      <c r="AG6803" s="9">
        <v>6.9</v>
      </c>
      <c r="AH6803" s="10">
        <f t="shared" si="121"/>
        <v>7</v>
      </c>
    </row>
    <row r="6804" spans="11:34" ht="14.5" x14ac:dyDescent="0.35">
      <c r="K6804" s="4"/>
      <c r="AC6804" s="7">
        <v>2022</v>
      </c>
      <c r="AD6804" s="7">
        <v>10</v>
      </c>
      <c r="AE6804" s="7">
        <v>11</v>
      </c>
      <c r="AF6804" s="8">
        <v>0.41666666666666669</v>
      </c>
      <c r="AG6804" s="9">
        <v>9.5</v>
      </c>
      <c r="AH6804" s="10">
        <f t="shared" si="121"/>
        <v>10</v>
      </c>
    </row>
    <row r="6805" spans="11:34" ht="14.5" x14ac:dyDescent="0.35">
      <c r="K6805" s="4"/>
      <c r="AC6805" s="7">
        <v>2022</v>
      </c>
      <c r="AD6805" s="7">
        <v>10</v>
      </c>
      <c r="AE6805" s="7">
        <v>11</v>
      </c>
      <c r="AF6805" s="8">
        <v>0.45833333333333331</v>
      </c>
      <c r="AG6805" s="9">
        <v>10.9</v>
      </c>
      <c r="AH6805" s="10">
        <f t="shared" si="121"/>
        <v>11</v>
      </c>
    </row>
    <row r="6806" spans="11:34" ht="14.5" x14ac:dyDescent="0.35">
      <c r="K6806" s="4"/>
      <c r="AC6806" s="7">
        <v>2022</v>
      </c>
      <c r="AD6806" s="7">
        <v>10</v>
      </c>
      <c r="AE6806" s="7">
        <v>11</v>
      </c>
      <c r="AF6806" s="8">
        <v>0.5</v>
      </c>
      <c r="AG6806" s="9">
        <v>12.1</v>
      </c>
      <c r="AH6806" s="10">
        <f t="shared" si="121"/>
        <v>12</v>
      </c>
    </row>
    <row r="6807" spans="11:34" ht="14.5" x14ac:dyDescent="0.35">
      <c r="K6807" s="4"/>
      <c r="AC6807" s="7">
        <v>2022</v>
      </c>
      <c r="AD6807" s="7">
        <v>10</v>
      </c>
      <c r="AE6807" s="7">
        <v>11</v>
      </c>
      <c r="AF6807" s="8">
        <v>0.54166666666666663</v>
      </c>
      <c r="AG6807" s="9">
        <v>12.4</v>
      </c>
      <c r="AH6807" s="10">
        <f t="shared" si="121"/>
        <v>12</v>
      </c>
    </row>
    <row r="6808" spans="11:34" ht="14.5" x14ac:dyDescent="0.35">
      <c r="K6808" s="4"/>
      <c r="AC6808" s="7">
        <v>2022</v>
      </c>
      <c r="AD6808" s="7">
        <v>10</v>
      </c>
      <c r="AE6808" s="7">
        <v>11</v>
      </c>
      <c r="AF6808" s="8">
        <v>0.58333333333333337</v>
      </c>
      <c r="AG6808" s="9">
        <v>12.9</v>
      </c>
      <c r="AH6808" s="10">
        <f t="shared" si="121"/>
        <v>13</v>
      </c>
    </row>
    <row r="6809" spans="11:34" ht="14.5" x14ac:dyDescent="0.35">
      <c r="K6809" s="4"/>
      <c r="AC6809" s="7">
        <v>2022</v>
      </c>
      <c r="AD6809" s="7">
        <v>10</v>
      </c>
      <c r="AE6809" s="7">
        <v>11</v>
      </c>
      <c r="AF6809" s="8">
        <v>0.625</v>
      </c>
      <c r="AG6809" s="9">
        <v>12.5</v>
      </c>
      <c r="AH6809" s="10">
        <f t="shared" si="121"/>
        <v>13</v>
      </c>
    </row>
    <row r="6810" spans="11:34" ht="14.5" x14ac:dyDescent="0.35">
      <c r="K6810" s="4"/>
      <c r="AC6810" s="7">
        <v>2022</v>
      </c>
      <c r="AD6810" s="7">
        <v>10</v>
      </c>
      <c r="AE6810" s="7">
        <v>11</v>
      </c>
      <c r="AF6810" s="8">
        <v>0.66666666666666663</v>
      </c>
      <c r="AG6810" s="9">
        <v>12</v>
      </c>
      <c r="AH6810" s="10">
        <f t="shared" si="121"/>
        <v>12</v>
      </c>
    </row>
    <row r="6811" spans="11:34" ht="14.5" x14ac:dyDescent="0.35">
      <c r="K6811" s="4"/>
      <c r="AC6811" s="7">
        <v>2022</v>
      </c>
      <c r="AD6811" s="7">
        <v>10</v>
      </c>
      <c r="AE6811" s="7">
        <v>11</v>
      </c>
      <c r="AF6811" s="8">
        <v>0.70833333333333337</v>
      </c>
      <c r="AG6811" s="9">
        <v>10.4</v>
      </c>
      <c r="AH6811" s="10">
        <f t="shared" si="121"/>
        <v>10</v>
      </c>
    </row>
    <row r="6812" spans="11:34" ht="14.5" x14ac:dyDescent="0.35">
      <c r="K6812" s="4"/>
      <c r="AC6812" s="7">
        <v>2022</v>
      </c>
      <c r="AD6812" s="7">
        <v>10</v>
      </c>
      <c r="AE6812" s="7">
        <v>11</v>
      </c>
      <c r="AF6812" s="8">
        <v>0.75</v>
      </c>
      <c r="AG6812" s="9">
        <v>8.6</v>
      </c>
      <c r="AH6812" s="10">
        <f t="shared" si="121"/>
        <v>9</v>
      </c>
    </row>
    <row r="6813" spans="11:34" ht="14.5" x14ac:dyDescent="0.35">
      <c r="K6813" s="4"/>
      <c r="AC6813" s="7">
        <v>2022</v>
      </c>
      <c r="AD6813" s="7">
        <v>10</v>
      </c>
      <c r="AE6813" s="7">
        <v>11</v>
      </c>
      <c r="AF6813" s="8">
        <v>0.79166666666666663</v>
      </c>
      <c r="AG6813" s="9">
        <v>7</v>
      </c>
      <c r="AH6813" s="10">
        <f t="shared" si="121"/>
        <v>7</v>
      </c>
    </row>
    <row r="6814" spans="11:34" ht="14.5" x14ac:dyDescent="0.35">
      <c r="K6814" s="4"/>
      <c r="AC6814" s="7">
        <v>2022</v>
      </c>
      <c r="AD6814" s="7">
        <v>10</v>
      </c>
      <c r="AE6814" s="7">
        <v>11</v>
      </c>
      <c r="AF6814" s="8">
        <v>0.83333333333333337</v>
      </c>
      <c r="AG6814" s="9">
        <v>6.5</v>
      </c>
      <c r="AH6814" s="10">
        <f t="shared" si="121"/>
        <v>7</v>
      </c>
    </row>
    <row r="6815" spans="11:34" ht="14.5" x14ac:dyDescent="0.35">
      <c r="K6815" s="4"/>
      <c r="AC6815" s="7">
        <v>2022</v>
      </c>
      <c r="AD6815" s="7">
        <v>10</v>
      </c>
      <c r="AE6815" s="7">
        <v>11</v>
      </c>
      <c r="AF6815" s="8">
        <v>0.875</v>
      </c>
      <c r="AG6815" s="9">
        <v>5.9</v>
      </c>
      <c r="AH6815" s="10">
        <f t="shared" si="121"/>
        <v>6</v>
      </c>
    </row>
    <row r="6816" spans="11:34" ht="14.5" x14ac:dyDescent="0.35">
      <c r="K6816" s="4"/>
      <c r="AC6816" s="7">
        <v>2022</v>
      </c>
      <c r="AD6816" s="7">
        <v>10</v>
      </c>
      <c r="AE6816" s="7">
        <v>11</v>
      </c>
      <c r="AF6816" s="8">
        <v>0.91666666666666663</v>
      </c>
      <c r="AG6816" s="9">
        <v>6.5</v>
      </c>
      <c r="AH6816" s="10">
        <f t="shared" si="121"/>
        <v>7</v>
      </c>
    </row>
    <row r="6817" spans="11:34" ht="14.5" x14ac:dyDescent="0.35">
      <c r="K6817" s="4"/>
      <c r="AC6817" s="7">
        <v>2022</v>
      </c>
      <c r="AD6817" s="7">
        <v>10</v>
      </c>
      <c r="AE6817" s="7">
        <v>11</v>
      </c>
      <c r="AF6817" s="8">
        <v>0.95833333333333337</v>
      </c>
      <c r="AG6817" s="9">
        <v>8.5</v>
      </c>
      <c r="AH6817" s="10">
        <f t="shared" si="121"/>
        <v>9</v>
      </c>
    </row>
    <row r="6818" spans="11:34" ht="14.5" x14ac:dyDescent="0.35">
      <c r="K6818" s="4"/>
      <c r="AC6818" s="7">
        <v>2022</v>
      </c>
      <c r="AD6818" s="7">
        <v>10</v>
      </c>
      <c r="AE6818" s="7">
        <v>12</v>
      </c>
      <c r="AF6818" s="8">
        <v>0</v>
      </c>
      <c r="AG6818" s="9">
        <v>7.1</v>
      </c>
      <c r="AH6818" s="10">
        <f t="shared" si="121"/>
        <v>7</v>
      </c>
    </row>
    <row r="6819" spans="11:34" ht="14.5" x14ac:dyDescent="0.35">
      <c r="K6819" s="4"/>
      <c r="AC6819" s="7">
        <v>2022</v>
      </c>
      <c r="AD6819" s="7">
        <v>10</v>
      </c>
      <c r="AE6819" s="7">
        <v>12</v>
      </c>
      <c r="AF6819" s="8">
        <v>4.1666666666666664E-2</v>
      </c>
      <c r="AG6819" s="9">
        <v>7.9</v>
      </c>
      <c r="AH6819" s="10">
        <f t="shared" si="121"/>
        <v>8</v>
      </c>
    </row>
    <row r="6820" spans="11:34" ht="14.5" x14ac:dyDescent="0.35">
      <c r="K6820" s="4"/>
      <c r="AC6820" s="7">
        <v>2022</v>
      </c>
      <c r="AD6820" s="7">
        <v>10</v>
      </c>
      <c r="AE6820" s="7">
        <v>12</v>
      </c>
      <c r="AF6820" s="8">
        <v>8.3333333333333329E-2</v>
      </c>
      <c r="AG6820" s="9">
        <v>7</v>
      </c>
      <c r="AH6820" s="10">
        <f t="shared" si="121"/>
        <v>7</v>
      </c>
    </row>
    <row r="6821" spans="11:34" ht="14.5" x14ac:dyDescent="0.35">
      <c r="K6821" s="4"/>
      <c r="AC6821" s="7">
        <v>2022</v>
      </c>
      <c r="AD6821" s="7">
        <v>10</v>
      </c>
      <c r="AE6821" s="7">
        <v>12</v>
      </c>
      <c r="AF6821" s="8">
        <v>0.125</v>
      </c>
      <c r="AG6821" s="9">
        <v>4.5</v>
      </c>
      <c r="AH6821" s="10">
        <f t="shared" si="121"/>
        <v>5</v>
      </c>
    </row>
    <row r="6822" spans="11:34" ht="14.5" x14ac:dyDescent="0.35">
      <c r="K6822" s="4"/>
      <c r="AC6822" s="7">
        <v>2022</v>
      </c>
      <c r="AD6822" s="7">
        <v>10</v>
      </c>
      <c r="AE6822" s="7">
        <v>12</v>
      </c>
      <c r="AF6822" s="8">
        <v>0.16666666666666666</v>
      </c>
      <c r="AG6822" s="9">
        <v>4.0999999999999996</v>
      </c>
      <c r="AH6822" s="10">
        <f t="shared" si="121"/>
        <v>4</v>
      </c>
    </row>
    <row r="6823" spans="11:34" ht="14.5" x14ac:dyDescent="0.35">
      <c r="K6823" s="4"/>
      <c r="AC6823" s="7">
        <v>2022</v>
      </c>
      <c r="AD6823" s="7">
        <v>10</v>
      </c>
      <c r="AE6823" s="7">
        <v>12</v>
      </c>
      <c r="AF6823" s="8">
        <v>0.20833333333333334</v>
      </c>
      <c r="AG6823" s="9">
        <v>5.4</v>
      </c>
      <c r="AH6823" s="10">
        <f t="shared" si="121"/>
        <v>5</v>
      </c>
    </row>
    <row r="6824" spans="11:34" ht="14.5" x14ac:dyDescent="0.35">
      <c r="K6824" s="4"/>
      <c r="AC6824" s="7">
        <v>2022</v>
      </c>
      <c r="AD6824" s="7">
        <v>10</v>
      </c>
      <c r="AE6824" s="7">
        <v>12</v>
      </c>
      <c r="AF6824" s="8">
        <v>0.25</v>
      </c>
      <c r="AG6824" s="9">
        <v>5.2</v>
      </c>
      <c r="AH6824" s="10">
        <f t="shared" si="121"/>
        <v>5</v>
      </c>
    </row>
    <row r="6825" spans="11:34" ht="14.5" x14ac:dyDescent="0.35">
      <c r="K6825" s="4"/>
      <c r="AC6825" s="7">
        <v>2022</v>
      </c>
      <c r="AD6825" s="7">
        <v>10</v>
      </c>
      <c r="AE6825" s="7">
        <v>12</v>
      </c>
      <c r="AF6825" s="8">
        <v>0.29166666666666669</v>
      </c>
      <c r="AG6825" s="9">
        <v>4.3</v>
      </c>
      <c r="AH6825" s="10">
        <f t="shared" si="121"/>
        <v>4</v>
      </c>
    </row>
    <row r="6826" spans="11:34" ht="14.5" x14ac:dyDescent="0.35">
      <c r="K6826" s="4"/>
      <c r="AC6826" s="7">
        <v>2022</v>
      </c>
      <c r="AD6826" s="7">
        <v>10</v>
      </c>
      <c r="AE6826" s="7">
        <v>12</v>
      </c>
      <c r="AF6826" s="8">
        <v>0.33333333333333331</v>
      </c>
      <c r="AG6826" s="9">
        <v>4.9000000000000004</v>
      </c>
      <c r="AH6826" s="10">
        <f t="shared" si="121"/>
        <v>5</v>
      </c>
    </row>
    <row r="6827" spans="11:34" ht="14.5" x14ac:dyDescent="0.35">
      <c r="K6827" s="4"/>
      <c r="AC6827" s="7">
        <v>2022</v>
      </c>
      <c r="AD6827" s="7">
        <v>10</v>
      </c>
      <c r="AE6827" s="7">
        <v>12</v>
      </c>
      <c r="AF6827" s="8">
        <v>0.375</v>
      </c>
      <c r="AG6827" s="9">
        <v>8.1</v>
      </c>
      <c r="AH6827" s="10">
        <f t="shared" si="121"/>
        <v>8</v>
      </c>
    </row>
    <row r="6828" spans="11:34" ht="14.5" x14ac:dyDescent="0.35">
      <c r="K6828" s="4"/>
      <c r="AC6828" s="7">
        <v>2022</v>
      </c>
      <c r="AD6828" s="7">
        <v>10</v>
      </c>
      <c r="AE6828" s="7">
        <v>12</v>
      </c>
      <c r="AF6828" s="8">
        <v>0.41666666666666669</v>
      </c>
      <c r="AG6828" s="9">
        <v>9.9</v>
      </c>
      <c r="AH6828" s="10">
        <f t="shared" si="121"/>
        <v>10</v>
      </c>
    </row>
    <row r="6829" spans="11:34" ht="14.5" x14ac:dyDescent="0.35">
      <c r="K6829" s="4"/>
      <c r="AC6829" s="7">
        <v>2022</v>
      </c>
      <c r="AD6829" s="7">
        <v>10</v>
      </c>
      <c r="AE6829" s="7">
        <v>12</v>
      </c>
      <c r="AF6829" s="8">
        <v>0.45833333333333331</v>
      </c>
      <c r="AG6829" s="9">
        <v>10.9</v>
      </c>
      <c r="AH6829" s="10">
        <f t="shared" si="121"/>
        <v>11</v>
      </c>
    </row>
    <row r="6830" spans="11:34" ht="14.5" x14ac:dyDescent="0.35">
      <c r="K6830" s="4"/>
      <c r="AC6830" s="7">
        <v>2022</v>
      </c>
      <c r="AD6830" s="7">
        <v>10</v>
      </c>
      <c r="AE6830" s="7">
        <v>12</v>
      </c>
      <c r="AF6830" s="8">
        <v>0.5</v>
      </c>
      <c r="AG6830" s="9">
        <v>11.7</v>
      </c>
      <c r="AH6830" s="10">
        <f t="shared" si="121"/>
        <v>12</v>
      </c>
    </row>
    <row r="6831" spans="11:34" ht="14.5" x14ac:dyDescent="0.35">
      <c r="K6831" s="4"/>
      <c r="AC6831" s="7">
        <v>2022</v>
      </c>
      <c r="AD6831" s="7">
        <v>10</v>
      </c>
      <c r="AE6831" s="7">
        <v>12</v>
      </c>
      <c r="AF6831" s="8">
        <v>0.54166666666666663</v>
      </c>
      <c r="AG6831" s="9">
        <v>12.5</v>
      </c>
      <c r="AH6831" s="10">
        <f t="shared" si="121"/>
        <v>13</v>
      </c>
    </row>
    <row r="6832" spans="11:34" ht="14.5" x14ac:dyDescent="0.35">
      <c r="K6832" s="4"/>
      <c r="AC6832" s="7">
        <v>2022</v>
      </c>
      <c r="AD6832" s="7">
        <v>10</v>
      </c>
      <c r="AE6832" s="7">
        <v>12</v>
      </c>
      <c r="AF6832" s="8">
        <v>0.58333333333333337</v>
      </c>
      <c r="AG6832" s="9">
        <v>12.6</v>
      </c>
      <c r="AH6832" s="10">
        <f t="shared" si="121"/>
        <v>13</v>
      </c>
    </row>
    <row r="6833" spans="11:34" ht="14.5" x14ac:dyDescent="0.35">
      <c r="K6833" s="4"/>
      <c r="AC6833" s="7">
        <v>2022</v>
      </c>
      <c r="AD6833" s="7">
        <v>10</v>
      </c>
      <c r="AE6833" s="7">
        <v>12</v>
      </c>
      <c r="AF6833" s="8">
        <v>0.625</v>
      </c>
      <c r="AG6833" s="9">
        <v>13</v>
      </c>
      <c r="AH6833" s="10">
        <f t="shared" si="121"/>
        <v>13</v>
      </c>
    </row>
    <row r="6834" spans="11:34" ht="14.5" x14ac:dyDescent="0.35">
      <c r="K6834" s="4"/>
      <c r="AC6834" s="7">
        <v>2022</v>
      </c>
      <c r="AD6834" s="7">
        <v>10</v>
      </c>
      <c r="AE6834" s="7">
        <v>12</v>
      </c>
      <c r="AF6834" s="8">
        <v>0.66666666666666663</v>
      </c>
      <c r="AG6834" s="9">
        <v>13</v>
      </c>
      <c r="AH6834" s="10">
        <f t="shared" si="121"/>
        <v>13</v>
      </c>
    </row>
    <row r="6835" spans="11:34" ht="14.5" x14ac:dyDescent="0.35">
      <c r="K6835" s="4"/>
      <c r="AC6835" s="7">
        <v>2022</v>
      </c>
      <c r="AD6835" s="7">
        <v>10</v>
      </c>
      <c r="AE6835" s="7">
        <v>12</v>
      </c>
      <c r="AF6835" s="8">
        <v>0.70833333333333337</v>
      </c>
      <c r="AG6835" s="9">
        <v>12.1</v>
      </c>
      <c r="AH6835" s="10">
        <f t="shared" si="121"/>
        <v>12</v>
      </c>
    </row>
    <row r="6836" spans="11:34" ht="14.5" x14ac:dyDescent="0.35">
      <c r="K6836" s="4"/>
      <c r="AC6836" s="7">
        <v>2022</v>
      </c>
      <c r="AD6836" s="7">
        <v>10</v>
      </c>
      <c r="AE6836" s="7">
        <v>12</v>
      </c>
      <c r="AF6836" s="8">
        <v>0.75</v>
      </c>
      <c r="AG6836" s="9">
        <v>9.6</v>
      </c>
      <c r="AH6836" s="10">
        <f t="shared" si="121"/>
        <v>10</v>
      </c>
    </row>
    <row r="6837" spans="11:34" ht="14.5" x14ac:dyDescent="0.35">
      <c r="K6837" s="4"/>
      <c r="AC6837" s="7">
        <v>2022</v>
      </c>
      <c r="AD6837" s="7">
        <v>10</v>
      </c>
      <c r="AE6837" s="7">
        <v>12</v>
      </c>
      <c r="AF6837" s="8">
        <v>0.79166666666666663</v>
      </c>
      <c r="AG6837" s="9">
        <v>6.7</v>
      </c>
      <c r="AH6837" s="10">
        <f t="shared" si="121"/>
        <v>7</v>
      </c>
    </row>
    <row r="6838" spans="11:34" ht="14.5" x14ac:dyDescent="0.35">
      <c r="K6838" s="4"/>
      <c r="AC6838" s="7">
        <v>2022</v>
      </c>
      <c r="AD6838" s="7">
        <v>10</v>
      </c>
      <c r="AE6838" s="7">
        <v>12</v>
      </c>
      <c r="AF6838" s="8">
        <v>0.83333333333333337</v>
      </c>
      <c r="AG6838" s="9">
        <v>5.8</v>
      </c>
      <c r="AH6838" s="10">
        <f t="shared" si="121"/>
        <v>6</v>
      </c>
    </row>
    <row r="6839" spans="11:34" ht="14.5" x14ac:dyDescent="0.35">
      <c r="K6839" s="4"/>
      <c r="AC6839" s="7">
        <v>2022</v>
      </c>
      <c r="AD6839" s="7">
        <v>10</v>
      </c>
      <c r="AE6839" s="7">
        <v>12</v>
      </c>
      <c r="AF6839" s="8">
        <v>0.875</v>
      </c>
      <c r="AG6839" s="9">
        <v>4.5999999999999996</v>
      </c>
      <c r="AH6839" s="10">
        <f t="shared" si="121"/>
        <v>5</v>
      </c>
    </row>
    <row r="6840" spans="11:34" ht="14.5" x14ac:dyDescent="0.35">
      <c r="K6840" s="4"/>
      <c r="AC6840" s="7">
        <v>2022</v>
      </c>
      <c r="AD6840" s="7">
        <v>10</v>
      </c>
      <c r="AE6840" s="7">
        <v>12</v>
      </c>
      <c r="AF6840" s="8">
        <v>0.91666666666666663</v>
      </c>
      <c r="AG6840" s="9">
        <v>3.2</v>
      </c>
      <c r="AH6840" s="10">
        <f t="shared" si="121"/>
        <v>3</v>
      </c>
    </row>
    <row r="6841" spans="11:34" ht="14.5" x14ac:dyDescent="0.35">
      <c r="K6841" s="4"/>
      <c r="AC6841" s="7">
        <v>2022</v>
      </c>
      <c r="AD6841" s="7">
        <v>10</v>
      </c>
      <c r="AE6841" s="7">
        <v>12</v>
      </c>
      <c r="AF6841" s="8">
        <v>0.95833333333333337</v>
      </c>
      <c r="AG6841" s="9">
        <v>1.9</v>
      </c>
      <c r="AH6841" s="10">
        <f t="shared" si="121"/>
        <v>2</v>
      </c>
    </row>
    <row r="6842" spans="11:34" ht="14.5" x14ac:dyDescent="0.35">
      <c r="K6842" s="4"/>
      <c r="AC6842" s="7">
        <v>2022</v>
      </c>
      <c r="AD6842" s="7">
        <v>10</v>
      </c>
      <c r="AE6842" s="7">
        <v>13</v>
      </c>
      <c r="AF6842" s="8">
        <v>0</v>
      </c>
      <c r="AG6842" s="9">
        <v>0.2</v>
      </c>
      <c r="AH6842" s="10">
        <f t="shared" si="121"/>
        <v>0</v>
      </c>
    </row>
    <row r="6843" spans="11:34" ht="14.5" x14ac:dyDescent="0.35">
      <c r="K6843" s="4"/>
      <c r="AC6843" s="7">
        <v>2022</v>
      </c>
      <c r="AD6843" s="7">
        <v>10</v>
      </c>
      <c r="AE6843" s="7">
        <v>13</v>
      </c>
      <c r="AF6843" s="8">
        <v>4.1666666666666664E-2</v>
      </c>
      <c r="AG6843" s="9">
        <v>0.5</v>
      </c>
      <c r="AH6843" s="10">
        <f t="shared" si="121"/>
        <v>1</v>
      </c>
    </row>
    <row r="6844" spans="11:34" ht="14.5" x14ac:dyDescent="0.35">
      <c r="K6844" s="4"/>
      <c r="AC6844" s="7">
        <v>2022</v>
      </c>
      <c r="AD6844" s="7">
        <v>10</v>
      </c>
      <c r="AE6844" s="7">
        <v>13</v>
      </c>
      <c r="AF6844" s="8">
        <v>8.3333333333333329E-2</v>
      </c>
      <c r="AG6844" s="9">
        <v>0.1</v>
      </c>
      <c r="AH6844" s="10">
        <f t="shared" si="121"/>
        <v>0</v>
      </c>
    </row>
    <row r="6845" spans="11:34" ht="14.5" x14ac:dyDescent="0.35">
      <c r="K6845" s="4"/>
      <c r="AC6845" s="7">
        <v>2022</v>
      </c>
      <c r="AD6845" s="7">
        <v>10</v>
      </c>
      <c r="AE6845" s="7">
        <v>13</v>
      </c>
      <c r="AF6845" s="8">
        <v>0.125</v>
      </c>
      <c r="AG6845" s="9">
        <v>-1.2</v>
      </c>
      <c r="AH6845" s="10">
        <f t="shared" si="121"/>
        <v>-1</v>
      </c>
    </row>
    <row r="6846" spans="11:34" ht="14.5" x14ac:dyDescent="0.35">
      <c r="K6846" s="4"/>
      <c r="AC6846" s="7">
        <v>2022</v>
      </c>
      <c r="AD6846" s="7">
        <v>10</v>
      </c>
      <c r="AE6846" s="7">
        <v>13</v>
      </c>
      <c r="AF6846" s="8">
        <v>0.16666666666666666</v>
      </c>
      <c r="AG6846" s="9">
        <v>-1.5</v>
      </c>
      <c r="AH6846" s="10">
        <f t="shared" si="121"/>
        <v>-2</v>
      </c>
    </row>
    <row r="6847" spans="11:34" ht="14.5" x14ac:dyDescent="0.35">
      <c r="K6847" s="4"/>
      <c r="AC6847" s="7">
        <v>2022</v>
      </c>
      <c r="AD6847" s="7">
        <v>10</v>
      </c>
      <c r="AE6847" s="7">
        <v>13</v>
      </c>
      <c r="AF6847" s="8">
        <v>0.20833333333333334</v>
      </c>
      <c r="AG6847" s="9">
        <v>-0.6</v>
      </c>
      <c r="AH6847" s="10">
        <f t="shared" si="121"/>
        <v>-1</v>
      </c>
    </row>
    <row r="6848" spans="11:34" ht="14.5" x14ac:dyDescent="0.35">
      <c r="K6848" s="4"/>
      <c r="AC6848" s="7">
        <v>2022</v>
      </c>
      <c r="AD6848" s="7">
        <v>10</v>
      </c>
      <c r="AE6848" s="7">
        <v>13</v>
      </c>
      <c r="AF6848" s="8">
        <v>0.25</v>
      </c>
      <c r="AG6848" s="9">
        <v>-0.1</v>
      </c>
      <c r="AH6848" s="10">
        <f t="shared" si="121"/>
        <v>0</v>
      </c>
    </row>
    <row r="6849" spans="11:34" ht="14.5" x14ac:dyDescent="0.35">
      <c r="K6849" s="4"/>
      <c r="AC6849" s="7">
        <v>2022</v>
      </c>
      <c r="AD6849" s="7">
        <v>10</v>
      </c>
      <c r="AE6849" s="7">
        <v>13</v>
      </c>
      <c r="AF6849" s="8">
        <v>0.29166666666666669</v>
      </c>
      <c r="AG6849" s="9">
        <v>0.3</v>
      </c>
      <c r="AH6849" s="10">
        <f t="shared" si="121"/>
        <v>0</v>
      </c>
    </row>
    <row r="6850" spans="11:34" ht="14.5" x14ac:dyDescent="0.35">
      <c r="K6850" s="4"/>
      <c r="AC6850" s="7">
        <v>2022</v>
      </c>
      <c r="AD6850" s="7">
        <v>10</v>
      </c>
      <c r="AE6850" s="7">
        <v>13</v>
      </c>
      <c r="AF6850" s="8">
        <v>0.33333333333333331</v>
      </c>
      <c r="AG6850" s="9">
        <v>4</v>
      </c>
      <c r="AH6850" s="10">
        <f t="shared" si="121"/>
        <v>4</v>
      </c>
    </row>
    <row r="6851" spans="11:34" ht="14.5" x14ac:dyDescent="0.35">
      <c r="K6851" s="4"/>
      <c r="AC6851" s="7">
        <v>2022</v>
      </c>
      <c r="AD6851" s="7">
        <v>10</v>
      </c>
      <c r="AE6851" s="7">
        <v>13</v>
      </c>
      <c r="AF6851" s="8">
        <v>0.375</v>
      </c>
      <c r="AG6851" s="9">
        <v>8.1</v>
      </c>
      <c r="AH6851" s="10">
        <f t="shared" si="121"/>
        <v>8</v>
      </c>
    </row>
    <row r="6852" spans="11:34" ht="14.5" x14ac:dyDescent="0.35">
      <c r="K6852" s="4"/>
      <c r="AC6852" s="7">
        <v>2022</v>
      </c>
      <c r="AD6852" s="7">
        <v>10</v>
      </c>
      <c r="AE6852" s="7">
        <v>13</v>
      </c>
      <c r="AF6852" s="8">
        <v>0.41666666666666669</v>
      </c>
      <c r="AG6852" s="9">
        <v>12</v>
      </c>
      <c r="AH6852" s="10">
        <f t="shared" si="121"/>
        <v>12</v>
      </c>
    </row>
    <row r="6853" spans="11:34" ht="14.5" x14ac:dyDescent="0.35">
      <c r="K6853" s="4"/>
      <c r="AC6853" s="7">
        <v>2022</v>
      </c>
      <c r="AD6853" s="7">
        <v>10</v>
      </c>
      <c r="AE6853" s="7">
        <v>13</v>
      </c>
      <c r="AF6853" s="8">
        <v>0.45833333333333331</v>
      </c>
      <c r="AG6853" s="9">
        <v>14.8</v>
      </c>
      <c r="AH6853" s="10">
        <f t="shared" si="121"/>
        <v>15</v>
      </c>
    </row>
    <row r="6854" spans="11:34" ht="14.5" x14ac:dyDescent="0.35">
      <c r="K6854" s="4"/>
      <c r="AC6854" s="7">
        <v>2022</v>
      </c>
      <c r="AD6854" s="7">
        <v>10</v>
      </c>
      <c r="AE6854" s="7">
        <v>13</v>
      </c>
      <c r="AF6854" s="8">
        <v>0.5</v>
      </c>
      <c r="AG6854" s="9">
        <v>16.600000000000001</v>
      </c>
      <c r="AH6854" s="10">
        <f t="shared" si="121"/>
        <v>17</v>
      </c>
    </row>
    <row r="6855" spans="11:34" ht="14.5" x14ac:dyDescent="0.35">
      <c r="K6855" s="4"/>
      <c r="AC6855" s="7">
        <v>2022</v>
      </c>
      <c r="AD6855" s="7">
        <v>10</v>
      </c>
      <c r="AE6855" s="7">
        <v>13</v>
      </c>
      <c r="AF6855" s="8">
        <v>0.54166666666666663</v>
      </c>
      <c r="AG6855" s="9">
        <v>18.3</v>
      </c>
      <c r="AH6855" s="10">
        <f t="shared" si="121"/>
        <v>18</v>
      </c>
    </row>
    <row r="6856" spans="11:34" ht="14.5" x14ac:dyDescent="0.35">
      <c r="K6856" s="4"/>
      <c r="AC6856" s="7">
        <v>2022</v>
      </c>
      <c r="AD6856" s="7">
        <v>10</v>
      </c>
      <c r="AE6856" s="7">
        <v>13</v>
      </c>
      <c r="AF6856" s="8">
        <v>0.58333333333333337</v>
      </c>
      <c r="AG6856" s="9">
        <v>19.7</v>
      </c>
      <c r="AH6856" s="10">
        <f t="shared" si="121"/>
        <v>20</v>
      </c>
    </row>
    <row r="6857" spans="11:34" ht="14.5" x14ac:dyDescent="0.35">
      <c r="K6857" s="4"/>
      <c r="AC6857" s="7">
        <v>2022</v>
      </c>
      <c r="AD6857" s="7">
        <v>10</v>
      </c>
      <c r="AE6857" s="7">
        <v>13</v>
      </c>
      <c r="AF6857" s="8">
        <v>0.625</v>
      </c>
      <c r="AG6857" s="9">
        <v>20.8</v>
      </c>
      <c r="AH6857" s="10">
        <f t="shared" si="121"/>
        <v>21</v>
      </c>
    </row>
    <row r="6858" spans="11:34" ht="14.5" x14ac:dyDescent="0.35">
      <c r="K6858" s="4"/>
      <c r="AC6858" s="7">
        <v>2022</v>
      </c>
      <c r="AD6858" s="7">
        <v>10</v>
      </c>
      <c r="AE6858" s="7">
        <v>13</v>
      </c>
      <c r="AF6858" s="8">
        <v>0.66666666666666663</v>
      </c>
      <c r="AG6858" s="9">
        <v>21</v>
      </c>
      <c r="AH6858" s="10">
        <f t="shared" si="121"/>
        <v>21</v>
      </c>
    </row>
    <row r="6859" spans="11:34" ht="14.5" x14ac:dyDescent="0.35">
      <c r="K6859" s="4"/>
      <c r="AC6859" s="7">
        <v>2022</v>
      </c>
      <c r="AD6859" s="7">
        <v>10</v>
      </c>
      <c r="AE6859" s="7">
        <v>13</v>
      </c>
      <c r="AF6859" s="8">
        <v>0.70833333333333337</v>
      </c>
      <c r="AG6859" s="9">
        <v>19</v>
      </c>
      <c r="AH6859" s="10">
        <f t="shared" ref="AH6859:AH6922" si="122">ROUND(AG6859,0)</f>
        <v>19</v>
      </c>
    </row>
    <row r="6860" spans="11:34" ht="14.5" x14ac:dyDescent="0.35">
      <c r="K6860" s="4"/>
      <c r="AC6860" s="7">
        <v>2022</v>
      </c>
      <c r="AD6860" s="7">
        <v>10</v>
      </c>
      <c r="AE6860" s="7">
        <v>13</v>
      </c>
      <c r="AF6860" s="8">
        <v>0.75</v>
      </c>
      <c r="AG6860" s="9">
        <v>14.5</v>
      </c>
      <c r="AH6860" s="10">
        <f t="shared" si="122"/>
        <v>15</v>
      </c>
    </row>
    <row r="6861" spans="11:34" ht="14.5" x14ac:dyDescent="0.35">
      <c r="K6861" s="4"/>
      <c r="AC6861" s="7">
        <v>2022</v>
      </c>
      <c r="AD6861" s="7">
        <v>10</v>
      </c>
      <c r="AE6861" s="7">
        <v>13</v>
      </c>
      <c r="AF6861" s="8">
        <v>0.79166666666666663</v>
      </c>
      <c r="AG6861" s="9">
        <v>12.5</v>
      </c>
      <c r="AH6861" s="10">
        <f t="shared" si="122"/>
        <v>13</v>
      </c>
    </row>
    <row r="6862" spans="11:34" ht="14.5" x14ac:dyDescent="0.35">
      <c r="K6862" s="4"/>
      <c r="AC6862" s="7">
        <v>2022</v>
      </c>
      <c r="AD6862" s="7">
        <v>10</v>
      </c>
      <c r="AE6862" s="7">
        <v>13</v>
      </c>
      <c r="AF6862" s="8">
        <v>0.83333333333333337</v>
      </c>
      <c r="AG6862" s="9">
        <v>11.7</v>
      </c>
      <c r="AH6862" s="10">
        <f t="shared" si="122"/>
        <v>12</v>
      </c>
    </row>
    <row r="6863" spans="11:34" ht="14.5" x14ac:dyDescent="0.35">
      <c r="K6863" s="4"/>
      <c r="AC6863" s="7">
        <v>2022</v>
      </c>
      <c r="AD6863" s="7">
        <v>10</v>
      </c>
      <c r="AE6863" s="7">
        <v>13</v>
      </c>
      <c r="AF6863" s="8">
        <v>0.875</v>
      </c>
      <c r="AG6863" s="9">
        <v>10.199999999999999</v>
      </c>
      <c r="AH6863" s="10">
        <f t="shared" si="122"/>
        <v>10</v>
      </c>
    </row>
    <row r="6864" spans="11:34" ht="14.5" x14ac:dyDescent="0.35">
      <c r="K6864" s="4"/>
      <c r="AC6864" s="7">
        <v>2022</v>
      </c>
      <c r="AD6864" s="7">
        <v>10</v>
      </c>
      <c r="AE6864" s="7">
        <v>13</v>
      </c>
      <c r="AF6864" s="8">
        <v>0.91666666666666663</v>
      </c>
      <c r="AG6864" s="9">
        <v>10.199999999999999</v>
      </c>
      <c r="AH6864" s="10">
        <f t="shared" si="122"/>
        <v>10</v>
      </c>
    </row>
    <row r="6865" spans="11:34" ht="14.5" x14ac:dyDescent="0.35">
      <c r="K6865" s="4"/>
      <c r="AC6865" s="7">
        <v>2022</v>
      </c>
      <c r="AD6865" s="7">
        <v>10</v>
      </c>
      <c r="AE6865" s="7">
        <v>13</v>
      </c>
      <c r="AF6865" s="8">
        <v>0.95833333333333337</v>
      </c>
      <c r="AG6865" s="9">
        <v>12.6</v>
      </c>
      <c r="AH6865" s="10">
        <f t="shared" si="122"/>
        <v>13</v>
      </c>
    </row>
    <row r="6866" spans="11:34" ht="14.5" x14ac:dyDescent="0.35">
      <c r="K6866" s="4"/>
      <c r="AC6866" s="7">
        <v>2022</v>
      </c>
      <c r="AD6866" s="7">
        <v>10</v>
      </c>
      <c r="AE6866" s="7">
        <v>14</v>
      </c>
      <c r="AF6866" s="8">
        <v>0</v>
      </c>
      <c r="AG6866" s="9">
        <v>9.1</v>
      </c>
      <c r="AH6866" s="10">
        <f t="shared" si="122"/>
        <v>9</v>
      </c>
    </row>
    <row r="6867" spans="11:34" ht="14.5" x14ac:dyDescent="0.35">
      <c r="K6867" s="4"/>
      <c r="AC6867" s="7">
        <v>2022</v>
      </c>
      <c r="AD6867" s="7">
        <v>10</v>
      </c>
      <c r="AE6867" s="7">
        <v>14</v>
      </c>
      <c r="AF6867" s="8">
        <v>4.1666666666666664E-2</v>
      </c>
      <c r="AG6867" s="9">
        <v>8.8000000000000007</v>
      </c>
      <c r="AH6867" s="10">
        <f t="shared" si="122"/>
        <v>9</v>
      </c>
    </row>
    <row r="6868" spans="11:34" ht="14.5" x14ac:dyDescent="0.35">
      <c r="K6868" s="4"/>
      <c r="AC6868" s="7">
        <v>2022</v>
      </c>
      <c r="AD6868" s="7">
        <v>10</v>
      </c>
      <c r="AE6868" s="7">
        <v>14</v>
      </c>
      <c r="AF6868" s="8">
        <v>8.3333333333333329E-2</v>
      </c>
      <c r="AG6868" s="9">
        <v>6.9</v>
      </c>
      <c r="AH6868" s="10">
        <f t="shared" si="122"/>
        <v>7</v>
      </c>
    </row>
    <row r="6869" spans="11:34" ht="14.5" x14ac:dyDescent="0.35">
      <c r="K6869" s="4"/>
      <c r="AC6869" s="7">
        <v>2022</v>
      </c>
      <c r="AD6869" s="7">
        <v>10</v>
      </c>
      <c r="AE6869" s="7">
        <v>14</v>
      </c>
      <c r="AF6869" s="8">
        <v>0.125</v>
      </c>
      <c r="AG6869" s="9">
        <v>6.9</v>
      </c>
      <c r="AH6869" s="10">
        <f t="shared" si="122"/>
        <v>7</v>
      </c>
    </row>
    <row r="6870" spans="11:34" ht="14.5" x14ac:dyDescent="0.35">
      <c r="K6870" s="4"/>
      <c r="AC6870" s="7">
        <v>2022</v>
      </c>
      <c r="AD6870" s="7">
        <v>10</v>
      </c>
      <c r="AE6870" s="7">
        <v>14</v>
      </c>
      <c r="AF6870" s="8">
        <v>0.16666666666666666</v>
      </c>
      <c r="AG6870" s="9">
        <v>7.6</v>
      </c>
      <c r="AH6870" s="10">
        <f t="shared" si="122"/>
        <v>8</v>
      </c>
    </row>
    <row r="6871" spans="11:34" ht="14.5" x14ac:dyDescent="0.35">
      <c r="K6871" s="4"/>
      <c r="AC6871" s="7">
        <v>2022</v>
      </c>
      <c r="AD6871" s="7">
        <v>10</v>
      </c>
      <c r="AE6871" s="7">
        <v>14</v>
      </c>
      <c r="AF6871" s="8">
        <v>0.20833333333333334</v>
      </c>
      <c r="AG6871" s="9">
        <v>8.6</v>
      </c>
      <c r="AH6871" s="10">
        <f t="shared" si="122"/>
        <v>9</v>
      </c>
    </row>
    <row r="6872" spans="11:34" ht="14.5" x14ac:dyDescent="0.35">
      <c r="K6872" s="4"/>
      <c r="AC6872" s="7">
        <v>2022</v>
      </c>
      <c r="AD6872" s="7">
        <v>10</v>
      </c>
      <c r="AE6872" s="7">
        <v>14</v>
      </c>
      <c r="AF6872" s="8">
        <v>0.25</v>
      </c>
      <c r="AG6872" s="9">
        <v>7.5</v>
      </c>
      <c r="AH6872" s="10">
        <f t="shared" si="122"/>
        <v>8</v>
      </c>
    </row>
    <row r="6873" spans="11:34" ht="14.5" x14ac:dyDescent="0.35">
      <c r="K6873" s="4"/>
      <c r="AC6873" s="7">
        <v>2022</v>
      </c>
      <c r="AD6873" s="7">
        <v>10</v>
      </c>
      <c r="AE6873" s="7">
        <v>14</v>
      </c>
      <c r="AF6873" s="8">
        <v>0.29166666666666669</v>
      </c>
      <c r="AG6873" s="9">
        <v>7.8</v>
      </c>
      <c r="AH6873" s="10">
        <f t="shared" si="122"/>
        <v>8</v>
      </c>
    </row>
    <row r="6874" spans="11:34" ht="14.5" x14ac:dyDescent="0.35">
      <c r="K6874" s="4"/>
      <c r="AC6874" s="7">
        <v>2022</v>
      </c>
      <c r="AD6874" s="7">
        <v>10</v>
      </c>
      <c r="AE6874" s="7">
        <v>14</v>
      </c>
      <c r="AF6874" s="8">
        <v>0.33333333333333331</v>
      </c>
      <c r="AG6874" s="9">
        <v>8.1999999999999993</v>
      </c>
      <c r="AH6874" s="10">
        <f t="shared" si="122"/>
        <v>8</v>
      </c>
    </row>
    <row r="6875" spans="11:34" ht="14.5" x14ac:dyDescent="0.35">
      <c r="K6875" s="4"/>
      <c r="AC6875" s="7">
        <v>2022</v>
      </c>
      <c r="AD6875" s="7">
        <v>10</v>
      </c>
      <c r="AE6875" s="7">
        <v>14</v>
      </c>
      <c r="AF6875" s="8">
        <v>0.375</v>
      </c>
      <c r="AG6875" s="9">
        <v>12</v>
      </c>
      <c r="AH6875" s="10">
        <f t="shared" si="122"/>
        <v>12</v>
      </c>
    </row>
    <row r="6876" spans="11:34" ht="14.5" x14ac:dyDescent="0.35">
      <c r="K6876" s="4"/>
      <c r="AC6876" s="7">
        <v>2022</v>
      </c>
      <c r="AD6876" s="7">
        <v>10</v>
      </c>
      <c r="AE6876" s="7">
        <v>14</v>
      </c>
      <c r="AF6876" s="8">
        <v>0.41666666666666669</v>
      </c>
      <c r="AG6876" s="9">
        <v>13.7</v>
      </c>
      <c r="AH6876" s="10">
        <f t="shared" si="122"/>
        <v>14</v>
      </c>
    </row>
    <row r="6877" spans="11:34" ht="14.5" x14ac:dyDescent="0.35">
      <c r="K6877" s="4"/>
      <c r="AC6877" s="7">
        <v>2022</v>
      </c>
      <c r="AD6877" s="7">
        <v>10</v>
      </c>
      <c r="AE6877" s="7">
        <v>14</v>
      </c>
      <c r="AF6877" s="8">
        <v>0.45833333333333331</v>
      </c>
      <c r="AG6877" s="9">
        <v>17.2</v>
      </c>
      <c r="AH6877" s="10">
        <f t="shared" si="122"/>
        <v>17</v>
      </c>
    </row>
    <row r="6878" spans="11:34" ht="14.5" x14ac:dyDescent="0.35">
      <c r="K6878" s="4"/>
      <c r="AC6878" s="7">
        <v>2022</v>
      </c>
      <c r="AD6878" s="7">
        <v>10</v>
      </c>
      <c r="AE6878" s="7">
        <v>14</v>
      </c>
      <c r="AF6878" s="8">
        <v>0.5</v>
      </c>
      <c r="AG6878" s="9">
        <v>19.5</v>
      </c>
      <c r="AH6878" s="10">
        <f t="shared" si="122"/>
        <v>20</v>
      </c>
    </row>
    <row r="6879" spans="11:34" ht="14.5" x14ac:dyDescent="0.35">
      <c r="K6879" s="4"/>
      <c r="AC6879" s="7">
        <v>2022</v>
      </c>
      <c r="AD6879" s="7">
        <v>10</v>
      </c>
      <c r="AE6879" s="7">
        <v>14</v>
      </c>
      <c r="AF6879" s="8">
        <v>0.54166666666666663</v>
      </c>
      <c r="AG6879" s="9">
        <v>19.3</v>
      </c>
      <c r="AH6879" s="10">
        <f t="shared" si="122"/>
        <v>19</v>
      </c>
    </row>
    <row r="6880" spans="11:34" ht="14.5" x14ac:dyDescent="0.35">
      <c r="K6880" s="4"/>
      <c r="AC6880" s="7">
        <v>2022</v>
      </c>
      <c r="AD6880" s="7">
        <v>10</v>
      </c>
      <c r="AE6880" s="7">
        <v>14</v>
      </c>
      <c r="AF6880" s="8">
        <v>0.58333333333333337</v>
      </c>
      <c r="AG6880" s="9">
        <v>14.4</v>
      </c>
      <c r="AH6880" s="10">
        <f t="shared" si="122"/>
        <v>14</v>
      </c>
    </row>
    <row r="6881" spans="11:34" ht="14.5" x14ac:dyDescent="0.35">
      <c r="K6881" s="4"/>
      <c r="AC6881" s="7">
        <v>2022</v>
      </c>
      <c r="AD6881" s="7">
        <v>10</v>
      </c>
      <c r="AE6881" s="7">
        <v>14</v>
      </c>
      <c r="AF6881" s="8">
        <v>0.625</v>
      </c>
      <c r="AG6881" s="9">
        <v>14.7</v>
      </c>
      <c r="AH6881" s="10">
        <f t="shared" si="122"/>
        <v>15</v>
      </c>
    </row>
    <row r="6882" spans="11:34" ht="14.5" x14ac:dyDescent="0.35">
      <c r="K6882" s="4"/>
      <c r="AC6882" s="7">
        <v>2022</v>
      </c>
      <c r="AD6882" s="7">
        <v>10</v>
      </c>
      <c r="AE6882" s="7">
        <v>14</v>
      </c>
      <c r="AF6882" s="8">
        <v>0.66666666666666663</v>
      </c>
      <c r="AG6882" s="9">
        <v>16</v>
      </c>
      <c r="AH6882" s="10">
        <f t="shared" si="122"/>
        <v>16</v>
      </c>
    </row>
    <row r="6883" spans="11:34" ht="14.5" x14ac:dyDescent="0.35">
      <c r="K6883" s="4"/>
      <c r="AC6883" s="7">
        <v>2022</v>
      </c>
      <c r="AD6883" s="7">
        <v>10</v>
      </c>
      <c r="AE6883" s="7">
        <v>14</v>
      </c>
      <c r="AF6883" s="8">
        <v>0.70833333333333337</v>
      </c>
      <c r="AG6883" s="9">
        <v>12.1</v>
      </c>
      <c r="AH6883" s="10">
        <f t="shared" si="122"/>
        <v>12</v>
      </c>
    </row>
    <row r="6884" spans="11:34" ht="14.5" x14ac:dyDescent="0.35">
      <c r="K6884" s="4"/>
      <c r="AC6884" s="7">
        <v>2022</v>
      </c>
      <c r="AD6884" s="7">
        <v>10</v>
      </c>
      <c r="AE6884" s="7">
        <v>14</v>
      </c>
      <c r="AF6884" s="8">
        <v>0.75</v>
      </c>
      <c r="AG6884" s="9">
        <v>12</v>
      </c>
      <c r="AH6884" s="10">
        <f t="shared" si="122"/>
        <v>12</v>
      </c>
    </row>
    <row r="6885" spans="11:34" ht="14.5" x14ac:dyDescent="0.35">
      <c r="K6885" s="4"/>
      <c r="AC6885" s="7">
        <v>2022</v>
      </c>
      <c r="AD6885" s="7">
        <v>10</v>
      </c>
      <c r="AE6885" s="7">
        <v>14</v>
      </c>
      <c r="AF6885" s="8">
        <v>0.79166666666666663</v>
      </c>
      <c r="AG6885" s="9">
        <v>11.1</v>
      </c>
      <c r="AH6885" s="10">
        <f t="shared" si="122"/>
        <v>11</v>
      </c>
    </row>
    <row r="6886" spans="11:34" ht="14.5" x14ac:dyDescent="0.35">
      <c r="K6886" s="4"/>
      <c r="AC6886" s="7">
        <v>2022</v>
      </c>
      <c r="AD6886" s="7">
        <v>10</v>
      </c>
      <c r="AE6886" s="7">
        <v>14</v>
      </c>
      <c r="AF6886" s="8">
        <v>0.83333333333333337</v>
      </c>
      <c r="AG6886" s="9">
        <v>10.8</v>
      </c>
      <c r="AH6886" s="10">
        <f t="shared" si="122"/>
        <v>11</v>
      </c>
    </row>
    <row r="6887" spans="11:34" ht="14.5" x14ac:dyDescent="0.35">
      <c r="K6887" s="4"/>
      <c r="AC6887" s="7">
        <v>2022</v>
      </c>
      <c r="AD6887" s="7">
        <v>10</v>
      </c>
      <c r="AE6887" s="7">
        <v>14</v>
      </c>
      <c r="AF6887" s="8">
        <v>0.875</v>
      </c>
      <c r="AG6887" s="9">
        <v>10.1</v>
      </c>
      <c r="AH6887" s="10">
        <f t="shared" si="122"/>
        <v>10</v>
      </c>
    </row>
    <row r="6888" spans="11:34" ht="14.5" x14ac:dyDescent="0.35">
      <c r="K6888" s="4"/>
      <c r="AC6888" s="7">
        <v>2022</v>
      </c>
      <c r="AD6888" s="7">
        <v>10</v>
      </c>
      <c r="AE6888" s="7">
        <v>14</v>
      </c>
      <c r="AF6888" s="8">
        <v>0.91666666666666663</v>
      </c>
      <c r="AG6888" s="9">
        <v>9.1</v>
      </c>
      <c r="AH6888" s="10">
        <f t="shared" si="122"/>
        <v>9</v>
      </c>
    </row>
    <row r="6889" spans="11:34" ht="14.5" x14ac:dyDescent="0.35">
      <c r="K6889" s="4"/>
      <c r="AC6889" s="7">
        <v>2022</v>
      </c>
      <c r="AD6889" s="7">
        <v>10</v>
      </c>
      <c r="AE6889" s="7">
        <v>14</v>
      </c>
      <c r="AF6889" s="8">
        <v>0.95833333333333337</v>
      </c>
      <c r="AG6889" s="9">
        <v>8.1</v>
      </c>
      <c r="AH6889" s="10">
        <f t="shared" si="122"/>
        <v>8</v>
      </c>
    </row>
    <row r="6890" spans="11:34" ht="14.5" x14ac:dyDescent="0.35">
      <c r="K6890" s="4"/>
      <c r="AC6890" s="7">
        <v>2022</v>
      </c>
      <c r="AD6890" s="7">
        <v>10</v>
      </c>
      <c r="AE6890" s="7">
        <v>15</v>
      </c>
      <c r="AF6890" s="8">
        <v>0</v>
      </c>
      <c r="AG6890" s="9">
        <v>7.1</v>
      </c>
      <c r="AH6890" s="10">
        <f t="shared" si="122"/>
        <v>7</v>
      </c>
    </row>
    <row r="6891" spans="11:34" ht="14.5" x14ac:dyDescent="0.35">
      <c r="K6891" s="4"/>
      <c r="AC6891" s="7">
        <v>2022</v>
      </c>
      <c r="AD6891" s="7">
        <v>10</v>
      </c>
      <c r="AE6891" s="7">
        <v>15</v>
      </c>
      <c r="AF6891" s="8">
        <v>4.1666666666666664E-2</v>
      </c>
      <c r="AG6891" s="9">
        <v>5.7</v>
      </c>
      <c r="AH6891" s="10">
        <f t="shared" si="122"/>
        <v>6</v>
      </c>
    </row>
    <row r="6892" spans="11:34" ht="14.5" x14ac:dyDescent="0.35">
      <c r="K6892" s="4"/>
      <c r="AC6892" s="7">
        <v>2022</v>
      </c>
      <c r="AD6892" s="7">
        <v>10</v>
      </c>
      <c r="AE6892" s="7">
        <v>15</v>
      </c>
      <c r="AF6892" s="8">
        <v>8.3333333333333329E-2</v>
      </c>
      <c r="AG6892" s="9">
        <v>6.4</v>
      </c>
      <c r="AH6892" s="10">
        <f t="shared" si="122"/>
        <v>6</v>
      </c>
    </row>
    <row r="6893" spans="11:34" ht="14.5" x14ac:dyDescent="0.35">
      <c r="K6893" s="4"/>
      <c r="AC6893" s="7">
        <v>2022</v>
      </c>
      <c r="AD6893" s="7">
        <v>10</v>
      </c>
      <c r="AE6893" s="7">
        <v>15</v>
      </c>
      <c r="AF6893" s="8">
        <v>0.125</v>
      </c>
      <c r="AG6893" s="9">
        <v>3</v>
      </c>
      <c r="AH6893" s="10">
        <f t="shared" si="122"/>
        <v>3</v>
      </c>
    </row>
    <row r="6894" spans="11:34" ht="14.5" x14ac:dyDescent="0.35">
      <c r="K6894" s="4"/>
      <c r="AC6894" s="7">
        <v>2022</v>
      </c>
      <c r="AD6894" s="7">
        <v>10</v>
      </c>
      <c r="AE6894" s="7">
        <v>15</v>
      </c>
      <c r="AF6894" s="8">
        <v>0.16666666666666666</v>
      </c>
      <c r="AG6894" s="9">
        <v>3</v>
      </c>
      <c r="AH6894" s="10">
        <f t="shared" si="122"/>
        <v>3</v>
      </c>
    </row>
    <row r="6895" spans="11:34" ht="14.5" x14ac:dyDescent="0.35">
      <c r="K6895" s="4"/>
      <c r="AC6895" s="7">
        <v>2022</v>
      </c>
      <c r="AD6895" s="7">
        <v>10</v>
      </c>
      <c r="AE6895" s="7">
        <v>15</v>
      </c>
      <c r="AF6895" s="8">
        <v>0.20833333333333334</v>
      </c>
      <c r="AG6895" s="9">
        <v>2</v>
      </c>
      <c r="AH6895" s="10">
        <f t="shared" si="122"/>
        <v>2</v>
      </c>
    </row>
    <row r="6896" spans="11:34" ht="14.5" x14ac:dyDescent="0.35">
      <c r="K6896" s="4"/>
      <c r="AC6896" s="7">
        <v>2022</v>
      </c>
      <c r="AD6896" s="7">
        <v>10</v>
      </c>
      <c r="AE6896" s="7">
        <v>15</v>
      </c>
      <c r="AF6896" s="8">
        <v>0.25</v>
      </c>
      <c r="AG6896" s="9">
        <v>2.2999999999999998</v>
      </c>
      <c r="AH6896" s="10">
        <f t="shared" si="122"/>
        <v>2</v>
      </c>
    </row>
    <row r="6897" spans="11:34" ht="14.5" x14ac:dyDescent="0.35">
      <c r="K6897" s="4"/>
      <c r="AC6897" s="7">
        <v>2022</v>
      </c>
      <c r="AD6897" s="7">
        <v>10</v>
      </c>
      <c r="AE6897" s="7">
        <v>15</v>
      </c>
      <c r="AF6897" s="8">
        <v>0.29166666666666669</v>
      </c>
      <c r="AG6897" s="9">
        <v>0.8</v>
      </c>
      <c r="AH6897" s="10">
        <f t="shared" si="122"/>
        <v>1</v>
      </c>
    </row>
    <row r="6898" spans="11:34" ht="14.5" x14ac:dyDescent="0.35">
      <c r="K6898" s="4"/>
      <c r="AC6898" s="7">
        <v>2022</v>
      </c>
      <c r="AD6898" s="7">
        <v>10</v>
      </c>
      <c r="AE6898" s="7">
        <v>15</v>
      </c>
      <c r="AF6898" s="8">
        <v>0.33333333333333331</v>
      </c>
      <c r="AG6898" s="9">
        <v>2.5</v>
      </c>
      <c r="AH6898" s="10">
        <f t="shared" si="122"/>
        <v>3</v>
      </c>
    </row>
    <row r="6899" spans="11:34" ht="14.5" x14ac:dyDescent="0.35">
      <c r="K6899" s="4"/>
      <c r="AC6899" s="7">
        <v>2022</v>
      </c>
      <c r="AD6899" s="7">
        <v>10</v>
      </c>
      <c r="AE6899" s="7">
        <v>15</v>
      </c>
      <c r="AF6899" s="8">
        <v>0.375</v>
      </c>
      <c r="AG6899" s="9">
        <v>6.4</v>
      </c>
      <c r="AH6899" s="10">
        <f t="shared" si="122"/>
        <v>6</v>
      </c>
    </row>
    <row r="6900" spans="11:34" ht="14.5" x14ac:dyDescent="0.35">
      <c r="K6900" s="4"/>
      <c r="AC6900" s="7">
        <v>2022</v>
      </c>
      <c r="AD6900" s="7">
        <v>10</v>
      </c>
      <c r="AE6900" s="7">
        <v>15</v>
      </c>
      <c r="AF6900" s="8">
        <v>0.41666666666666669</v>
      </c>
      <c r="AG6900" s="9">
        <v>9.9</v>
      </c>
      <c r="AH6900" s="10">
        <f t="shared" si="122"/>
        <v>10</v>
      </c>
    </row>
    <row r="6901" spans="11:34" ht="14.5" x14ac:dyDescent="0.35">
      <c r="K6901" s="4"/>
      <c r="AC6901" s="7">
        <v>2022</v>
      </c>
      <c r="AD6901" s="7">
        <v>10</v>
      </c>
      <c r="AE6901" s="7">
        <v>15</v>
      </c>
      <c r="AF6901" s="8">
        <v>0.45833333333333331</v>
      </c>
      <c r="AG6901" s="9">
        <v>12.1</v>
      </c>
      <c r="AH6901" s="10">
        <f t="shared" si="122"/>
        <v>12</v>
      </c>
    </row>
    <row r="6902" spans="11:34" ht="14.5" x14ac:dyDescent="0.35">
      <c r="K6902" s="4"/>
      <c r="AC6902" s="7">
        <v>2022</v>
      </c>
      <c r="AD6902" s="7">
        <v>10</v>
      </c>
      <c r="AE6902" s="7">
        <v>15</v>
      </c>
      <c r="AF6902" s="8">
        <v>0.5</v>
      </c>
      <c r="AG6902" s="9">
        <v>13.7</v>
      </c>
      <c r="AH6902" s="10">
        <f t="shared" si="122"/>
        <v>14</v>
      </c>
    </row>
    <row r="6903" spans="11:34" ht="14.5" x14ac:dyDescent="0.35">
      <c r="K6903" s="4"/>
      <c r="AC6903" s="7">
        <v>2022</v>
      </c>
      <c r="AD6903" s="7">
        <v>10</v>
      </c>
      <c r="AE6903" s="7">
        <v>15</v>
      </c>
      <c r="AF6903" s="8">
        <v>0.54166666666666663</v>
      </c>
      <c r="AG6903" s="9">
        <v>14.6</v>
      </c>
      <c r="AH6903" s="10">
        <f t="shared" si="122"/>
        <v>15</v>
      </c>
    </row>
    <row r="6904" spans="11:34" ht="14.5" x14ac:dyDescent="0.35">
      <c r="K6904" s="4"/>
      <c r="AC6904" s="7">
        <v>2022</v>
      </c>
      <c r="AD6904" s="7">
        <v>10</v>
      </c>
      <c r="AE6904" s="7">
        <v>15</v>
      </c>
      <c r="AF6904" s="8">
        <v>0.58333333333333337</v>
      </c>
      <c r="AG6904" s="9">
        <v>15.2</v>
      </c>
      <c r="AH6904" s="10">
        <f t="shared" si="122"/>
        <v>15</v>
      </c>
    </row>
    <row r="6905" spans="11:34" ht="14.5" x14ac:dyDescent="0.35">
      <c r="K6905" s="4"/>
      <c r="AC6905" s="7">
        <v>2022</v>
      </c>
      <c r="AD6905" s="7">
        <v>10</v>
      </c>
      <c r="AE6905" s="7">
        <v>15</v>
      </c>
      <c r="AF6905" s="8">
        <v>0.625</v>
      </c>
      <c r="AG6905" s="9">
        <v>15.9</v>
      </c>
      <c r="AH6905" s="10">
        <f t="shared" si="122"/>
        <v>16</v>
      </c>
    </row>
    <row r="6906" spans="11:34" ht="14.5" x14ac:dyDescent="0.35">
      <c r="K6906" s="4"/>
      <c r="AC6906" s="7">
        <v>2022</v>
      </c>
      <c r="AD6906" s="7">
        <v>10</v>
      </c>
      <c r="AE6906" s="7">
        <v>15</v>
      </c>
      <c r="AF6906" s="8">
        <v>0.66666666666666663</v>
      </c>
      <c r="AG6906" s="9">
        <v>15.7</v>
      </c>
      <c r="AH6906" s="10">
        <f t="shared" si="122"/>
        <v>16</v>
      </c>
    </row>
    <row r="6907" spans="11:34" ht="14.5" x14ac:dyDescent="0.35">
      <c r="K6907" s="4"/>
      <c r="AC6907" s="7">
        <v>2022</v>
      </c>
      <c r="AD6907" s="7">
        <v>10</v>
      </c>
      <c r="AE6907" s="7">
        <v>15</v>
      </c>
      <c r="AF6907" s="8">
        <v>0.70833333333333337</v>
      </c>
      <c r="AG6907" s="9">
        <v>14.2</v>
      </c>
      <c r="AH6907" s="10">
        <f t="shared" si="122"/>
        <v>14</v>
      </c>
    </row>
    <row r="6908" spans="11:34" ht="14.5" x14ac:dyDescent="0.35">
      <c r="K6908" s="4"/>
      <c r="AC6908" s="7">
        <v>2022</v>
      </c>
      <c r="AD6908" s="7">
        <v>10</v>
      </c>
      <c r="AE6908" s="7">
        <v>15</v>
      </c>
      <c r="AF6908" s="8">
        <v>0.75</v>
      </c>
      <c r="AG6908" s="9">
        <v>10.5</v>
      </c>
      <c r="AH6908" s="10">
        <f t="shared" si="122"/>
        <v>11</v>
      </c>
    </row>
    <row r="6909" spans="11:34" ht="14.5" x14ac:dyDescent="0.35">
      <c r="K6909" s="4"/>
      <c r="AC6909" s="7">
        <v>2022</v>
      </c>
      <c r="AD6909" s="7">
        <v>10</v>
      </c>
      <c r="AE6909" s="7">
        <v>15</v>
      </c>
      <c r="AF6909" s="8">
        <v>0.79166666666666663</v>
      </c>
      <c r="AG6909" s="9">
        <v>9.4</v>
      </c>
      <c r="AH6909" s="10">
        <f t="shared" si="122"/>
        <v>9</v>
      </c>
    </row>
    <row r="6910" spans="11:34" ht="14.5" x14ac:dyDescent="0.35">
      <c r="K6910" s="4"/>
      <c r="AC6910" s="7">
        <v>2022</v>
      </c>
      <c r="AD6910" s="7">
        <v>10</v>
      </c>
      <c r="AE6910" s="7">
        <v>15</v>
      </c>
      <c r="AF6910" s="8">
        <v>0.83333333333333337</v>
      </c>
      <c r="AG6910" s="9">
        <v>8.4</v>
      </c>
      <c r="AH6910" s="10">
        <f t="shared" si="122"/>
        <v>8</v>
      </c>
    </row>
    <row r="6911" spans="11:34" ht="14.5" x14ac:dyDescent="0.35">
      <c r="K6911" s="4"/>
      <c r="AC6911" s="7">
        <v>2022</v>
      </c>
      <c r="AD6911" s="7">
        <v>10</v>
      </c>
      <c r="AE6911" s="7">
        <v>15</v>
      </c>
      <c r="AF6911" s="8">
        <v>0.875</v>
      </c>
      <c r="AG6911" s="9">
        <v>7.1</v>
      </c>
      <c r="AH6911" s="10">
        <f t="shared" si="122"/>
        <v>7</v>
      </c>
    </row>
    <row r="6912" spans="11:34" ht="14.5" x14ac:dyDescent="0.35">
      <c r="K6912" s="4"/>
      <c r="AC6912" s="7">
        <v>2022</v>
      </c>
      <c r="AD6912" s="7">
        <v>10</v>
      </c>
      <c r="AE6912" s="7">
        <v>15</v>
      </c>
      <c r="AF6912" s="8">
        <v>0.91666666666666663</v>
      </c>
      <c r="AG6912" s="9">
        <v>7.2</v>
      </c>
      <c r="AH6912" s="10">
        <f t="shared" si="122"/>
        <v>7</v>
      </c>
    </row>
    <row r="6913" spans="11:34" ht="14.5" x14ac:dyDescent="0.35">
      <c r="K6913" s="4"/>
      <c r="AC6913" s="7">
        <v>2022</v>
      </c>
      <c r="AD6913" s="7">
        <v>10</v>
      </c>
      <c r="AE6913" s="7">
        <v>15</v>
      </c>
      <c r="AF6913" s="8">
        <v>0.95833333333333337</v>
      </c>
      <c r="AG6913" s="9">
        <v>6</v>
      </c>
      <c r="AH6913" s="10">
        <f t="shared" si="122"/>
        <v>6</v>
      </c>
    </row>
    <row r="6914" spans="11:34" ht="14.5" x14ac:dyDescent="0.35">
      <c r="K6914" s="4"/>
      <c r="AC6914" s="7">
        <v>2022</v>
      </c>
      <c r="AD6914" s="7">
        <v>10</v>
      </c>
      <c r="AE6914" s="7">
        <v>16</v>
      </c>
      <c r="AF6914" s="8">
        <v>0</v>
      </c>
      <c r="AG6914" s="9">
        <v>4.7</v>
      </c>
      <c r="AH6914" s="10">
        <f t="shared" si="122"/>
        <v>5</v>
      </c>
    </row>
    <row r="6915" spans="11:34" ht="14.5" x14ac:dyDescent="0.35">
      <c r="K6915" s="4"/>
      <c r="AC6915" s="7">
        <v>2022</v>
      </c>
      <c r="AD6915" s="7">
        <v>10</v>
      </c>
      <c r="AE6915" s="7">
        <v>16</v>
      </c>
      <c r="AF6915" s="8">
        <v>4.1666666666666664E-2</v>
      </c>
      <c r="AG6915" s="9">
        <v>3.3</v>
      </c>
      <c r="AH6915" s="10">
        <f t="shared" si="122"/>
        <v>3</v>
      </c>
    </row>
    <row r="6916" spans="11:34" ht="14.5" x14ac:dyDescent="0.35">
      <c r="K6916" s="4"/>
      <c r="AC6916" s="7">
        <v>2022</v>
      </c>
      <c r="AD6916" s="7">
        <v>10</v>
      </c>
      <c r="AE6916" s="7">
        <v>16</v>
      </c>
      <c r="AF6916" s="8">
        <v>8.3333333333333329E-2</v>
      </c>
      <c r="AG6916" s="9">
        <v>4.2</v>
      </c>
      <c r="AH6916" s="10">
        <f t="shared" si="122"/>
        <v>4</v>
      </c>
    </row>
    <row r="6917" spans="11:34" ht="14.5" x14ac:dyDescent="0.35">
      <c r="K6917" s="4"/>
      <c r="AC6917" s="7">
        <v>2022</v>
      </c>
      <c r="AD6917" s="7">
        <v>10</v>
      </c>
      <c r="AE6917" s="7">
        <v>16</v>
      </c>
      <c r="AF6917" s="8">
        <v>0.125</v>
      </c>
      <c r="AG6917" s="9">
        <v>3.3</v>
      </c>
      <c r="AH6917" s="10">
        <f t="shared" si="122"/>
        <v>3</v>
      </c>
    </row>
    <row r="6918" spans="11:34" ht="14.5" x14ac:dyDescent="0.35">
      <c r="K6918" s="4"/>
      <c r="AC6918" s="7">
        <v>2022</v>
      </c>
      <c r="AD6918" s="7">
        <v>10</v>
      </c>
      <c r="AE6918" s="7">
        <v>16</v>
      </c>
      <c r="AF6918" s="8">
        <v>0.16666666666666666</v>
      </c>
      <c r="AG6918" s="9">
        <v>2.6</v>
      </c>
      <c r="AH6918" s="10">
        <f t="shared" si="122"/>
        <v>3</v>
      </c>
    </row>
    <row r="6919" spans="11:34" ht="14.5" x14ac:dyDescent="0.35">
      <c r="K6919" s="4"/>
      <c r="AC6919" s="7">
        <v>2022</v>
      </c>
      <c r="AD6919" s="7">
        <v>10</v>
      </c>
      <c r="AE6919" s="7">
        <v>16</v>
      </c>
      <c r="AF6919" s="8">
        <v>0.20833333333333334</v>
      </c>
      <c r="AG6919" s="9">
        <v>1.9</v>
      </c>
      <c r="AH6919" s="10">
        <f t="shared" si="122"/>
        <v>2</v>
      </c>
    </row>
    <row r="6920" spans="11:34" ht="14.5" x14ac:dyDescent="0.35">
      <c r="K6920" s="4"/>
      <c r="AC6920" s="7">
        <v>2022</v>
      </c>
      <c r="AD6920" s="7">
        <v>10</v>
      </c>
      <c r="AE6920" s="7">
        <v>16</v>
      </c>
      <c r="AF6920" s="8">
        <v>0.25</v>
      </c>
      <c r="AG6920" s="9">
        <v>1.7</v>
      </c>
      <c r="AH6920" s="10">
        <f t="shared" si="122"/>
        <v>2</v>
      </c>
    </row>
    <row r="6921" spans="11:34" ht="14.5" x14ac:dyDescent="0.35">
      <c r="K6921" s="4"/>
      <c r="AC6921" s="7">
        <v>2022</v>
      </c>
      <c r="AD6921" s="7">
        <v>10</v>
      </c>
      <c r="AE6921" s="7">
        <v>16</v>
      </c>
      <c r="AF6921" s="8">
        <v>0.29166666666666669</v>
      </c>
      <c r="AG6921" s="9">
        <v>2.1</v>
      </c>
      <c r="AH6921" s="10">
        <f t="shared" si="122"/>
        <v>2</v>
      </c>
    </row>
    <row r="6922" spans="11:34" ht="14.5" x14ac:dyDescent="0.35">
      <c r="K6922" s="4"/>
      <c r="AC6922" s="7">
        <v>2022</v>
      </c>
      <c r="AD6922" s="7">
        <v>10</v>
      </c>
      <c r="AE6922" s="7">
        <v>16</v>
      </c>
      <c r="AF6922" s="8">
        <v>0.33333333333333331</v>
      </c>
      <c r="AG6922" s="9">
        <v>4.3</v>
      </c>
      <c r="AH6922" s="10">
        <f t="shared" si="122"/>
        <v>4</v>
      </c>
    </row>
    <row r="6923" spans="11:34" ht="14.5" x14ac:dyDescent="0.35">
      <c r="K6923" s="4"/>
      <c r="AC6923" s="7">
        <v>2022</v>
      </c>
      <c r="AD6923" s="7">
        <v>10</v>
      </c>
      <c r="AE6923" s="7">
        <v>16</v>
      </c>
      <c r="AF6923" s="8">
        <v>0.375</v>
      </c>
      <c r="AG6923" s="9">
        <v>7.7</v>
      </c>
      <c r="AH6923" s="10">
        <f t="shared" ref="AH6923:AH6986" si="123">ROUND(AG6923,0)</f>
        <v>8</v>
      </c>
    </row>
    <row r="6924" spans="11:34" ht="14.5" x14ac:dyDescent="0.35">
      <c r="K6924" s="4"/>
      <c r="AC6924" s="7">
        <v>2022</v>
      </c>
      <c r="AD6924" s="7">
        <v>10</v>
      </c>
      <c r="AE6924" s="7">
        <v>16</v>
      </c>
      <c r="AF6924" s="8">
        <v>0.41666666666666669</v>
      </c>
      <c r="AG6924" s="9">
        <v>11.5</v>
      </c>
      <c r="AH6924" s="10">
        <f t="shared" si="123"/>
        <v>12</v>
      </c>
    </row>
    <row r="6925" spans="11:34" ht="14.5" x14ac:dyDescent="0.35">
      <c r="K6925" s="4"/>
      <c r="AC6925" s="7">
        <v>2022</v>
      </c>
      <c r="AD6925" s="7">
        <v>10</v>
      </c>
      <c r="AE6925" s="7">
        <v>16</v>
      </c>
      <c r="AF6925" s="8">
        <v>0.45833333333333331</v>
      </c>
      <c r="AG6925" s="9">
        <v>15.1</v>
      </c>
      <c r="AH6925" s="10">
        <f t="shared" si="123"/>
        <v>15</v>
      </c>
    </row>
    <row r="6926" spans="11:34" ht="14.5" x14ac:dyDescent="0.35">
      <c r="K6926" s="4"/>
      <c r="AC6926" s="7">
        <v>2022</v>
      </c>
      <c r="AD6926" s="7">
        <v>10</v>
      </c>
      <c r="AE6926" s="7">
        <v>16</v>
      </c>
      <c r="AF6926" s="8">
        <v>0.5</v>
      </c>
      <c r="AG6926" s="9">
        <v>17.3</v>
      </c>
      <c r="AH6926" s="10">
        <f t="shared" si="123"/>
        <v>17</v>
      </c>
    </row>
    <row r="6927" spans="11:34" ht="14.5" x14ac:dyDescent="0.35">
      <c r="K6927" s="4"/>
      <c r="AC6927" s="7">
        <v>2022</v>
      </c>
      <c r="AD6927" s="7">
        <v>10</v>
      </c>
      <c r="AE6927" s="7">
        <v>16</v>
      </c>
      <c r="AF6927" s="8">
        <v>0.54166666666666663</v>
      </c>
      <c r="AG6927" s="9">
        <v>18.399999999999999</v>
      </c>
      <c r="AH6927" s="10">
        <f t="shared" si="123"/>
        <v>18</v>
      </c>
    </row>
    <row r="6928" spans="11:34" ht="14.5" x14ac:dyDescent="0.35">
      <c r="K6928" s="4"/>
      <c r="AC6928" s="7">
        <v>2022</v>
      </c>
      <c r="AD6928" s="7">
        <v>10</v>
      </c>
      <c r="AE6928" s="7">
        <v>16</v>
      </c>
      <c r="AF6928" s="8">
        <v>0.58333333333333337</v>
      </c>
      <c r="AG6928" s="9">
        <v>18.600000000000001</v>
      </c>
      <c r="AH6928" s="10">
        <f t="shared" si="123"/>
        <v>19</v>
      </c>
    </row>
    <row r="6929" spans="11:34" ht="14.5" x14ac:dyDescent="0.35">
      <c r="K6929" s="4"/>
      <c r="AC6929" s="7">
        <v>2022</v>
      </c>
      <c r="AD6929" s="7">
        <v>10</v>
      </c>
      <c r="AE6929" s="7">
        <v>16</v>
      </c>
      <c r="AF6929" s="8">
        <v>0.625</v>
      </c>
      <c r="AG6929" s="9">
        <v>19.3</v>
      </c>
      <c r="AH6929" s="10">
        <f t="shared" si="123"/>
        <v>19</v>
      </c>
    </row>
    <row r="6930" spans="11:34" ht="14.5" x14ac:dyDescent="0.35">
      <c r="K6930" s="4"/>
      <c r="AC6930" s="7">
        <v>2022</v>
      </c>
      <c r="AD6930" s="7">
        <v>10</v>
      </c>
      <c r="AE6930" s="7">
        <v>16</v>
      </c>
      <c r="AF6930" s="8">
        <v>0.66666666666666663</v>
      </c>
      <c r="AG6930" s="9">
        <v>19.3</v>
      </c>
      <c r="AH6930" s="10">
        <f t="shared" si="123"/>
        <v>19</v>
      </c>
    </row>
    <row r="6931" spans="11:34" ht="14.5" x14ac:dyDescent="0.35">
      <c r="K6931" s="4"/>
      <c r="AC6931" s="7">
        <v>2022</v>
      </c>
      <c r="AD6931" s="7">
        <v>10</v>
      </c>
      <c r="AE6931" s="7">
        <v>16</v>
      </c>
      <c r="AF6931" s="8">
        <v>0.70833333333333337</v>
      </c>
      <c r="AG6931" s="9">
        <v>18.100000000000001</v>
      </c>
      <c r="AH6931" s="10">
        <f t="shared" si="123"/>
        <v>18</v>
      </c>
    </row>
    <row r="6932" spans="11:34" ht="14.5" x14ac:dyDescent="0.35">
      <c r="K6932" s="4"/>
      <c r="AC6932" s="7">
        <v>2022</v>
      </c>
      <c r="AD6932" s="7">
        <v>10</v>
      </c>
      <c r="AE6932" s="7">
        <v>16</v>
      </c>
      <c r="AF6932" s="8">
        <v>0.75</v>
      </c>
      <c r="AG6932" s="9">
        <v>12.8</v>
      </c>
      <c r="AH6932" s="10">
        <f t="shared" si="123"/>
        <v>13</v>
      </c>
    </row>
    <row r="6933" spans="11:34" ht="14.5" x14ac:dyDescent="0.35">
      <c r="K6933" s="4"/>
      <c r="AC6933" s="7">
        <v>2022</v>
      </c>
      <c r="AD6933" s="7">
        <v>10</v>
      </c>
      <c r="AE6933" s="7">
        <v>16</v>
      </c>
      <c r="AF6933" s="8">
        <v>0.79166666666666663</v>
      </c>
      <c r="AG6933" s="9">
        <v>12</v>
      </c>
      <c r="AH6933" s="10">
        <f t="shared" si="123"/>
        <v>12</v>
      </c>
    </row>
    <row r="6934" spans="11:34" ht="14.5" x14ac:dyDescent="0.35">
      <c r="K6934" s="4"/>
      <c r="AC6934" s="7">
        <v>2022</v>
      </c>
      <c r="AD6934" s="7">
        <v>10</v>
      </c>
      <c r="AE6934" s="7">
        <v>16</v>
      </c>
      <c r="AF6934" s="8">
        <v>0.83333333333333337</v>
      </c>
      <c r="AG6934" s="9">
        <v>10.5</v>
      </c>
      <c r="AH6934" s="10">
        <f t="shared" si="123"/>
        <v>11</v>
      </c>
    </row>
    <row r="6935" spans="11:34" ht="14.5" x14ac:dyDescent="0.35">
      <c r="K6935" s="4"/>
      <c r="AC6935" s="7">
        <v>2022</v>
      </c>
      <c r="AD6935" s="7">
        <v>10</v>
      </c>
      <c r="AE6935" s="7">
        <v>16</v>
      </c>
      <c r="AF6935" s="8">
        <v>0.875</v>
      </c>
      <c r="AG6935" s="9">
        <v>7.6</v>
      </c>
      <c r="AH6935" s="10">
        <f t="shared" si="123"/>
        <v>8</v>
      </c>
    </row>
    <row r="6936" spans="11:34" ht="14.5" x14ac:dyDescent="0.35">
      <c r="K6936" s="4"/>
      <c r="AC6936" s="7">
        <v>2022</v>
      </c>
      <c r="AD6936" s="7">
        <v>10</v>
      </c>
      <c r="AE6936" s="7">
        <v>16</v>
      </c>
      <c r="AF6936" s="8">
        <v>0.91666666666666663</v>
      </c>
      <c r="AG6936" s="9">
        <v>6.9</v>
      </c>
      <c r="AH6936" s="10">
        <f t="shared" si="123"/>
        <v>7</v>
      </c>
    </row>
    <row r="6937" spans="11:34" ht="14.5" x14ac:dyDescent="0.35">
      <c r="K6937" s="4"/>
      <c r="AC6937" s="7">
        <v>2022</v>
      </c>
      <c r="AD6937" s="7">
        <v>10</v>
      </c>
      <c r="AE6937" s="7">
        <v>16</v>
      </c>
      <c r="AF6937" s="8">
        <v>0.95833333333333337</v>
      </c>
      <c r="AG6937" s="9">
        <v>8.9</v>
      </c>
      <c r="AH6937" s="10">
        <f t="shared" si="123"/>
        <v>9</v>
      </c>
    </row>
    <row r="6938" spans="11:34" ht="14.5" x14ac:dyDescent="0.35">
      <c r="K6938" s="4"/>
      <c r="AC6938" s="7">
        <v>2022</v>
      </c>
      <c r="AD6938" s="7">
        <v>10</v>
      </c>
      <c r="AE6938" s="7">
        <v>17</v>
      </c>
      <c r="AF6938" s="8">
        <v>0</v>
      </c>
      <c r="AG6938" s="9">
        <v>4.8</v>
      </c>
      <c r="AH6938" s="10">
        <f t="shared" si="123"/>
        <v>5</v>
      </c>
    </row>
    <row r="6939" spans="11:34" ht="14.5" x14ac:dyDescent="0.35">
      <c r="K6939" s="4"/>
      <c r="AC6939" s="7">
        <v>2022</v>
      </c>
      <c r="AD6939" s="7">
        <v>10</v>
      </c>
      <c r="AE6939" s="7">
        <v>17</v>
      </c>
      <c r="AF6939" s="8">
        <v>4.1666666666666664E-2</v>
      </c>
      <c r="AG6939" s="9">
        <v>3.8</v>
      </c>
      <c r="AH6939" s="10">
        <f t="shared" si="123"/>
        <v>4</v>
      </c>
    </row>
    <row r="6940" spans="11:34" ht="14.5" x14ac:dyDescent="0.35">
      <c r="K6940" s="4"/>
      <c r="AC6940" s="7">
        <v>2022</v>
      </c>
      <c r="AD6940" s="7">
        <v>10</v>
      </c>
      <c r="AE6940" s="7">
        <v>17</v>
      </c>
      <c r="AF6940" s="8">
        <v>8.3333333333333329E-2</v>
      </c>
      <c r="AG6940" s="9">
        <v>4.2</v>
      </c>
      <c r="AH6940" s="10">
        <f t="shared" si="123"/>
        <v>4</v>
      </c>
    </row>
    <row r="6941" spans="11:34" ht="14.5" x14ac:dyDescent="0.35">
      <c r="K6941" s="4"/>
      <c r="AC6941" s="7">
        <v>2022</v>
      </c>
      <c r="AD6941" s="7">
        <v>10</v>
      </c>
      <c r="AE6941" s="7">
        <v>17</v>
      </c>
      <c r="AF6941" s="8">
        <v>0.125</v>
      </c>
      <c r="AG6941" s="9">
        <v>4</v>
      </c>
      <c r="AH6941" s="10">
        <f t="shared" si="123"/>
        <v>4</v>
      </c>
    </row>
    <row r="6942" spans="11:34" ht="14.5" x14ac:dyDescent="0.35">
      <c r="K6942" s="4"/>
      <c r="AC6942" s="7">
        <v>2022</v>
      </c>
      <c r="AD6942" s="7">
        <v>10</v>
      </c>
      <c r="AE6942" s="7">
        <v>17</v>
      </c>
      <c r="AF6942" s="8">
        <v>0.16666666666666666</v>
      </c>
      <c r="AG6942" s="9">
        <v>3</v>
      </c>
      <c r="AH6942" s="10">
        <f t="shared" si="123"/>
        <v>3</v>
      </c>
    </row>
    <row r="6943" spans="11:34" ht="14.5" x14ac:dyDescent="0.35">
      <c r="K6943" s="4"/>
      <c r="AC6943" s="7">
        <v>2022</v>
      </c>
      <c r="AD6943" s="7">
        <v>10</v>
      </c>
      <c r="AE6943" s="7">
        <v>17</v>
      </c>
      <c r="AF6943" s="8">
        <v>0.20833333333333334</v>
      </c>
      <c r="AG6943" s="9">
        <v>2.9</v>
      </c>
      <c r="AH6943" s="10">
        <f t="shared" si="123"/>
        <v>3</v>
      </c>
    </row>
    <row r="6944" spans="11:34" ht="14.5" x14ac:dyDescent="0.35">
      <c r="K6944" s="4"/>
      <c r="AC6944" s="7">
        <v>2022</v>
      </c>
      <c r="AD6944" s="7">
        <v>10</v>
      </c>
      <c r="AE6944" s="7">
        <v>17</v>
      </c>
      <c r="AF6944" s="8">
        <v>0.25</v>
      </c>
      <c r="AG6944" s="9">
        <v>2</v>
      </c>
      <c r="AH6944" s="10">
        <f t="shared" si="123"/>
        <v>2</v>
      </c>
    </row>
    <row r="6945" spans="11:34" ht="14.5" x14ac:dyDescent="0.35">
      <c r="K6945" s="4"/>
      <c r="AC6945" s="7">
        <v>2022</v>
      </c>
      <c r="AD6945" s="7">
        <v>10</v>
      </c>
      <c r="AE6945" s="7">
        <v>17</v>
      </c>
      <c r="AF6945" s="8">
        <v>0.29166666666666669</v>
      </c>
      <c r="AG6945" s="9">
        <v>2.1</v>
      </c>
      <c r="AH6945" s="10">
        <f t="shared" si="123"/>
        <v>2</v>
      </c>
    </row>
    <row r="6946" spans="11:34" ht="14.5" x14ac:dyDescent="0.35">
      <c r="K6946" s="4"/>
      <c r="AC6946" s="7">
        <v>2022</v>
      </c>
      <c r="AD6946" s="7">
        <v>10</v>
      </c>
      <c r="AE6946" s="7">
        <v>17</v>
      </c>
      <c r="AF6946" s="8">
        <v>0.33333333333333331</v>
      </c>
      <c r="AG6946" s="9">
        <v>6.4</v>
      </c>
      <c r="AH6946" s="10">
        <f t="shared" si="123"/>
        <v>6</v>
      </c>
    </row>
    <row r="6947" spans="11:34" ht="14.5" x14ac:dyDescent="0.35">
      <c r="K6947" s="4"/>
      <c r="AC6947" s="7">
        <v>2022</v>
      </c>
      <c r="AD6947" s="7">
        <v>10</v>
      </c>
      <c r="AE6947" s="7">
        <v>17</v>
      </c>
      <c r="AF6947" s="8">
        <v>0.375</v>
      </c>
      <c r="AG6947" s="9">
        <v>12.8</v>
      </c>
      <c r="AH6947" s="10">
        <f t="shared" si="123"/>
        <v>13</v>
      </c>
    </row>
    <row r="6948" spans="11:34" ht="14.5" x14ac:dyDescent="0.35">
      <c r="K6948" s="4"/>
      <c r="AC6948" s="7">
        <v>2022</v>
      </c>
      <c r="AD6948" s="7">
        <v>10</v>
      </c>
      <c r="AE6948" s="7">
        <v>17</v>
      </c>
      <c r="AF6948" s="8">
        <v>0.41666666666666669</v>
      </c>
      <c r="AG6948" s="9">
        <v>18.3</v>
      </c>
      <c r="AH6948" s="10">
        <f t="shared" si="123"/>
        <v>18</v>
      </c>
    </row>
    <row r="6949" spans="11:34" ht="14.5" x14ac:dyDescent="0.35">
      <c r="K6949" s="4"/>
      <c r="AC6949" s="7">
        <v>2022</v>
      </c>
      <c r="AD6949" s="7">
        <v>10</v>
      </c>
      <c r="AE6949" s="7">
        <v>17</v>
      </c>
      <c r="AF6949" s="8">
        <v>0.45833333333333331</v>
      </c>
      <c r="AG6949" s="9">
        <v>20.7</v>
      </c>
      <c r="AH6949" s="10">
        <f t="shared" si="123"/>
        <v>21</v>
      </c>
    </row>
    <row r="6950" spans="11:34" ht="14.5" x14ac:dyDescent="0.35">
      <c r="K6950" s="4"/>
      <c r="AC6950" s="7">
        <v>2022</v>
      </c>
      <c r="AD6950" s="7">
        <v>10</v>
      </c>
      <c r="AE6950" s="7">
        <v>17</v>
      </c>
      <c r="AF6950" s="8">
        <v>0.5</v>
      </c>
      <c r="AG6950" s="9">
        <v>22.7</v>
      </c>
      <c r="AH6950" s="10">
        <f t="shared" si="123"/>
        <v>23</v>
      </c>
    </row>
    <row r="6951" spans="11:34" ht="14.5" x14ac:dyDescent="0.35">
      <c r="K6951" s="4"/>
      <c r="AC6951" s="7">
        <v>2022</v>
      </c>
      <c r="AD6951" s="7">
        <v>10</v>
      </c>
      <c r="AE6951" s="7">
        <v>17</v>
      </c>
      <c r="AF6951" s="8">
        <v>0.54166666666666663</v>
      </c>
      <c r="AG6951" s="9">
        <v>24.3</v>
      </c>
      <c r="AH6951" s="10">
        <f t="shared" si="123"/>
        <v>24</v>
      </c>
    </row>
    <row r="6952" spans="11:34" ht="14.5" x14ac:dyDescent="0.35">
      <c r="K6952" s="4"/>
      <c r="AC6952" s="7">
        <v>2022</v>
      </c>
      <c r="AD6952" s="7">
        <v>10</v>
      </c>
      <c r="AE6952" s="7">
        <v>17</v>
      </c>
      <c r="AF6952" s="8">
        <v>0.58333333333333337</v>
      </c>
      <c r="AG6952" s="9">
        <v>25</v>
      </c>
      <c r="AH6952" s="10">
        <f t="shared" si="123"/>
        <v>25</v>
      </c>
    </row>
    <row r="6953" spans="11:34" ht="14.5" x14ac:dyDescent="0.35">
      <c r="K6953" s="4"/>
      <c r="AC6953" s="7">
        <v>2022</v>
      </c>
      <c r="AD6953" s="7">
        <v>10</v>
      </c>
      <c r="AE6953" s="7">
        <v>17</v>
      </c>
      <c r="AF6953" s="8">
        <v>0.625</v>
      </c>
      <c r="AG6953" s="9">
        <v>25.3</v>
      </c>
      <c r="AH6953" s="10">
        <f t="shared" si="123"/>
        <v>25</v>
      </c>
    </row>
    <row r="6954" spans="11:34" ht="14.5" x14ac:dyDescent="0.35">
      <c r="K6954" s="4"/>
      <c r="AC6954" s="7">
        <v>2022</v>
      </c>
      <c r="AD6954" s="7">
        <v>10</v>
      </c>
      <c r="AE6954" s="7">
        <v>17</v>
      </c>
      <c r="AF6954" s="8">
        <v>0.66666666666666663</v>
      </c>
      <c r="AG6954" s="9">
        <v>24.7</v>
      </c>
      <c r="AH6954" s="10">
        <f t="shared" si="123"/>
        <v>25</v>
      </c>
    </row>
    <row r="6955" spans="11:34" ht="14.5" x14ac:dyDescent="0.35">
      <c r="K6955" s="4"/>
      <c r="AC6955" s="7">
        <v>2022</v>
      </c>
      <c r="AD6955" s="7">
        <v>10</v>
      </c>
      <c r="AE6955" s="7">
        <v>17</v>
      </c>
      <c r="AF6955" s="8">
        <v>0.70833333333333337</v>
      </c>
      <c r="AG6955" s="9">
        <v>20.5</v>
      </c>
      <c r="AH6955" s="10">
        <f t="shared" si="123"/>
        <v>21</v>
      </c>
    </row>
    <row r="6956" spans="11:34" ht="14.5" x14ac:dyDescent="0.35">
      <c r="K6956" s="4"/>
      <c r="AC6956" s="7">
        <v>2022</v>
      </c>
      <c r="AD6956" s="7">
        <v>10</v>
      </c>
      <c r="AE6956" s="7">
        <v>17</v>
      </c>
      <c r="AF6956" s="8">
        <v>0.75</v>
      </c>
      <c r="AG6956" s="9">
        <v>15.8</v>
      </c>
      <c r="AH6956" s="10">
        <f t="shared" si="123"/>
        <v>16</v>
      </c>
    </row>
    <row r="6957" spans="11:34" ht="14.5" x14ac:dyDescent="0.35">
      <c r="K6957" s="4"/>
      <c r="AC6957" s="7">
        <v>2022</v>
      </c>
      <c r="AD6957" s="7">
        <v>10</v>
      </c>
      <c r="AE6957" s="7">
        <v>17</v>
      </c>
      <c r="AF6957" s="8">
        <v>0.79166666666666663</v>
      </c>
      <c r="AG6957" s="9">
        <v>12.8</v>
      </c>
      <c r="AH6957" s="10">
        <f t="shared" si="123"/>
        <v>13</v>
      </c>
    </row>
    <row r="6958" spans="11:34" ht="14.5" x14ac:dyDescent="0.35">
      <c r="K6958" s="4"/>
      <c r="AC6958" s="7">
        <v>2022</v>
      </c>
      <c r="AD6958" s="7">
        <v>10</v>
      </c>
      <c r="AE6958" s="7">
        <v>17</v>
      </c>
      <c r="AF6958" s="8">
        <v>0.83333333333333337</v>
      </c>
      <c r="AG6958" s="9">
        <v>10.9</v>
      </c>
      <c r="AH6958" s="10">
        <f t="shared" si="123"/>
        <v>11</v>
      </c>
    </row>
    <row r="6959" spans="11:34" ht="14.5" x14ac:dyDescent="0.35">
      <c r="K6959" s="4"/>
      <c r="AC6959" s="7">
        <v>2022</v>
      </c>
      <c r="AD6959" s="7">
        <v>10</v>
      </c>
      <c r="AE6959" s="7">
        <v>17</v>
      </c>
      <c r="AF6959" s="8">
        <v>0.875</v>
      </c>
      <c r="AG6959" s="9">
        <v>10.199999999999999</v>
      </c>
      <c r="AH6959" s="10">
        <f t="shared" si="123"/>
        <v>10</v>
      </c>
    </row>
    <row r="6960" spans="11:34" ht="14.5" x14ac:dyDescent="0.35">
      <c r="K6960" s="4"/>
      <c r="AC6960" s="7">
        <v>2022</v>
      </c>
      <c r="AD6960" s="7">
        <v>10</v>
      </c>
      <c r="AE6960" s="7">
        <v>17</v>
      </c>
      <c r="AF6960" s="8">
        <v>0.91666666666666663</v>
      </c>
      <c r="AG6960" s="9">
        <v>7</v>
      </c>
      <c r="AH6960" s="10">
        <f t="shared" si="123"/>
        <v>7</v>
      </c>
    </row>
    <row r="6961" spans="11:34" ht="14.5" x14ac:dyDescent="0.35">
      <c r="K6961" s="4"/>
      <c r="AC6961" s="7">
        <v>2022</v>
      </c>
      <c r="AD6961" s="7">
        <v>10</v>
      </c>
      <c r="AE6961" s="7">
        <v>17</v>
      </c>
      <c r="AF6961" s="8">
        <v>0.95833333333333337</v>
      </c>
      <c r="AG6961" s="9">
        <v>3.4</v>
      </c>
      <c r="AH6961" s="10">
        <f t="shared" si="123"/>
        <v>3</v>
      </c>
    </row>
    <row r="6962" spans="11:34" ht="14.5" x14ac:dyDescent="0.35">
      <c r="K6962" s="4"/>
      <c r="AC6962" s="7">
        <v>2022</v>
      </c>
      <c r="AD6962" s="7">
        <v>10</v>
      </c>
      <c r="AE6962" s="7">
        <v>18</v>
      </c>
      <c r="AF6962" s="8">
        <v>0</v>
      </c>
      <c r="AG6962" s="9">
        <v>3.1</v>
      </c>
      <c r="AH6962" s="10">
        <f t="shared" si="123"/>
        <v>3</v>
      </c>
    </row>
    <row r="6963" spans="11:34" ht="14.5" x14ac:dyDescent="0.35">
      <c r="K6963" s="4"/>
      <c r="AC6963" s="7">
        <v>2022</v>
      </c>
      <c r="AD6963" s="7">
        <v>10</v>
      </c>
      <c r="AE6963" s="7">
        <v>18</v>
      </c>
      <c r="AF6963" s="8">
        <v>4.1666666666666664E-2</v>
      </c>
      <c r="AG6963" s="9">
        <v>5</v>
      </c>
      <c r="AH6963" s="10">
        <f t="shared" si="123"/>
        <v>5</v>
      </c>
    </row>
    <row r="6964" spans="11:34" ht="14.5" x14ac:dyDescent="0.35">
      <c r="K6964" s="4"/>
      <c r="AC6964" s="7">
        <v>2022</v>
      </c>
      <c r="AD6964" s="7">
        <v>10</v>
      </c>
      <c r="AE6964" s="7">
        <v>18</v>
      </c>
      <c r="AF6964" s="8">
        <v>8.3333333333333329E-2</v>
      </c>
      <c r="AG6964" s="9">
        <v>7</v>
      </c>
      <c r="AH6964" s="10">
        <f t="shared" si="123"/>
        <v>7</v>
      </c>
    </row>
    <row r="6965" spans="11:34" ht="14.5" x14ac:dyDescent="0.35">
      <c r="K6965" s="4"/>
      <c r="AC6965" s="7">
        <v>2022</v>
      </c>
      <c r="AD6965" s="7">
        <v>10</v>
      </c>
      <c r="AE6965" s="7">
        <v>18</v>
      </c>
      <c r="AF6965" s="8">
        <v>0.125</v>
      </c>
      <c r="AG6965" s="9">
        <v>7.3</v>
      </c>
      <c r="AH6965" s="10">
        <f t="shared" si="123"/>
        <v>7</v>
      </c>
    </row>
    <row r="6966" spans="11:34" ht="14.5" x14ac:dyDescent="0.35">
      <c r="K6966" s="4"/>
      <c r="AC6966" s="7">
        <v>2022</v>
      </c>
      <c r="AD6966" s="7">
        <v>10</v>
      </c>
      <c r="AE6966" s="7">
        <v>18</v>
      </c>
      <c r="AF6966" s="8">
        <v>0.16666666666666666</v>
      </c>
      <c r="AG6966" s="9">
        <v>5.6</v>
      </c>
      <c r="AH6966" s="10">
        <f t="shared" si="123"/>
        <v>6</v>
      </c>
    </row>
    <row r="6967" spans="11:34" ht="14.5" x14ac:dyDescent="0.35">
      <c r="K6967" s="4"/>
      <c r="AC6967" s="7">
        <v>2022</v>
      </c>
      <c r="AD6967" s="7">
        <v>10</v>
      </c>
      <c r="AE6967" s="7">
        <v>18</v>
      </c>
      <c r="AF6967" s="8">
        <v>0.20833333333333334</v>
      </c>
      <c r="AG6967" s="9">
        <v>4.9000000000000004</v>
      </c>
      <c r="AH6967" s="10">
        <f t="shared" si="123"/>
        <v>5</v>
      </c>
    </row>
    <row r="6968" spans="11:34" ht="14.5" x14ac:dyDescent="0.35">
      <c r="K6968" s="4"/>
      <c r="AC6968" s="7">
        <v>2022</v>
      </c>
      <c r="AD6968" s="7">
        <v>10</v>
      </c>
      <c r="AE6968" s="7">
        <v>18</v>
      </c>
      <c r="AF6968" s="8">
        <v>0.25</v>
      </c>
      <c r="AG6968" s="9">
        <v>3.1</v>
      </c>
      <c r="AH6968" s="10">
        <f t="shared" si="123"/>
        <v>3</v>
      </c>
    </row>
    <row r="6969" spans="11:34" ht="14.5" x14ac:dyDescent="0.35">
      <c r="K6969" s="4"/>
      <c r="AC6969" s="7">
        <v>2022</v>
      </c>
      <c r="AD6969" s="7">
        <v>10</v>
      </c>
      <c r="AE6969" s="7">
        <v>18</v>
      </c>
      <c r="AF6969" s="8">
        <v>0.29166666666666669</v>
      </c>
      <c r="AG6969" s="9">
        <v>3.7</v>
      </c>
      <c r="AH6969" s="10">
        <f t="shared" si="123"/>
        <v>4</v>
      </c>
    </row>
    <row r="6970" spans="11:34" ht="14.5" x14ac:dyDescent="0.35">
      <c r="K6970" s="4"/>
      <c r="AC6970" s="7">
        <v>2022</v>
      </c>
      <c r="AD6970" s="7">
        <v>10</v>
      </c>
      <c r="AE6970" s="7">
        <v>18</v>
      </c>
      <c r="AF6970" s="8">
        <v>0.33333333333333331</v>
      </c>
      <c r="AG6970" s="9">
        <v>6.8</v>
      </c>
      <c r="AH6970" s="10">
        <f t="shared" si="123"/>
        <v>7</v>
      </c>
    </row>
    <row r="6971" spans="11:34" ht="14.5" x14ac:dyDescent="0.35">
      <c r="K6971" s="4"/>
      <c r="AC6971" s="7">
        <v>2022</v>
      </c>
      <c r="AD6971" s="7">
        <v>10</v>
      </c>
      <c r="AE6971" s="7">
        <v>18</v>
      </c>
      <c r="AF6971" s="8">
        <v>0.375</v>
      </c>
      <c r="AG6971" s="9">
        <v>11.6</v>
      </c>
      <c r="AH6971" s="10">
        <f t="shared" si="123"/>
        <v>12</v>
      </c>
    </row>
    <row r="6972" spans="11:34" ht="14.5" x14ac:dyDescent="0.35">
      <c r="K6972" s="4"/>
      <c r="AC6972" s="7">
        <v>2022</v>
      </c>
      <c r="AD6972" s="7">
        <v>10</v>
      </c>
      <c r="AE6972" s="7">
        <v>18</v>
      </c>
      <c r="AF6972" s="8">
        <v>0.41666666666666669</v>
      </c>
      <c r="AG6972" s="9">
        <v>16.2</v>
      </c>
      <c r="AH6972" s="10">
        <f t="shared" si="123"/>
        <v>16</v>
      </c>
    </row>
    <row r="6973" spans="11:34" ht="14.5" x14ac:dyDescent="0.35">
      <c r="K6973" s="4"/>
      <c r="AC6973" s="7">
        <v>2022</v>
      </c>
      <c r="AD6973" s="7">
        <v>10</v>
      </c>
      <c r="AE6973" s="7">
        <v>18</v>
      </c>
      <c r="AF6973" s="8">
        <v>0.45833333333333331</v>
      </c>
      <c r="AG6973" s="9">
        <v>19.5</v>
      </c>
      <c r="AH6973" s="10">
        <f t="shared" si="123"/>
        <v>20</v>
      </c>
    </row>
    <row r="6974" spans="11:34" ht="14.5" x14ac:dyDescent="0.35">
      <c r="K6974" s="4"/>
      <c r="AC6974" s="7">
        <v>2022</v>
      </c>
      <c r="AD6974" s="7">
        <v>10</v>
      </c>
      <c r="AE6974" s="7">
        <v>18</v>
      </c>
      <c r="AF6974" s="8">
        <v>0.5</v>
      </c>
      <c r="AG6974" s="9">
        <v>22.7</v>
      </c>
      <c r="AH6974" s="10">
        <f t="shared" si="123"/>
        <v>23</v>
      </c>
    </row>
    <row r="6975" spans="11:34" ht="14.5" x14ac:dyDescent="0.35">
      <c r="K6975" s="4"/>
      <c r="AC6975" s="7">
        <v>2022</v>
      </c>
      <c r="AD6975" s="7">
        <v>10</v>
      </c>
      <c r="AE6975" s="7">
        <v>18</v>
      </c>
      <c r="AF6975" s="8">
        <v>0.54166666666666663</v>
      </c>
      <c r="AG6975" s="9">
        <v>23.7</v>
      </c>
      <c r="AH6975" s="10">
        <f t="shared" si="123"/>
        <v>24</v>
      </c>
    </row>
    <row r="6976" spans="11:34" ht="14.5" x14ac:dyDescent="0.35">
      <c r="K6976" s="4"/>
      <c r="AC6976" s="7">
        <v>2022</v>
      </c>
      <c r="AD6976" s="7">
        <v>10</v>
      </c>
      <c r="AE6976" s="7">
        <v>18</v>
      </c>
      <c r="AF6976" s="8">
        <v>0.58333333333333337</v>
      </c>
      <c r="AG6976" s="9">
        <v>24</v>
      </c>
      <c r="AH6976" s="10">
        <f t="shared" si="123"/>
        <v>24</v>
      </c>
    </row>
    <row r="6977" spans="11:34" ht="14.5" x14ac:dyDescent="0.35">
      <c r="K6977" s="4"/>
      <c r="AC6977" s="7">
        <v>2022</v>
      </c>
      <c r="AD6977" s="7">
        <v>10</v>
      </c>
      <c r="AE6977" s="7">
        <v>18</v>
      </c>
      <c r="AF6977" s="8">
        <v>0.625</v>
      </c>
      <c r="AG6977" s="9">
        <v>24.8</v>
      </c>
      <c r="AH6977" s="10">
        <f t="shared" si="123"/>
        <v>25</v>
      </c>
    </row>
    <row r="6978" spans="11:34" ht="14.5" x14ac:dyDescent="0.35">
      <c r="K6978" s="4"/>
      <c r="AC6978" s="7">
        <v>2022</v>
      </c>
      <c r="AD6978" s="7">
        <v>10</v>
      </c>
      <c r="AE6978" s="7">
        <v>18</v>
      </c>
      <c r="AF6978" s="8">
        <v>0.66666666666666663</v>
      </c>
      <c r="AG6978" s="9">
        <v>24.3</v>
      </c>
      <c r="AH6978" s="10">
        <f t="shared" si="123"/>
        <v>24</v>
      </c>
    </row>
    <row r="6979" spans="11:34" ht="14.5" x14ac:dyDescent="0.35">
      <c r="K6979" s="4"/>
      <c r="AC6979" s="7">
        <v>2022</v>
      </c>
      <c r="AD6979" s="7">
        <v>10</v>
      </c>
      <c r="AE6979" s="7">
        <v>18</v>
      </c>
      <c r="AF6979" s="8">
        <v>0.70833333333333337</v>
      </c>
      <c r="AG6979" s="9">
        <v>19.3</v>
      </c>
      <c r="AH6979" s="10">
        <f t="shared" si="123"/>
        <v>19</v>
      </c>
    </row>
    <row r="6980" spans="11:34" ht="14.5" x14ac:dyDescent="0.35">
      <c r="K6980" s="4"/>
      <c r="AC6980" s="7">
        <v>2022</v>
      </c>
      <c r="AD6980" s="7">
        <v>10</v>
      </c>
      <c r="AE6980" s="7">
        <v>18</v>
      </c>
      <c r="AF6980" s="8">
        <v>0.75</v>
      </c>
      <c r="AG6980" s="9">
        <v>15.4</v>
      </c>
      <c r="AH6980" s="10">
        <f t="shared" si="123"/>
        <v>15</v>
      </c>
    </row>
    <row r="6981" spans="11:34" ht="14.5" x14ac:dyDescent="0.35">
      <c r="K6981" s="4"/>
      <c r="AC6981" s="7">
        <v>2022</v>
      </c>
      <c r="AD6981" s="7">
        <v>10</v>
      </c>
      <c r="AE6981" s="7">
        <v>18</v>
      </c>
      <c r="AF6981" s="8">
        <v>0.79166666666666663</v>
      </c>
      <c r="AG6981" s="9">
        <v>11.7</v>
      </c>
      <c r="AH6981" s="10">
        <f t="shared" si="123"/>
        <v>12</v>
      </c>
    </row>
    <row r="6982" spans="11:34" ht="14.5" x14ac:dyDescent="0.35">
      <c r="K6982" s="4"/>
      <c r="AC6982" s="7">
        <v>2022</v>
      </c>
      <c r="AD6982" s="7">
        <v>10</v>
      </c>
      <c r="AE6982" s="7">
        <v>18</v>
      </c>
      <c r="AF6982" s="8">
        <v>0.83333333333333337</v>
      </c>
      <c r="AG6982" s="9">
        <v>8</v>
      </c>
      <c r="AH6982" s="10">
        <f t="shared" si="123"/>
        <v>8</v>
      </c>
    </row>
    <row r="6983" spans="11:34" ht="14.5" x14ac:dyDescent="0.35">
      <c r="K6983" s="4"/>
      <c r="AC6983" s="7">
        <v>2022</v>
      </c>
      <c r="AD6983" s="7">
        <v>10</v>
      </c>
      <c r="AE6983" s="7">
        <v>18</v>
      </c>
      <c r="AF6983" s="8">
        <v>0.875</v>
      </c>
      <c r="AG6983" s="9">
        <v>9.3000000000000007</v>
      </c>
      <c r="AH6983" s="10">
        <f t="shared" si="123"/>
        <v>9</v>
      </c>
    </row>
    <row r="6984" spans="11:34" ht="14.5" x14ac:dyDescent="0.35">
      <c r="K6984" s="4"/>
      <c r="AC6984" s="7">
        <v>2022</v>
      </c>
      <c r="AD6984" s="7">
        <v>10</v>
      </c>
      <c r="AE6984" s="7">
        <v>18</v>
      </c>
      <c r="AF6984" s="8">
        <v>0.91666666666666663</v>
      </c>
      <c r="AG6984" s="9">
        <v>6.4</v>
      </c>
      <c r="AH6984" s="10">
        <f t="shared" si="123"/>
        <v>6</v>
      </c>
    </row>
    <row r="6985" spans="11:34" ht="14.5" x14ac:dyDescent="0.35">
      <c r="K6985" s="4"/>
      <c r="AC6985" s="7">
        <v>2022</v>
      </c>
      <c r="AD6985" s="7">
        <v>10</v>
      </c>
      <c r="AE6985" s="7">
        <v>18</v>
      </c>
      <c r="AF6985" s="8">
        <v>0.95833333333333337</v>
      </c>
      <c r="AG6985" s="9">
        <v>3.7</v>
      </c>
      <c r="AH6985" s="10">
        <f t="shared" si="123"/>
        <v>4</v>
      </c>
    </row>
    <row r="6986" spans="11:34" ht="14.5" x14ac:dyDescent="0.35">
      <c r="K6986" s="4"/>
      <c r="AC6986" s="7">
        <v>2022</v>
      </c>
      <c r="AD6986" s="7">
        <v>10</v>
      </c>
      <c r="AE6986" s="7">
        <v>19</v>
      </c>
      <c r="AF6986" s="8">
        <v>0</v>
      </c>
      <c r="AG6986" s="9">
        <v>4.3</v>
      </c>
      <c r="AH6986" s="10">
        <f t="shared" si="123"/>
        <v>4</v>
      </c>
    </row>
    <row r="6987" spans="11:34" ht="14.5" x14ac:dyDescent="0.35">
      <c r="K6987" s="4"/>
      <c r="AC6987" s="7">
        <v>2022</v>
      </c>
      <c r="AD6987" s="7">
        <v>10</v>
      </c>
      <c r="AE6987" s="7">
        <v>19</v>
      </c>
      <c r="AF6987" s="8">
        <v>4.1666666666666664E-2</v>
      </c>
      <c r="AG6987" s="9">
        <v>2.8</v>
      </c>
      <c r="AH6987" s="10">
        <f t="shared" ref="AH6987:AH7050" si="124">ROUND(AG6987,0)</f>
        <v>3</v>
      </c>
    </row>
    <row r="6988" spans="11:34" ht="14.5" x14ac:dyDescent="0.35">
      <c r="K6988" s="4"/>
      <c r="AC6988" s="7">
        <v>2022</v>
      </c>
      <c r="AD6988" s="7">
        <v>10</v>
      </c>
      <c r="AE6988" s="7">
        <v>19</v>
      </c>
      <c r="AF6988" s="8">
        <v>8.3333333333333329E-2</v>
      </c>
      <c r="AG6988" s="9">
        <v>2</v>
      </c>
      <c r="AH6988" s="10">
        <f t="shared" si="124"/>
        <v>2</v>
      </c>
    </row>
    <row r="6989" spans="11:34" ht="14.5" x14ac:dyDescent="0.35">
      <c r="K6989" s="4"/>
      <c r="AC6989" s="7">
        <v>2022</v>
      </c>
      <c r="AD6989" s="7">
        <v>10</v>
      </c>
      <c r="AE6989" s="7">
        <v>19</v>
      </c>
      <c r="AF6989" s="8">
        <v>0.125</v>
      </c>
      <c r="AG6989" s="9">
        <v>3.2</v>
      </c>
      <c r="AH6989" s="10">
        <f t="shared" si="124"/>
        <v>3</v>
      </c>
    </row>
    <row r="6990" spans="11:34" ht="14.5" x14ac:dyDescent="0.35">
      <c r="K6990" s="4"/>
      <c r="AC6990" s="7">
        <v>2022</v>
      </c>
      <c r="AD6990" s="7">
        <v>10</v>
      </c>
      <c r="AE6990" s="7">
        <v>19</v>
      </c>
      <c r="AF6990" s="8">
        <v>0.16666666666666666</v>
      </c>
      <c r="AG6990" s="9">
        <v>2.4</v>
      </c>
      <c r="AH6990" s="10">
        <f t="shared" si="124"/>
        <v>2</v>
      </c>
    </row>
    <row r="6991" spans="11:34" ht="14.5" x14ac:dyDescent="0.35">
      <c r="K6991" s="4"/>
      <c r="AC6991" s="7">
        <v>2022</v>
      </c>
      <c r="AD6991" s="7">
        <v>10</v>
      </c>
      <c r="AE6991" s="7">
        <v>19</v>
      </c>
      <c r="AF6991" s="8">
        <v>0.20833333333333334</v>
      </c>
      <c r="AG6991" s="9">
        <v>2.4</v>
      </c>
      <c r="AH6991" s="10">
        <f t="shared" si="124"/>
        <v>2</v>
      </c>
    </row>
    <row r="6992" spans="11:34" ht="14.5" x14ac:dyDescent="0.35">
      <c r="K6992" s="4"/>
      <c r="AC6992" s="7">
        <v>2022</v>
      </c>
      <c r="AD6992" s="7">
        <v>10</v>
      </c>
      <c r="AE6992" s="7">
        <v>19</v>
      </c>
      <c r="AF6992" s="8">
        <v>0.25</v>
      </c>
      <c r="AG6992" s="9">
        <v>1.9</v>
      </c>
      <c r="AH6992" s="10">
        <f t="shared" si="124"/>
        <v>2</v>
      </c>
    </row>
    <row r="6993" spans="11:34" ht="14.5" x14ac:dyDescent="0.35">
      <c r="K6993" s="4"/>
      <c r="AC6993" s="7">
        <v>2022</v>
      </c>
      <c r="AD6993" s="7">
        <v>10</v>
      </c>
      <c r="AE6993" s="7">
        <v>19</v>
      </c>
      <c r="AF6993" s="8">
        <v>0.29166666666666669</v>
      </c>
      <c r="AG6993" s="9">
        <v>1.3</v>
      </c>
      <c r="AH6993" s="10">
        <f t="shared" si="124"/>
        <v>1</v>
      </c>
    </row>
    <row r="6994" spans="11:34" ht="14.5" x14ac:dyDescent="0.35">
      <c r="K6994" s="4"/>
      <c r="AC6994" s="7">
        <v>2022</v>
      </c>
      <c r="AD6994" s="7">
        <v>10</v>
      </c>
      <c r="AE6994" s="7">
        <v>19</v>
      </c>
      <c r="AF6994" s="8">
        <v>0.33333333333333331</v>
      </c>
      <c r="AG6994" s="9">
        <v>3.9</v>
      </c>
      <c r="AH6994" s="10">
        <f t="shared" si="124"/>
        <v>4</v>
      </c>
    </row>
    <row r="6995" spans="11:34" ht="14.5" x14ac:dyDescent="0.35">
      <c r="K6995" s="4"/>
      <c r="AC6995" s="7">
        <v>2022</v>
      </c>
      <c r="AD6995" s="7">
        <v>10</v>
      </c>
      <c r="AE6995" s="7">
        <v>19</v>
      </c>
      <c r="AF6995" s="8">
        <v>0.375</v>
      </c>
      <c r="AG6995" s="9">
        <v>10.7</v>
      </c>
      <c r="AH6995" s="10">
        <f t="shared" si="124"/>
        <v>11</v>
      </c>
    </row>
    <row r="6996" spans="11:34" ht="14.5" x14ac:dyDescent="0.35">
      <c r="K6996" s="4"/>
      <c r="AC6996" s="7">
        <v>2022</v>
      </c>
      <c r="AD6996" s="7">
        <v>10</v>
      </c>
      <c r="AE6996" s="7">
        <v>19</v>
      </c>
      <c r="AF6996" s="8">
        <v>0.41666666666666669</v>
      </c>
      <c r="AG6996" s="9">
        <v>14.2</v>
      </c>
      <c r="AH6996" s="10">
        <f t="shared" si="124"/>
        <v>14</v>
      </c>
    </row>
    <row r="6997" spans="11:34" ht="14.5" x14ac:dyDescent="0.35">
      <c r="K6997" s="4"/>
      <c r="AC6997" s="7">
        <v>2022</v>
      </c>
      <c r="AD6997" s="7">
        <v>10</v>
      </c>
      <c r="AE6997" s="7">
        <v>19</v>
      </c>
      <c r="AF6997" s="8">
        <v>0.45833333333333331</v>
      </c>
      <c r="AG6997" s="9">
        <v>18.2</v>
      </c>
      <c r="AH6997" s="10">
        <f t="shared" si="124"/>
        <v>18</v>
      </c>
    </row>
    <row r="6998" spans="11:34" ht="14.5" x14ac:dyDescent="0.35">
      <c r="K6998" s="4"/>
      <c r="AC6998" s="7">
        <v>2022</v>
      </c>
      <c r="AD6998" s="7">
        <v>10</v>
      </c>
      <c r="AE6998" s="7">
        <v>19</v>
      </c>
      <c r="AF6998" s="8">
        <v>0.5</v>
      </c>
      <c r="AG6998" s="9">
        <v>21</v>
      </c>
      <c r="AH6998" s="10">
        <f t="shared" si="124"/>
        <v>21</v>
      </c>
    </row>
    <row r="6999" spans="11:34" ht="14.5" x14ac:dyDescent="0.35">
      <c r="K6999" s="4"/>
      <c r="AC6999" s="7">
        <v>2022</v>
      </c>
      <c r="AD6999" s="7">
        <v>10</v>
      </c>
      <c r="AE6999" s="7">
        <v>19</v>
      </c>
      <c r="AF6999" s="8">
        <v>0.54166666666666663</v>
      </c>
      <c r="AG6999" s="9">
        <v>22.6</v>
      </c>
      <c r="AH6999" s="10">
        <f t="shared" si="124"/>
        <v>23</v>
      </c>
    </row>
    <row r="7000" spans="11:34" ht="14.5" x14ac:dyDescent="0.35">
      <c r="K7000" s="4"/>
      <c r="AC7000" s="7">
        <v>2022</v>
      </c>
      <c r="AD7000" s="7">
        <v>10</v>
      </c>
      <c r="AE7000" s="7">
        <v>19</v>
      </c>
      <c r="AF7000" s="8">
        <v>0.58333333333333337</v>
      </c>
      <c r="AG7000" s="9">
        <v>23.6</v>
      </c>
      <c r="AH7000" s="10">
        <f t="shared" si="124"/>
        <v>24</v>
      </c>
    </row>
    <row r="7001" spans="11:34" ht="14.5" x14ac:dyDescent="0.35">
      <c r="K7001" s="4"/>
      <c r="AC7001" s="7">
        <v>2022</v>
      </c>
      <c r="AD7001" s="7">
        <v>10</v>
      </c>
      <c r="AE7001" s="7">
        <v>19</v>
      </c>
      <c r="AF7001" s="8">
        <v>0.625</v>
      </c>
      <c r="AG7001" s="9">
        <v>24.7</v>
      </c>
      <c r="AH7001" s="10">
        <f t="shared" si="124"/>
        <v>25</v>
      </c>
    </row>
    <row r="7002" spans="11:34" ht="14.5" x14ac:dyDescent="0.35">
      <c r="K7002" s="4"/>
      <c r="AC7002" s="7">
        <v>2022</v>
      </c>
      <c r="AD7002" s="7">
        <v>10</v>
      </c>
      <c r="AE7002" s="7">
        <v>19</v>
      </c>
      <c r="AF7002" s="8">
        <v>0.66666666666666663</v>
      </c>
      <c r="AG7002" s="9">
        <v>24.1</v>
      </c>
      <c r="AH7002" s="10">
        <f t="shared" si="124"/>
        <v>24</v>
      </c>
    </row>
    <row r="7003" spans="11:34" ht="14.5" x14ac:dyDescent="0.35">
      <c r="K7003" s="4"/>
      <c r="AC7003" s="7">
        <v>2022</v>
      </c>
      <c r="AD7003" s="7">
        <v>10</v>
      </c>
      <c r="AE7003" s="7">
        <v>19</v>
      </c>
      <c r="AF7003" s="8">
        <v>0.70833333333333337</v>
      </c>
      <c r="AG7003" s="9">
        <v>21.5</v>
      </c>
      <c r="AH7003" s="10">
        <f t="shared" si="124"/>
        <v>22</v>
      </c>
    </row>
    <row r="7004" spans="11:34" ht="14.5" x14ac:dyDescent="0.35">
      <c r="K7004" s="4"/>
      <c r="AC7004" s="7">
        <v>2022</v>
      </c>
      <c r="AD7004" s="7">
        <v>10</v>
      </c>
      <c r="AE7004" s="7">
        <v>19</v>
      </c>
      <c r="AF7004" s="8">
        <v>0.75</v>
      </c>
      <c r="AG7004" s="9">
        <v>18</v>
      </c>
      <c r="AH7004" s="10">
        <f t="shared" si="124"/>
        <v>18</v>
      </c>
    </row>
    <row r="7005" spans="11:34" ht="14.5" x14ac:dyDescent="0.35">
      <c r="K7005" s="4"/>
      <c r="AC7005" s="7">
        <v>2022</v>
      </c>
      <c r="AD7005" s="7">
        <v>10</v>
      </c>
      <c r="AE7005" s="7">
        <v>19</v>
      </c>
      <c r="AF7005" s="8">
        <v>0.79166666666666663</v>
      </c>
      <c r="AG7005" s="9">
        <v>16.899999999999999</v>
      </c>
      <c r="AH7005" s="10">
        <f t="shared" si="124"/>
        <v>17</v>
      </c>
    </row>
    <row r="7006" spans="11:34" ht="14.5" x14ac:dyDescent="0.35">
      <c r="K7006" s="4"/>
      <c r="AC7006" s="7">
        <v>2022</v>
      </c>
      <c r="AD7006" s="7">
        <v>10</v>
      </c>
      <c r="AE7006" s="7">
        <v>19</v>
      </c>
      <c r="AF7006" s="8">
        <v>0.83333333333333337</v>
      </c>
      <c r="AG7006" s="9">
        <v>13.6</v>
      </c>
      <c r="AH7006" s="10">
        <f t="shared" si="124"/>
        <v>14</v>
      </c>
    </row>
    <row r="7007" spans="11:34" ht="14.5" x14ac:dyDescent="0.35">
      <c r="K7007" s="4"/>
      <c r="AC7007" s="7">
        <v>2022</v>
      </c>
      <c r="AD7007" s="7">
        <v>10</v>
      </c>
      <c r="AE7007" s="7">
        <v>19</v>
      </c>
      <c r="AF7007" s="8">
        <v>0.875</v>
      </c>
      <c r="AG7007" s="9">
        <v>16.2</v>
      </c>
      <c r="AH7007" s="10">
        <f t="shared" si="124"/>
        <v>16</v>
      </c>
    </row>
    <row r="7008" spans="11:34" ht="14.5" x14ac:dyDescent="0.35">
      <c r="K7008" s="4"/>
      <c r="AC7008" s="7">
        <v>2022</v>
      </c>
      <c r="AD7008" s="7">
        <v>10</v>
      </c>
      <c r="AE7008" s="7">
        <v>19</v>
      </c>
      <c r="AF7008" s="8">
        <v>0.91666666666666663</v>
      </c>
      <c r="AG7008" s="9">
        <v>17.100000000000001</v>
      </c>
      <c r="AH7008" s="10">
        <f t="shared" si="124"/>
        <v>17</v>
      </c>
    </row>
    <row r="7009" spans="11:34" ht="14.5" x14ac:dyDescent="0.35">
      <c r="K7009" s="4"/>
      <c r="AC7009" s="7">
        <v>2022</v>
      </c>
      <c r="AD7009" s="7">
        <v>10</v>
      </c>
      <c r="AE7009" s="7">
        <v>19</v>
      </c>
      <c r="AF7009" s="8">
        <v>0.95833333333333337</v>
      </c>
      <c r="AG7009" s="9">
        <v>14.2</v>
      </c>
      <c r="AH7009" s="10">
        <f t="shared" si="124"/>
        <v>14</v>
      </c>
    </row>
    <row r="7010" spans="11:34" ht="14.5" x14ac:dyDescent="0.35">
      <c r="K7010" s="4"/>
      <c r="AC7010" s="7">
        <v>2022</v>
      </c>
      <c r="AD7010" s="7">
        <v>10</v>
      </c>
      <c r="AE7010" s="7">
        <v>20</v>
      </c>
      <c r="AF7010" s="8">
        <v>0</v>
      </c>
      <c r="AG7010" s="9">
        <v>16.3</v>
      </c>
      <c r="AH7010" s="10">
        <f t="shared" si="124"/>
        <v>16</v>
      </c>
    </row>
    <row r="7011" spans="11:34" ht="14.5" x14ac:dyDescent="0.35">
      <c r="K7011" s="4"/>
      <c r="AC7011" s="7">
        <v>2022</v>
      </c>
      <c r="AD7011" s="7">
        <v>10</v>
      </c>
      <c r="AE7011" s="7">
        <v>20</v>
      </c>
      <c r="AF7011" s="8">
        <v>4.1666666666666664E-2</v>
      </c>
      <c r="AG7011" s="9">
        <v>15.3</v>
      </c>
      <c r="AH7011" s="10">
        <f t="shared" si="124"/>
        <v>15</v>
      </c>
    </row>
    <row r="7012" spans="11:34" ht="14.5" x14ac:dyDescent="0.35">
      <c r="K7012" s="4"/>
      <c r="AC7012" s="7">
        <v>2022</v>
      </c>
      <c r="AD7012" s="7">
        <v>10</v>
      </c>
      <c r="AE7012" s="7">
        <v>20</v>
      </c>
      <c r="AF7012" s="8">
        <v>8.3333333333333329E-2</v>
      </c>
      <c r="AG7012" s="9">
        <v>12.5</v>
      </c>
      <c r="AH7012" s="10">
        <f t="shared" si="124"/>
        <v>13</v>
      </c>
    </row>
    <row r="7013" spans="11:34" ht="14.5" x14ac:dyDescent="0.35">
      <c r="K7013" s="4"/>
      <c r="AC7013" s="7">
        <v>2022</v>
      </c>
      <c r="AD7013" s="7">
        <v>10</v>
      </c>
      <c r="AE7013" s="7">
        <v>20</v>
      </c>
      <c r="AF7013" s="8">
        <v>0.125</v>
      </c>
      <c r="AG7013" s="9">
        <v>15.1</v>
      </c>
      <c r="AH7013" s="10">
        <f t="shared" si="124"/>
        <v>15</v>
      </c>
    </row>
    <row r="7014" spans="11:34" ht="14.5" x14ac:dyDescent="0.35">
      <c r="K7014" s="4"/>
      <c r="AC7014" s="7">
        <v>2022</v>
      </c>
      <c r="AD7014" s="7">
        <v>10</v>
      </c>
      <c r="AE7014" s="7">
        <v>20</v>
      </c>
      <c r="AF7014" s="8">
        <v>0.16666666666666666</v>
      </c>
      <c r="AG7014" s="9">
        <v>15.5</v>
      </c>
      <c r="AH7014" s="10">
        <f t="shared" si="124"/>
        <v>16</v>
      </c>
    </row>
    <row r="7015" spans="11:34" ht="14.5" x14ac:dyDescent="0.35">
      <c r="K7015" s="4"/>
      <c r="AC7015" s="7">
        <v>2022</v>
      </c>
      <c r="AD7015" s="7">
        <v>10</v>
      </c>
      <c r="AE7015" s="7">
        <v>20</v>
      </c>
      <c r="AF7015" s="8">
        <v>0.20833333333333334</v>
      </c>
      <c r="AG7015" s="9">
        <v>13</v>
      </c>
      <c r="AH7015" s="10">
        <f t="shared" si="124"/>
        <v>13</v>
      </c>
    </row>
    <row r="7016" spans="11:34" ht="14.5" x14ac:dyDescent="0.35">
      <c r="K7016" s="4"/>
      <c r="AC7016" s="7">
        <v>2022</v>
      </c>
      <c r="AD7016" s="7">
        <v>10</v>
      </c>
      <c r="AE7016" s="7">
        <v>20</v>
      </c>
      <c r="AF7016" s="8">
        <v>0.25</v>
      </c>
      <c r="AG7016" s="9">
        <v>13.3</v>
      </c>
      <c r="AH7016" s="10">
        <f t="shared" si="124"/>
        <v>13</v>
      </c>
    </row>
    <row r="7017" spans="11:34" ht="14.5" x14ac:dyDescent="0.35">
      <c r="K7017" s="4"/>
      <c r="AC7017" s="7">
        <v>2022</v>
      </c>
      <c r="AD7017" s="7">
        <v>10</v>
      </c>
      <c r="AE7017" s="7">
        <v>20</v>
      </c>
      <c r="AF7017" s="8">
        <v>0.29166666666666669</v>
      </c>
      <c r="AG7017" s="9">
        <v>15.1</v>
      </c>
      <c r="AH7017" s="10">
        <f t="shared" si="124"/>
        <v>15</v>
      </c>
    </row>
    <row r="7018" spans="11:34" ht="14.5" x14ac:dyDescent="0.35">
      <c r="K7018" s="4"/>
      <c r="AC7018" s="7">
        <v>2022</v>
      </c>
      <c r="AD7018" s="7">
        <v>10</v>
      </c>
      <c r="AE7018" s="7">
        <v>20</v>
      </c>
      <c r="AF7018" s="8">
        <v>0.33333333333333331</v>
      </c>
      <c r="AG7018" s="9">
        <v>9</v>
      </c>
      <c r="AH7018" s="10">
        <f t="shared" si="124"/>
        <v>9</v>
      </c>
    </row>
    <row r="7019" spans="11:34" ht="14.5" x14ac:dyDescent="0.35">
      <c r="K7019" s="4"/>
      <c r="AC7019" s="7">
        <v>2022</v>
      </c>
      <c r="AD7019" s="7">
        <v>10</v>
      </c>
      <c r="AE7019" s="7">
        <v>20</v>
      </c>
      <c r="AF7019" s="8">
        <v>0.375</v>
      </c>
      <c r="AG7019" s="9">
        <v>8.1</v>
      </c>
      <c r="AH7019" s="10">
        <f t="shared" si="124"/>
        <v>8</v>
      </c>
    </row>
    <row r="7020" spans="11:34" ht="14.5" x14ac:dyDescent="0.35">
      <c r="K7020" s="4"/>
      <c r="AC7020" s="7">
        <v>2022</v>
      </c>
      <c r="AD7020" s="7">
        <v>10</v>
      </c>
      <c r="AE7020" s="7">
        <v>20</v>
      </c>
      <c r="AF7020" s="8">
        <v>0.41666666666666669</v>
      </c>
      <c r="AG7020" s="9">
        <v>8</v>
      </c>
      <c r="AH7020" s="10">
        <f t="shared" si="124"/>
        <v>8</v>
      </c>
    </row>
    <row r="7021" spans="11:34" ht="14.5" x14ac:dyDescent="0.35">
      <c r="K7021" s="4"/>
      <c r="AC7021" s="7">
        <v>2022</v>
      </c>
      <c r="AD7021" s="7">
        <v>10</v>
      </c>
      <c r="AE7021" s="7">
        <v>20</v>
      </c>
      <c r="AF7021" s="8">
        <v>0.45833333333333331</v>
      </c>
      <c r="AG7021" s="9">
        <v>7.2</v>
      </c>
      <c r="AH7021" s="10">
        <f t="shared" si="124"/>
        <v>7</v>
      </c>
    </row>
    <row r="7022" spans="11:34" ht="14.5" x14ac:dyDescent="0.35">
      <c r="K7022" s="4"/>
      <c r="AC7022" s="7">
        <v>2022</v>
      </c>
      <c r="AD7022" s="7">
        <v>10</v>
      </c>
      <c r="AE7022" s="7">
        <v>20</v>
      </c>
      <c r="AF7022" s="8">
        <v>0.5</v>
      </c>
      <c r="AG7022" s="9">
        <v>8.6</v>
      </c>
      <c r="AH7022" s="10">
        <f t="shared" si="124"/>
        <v>9</v>
      </c>
    </row>
    <row r="7023" spans="11:34" ht="14.5" x14ac:dyDescent="0.35">
      <c r="K7023" s="4"/>
      <c r="AC7023" s="7">
        <v>2022</v>
      </c>
      <c r="AD7023" s="7">
        <v>10</v>
      </c>
      <c r="AE7023" s="7">
        <v>20</v>
      </c>
      <c r="AF7023" s="8">
        <v>0.54166666666666663</v>
      </c>
      <c r="AG7023" s="9">
        <v>9.1999999999999993</v>
      </c>
      <c r="AH7023" s="10">
        <f t="shared" si="124"/>
        <v>9</v>
      </c>
    </row>
    <row r="7024" spans="11:34" ht="14.5" x14ac:dyDescent="0.35">
      <c r="K7024" s="4"/>
      <c r="AC7024" s="7">
        <v>2022</v>
      </c>
      <c r="AD7024" s="7">
        <v>10</v>
      </c>
      <c r="AE7024" s="7">
        <v>20</v>
      </c>
      <c r="AF7024" s="8">
        <v>0.58333333333333337</v>
      </c>
      <c r="AG7024" s="9">
        <v>10.1</v>
      </c>
      <c r="AH7024" s="10">
        <f t="shared" si="124"/>
        <v>10</v>
      </c>
    </row>
    <row r="7025" spans="11:34" ht="14.5" x14ac:dyDescent="0.35">
      <c r="K7025" s="4"/>
      <c r="AC7025" s="7">
        <v>2022</v>
      </c>
      <c r="AD7025" s="7">
        <v>10</v>
      </c>
      <c r="AE7025" s="7">
        <v>20</v>
      </c>
      <c r="AF7025" s="8">
        <v>0.625</v>
      </c>
      <c r="AG7025" s="9">
        <v>10.5</v>
      </c>
      <c r="AH7025" s="10">
        <f t="shared" si="124"/>
        <v>11</v>
      </c>
    </row>
    <row r="7026" spans="11:34" ht="14.5" x14ac:dyDescent="0.35">
      <c r="K7026" s="4"/>
      <c r="AC7026" s="7">
        <v>2022</v>
      </c>
      <c r="AD7026" s="7">
        <v>10</v>
      </c>
      <c r="AE7026" s="7">
        <v>20</v>
      </c>
      <c r="AF7026" s="8">
        <v>0.66666666666666663</v>
      </c>
      <c r="AG7026" s="9">
        <v>10.5</v>
      </c>
      <c r="AH7026" s="10">
        <f t="shared" si="124"/>
        <v>11</v>
      </c>
    </row>
    <row r="7027" spans="11:34" ht="14.5" x14ac:dyDescent="0.35">
      <c r="K7027" s="4"/>
      <c r="AC7027" s="7">
        <v>2022</v>
      </c>
      <c r="AD7027" s="7">
        <v>10</v>
      </c>
      <c r="AE7027" s="7">
        <v>20</v>
      </c>
      <c r="AF7027" s="8">
        <v>0.70833333333333337</v>
      </c>
      <c r="AG7027" s="9">
        <v>10</v>
      </c>
      <c r="AH7027" s="10">
        <f t="shared" si="124"/>
        <v>10</v>
      </c>
    </row>
    <row r="7028" spans="11:34" ht="14.5" x14ac:dyDescent="0.35">
      <c r="K7028" s="4"/>
      <c r="AC7028" s="7">
        <v>2022</v>
      </c>
      <c r="AD7028" s="7">
        <v>10</v>
      </c>
      <c r="AE7028" s="7">
        <v>20</v>
      </c>
      <c r="AF7028" s="8">
        <v>0.75</v>
      </c>
      <c r="AG7028" s="9">
        <v>5.9</v>
      </c>
      <c r="AH7028" s="10">
        <f t="shared" si="124"/>
        <v>6</v>
      </c>
    </row>
    <row r="7029" spans="11:34" ht="14.5" x14ac:dyDescent="0.35">
      <c r="K7029" s="4"/>
      <c r="AC7029" s="7">
        <v>2022</v>
      </c>
      <c r="AD7029" s="7">
        <v>10</v>
      </c>
      <c r="AE7029" s="7">
        <v>20</v>
      </c>
      <c r="AF7029" s="8">
        <v>0.79166666666666663</v>
      </c>
      <c r="AG7029" s="9">
        <v>6.5</v>
      </c>
      <c r="AH7029" s="10">
        <f t="shared" si="124"/>
        <v>7</v>
      </c>
    </row>
    <row r="7030" spans="11:34" ht="14.5" x14ac:dyDescent="0.35">
      <c r="K7030" s="4"/>
      <c r="AC7030" s="7">
        <v>2022</v>
      </c>
      <c r="AD7030" s="7">
        <v>10</v>
      </c>
      <c r="AE7030" s="7">
        <v>20</v>
      </c>
      <c r="AF7030" s="8">
        <v>0.83333333333333337</v>
      </c>
      <c r="AG7030" s="9">
        <v>6.3</v>
      </c>
      <c r="AH7030" s="10">
        <f t="shared" si="124"/>
        <v>6</v>
      </c>
    </row>
    <row r="7031" spans="11:34" ht="14.5" x14ac:dyDescent="0.35">
      <c r="K7031" s="4"/>
      <c r="AC7031" s="7">
        <v>2022</v>
      </c>
      <c r="AD7031" s="7">
        <v>10</v>
      </c>
      <c r="AE7031" s="7">
        <v>20</v>
      </c>
      <c r="AF7031" s="8">
        <v>0.875</v>
      </c>
      <c r="AG7031" s="9">
        <v>6.3</v>
      </c>
      <c r="AH7031" s="10">
        <f t="shared" si="124"/>
        <v>6</v>
      </c>
    </row>
    <row r="7032" spans="11:34" ht="14.5" x14ac:dyDescent="0.35">
      <c r="K7032" s="4"/>
      <c r="AC7032" s="7">
        <v>2022</v>
      </c>
      <c r="AD7032" s="7">
        <v>10</v>
      </c>
      <c r="AE7032" s="7">
        <v>20</v>
      </c>
      <c r="AF7032" s="8">
        <v>0.91666666666666663</v>
      </c>
      <c r="AG7032" s="9">
        <v>6</v>
      </c>
      <c r="AH7032" s="10">
        <f t="shared" si="124"/>
        <v>6</v>
      </c>
    </row>
    <row r="7033" spans="11:34" ht="14.5" x14ac:dyDescent="0.35">
      <c r="K7033" s="4"/>
      <c r="AC7033" s="7">
        <v>2022</v>
      </c>
      <c r="AD7033" s="7">
        <v>10</v>
      </c>
      <c r="AE7033" s="7">
        <v>20</v>
      </c>
      <c r="AF7033" s="8">
        <v>0.95833333333333337</v>
      </c>
      <c r="AG7033" s="9">
        <v>5.0999999999999996</v>
      </c>
      <c r="AH7033" s="10">
        <f t="shared" si="124"/>
        <v>5</v>
      </c>
    </row>
    <row r="7034" spans="11:34" ht="14.5" x14ac:dyDescent="0.35">
      <c r="K7034" s="4"/>
      <c r="AC7034" s="7">
        <v>2022</v>
      </c>
      <c r="AD7034" s="7">
        <v>10</v>
      </c>
      <c r="AE7034" s="7">
        <v>21</v>
      </c>
      <c r="AF7034" s="8">
        <v>0</v>
      </c>
      <c r="AG7034" s="9">
        <v>4.7</v>
      </c>
      <c r="AH7034" s="10">
        <f t="shared" si="124"/>
        <v>5</v>
      </c>
    </row>
    <row r="7035" spans="11:34" ht="14.5" x14ac:dyDescent="0.35">
      <c r="K7035" s="4"/>
      <c r="AC7035" s="7">
        <v>2022</v>
      </c>
      <c r="AD7035" s="7">
        <v>10</v>
      </c>
      <c r="AE7035" s="7">
        <v>21</v>
      </c>
      <c r="AF7035" s="8">
        <v>4.1666666666666664E-2</v>
      </c>
      <c r="AG7035" s="9">
        <v>4.3</v>
      </c>
      <c r="AH7035" s="10">
        <f t="shared" si="124"/>
        <v>4</v>
      </c>
    </row>
    <row r="7036" spans="11:34" ht="14.5" x14ac:dyDescent="0.35">
      <c r="K7036" s="4"/>
      <c r="AC7036" s="7">
        <v>2022</v>
      </c>
      <c r="AD7036" s="7">
        <v>10</v>
      </c>
      <c r="AE7036" s="7">
        <v>21</v>
      </c>
      <c r="AF7036" s="8">
        <v>8.3333333333333329E-2</v>
      </c>
      <c r="AG7036" s="9">
        <v>4.2</v>
      </c>
      <c r="AH7036" s="10">
        <f t="shared" si="124"/>
        <v>4</v>
      </c>
    </row>
    <row r="7037" spans="11:34" ht="14.5" x14ac:dyDescent="0.35">
      <c r="K7037" s="4"/>
      <c r="AC7037" s="7">
        <v>2022</v>
      </c>
      <c r="AD7037" s="7">
        <v>10</v>
      </c>
      <c r="AE7037" s="7">
        <v>21</v>
      </c>
      <c r="AF7037" s="8">
        <v>0.125</v>
      </c>
      <c r="AG7037" s="9">
        <v>4.9000000000000004</v>
      </c>
      <c r="AH7037" s="10">
        <f t="shared" si="124"/>
        <v>5</v>
      </c>
    </row>
    <row r="7038" spans="11:34" ht="14.5" x14ac:dyDescent="0.35">
      <c r="K7038" s="4"/>
      <c r="AC7038" s="7">
        <v>2022</v>
      </c>
      <c r="AD7038" s="7">
        <v>10</v>
      </c>
      <c r="AE7038" s="7">
        <v>21</v>
      </c>
      <c r="AF7038" s="8">
        <v>0.16666666666666666</v>
      </c>
      <c r="AG7038" s="9">
        <v>4.4000000000000004</v>
      </c>
      <c r="AH7038" s="10">
        <f t="shared" si="124"/>
        <v>4</v>
      </c>
    </row>
    <row r="7039" spans="11:34" ht="14.5" x14ac:dyDescent="0.35">
      <c r="K7039" s="4"/>
      <c r="AC7039" s="7">
        <v>2022</v>
      </c>
      <c r="AD7039" s="7">
        <v>10</v>
      </c>
      <c r="AE7039" s="7">
        <v>21</v>
      </c>
      <c r="AF7039" s="8">
        <v>0.20833333333333334</v>
      </c>
      <c r="AG7039" s="9">
        <v>3.2</v>
      </c>
      <c r="AH7039" s="10">
        <f t="shared" si="124"/>
        <v>3</v>
      </c>
    </row>
    <row r="7040" spans="11:34" ht="14.5" x14ac:dyDescent="0.35">
      <c r="K7040" s="4"/>
      <c r="AC7040" s="7">
        <v>2022</v>
      </c>
      <c r="AD7040" s="7">
        <v>10</v>
      </c>
      <c r="AE7040" s="7">
        <v>21</v>
      </c>
      <c r="AF7040" s="8">
        <v>0.25</v>
      </c>
      <c r="AG7040" s="9">
        <v>2.7</v>
      </c>
      <c r="AH7040" s="10">
        <f t="shared" si="124"/>
        <v>3</v>
      </c>
    </row>
    <row r="7041" spans="11:34" ht="14.5" x14ac:dyDescent="0.35">
      <c r="K7041" s="4"/>
      <c r="AC7041" s="7">
        <v>2022</v>
      </c>
      <c r="AD7041" s="7">
        <v>10</v>
      </c>
      <c r="AE7041" s="7">
        <v>21</v>
      </c>
      <c r="AF7041" s="8">
        <v>0.29166666666666669</v>
      </c>
      <c r="AG7041" s="9">
        <v>1.8</v>
      </c>
      <c r="AH7041" s="10">
        <f t="shared" si="124"/>
        <v>2</v>
      </c>
    </row>
    <row r="7042" spans="11:34" ht="14.5" x14ac:dyDescent="0.35">
      <c r="K7042" s="4"/>
      <c r="AC7042" s="7">
        <v>2022</v>
      </c>
      <c r="AD7042" s="7">
        <v>10</v>
      </c>
      <c r="AE7042" s="7">
        <v>21</v>
      </c>
      <c r="AF7042" s="8">
        <v>0.33333333333333331</v>
      </c>
      <c r="AG7042" s="9">
        <v>1.8</v>
      </c>
      <c r="AH7042" s="10">
        <f t="shared" si="124"/>
        <v>2</v>
      </c>
    </row>
    <row r="7043" spans="11:34" ht="14.5" x14ac:dyDescent="0.35">
      <c r="K7043" s="4"/>
      <c r="AC7043" s="7">
        <v>2022</v>
      </c>
      <c r="AD7043" s="7">
        <v>10</v>
      </c>
      <c r="AE7043" s="7">
        <v>21</v>
      </c>
      <c r="AF7043" s="8">
        <v>0.375</v>
      </c>
      <c r="AG7043" s="9">
        <v>1.8</v>
      </c>
      <c r="AH7043" s="10">
        <f t="shared" si="124"/>
        <v>2</v>
      </c>
    </row>
    <row r="7044" spans="11:34" ht="14.5" x14ac:dyDescent="0.35">
      <c r="K7044" s="4"/>
      <c r="AC7044" s="7">
        <v>2022</v>
      </c>
      <c r="AD7044" s="7">
        <v>10</v>
      </c>
      <c r="AE7044" s="7">
        <v>21</v>
      </c>
      <c r="AF7044" s="8">
        <v>0.41666666666666669</v>
      </c>
      <c r="AG7044" s="9">
        <v>2.4</v>
      </c>
      <c r="AH7044" s="10">
        <f t="shared" si="124"/>
        <v>2</v>
      </c>
    </row>
    <row r="7045" spans="11:34" ht="14.5" x14ac:dyDescent="0.35">
      <c r="K7045" s="4"/>
      <c r="AC7045" s="7">
        <v>2022</v>
      </c>
      <c r="AD7045" s="7">
        <v>10</v>
      </c>
      <c r="AE7045" s="7">
        <v>21</v>
      </c>
      <c r="AF7045" s="8">
        <v>0.45833333333333331</v>
      </c>
      <c r="AG7045" s="9">
        <v>3.1</v>
      </c>
      <c r="AH7045" s="10">
        <f t="shared" si="124"/>
        <v>3</v>
      </c>
    </row>
    <row r="7046" spans="11:34" ht="14.5" x14ac:dyDescent="0.35">
      <c r="K7046" s="4"/>
      <c r="AC7046" s="7">
        <v>2022</v>
      </c>
      <c r="AD7046" s="7">
        <v>10</v>
      </c>
      <c r="AE7046" s="7">
        <v>21</v>
      </c>
      <c r="AF7046" s="8">
        <v>0.5</v>
      </c>
      <c r="AG7046" s="9">
        <v>3.9</v>
      </c>
      <c r="AH7046" s="10">
        <f t="shared" si="124"/>
        <v>4</v>
      </c>
    </row>
    <row r="7047" spans="11:34" ht="14.5" x14ac:dyDescent="0.35">
      <c r="K7047" s="4"/>
      <c r="AC7047" s="7">
        <v>2022</v>
      </c>
      <c r="AD7047" s="7">
        <v>10</v>
      </c>
      <c r="AE7047" s="7">
        <v>21</v>
      </c>
      <c r="AF7047" s="8">
        <v>0.54166666666666663</v>
      </c>
      <c r="AG7047" s="9">
        <v>4.7</v>
      </c>
      <c r="AH7047" s="10">
        <f t="shared" si="124"/>
        <v>5</v>
      </c>
    </row>
    <row r="7048" spans="11:34" ht="14.5" x14ac:dyDescent="0.35">
      <c r="K7048" s="4"/>
      <c r="AC7048" s="7">
        <v>2022</v>
      </c>
      <c r="AD7048" s="7">
        <v>10</v>
      </c>
      <c r="AE7048" s="7">
        <v>21</v>
      </c>
      <c r="AF7048" s="8">
        <v>0.58333333333333337</v>
      </c>
      <c r="AG7048" s="9">
        <v>4.5999999999999996</v>
      </c>
      <c r="AH7048" s="10">
        <f t="shared" si="124"/>
        <v>5</v>
      </c>
    </row>
    <row r="7049" spans="11:34" ht="14.5" x14ac:dyDescent="0.35">
      <c r="K7049" s="4"/>
      <c r="AC7049" s="7">
        <v>2022</v>
      </c>
      <c r="AD7049" s="7">
        <v>10</v>
      </c>
      <c r="AE7049" s="7">
        <v>21</v>
      </c>
      <c r="AF7049" s="8">
        <v>0.625</v>
      </c>
      <c r="AG7049" s="9">
        <v>5.7</v>
      </c>
      <c r="AH7049" s="10">
        <f t="shared" si="124"/>
        <v>6</v>
      </c>
    </row>
    <row r="7050" spans="11:34" ht="14.5" x14ac:dyDescent="0.35">
      <c r="K7050" s="4"/>
      <c r="AC7050" s="7">
        <v>2022</v>
      </c>
      <c r="AD7050" s="7">
        <v>10</v>
      </c>
      <c r="AE7050" s="7">
        <v>21</v>
      </c>
      <c r="AF7050" s="8">
        <v>0.66666666666666663</v>
      </c>
      <c r="AG7050" s="9">
        <v>4.9000000000000004</v>
      </c>
      <c r="AH7050" s="10">
        <f t="shared" si="124"/>
        <v>5</v>
      </c>
    </row>
    <row r="7051" spans="11:34" ht="14.5" x14ac:dyDescent="0.35">
      <c r="K7051" s="4"/>
      <c r="AC7051" s="7">
        <v>2022</v>
      </c>
      <c r="AD7051" s="7">
        <v>10</v>
      </c>
      <c r="AE7051" s="7">
        <v>21</v>
      </c>
      <c r="AF7051" s="8">
        <v>0.70833333333333337</v>
      </c>
      <c r="AG7051" s="9">
        <v>4.2</v>
      </c>
      <c r="AH7051" s="10">
        <f t="shared" ref="AH7051:AH7114" si="125">ROUND(AG7051,0)</f>
        <v>4</v>
      </c>
    </row>
    <row r="7052" spans="11:34" ht="14.5" x14ac:dyDescent="0.35">
      <c r="K7052" s="4"/>
      <c r="AC7052" s="7">
        <v>2022</v>
      </c>
      <c r="AD7052" s="7">
        <v>10</v>
      </c>
      <c r="AE7052" s="7">
        <v>21</v>
      </c>
      <c r="AF7052" s="8">
        <v>0.75</v>
      </c>
      <c r="AG7052" s="9">
        <v>3.7</v>
      </c>
      <c r="AH7052" s="10">
        <f t="shared" si="125"/>
        <v>4</v>
      </c>
    </row>
    <row r="7053" spans="11:34" ht="14.5" x14ac:dyDescent="0.35">
      <c r="K7053" s="4"/>
      <c r="AC7053" s="7">
        <v>2022</v>
      </c>
      <c r="AD7053" s="7">
        <v>10</v>
      </c>
      <c r="AE7053" s="7">
        <v>21</v>
      </c>
      <c r="AF7053" s="8">
        <v>0.79166666666666663</v>
      </c>
      <c r="AG7053" s="9">
        <v>3.4</v>
      </c>
      <c r="AH7053" s="10">
        <f t="shared" si="125"/>
        <v>3</v>
      </c>
    </row>
    <row r="7054" spans="11:34" ht="14.5" x14ac:dyDescent="0.35">
      <c r="K7054" s="4"/>
      <c r="AC7054" s="7">
        <v>2022</v>
      </c>
      <c r="AD7054" s="7">
        <v>10</v>
      </c>
      <c r="AE7054" s="7">
        <v>21</v>
      </c>
      <c r="AF7054" s="8">
        <v>0.83333333333333337</v>
      </c>
      <c r="AG7054" s="9">
        <v>2.9</v>
      </c>
      <c r="AH7054" s="10">
        <f t="shared" si="125"/>
        <v>3</v>
      </c>
    </row>
    <row r="7055" spans="11:34" ht="14.5" x14ac:dyDescent="0.35">
      <c r="K7055" s="4"/>
      <c r="AC7055" s="7">
        <v>2022</v>
      </c>
      <c r="AD7055" s="7">
        <v>10</v>
      </c>
      <c r="AE7055" s="7">
        <v>21</v>
      </c>
      <c r="AF7055" s="8">
        <v>0.875</v>
      </c>
      <c r="AG7055" s="9">
        <v>2.7</v>
      </c>
      <c r="AH7055" s="10">
        <f t="shared" si="125"/>
        <v>3</v>
      </c>
    </row>
    <row r="7056" spans="11:34" ht="14.5" x14ac:dyDescent="0.35">
      <c r="K7056" s="4"/>
      <c r="AC7056" s="7">
        <v>2022</v>
      </c>
      <c r="AD7056" s="7">
        <v>10</v>
      </c>
      <c r="AE7056" s="7">
        <v>21</v>
      </c>
      <c r="AF7056" s="8">
        <v>0.91666666666666663</v>
      </c>
      <c r="AG7056" s="9">
        <v>2.4</v>
      </c>
      <c r="AH7056" s="10">
        <f t="shared" si="125"/>
        <v>2</v>
      </c>
    </row>
    <row r="7057" spans="11:34" ht="14.5" x14ac:dyDescent="0.35">
      <c r="K7057" s="4"/>
      <c r="AC7057" s="7">
        <v>2022</v>
      </c>
      <c r="AD7057" s="7">
        <v>10</v>
      </c>
      <c r="AE7057" s="7">
        <v>21</v>
      </c>
      <c r="AF7057" s="8">
        <v>0.95833333333333337</v>
      </c>
      <c r="AG7057" s="9">
        <v>1.1000000000000001</v>
      </c>
      <c r="AH7057" s="10">
        <f t="shared" si="125"/>
        <v>1</v>
      </c>
    </row>
    <row r="7058" spans="11:34" ht="14.5" x14ac:dyDescent="0.35">
      <c r="K7058" s="4"/>
      <c r="AC7058" s="7">
        <v>2022</v>
      </c>
      <c r="AD7058" s="7">
        <v>10</v>
      </c>
      <c r="AE7058" s="7">
        <v>22</v>
      </c>
      <c r="AF7058" s="8">
        <v>0</v>
      </c>
      <c r="AG7058" s="9">
        <v>0.3</v>
      </c>
      <c r="AH7058" s="10">
        <f t="shared" si="125"/>
        <v>0</v>
      </c>
    </row>
    <row r="7059" spans="11:34" ht="14.5" x14ac:dyDescent="0.35">
      <c r="K7059" s="4"/>
      <c r="AC7059" s="7">
        <v>2022</v>
      </c>
      <c r="AD7059" s="7">
        <v>10</v>
      </c>
      <c r="AE7059" s="7">
        <v>22</v>
      </c>
      <c r="AF7059" s="8">
        <v>4.1666666666666664E-2</v>
      </c>
      <c r="AG7059" s="9">
        <v>0</v>
      </c>
      <c r="AH7059" s="10">
        <f t="shared" si="125"/>
        <v>0</v>
      </c>
    </row>
    <row r="7060" spans="11:34" ht="14.5" x14ac:dyDescent="0.35">
      <c r="K7060" s="4"/>
      <c r="AC7060" s="7">
        <v>2022</v>
      </c>
      <c r="AD7060" s="7">
        <v>10</v>
      </c>
      <c r="AE7060" s="7">
        <v>22</v>
      </c>
      <c r="AF7060" s="8">
        <v>8.3333333333333329E-2</v>
      </c>
      <c r="AG7060" s="9">
        <v>0</v>
      </c>
      <c r="AH7060" s="10">
        <f t="shared" si="125"/>
        <v>0</v>
      </c>
    </row>
    <row r="7061" spans="11:34" ht="14.5" x14ac:dyDescent="0.35">
      <c r="K7061" s="4"/>
      <c r="AC7061" s="7">
        <v>2022</v>
      </c>
      <c r="AD7061" s="7">
        <v>10</v>
      </c>
      <c r="AE7061" s="7">
        <v>22</v>
      </c>
      <c r="AF7061" s="8">
        <v>0.125</v>
      </c>
      <c r="AG7061" s="9">
        <v>0</v>
      </c>
      <c r="AH7061" s="10">
        <f t="shared" si="125"/>
        <v>0</v>
      </c>
    </row>
    <row r="7062" spans="11:34" ht="14.5" x14ac:dyDescent="0.35">
      <c r="K7062" s="4"/>
      <c r="AC7062" s="7">
        <v>2022</v>
      </c>
      <c r="AD7062" s="7">
        <v>10</v>
      </c>
      <c r="AE7062" s="7">
        <v>22</v>
      </c>
      <c r="AF7062" s="8">
        <v>0.16666666666666666</v>
      </c>
      <c r="AG7062" s="9">
        <v>-0.1</v>
      </c>
      <c r="AH7062" s="10">
        <f t="shared" si="125"/>
        <v>0</v>
      </c>
    </row>
    <row r="7063" spans="11:34" ht="14.5" x14ac:dyDescent="0.35">
      <c r="K7063" s="4"/>
      <c r="AC7063" s="7">
        <v>2022</v>
      </c>
      <c r="AD7063" s="7">
        <v>10</v>
      </c>
      <c r="AE7063" s="7">
        <v>22</v>
      </c>
      <c r="AF7063" s="8">
        <v>0.20833333333333334</v>
      </c>
      <c r="AG7063" s="9">
        <v>0</v>
      </c>
      <c r="AH7063" s="10">
        <f t="shared" si="125"/>
        <v>0</v>
      </c>
    </row>
    <row r="7064" spans="11:34" ht="14.5" x14ac:dyDescent="0.35">
      <c r="K7064" s="4"/>
      <c r="AC7064" s="7">
        <v>2022</v>
      </c>
      <c r="AD7064" s="7">
        <v>10</v>
      </c>
      <c r="AE7064" s="7">
        <v>22</v>
      </c>
      <c r="AF7064" s="8">
        <v>0.25</v>
      </c>
      <c r="AG7064" s="9">
        <v>-0.1</v>
      </c>
      <c r="AH7064" s="10">
        <f t="shared" si="125"/>
        <v>0</v>
      </c>
    </row>
    <row r="7065" spans="11:34" ht="14.5" x14ac:dyDescent="0.35">
      <c r="K7065" s="4"/>
      <c r="AC7065" s="7">
        <v>2022</v>
      </c>
      <c r="AD7065" s="7">
        <v>10</v>
      </c>
      <c r="AE7065" s="7">
        <v>22</v>
      </c>
      <c r="AF7065" s="8">
        <v>0.29166666666666669</v>
      </c>
      <c r="AG7065" s="9">
        <v>-0.1</v>
      </c>
      <c r="AH7065" s="10">
        <f t="shared" si="125"/>
        <v>0</v>
      </c>
    </row>
    <row r="7066" spans="11:34" ht="14.5" x14ac:dyDescent="0.35">
      <c r="K7066" s="4"/>
      <c r="AC7066" s="7">
        <v>2022</v>
      </c>
      <c r="AD7066" s="7">
        <v>10</v>
      </c>
      <c r="AE7066" s="7">
        <v>22</v>
      </c>
      <c r="AF7066" s="8">
        <v>0.33333333333333331</v>
      </c>
      <c r="AG7066" s="9">
        <v>-0.2</v>
      </c>
      <c r="AH7066" s="10">
        <f t="shared" si="125"/>
        <v>0</v>
      </c>
    </row>
    <row r="7067" spans="11:34" ht="14.5" x14ac:dyDescent="0.35">
      <c r="K7067" s="4"/>
      <c r="AC7067" s="7">
        <v>2022</v>
      </c>
      <c r="AD7067" s="7">
        <v>10</v>
      </c>
      <c r="AE7067" s="7">
        <v>22</v>
      </c>
      <c r="AF7067" s="8">
        <v>0.375</v>
      </c>
      <c r="AG7067" s="9">
        <v>-0.1</v>
      </c>
      <c r="AH7067" s="10">
        <f t="shared" si="125"/>
        <v>0</v>
      </c>
    </row>
    <row r="7068" spans="11:34" ht="14.5" x14ac:dyDescent="0.35">
      <c r="K7068" s="4"/>
      <c r="AC7068" s="7">
        <v>2022</v>
      </c>
      <c r="AD7068" s="7">
        <v>10</v>
      </c>
      <c r="AE7068" s="7">
        <v>22</v>
      </c>
      <c r="AF7068" s="8">
        <v>0.41666666666666669</v>
      </c>
      <c r="AG7068" s="9">
        <v>0.1</v>
      </c>
      <c r="AH7068" s="10">
        <f t="shared" si="125"/>
        <v>0</v>
      </c>
    </row>
    <row r="7069" spans="11:34" ht="14.5" x14ac:dyDescent="0.35">
      <c r="K7069" s="4"/>
      <c r="AC7069" s="7">
        <v>2022</v>
      </c>
      <c r="AD7069" s="7">
        <v>10</v>
      </c>
      <c r="AE7069" s="7">
        <v>22</v>
      </c>
      <c r="AF7069" s="8">
        <v>0.45833333333333331</v>
      </c>
      <c r="AG7069" s="9">
        <v>-0.1</v>
      </c>
      <c r="AH7069" s="10">
        <f t="shared" si="125"/>
        <v>0</v>
      </c>
    </row>
    <row r="7070" spans="11:34" ht="14.5" x14ac:dyDescent="0.35">
      <c r="K7070" s="4"/>
      <c r="AC7070" s="7">
        <v>2022</v>
      </c>
      <c r="AD7070" s="7">
        <v>10</v>
      </c>
      <c r="AE7070" s="7">
        <v>22</v>
      </c>
      <c r="AF7070" s="8">
        <v>0.5</v>
      </c>
      <c r="AG7070" s="9">
        <v>0.1</v>
      </c>
      <c r="AH7070" s="10">
        <f t="shared" si="125"/>
        <v>0</v>
      </c>
    </row>
    <row r="7071" spans="11:34" ht="14.5" x14ac:dyDescent="0.35">
      <c r="K7071" s="4"/>
      <c r="AC7071" s="7">
        <v>2022</v>
      </c>
      <c r="AD7071" s="7">
        <v>10</v>
      </c>
      <c r="AE7071" s="7">
        <v>22</v>
      </c>
      <c r="AF7071" s="8">
        <v>0.54166666666666663</v>
      </c>
      <c r="AG7071" s="9">
        <v>0.2</v>
      </c>
      <c r="AH7071" s="10">
        <f t="shared" si="125"/>
        <v>0</v>
      </c>
    </row>
    <row r="7072" spans="11:34" ht="14.5" x14ac:dyDescent="0.35">
      <c r="K7072" s="4"/>
      <c r="AC7072" s="7">
        <v>2022</v>
      </c>
      <c r="AD7072" s="7">
        <v>10</v>
      </c>
      <c r="AE7072" s="7">
        <v>22</v>
      </c>
      <c r="AF7072" s="8">
        <v>0.58333333333333337</v>
      </c>
      <c r="AG7072" s="9">
        <v>0.2</v>
      </c>
      <c r="AH7072" s="10">
        <f t="shared" si="125"/>
        <v>0</v>
      </c>
    </row>
    <row r="7073" spans="11:34" ht="14.5" x14ac:dyDescent="0.35">
      <c r="K7073" s="4"/>
      <c r="AC7073" s="7">
        <v>2022</v>
      </c>
      <c r="AD7073" s="7">
        <v>10</v>
      </c>
      <c r="AE7073" s="7">
        <v>22</v>
      </c>
      <c r="AF7073" s="8">
        <v>0.625</v>
      </c>
      <c r="AG7073" s="9">
        <v>0.2</v>
      </c>
      <c r="AH7073" s="10">
        <f t="shared" si="125"/>
        <v>0</v>
      </c>
    </row>
    <row r="7074" spans="11:34" ht="14.5" x14ac:dyDescent="0.35">
      <c r="K7074" s="4"/>
      <c r="AC7074" s="7">
        <v>2022</v>
      </c>
      <c r="AD7074" s="7">
        <v>10</v>
      </c>
      <c r="AE7074" s="7">
        <v>22</v>
      </c>
      <c r="AF7074" s="8">
        <v>0.66666666666666663</v>
      </c>
      <c r="AG7074" s="9">
        <v>0.1</v>
      </c>
      <c r="AH7074" s="10">
        <f t="shared" si="125"/>
        <v>0</v>
      </c>
    </row>
    <row r="7075" spans="11:34" ht="14.5" x14ac:dyDescent="0.35">
      <c r="K7075" s="4"/>
      <c r="AC7075" s="7">
        <v>2022</v>
      </c>
      <c r="AD7075" s="7">
        <v>10</v>
      </c>
      <c r="AE7075" s="7">
        <v>22</v>
      </c>
      <c r="AF7075" s="8">
        <v>0.70833333333333337</v>
      </c>
      <c r="AG7075" s="9">
        <v>0.1</v>
      </c>
      <c r="AH7075" s="10">
        <f t="shared" si="125"/>
        <v>0</v>
      </c>
    </row>
    <row r="7076" spans="11:34" ht="14.5" x14ac:dyDescent="0.35">
      <c r="K7076" s="4"/>
      <c r="AC7076" s="7">
        <v>2022</v>
      </c>
      <c r="AD7076" s="7">
        <v>10</v>
      </c>
      <c r="AE7076" s="7">
        <v>22</v>
      </c>
      <c r="AF7076" s="8">
        <v>0.75</v>
      </c>
      <c r="AG7076" s="9">
        <v>0.1</v>
      </c>
      <c r="AH7076" s="10">
        <f t="shared" si="125"/>
        <v>0</v>
      </c>
    </row>
    <row r="7077" spans="11:34" ht="14.5" x14ac:dyDescent="0.35">
      <c r="K7077" s="4"/>
      <c r="AC7077" s="7">
        <v>2022</v>
      </c>
      <c r="AD7077" s="7">
        <v>10</v>
      </c>
      <c r="AE7077" s="7">
        <v>22</v>
      </c>
      <c r="AF7077" s="8">
        <v>0.79166666666666663</v>
      </c>
      <c r="AG7077" s="9">
        <v>0.1</v>
      </c>
      <c r="AH7077" s="10">
        <f t="shared" si="125"/>
        <v>0</v>
      </c>
    </row>
    <row r="7078" spans="11:34" ht="14.5" x14ac:dyDescent="0.35">
      <c r="K7078" s="4"/>
      <c r="AC7078" s="7">
        <v>2022</v>
      </c>
      <c r="AD7078" s="7">
        <v>10</v>
      </c>
      <c r="AE7078" s="7">
        <v>22</v>
      </c>
      <c r="AF7078" s="8">
        <v>0.83333333333333337</v>
      </c>
      <c r="AG7078" s="9">
        <v>0.1</v>
      </c>
      <c r="AH7078" s="10">
        <f t="shared" si="125"/>
        <v>0</v>
      </c>
    </row>
    <row r="7079" spans="11:34" ht="14.5" x14ac:dyDescent="0.35">
      <c r="K7079" s="4"/>
      <c r="AC7079" s="7">
        <v>2022</v>
      </c>
      <c r="AD7079" s="7">
        <v>10</v>
      </c>
      <c r="AE7079" s="7">
        <v>22</v>
      </c>
      <c r="AF7079" s="8">
        <v>0.875</v>
      </c>
      <c r="AG7079" s="9">
        <v>0.1</v>
      </c>
      <c r="AH7079" s="10">
        <f t="shared" si="125"/>
        <v>0</v>
      </c>
    </row>
    <row r="7080" spans="11:34" ht="14.5" x14ac:dyDescent="0.35">
      <c r="K7080" s="4"/>
      <c r="AC7080" s="7">
        <v>2022</v>
      </c>
      <c r="AD7080" s="7">
        <v>10</v>
      </c>
      <c r="AE7080" s="7">
        <v>22</v>
      </c>
      <c r="AF7080" s="8">
        <v>0.91666666666666663</v>
      </c>
      <c r="AG7080" s="9">
        <v>0</v>
      </c>
      <c r="AH7080" s="10">
        <f t="shared" si="125"/>
        <v>0</v>
      </c>
    </row>
    <row r="7081" spans="11:34" ht="14.5" x14ac:dyDescent="0.35">
      <c r="K7081" s="4"/>
      <c r="AC7081" s="7">
        <v>2022</v>
      </c>
      <c r="AD7081" s="7">
        <v>10</v>
      </c>
      <c r="AE7081" s="7">
        <v>22</v>
      </c>
      <c r="AF7081" s="8">
        <v>0.95833333333333337</v>
      </c>
      <c r="AG7081" s="9">
        <v>0</v>
      </c>
      <c r="AH7081" s="10">
        <f t="shared" si="125"/>
        <v>0</v>
      </c>
    </row>
    <row r="7082" spans="11:34" ht="14.5" x14ac:dyDescent="0.35">
      <c r="K7082" s="4"/>
      <c r="AC7082" s="7">
        <v>2022</v>
      </c>
      <c r="AD7082" s="7">
        <v>10</v>
      </c>
      <c r="AE7082" s="7">
        <v>23</v>
      </c>
      <c r="AF7082" s="8">
        <v>0</v>
      </c>
      <c r="AG7082" s="9">
        <v>-0.2</v>
      </c>
      <c r="AH7082" s="10">
        <f t="shared" si="125"/>
        <v>0</v>
      </c>
    </row>
    <row r="7083" spans="11:34" ht="14.5" x14ac:dyDescent="0.35">
      <c r="K7083" s="4"/>
      <c r="AC7083" s="7">
        <v>2022</v>
      </c>
      <c r="AD7083" s="7">
        <v>10</v>
      </c>
      <c r="AE7083" s="7">
        <v>23</v>
      </c>
      <c r="AF7083" s="8">
        <v>4.1666666666666664E-2</v>
      </c>
      <c r="AG7083" s="9">
        <v>-0.4</v>
      </c>
      <c r="AH7083" s="10">
        <f t="shared" si="125"/>
        <v>0</v>
      </c>
    </row>
    <row r="7084" spans="11:34" ht="14.5" x14ac:dyDescent="0.35">
      <c r="K7084" s="4"/>
      <c r="AC7084" s="7">
        <v>2022</v>
      </c>
      <c r="AD7084" s="7">
        <v>10</v>
      </c>
      <c r="AE7084" s="7">
        <v>23</v>
      </c>
      <c r="AF7084" s="8">
        <v>8.3333333333333329E-2</v>
      </c>
      <c r="AG7084" s="9">
        <v>-0.4</v>
      </c>
      <c r="AH7084" s="10">
        <f t="shared" si="125"/>
        <v>0</v>
      </c>
    </row>
    <row r="7085" spans="11:34" ht="14.5" x14ac:dyDescent="0.35">
      <c r="K7085" s="4"/>
      <c r="AC7085" s="7">
        <v>2022</v>
      </c>
      <c r="AD7085" s="7">
        <v>10</v>
      </c>
      <c r="AE7085" s="7">
        <v>23</v>
      </c>
      <c r="AF7085" s="8">
        <v>0.125</v>
      </c>
      <c r="AG7085" s="9">
        <v>-0.4</v>
      </c>
      <c r="AH7085" s="10">
        <f t="shared" si="125"/>
        <v>0</v>
      </c>
    </row>
    <row r="7086" spans="11:34" ht="14.5" x14ac:dyDescent="0.35">
      <c r="K7086" s="4"/>
      <c r="AC7086" s="7">
        <v>2022</v>
      </c>
      <c r="AD7086" s="7">
        <v>10</v>
      </c>
      <c r="AE7086" s="7">
        <v>23</v>
      </c>
      <c r="AF7086" s="8">
        <v>0.16666666666666666</v>
      </c>
      <c r="AG7086" s="9">
        <v>-0.4</v>
      </c>
      <c r="AH7086" s="10">
        <f t="shared" si="125"/>
        <v>0</v>
      </c>
    </row>
    <row r="7087" spans="11:34" ht="14.5" x14ac:dyDescent="0.35">
      <c r="K7087" s="4"/>
      <c r="AC7087" s="7">
        <v>2022</v>
      </c>
      <c r="AD7087" s="7">
        <v>10</v>
      </c>
      <c r="AE7087" s="7">
        <v>23</v>
      </c>
      <c r="AF7087" s="8">
        <v>0.20833333333333334</v>
      </c>
      <c r="AG7087" s="9">
        <v>-0.6</v>
      </c>
      <c r="AH7087" s="10">
        <f t="shared" si="125"/>
        <v>-1</v>
      </c>
    </row>
    <row r="7088" spans="11:34" ht="14.5" x14ac:dyDescent="0.35">
      <c r="K7088" s="4"/>
      <c r="AC7088" s="7">
        <v>2022</v>
      </c>
      <c r="AD7088" s="7">
        <v>10</v>
      </c>
      <c r="AE7088" s="7">
        <v>23</v>
      </c>
      <c r="AF7088" s="8">
        <v>0.25</v>
      </c>
      <c r="AG7088" s="9">
        <v>-0.6</v>
      </c>
      <c r="AH7088" s="10">
        <f t="shared" si="125"/>
        <v>-1</v>
      </c>
    </row>
    <row r="7089" spans="11:34" ht="14.5" x14ac:dyDescent="0.35">
      <c r="K7089" s="4"/>
      <c r="AC7089" s="7">
        <v>2022</v>
      </c>
      <c r="AD7089" s="7">
        <v>10</v>
      </c>
      <c r="AE7089" s="7">
        <v>23</v>
      </c>
      <c r="AF7089" s="8">
        <v>0.29166666666666669</v>
      </c>
      <c r="AG7089" s="9">
        <v>-0.7</v>
      </c>
      <c r="AH7089" s="10">
        <f t="shared" si="125"/>
        <v>-1</v>
      </c>
    </row>
    <row r="7090" spans="11:34" ht="14.5" x14ac:dyDescent="0.35">
      <c r="K7090" s="4"/>
      <c r="AC7090" s="7">
        <v>2022</v>
      </c>
      <c r="AD7090" s="7">
        <v>10</v>
      </c>
      <c r="AE7090" s="7">
        <v>23</v>
      </c>
      <c r="AF7090" s="8">
        <v>0.33333333333333331</v>
      </c>
      <c r="AG7090" s="9">
        <v>-0.7</v>
      </c>
      <c r="AH7090" s="10">
        <f t="shared" si="125"/>
        <v>-1</v>
      </c>
    </row>
    <row r="7091" spans="11:34" ht="14.5" x14ac:dyDescent="0.35">
      <c r="K7091" s="4"/>
      <c r="AC7091" s="7">
        <v>2022</v>
      </c>
      <c r="AD7091" s="7">
        <v>10</v>
      </c>
      <c r="AE7091" s="7">
        <v>23</v>
      </c>
      <c r="AF7091" s="8">
        <v>0.375</v>
      </c>
      <c r="AG7091" s="9">
        <v>-0.6</v>
      </c>
      <c r="AH7091" s="10">
        <f t="shared" si="125"/>
        <v>-1</v>
      </c>
    </row>
    <row r="7092" spans="11:34" ht="14.5" x14ac:dyDescent="0.35">
      <c r="K7092" s="4"/>
      <c r="AC7092" s="7">
        <v>2022</v>
      </c>
      <c r="AD7092" s="7">
        <v>10</v>
      </c>
      <c r="AE7092" s="7">
        <v>23</v>
      </c>
      <c r="AF7092" s="8">
        <v>0.41666666666666669</v>
      </c>
      <c r="AG7092" s="9">
        <v>-0.3</v>
      </c>
      <c r="AH7092" s="10">
        <f t="shared" si="125"/>
        <v>0</v>
      </c>
    </row>
    <row r="7093" spans="11:34" ht="14.5" x14ac:dyDescent="0.35">
      <c r="K7093" s="4"/>
      <c r="AC7093" s="7">
        <v>2022</v>
      </c>
      <c r="AD7093" s="7">
        <v>10</v>
      </c>
      <c r="AE7093" s="7">
        <v>23</v>
      </c>
      <c r="AF7093" s="8">
        <v>0.45833333333333331</v>
      </c>
      <c r="AG7093" s="9">
        <v>0.3</v>
      </c>
      <c r="AH7093" s="10">
        <f t="shared" si="125"/>
        <v>0</v>
      </c>
    </row>
    <row r="7094" spans="11:34" ht="14.5" x14ac:dyDescent="0.35">
      <c r="K7094" s="4"/>
      <c r="AC7094" s="7">
        <v>2022</v>
      </c>
      <c r="AD7094" s="7">
        <v>10</v>
      </c>
      <c r="AE7094" s="7">
        <v>23</v>
      </c>
      <c r="AF7094" s="8">
        <v>0.5</v>
      </c>
      <c r="AG7094" s="9">
        <v>0.2</v>
      </c>
      <c r="AH7094" s="10">
        <f t="shared" si="125"/>
        <v>0</v>
      </c>
    </row>
    <row r="7095" spans="11:34" ht="14.5" x14ac:dyDescent="0.35">
      <c r="K7095" s="4"/>
      <c r="AC7095" s="7">
        <v>2022</v>
      </c>
      <c r="AD7095" s="7">
        <v>10</v>
      </c>
      <c r="AE7095" s="7">
        <v>23</v>
      </c>
      <c r="AF7095" s="8">
        <v>0.54166666666666663</v>
      </c>
      <c r="AG7095" s="9">
        <v>0.4</v>
      </c>
      <c r="AH7095" s="10">
        <f t="shared" si="125"/>
        <v>0</v>
      </c>
    </row>
    <row r="7096" spans="11:34" ht="14.5" x14ac:dyDescent="0.35">
      <c r="K7096" s="4"/>
      <c r="AC7096" s="7">
        <v>2022</v>
      </c>
      <c r="AD7096" s="7">
        <v>10</v>
      </c>
      <c r="AE7096" s="7">
        <v>23</v>
      </c>
      <c r="AF7096" s="8">
        <v>0.58333333333333337</v>
      </c>
      <c r="AG7096" s="9">
        <v>0.9</v>
      </c>
      <c r="AH7096" s="10">
        <f t="shared" si="125"/>
        <v>1</v>
      </c>
    </row>
    <row r="7097" spans="11:34" ht="14.5" x14ac:dyDescent="0.35">
      <c r="K7097" s="4"/>
      <c r="AC7097" s="7">
        <v>2022</v>
      </c>
      <c r="AD7097" s="7">
        <v>10</v>
      </c>
      <c r="AE7097" s="7">
        <v>23</v>
      </c>
      <c r="AF7097" s="8">
        <v>0.625</v>
      </c>
      <c r="AG7097" s="9">
        <v>1.2</v>
      </c>
      <c r="AH7097" s="10">
        <f t="shared" si="125"/>
        <v>1</v>
      </c>
    </row>
    <row r="7098" spans="11:34" ht="14.5" x14ac:dyDescent="0.35">
      <c r="K7098" s="4"/>
      <c r="AC7098" s="7">
        <v>2022</v>
      </c>
      <c r="AD7098" s="7">
        <v>10</v>
      </c>
      <c r="AE7098" s="7">
        <v>23</v>
      </c>
      <c r="AF7098" s="8">
        <v>0.66666666666666663</v>
      </c>
      <c r="AG7098" s="9">
        <v>1.3</v>
      </c>
      <c r="AH7098" s="10">
        <f t="shared" si="125"/>
        <v>1</v>
      </c>
    </row>
    <row r="7099" spans="11:34" ht="14.5" x14ac:dyDescent="0.35">
      <c r="K7099" s="4"/>
      <c r="AC7099" s="7">
        <v>2022</v>
      </c>
      <c r="AD7099" s="7">
        <v>10</v>
      </c>
      <c r="AE7099" s="7">
        <v>23</v>
      </c>
      <c r="AF7099" s="8">
        <v>0.70833333333333337</v>
      </c>
      <c r="AG7099" s="9">
        <v>-0.5</v>
      </c>
      <c r="AH7099" s="10">
        <f t="shared" si="125"/>
        <v>-1</v>
      </c>
    </row>
    <row r="7100" spans="11:34" ht="14.5" x14ac:dyDescent="0.35">
      <c r="K7100" s="4"/>
      <c r="AC7100" s="7">
        <v>2022</v>
      </c>
      <c r="AD7100" s="7">
        <v>10</v>
      </c>
      <c r="AE7100" s="7">
        <v>23</v>
      </c>
      <c r="AF7100" s="8">
        <v>0.75</v>
      </c>
      <c r="AG7100" s="9">
        <v>-1.5</v>
      </c>
      <c r="AH7100" s="10">
        <f t="shared" si="125"/>
        <v>-2</v>
      </c>
    </row>
    <row r="7101" spans="11:34" ht="14.5" x14ac:dyDescent="0.35">
      <c r="K7101" s="4"/>
      <c r="AC7101" s="7">
        <v>2022</v>
      </c>
      <c r="AD7101" s="7">
        <v>10</v>
      </c>
      <c r="AE7101" s="7">
        <v>23</v>
      </c>
      <c r="AF7101" s="8">
        <v>0.79166666666666663</v>
      </c>
      <c r="AG7101" s="9">
        <v>-2.2000000000000002</v>
      </c>
      <c r="AH7101" s="10">
        <f t="shared" si="125"/>
        <v>-2</v>
      </c>
    </row>
    <row r="7102" spans="11:34" ht="14.5" x14ac:dyDescent="0.35">
      <c r="K7102" s="4"/>
      <c r="AC7102" s="7">
        <v>2022</v>
      </c>
      <c r="AD7102" s="7">
        <v>10</v>
      </c>
      <c r="AE7102" s="7">
        <v>23</v>
      </c>
      <c r="AF7102" s="8">
        <v>0.83333333333333337</v>
      </c>
      <c r="AG7102" s="9">
        <v>-2.9</v>
      </c>
      <c r="AH7102" s="10">
        <f t="shared" si="125"/>
        <v>-3</v>
      </c>
    </row>
    <row r="7103" spans="11:34" ht="14.5" x14ac:dyDescent="0.35">
      <c r="K7103" s="4"/>
      <c r="AC7103" s="7">
        <v>2022</v>
      </c>
      <c r="AD7103" s="7">
        <v>10</v>
      </c>
      <c r="AE7103" s="7">
        <v>23</v>
      </c>
      <c r="AF7103" s="8">
        <v>0.875</v>
      </c>
      <c r="AG7103" s="9">
        <v>-2.2000000000000002</v>
      </c>
      <c r="AH7103" s="10">
        <f t="shared" si="125"/>
        <v>-2</v>
      </c>
    </row>
    <row r="7104" spans="11:34" ht="14.5" x14ac:dyDescent="0.35">
      <c r="K7104" s="4"/>
      <c r="AC7104" s="7">
        <v>2022</v>
      </c>
      <c r="AD7104" s="7">
        <v>10</v>
      </c>
      <c r="AE7104" s="7">
        <v>23</v>
      </c>
      <c r="AF7104" s="8">
        <v>0.91666666666666663</v>
      </c>
      <c r="AG7104" s="9">
        <v>-2.4</v>
      </c>
      <c r="AH7104" s="10">
        <f t="shared" si="125"/>
        <v>-2</v>
      </c>
    </row>
    <row r="7105" spans="11:34" ht="14.5" x14ac:dyDescent="0.35">
      <c r="K7105" s="4"/>
      <c r="AC7105" s="7">
        <v>2022</v>
      </c>
      <c r="AD7105" s="7">
        <v>10</v>
      </c>
      <c r="AE7105" s="7">
        <v>23</v>
      </c>
      <c r="AF7105" s="8">
        <v>0.95833333333333337</v>
      </c>
      <c r="AG7105" s="9">
        <v>-4</v>
      </c>
      <c r="AH7105" s="10">
        <f t="shared" si="125"/>
        <v>-4</v>
      </c>
    </row>
    <row r="7106" spans="11:34" ht="14.5" x14ac:dyDescent="0.35">
      <c r="K7106" s="4"/>
      <c r="AC7106" s="7">
        <v>2022</v>
      </c>
      <c r="AD7106" s="7">
        <v>10</v>
      </c>
      <c r="AE7106" s="7">
        <v>24</v>
      </c>
      <c r="AF7106" s="8">
        <v>0</v>
      </c>
      <c r="AG7106" s="9">
        <v>-5.3</v>
      </c>
      <c r="AH7106" s="10">
        <f t="shared" si="125"/>
        <v>-5</v>
      </c>
    </row>
    <row r="7107" spans="11:34" ht="14.5" x14ac:dyDescent="0.35">
      <c r="K7107" s="4"/>
      <c r="AC7107" s="7">
        <v>2022</v>
      </c>
      <c r="AD7107" s="7">
        <v>10</v>
      </c>
      <c r="AE7107" s="7">
        <v>24</v>
      </c>
      <c r="AF7107" s="8">
        <v>4.1666666666666664E-2</v>
      </c>
      <c r="AG7107" s="9">
        <v>-5.7</v>
      </c>
      <c r="AH7107" s="10">
        <f t="shared" si="125"/>
        <v>-6</v>
      </c>
    </row>
    <row r="7108" spans="11:34" ht="14.5" x14ac:dyDescent="0.35">
      <c r="K7108" s="4"/>
      <c r="AC7108" s="7">
        <v>2022</v>
      </c>
      <c r="AD7108" s="7">
        <v>10</v>
      </c>
      <c r="AE7108" s="7">
        <v>24</v>
      </c>
      <c r="AF7108" s="8">
        <v>8.3333333333333329E-2</v>
      </c>
      <c r="AG7108" s="9">
        <v>-6.1</v>
      </c>
      <c r="AH7108" s="10">
        <f t="shared" si="125"/>
        <v>-6</v>
      </c>
    </row>
    <row r="7109" spans="11:34" ht="14.5" x14ac:dyDescent="0.35">
      <c r="K7109" s="4"/>
      <c r="AC7109" s="7">
        <v>2022</v>
      </c>
      <c r="AD7109" s="7">
        <v>10</v>
      </c>
      <c r="AE7109" s="7">
        <v>24</v>
      </c>
      <c r="AF7109" s="8">
        <v>0.125</v>
      </c>
      <c r="AG7109" s="9">
        <v>-5.6</v>
      </c>
      <c r="AH7109" s="10">
        <f t="shared" si="125"/>
        <v>-6</v>
      </c>
    </row>
    <row r="7110" spans="11:34" ht="14.5" x14ac:dyDescent="0.35">
      <c r="K7110" s="4"/>
      <c r="AC7110" s="7">
        <v>2022</v>
      </c>
      <c r="AD7110" s="7">
        <v>10</v>
      </c>
      <c r="AE7110" s="7">
        <v>24</v>
      </c>
      <c r="AF7110" s="8">
        <v>0.16666666666666666</v>
      </c>
      <c r="AG7110" s="9">
        <v>-5.0999999999999996</v>
      </c>
      <c r="AH7110" s="10">
        <f t="shared" si="125"/>
        <v>-5</v>
      </c>
    </row>
    <row r="7111" spans="11:34" ht="14.5" x14ac:dyDescent="0.35">
      <c r="K7111" s="4"/>
      <c r="AC7111" s="7">
        <v>2022</v>
      </c>
      <c r="AD7111" s="7">
        <v>10</v>
      </c>
      <c r="AE7111" s="7">
        <v>24</v>
      </c>
      <c r="AF7111" s="8">
        <v>0.20833333333333334</v>
      </c>
      <c r="AG7111" s="9">
        <v>-3.8</v>
      </c>
      <c r="AH7111" s="10">
        <f t="shared" si="125"/>
        <v>-4</v>
      </c>
    </row>
    <row r="7112" spans="11:34" ht="14.5" x14ac:dyDescent="0.35">
      <c r="K7112" s="4"/>
      <c r="AC7112" s="7">
        <v>2022</v>
      </c>
      <c r="AD7112" s="7">
        <v>10</v>
      </c>
      <c r="AE7112" s="7">
        <v>24</v>
      </c>
      <c r="AF7112" s="8">
        <v>0.25</v>
      </c>
      <c r="AG7112" s="9">
        <v>-4.0999999999999996</v>
      </c>
      <c r="AH7112" s="10">
        <f t="shared" si="125"/>
        <v>-4</v>
      </c>
    </row>
    <row r="7113" spans="11:34" ht="14.5" x14ac:dyDescent="0.35">
      <c r="K7113" s="4"/>
      <c r="AC7113" s="7">
        <v>2022</v>
      </c>
      <c r="AD7113" s="7">
        <v>10</v>
      </c>
      <c r="AE7113" s="7">
        <v>24</v>
      </c>
      <c r="AF7113" s="8">
        <v>0.29166666666666669</v>
      </c>
      <c r="AG7113" s="9">
        <v>-3.9</v>
      </c>
      <c r="AH7113" s="10">
        <f t="shared" si="125"/>
        <v>-4</v>
      </c>
    </row>
    <row r="7114" spans="11:34" ht="14.5" x14ac:dyDescent="0.35">
      <c r="K7114" s="4"/>
      <c r="AC7114" s="7">
        <v>2022</v>
      </c>
      <c r="AD7114" s="7">
        <v>10</v>
      </c>
      <c r="AE7114" s="7">
        <v>24</v>
      </c>
      <c r="AF7114" s="8">
        <v>0.33333333333333331</v>
      </c>
      <c r="AG7114" s="9">
        <v>-5.3</v>
      </c>
      <c r="AH7114" s="10">
        <f t="shared" si="125"/>
        <v>-5</v>
      </c>
    </row>
    <row r="7115" spans="11:34" ht="14.5" x14ac:dyDescent="0.35">
      <c r="K7115" s="4"/>
      <c r="AC7115" s="7">
        <v>2022</v>
      </c>
      <c r="AD7115" s="7">
        <v>10</v>
      </c>
      <c r="AE7115" s="7">
        <v>24</v>
      </c>
      <c r="AF7115" s="8">
        <v>0.375</v>
      </c>
      <c r="AG7115" s="9">
        <v>-2.2000000000000002</v>
      </c>
      <c r="AH7115" s="10">
        <f t="shared" ref="AH7115:AH7178" si="126">ROUND(AG7115,0)</f>
        <v>-2</v>
      </c>
    </row>
    <row r="7116" spans="11:34" ht="14.5" x14ac:dyDescent="0.35">
      <c r="K7116" s="4"/>
      <c r="AC7116" s="7">
        <v>2022</v>
      </c>
      <c r="AD7116" s="7">
        <v>10</v>
      </c>
      <c r="AE7116" s="7">
        <v>24</v>
      </c>
      <c r="AF7116" s="8">
        <v>0.41666666666666669</v>
      </c>
      <c r="AG7116" s="9">
        <v>-1.2</v>
      </c>
      <c r="AH7116" s="10">
        <f t="shared" si="126"/>
        <v>-1</v>
      </c>
    </row>
    <row r="7117" spans="11:34" ht="14.5" x14ac:dyDescent="0.35">
      <c r="K7117" s="4"/>
      <c r="AC7117" s="7">
        <v>2022</v>
      </c>
      <c r="AD7117" s="7">
        <v>10</v>
      </c>
      <c r="AE7117" s="7">
        <v>24</v>
      </c>
      <c r="AF7117" s="8">
        <v>0.45833333333333331</v>
      </c>
      <c r="AG7117" s="9">
        <v>1.4</v>
      </c>
      <c r="AH7117" s="10">
        <f t="shared" si="126"/>
        <v>1</v>
      </c>
    </row>
    <row r="7118" spans="11:34" ht="14.5" x14ac:dyDescent="0.35">
      <c r="K7118" s="4"/>
      <c r="AC7118" s="7">
        <v>2022</v>
      </c>
      <c r="AD7118" s="7">
        <v>10</v>
      </c>
      <c r="AE7118" s="7">
        <v>24</v>
      </c>
      <c r="AF7118" s="8">
        <v>0.5</v>
      </c>
      <c r="AG7118" s="9">
        <v>4.4000000000000004</v>
      </c>
      <c r="AH7118" s="10">
        <f t="shared" si="126"/>
        <v>4</v>
      </c>
    </row>
    <row r="7119" spans="11:34" ht="14.5" x14ac:dyDescent="0.35">
      <c r="K7119" s="4"/>
      <c r="AC7119" s="7">
        <v>2022</v>
      </c>
      <c r="AD7119" s="7">
        <v>10</v>
      </c>
      <c r="AE7119" s="7">
        <v>24</v>
      </c>
      <c r="AF7119" s="8">
        <v>0.54166666666666663</v>
      </c>
      <c r="AG7119" s="9">
        <v>5.9</v>
      </c>
      <c r="AH7119" s="10">
        <f t="shared" si="126"/>
        <v>6</v>
      </c>
    </row>
    <row r="7120" spans="11:34" ht="14.5" x14ac:dyDescent="0.35">
      <c r="K7120" s="4"/>
      <c r="AC7120" s="7">
        <v>2022</v>
      </c>
      <c r="AD7120" s="7">
        <v>10</v>
      </c>
      <c r="AE7120" s="7">
        <v>24</v>
      </c>
      <c r="AF7120" s="8">
        <v>0.58333333333333337</v>
      </c>
      <c r="AG7120" s="9">
        <v>5.6</v>
      </c>
      <c r="AH7120" s="10">
        <f t="shared" si="126"/>
        <v>6</v>
      </c>
    </row>
    <row r="7121" spans="11:34" ht="14.5" x14ac:dyDescent="0.35">
      <c r="K7121" s="4"/>
      <c r="AC7121" s="7">
        <v>2022</v>
      </c>
      <c r="AD7121" s="7">
        <v>10</v>
      </c>
      <c r="AE7121" s="7">
        <v>24</v>
      </c>
      <c r="AF7121" s="8">
        <v>0.625</v>
      </c>
      <c r="AG7121" s="9">
        <v>5.4</v>
      </c>
      <c r="AH7121" s="10">
        <f t="shared" si="126"/>
        <v>5</v>
      </c>
    </row>
    <row r="7122" spans="11:34" ht="14.5" x14ac:dyDescent="0.35">
      <c r="K7122" s="4"/>
      <c r="AC7122" s="7">
        <v>2022</v>
      </c>
      <c r="AD7122" s="7">
        <v>10</v>
      </c>
      <c r="AE7122" s="7">
        <v>24</v>
      </c>
      <c r="AF7122" s="8">
        <v>0.66666666666666663</v>
      </c>
      <c r="AG7122" s="9">
        <v>5.7</v>
      </c>
      <c r="AH7122" s="10">
        <f t="shared" si="126"/>
        <v>6</v>
      </c>
    </row>
    <row r="7123" spans="11:34" ht="14.5" x14ac:dyDescent="0.35">
      <c r="K7123" s="4"/>
      <c r="AC7123" s="7">
        <v>2022</v>
      </c>
      <c r="AD7123" s="7">
        <v>10</v>
      </c>
      <c r="AE7123" s="7">
        <v>24</v>
      </c>
      <c r="AF7123" s="8">
        <v>0.70833333333333337</v>
      </c>
      <c r="AG7123" s="9">
        <v>2.8</v>
      </c>
      <c r="AH7123" s="10">
        <f t="shared" si="126"/>
        <v>3</v>
      </c>
    </row>
    <row r="7124" spans="11:34" ht="14.5" x14ac:dyDescent="0.35">
      <c r="K7124" s="4"/>
      <c r="AC7124" s="7">
        <v>2022</v>
      </c>
      <c r="AD7124" s="7">
        <v>10</v>
      </c>
      <c r="AE7124" s="7">
        <v>24</v>
      </c>
      <c r="AF7124" s="8">
        <v>0.75</v>
      </c>
      <c r="AG7124" s="9">
        <v>2.1</v>
      </c>
      <c r="AH7124" s="10">
        <f t="shared" si="126"/>
        <v>2</v>
      </c>
    </row>
    <row r="7125" spans="11:34" ht="14.5" x14ac:dyDescent="0.35">
      <c r="K7125" s="4"/>
      <c r="AC7125" s="7">
        <v>2022</v>
      </c>
      <c r="AD7125" s="7">
        <v>10</v>
      </c>
      <c r="AE7125" s="7">
        <v>24</v>
      </c>
      <c r="AF7125" s="8">
        <v>0.79166666666666663</v>
      </c>
      <c r="AG7125" s="9">
        <v>1.3</v>
      </c>
      <c r="AH7125" s="10">
        <f t="shared" si="126"/>
        <v>1</v>
      </c>
    </row>
    <row r="7126" spans="11:34" ht="14.5" x14ac:dyDescent="0.35">
      <c r="K7126" s="4"/>
      <c r="AC7126" s="7">
        <v>2022</v>
      </c>
      <c r="AD7126" s="7">
        <v>10</v>
      </c>
      <c r="AE7126" s="7">
        <v>24</v>
      </c>
      <c r="AF7126" s="8">
        <v>0.83333333333333337</v>
      </c>
      <c r="AG7126" s="9">
        <v>-0.7</v>
      </c>
      <c r="AH7126" s="10">
        <f t="shared" si="126"/>
        <v>-1</v>
      </c>
    </row>
    <row r="7127" spans="11:34" ht="14.5" x14ac:dyDescent="0.35">
      <c r="K7127" s="4"/>
      <c r="AC7127" s="7">
        <v>2022</v>
      </c>
      <c r="AD7127" s="7">
        <v>10</v>
      </c>
      <c r="AE7127" s="7">
        <v>24</v>
      </c>
      <c r="AF7127" s="8">
        <v>0.875</v>
      </c>
      <c r="AG7127" s="9">
        <v>-1.9</v>
      </c>
      <c r="AH7127" s="10">
        <f t="shared" si="126"/>
        <v>-2</v>
      </c>
    </row>
    <row r="7128" spans="11:34" ht="14.5" x14ac:dyDescent="0.35">
      <c r="K7128" s="4"/>
      <c r="AC7128" s="7">
        <v>2022</v>
      </c>
      <c r="AD7128" s="7">
        <v>10</v>
      </c>
      <c r="AE7128" s="7">
        <v>24</v>
      </c>
      <c r="AF7128" s="8">
        <v>0.91666666666666663</v>
      </c>
      <c r="AG7128" s="9">
        <v>-1.9</v>
      </c>
      <c r="AH7128" s="10">
        <f t="shared" si="126"/>
        <v>-2</v>
      </c>
    </row>
    <row r="7129" spans="11:34" ht="14.5" x14ac:dyDescent="0.35">
      <c r="K7129" s="4"/>
      <c r="AC7129" s="7">
        <v>2022</v>
      </c>
      <c r="AD7129" s="7">
        <v>10</v>
      </c>
      <c r="AE7129" s="7">
        <v>24</v>
      </c>
      <c r="AF7129" s="8">
        <v>0.95833333333333337</v>
      </c>
      <c r="AG7129" s="9">
        <v>-1.3</v>
      </c>
      <c r="AH7129" s="10">
        <f t="shared" si="126"/>
        <v>-1</v>
      </c>
    </row>
    <row r="7130" spans="11:34" ht="14.5" x14ac:dyDescent="0.35">
      <c r="K7130" s="4"/>
      <c r="AC7130" s="7">
        <v>2022</v>
      </c>
      <c r="AD7130" s="7">
        <v>10</v>
      </c>
      <c r="AE7130" s="7">
        <v>25</v>
      </c>
      <c r="AF7130" s="8">
        <v>0</v>
      </c>
      <c r="AG7130" s="9">
        <v>-0.3</v>
      </c>
      <c r="AH7130" s="10">
        <f t="shared" si="126"/>
        <v>0</v>
      </c>
    </row>
    <row r="7131" spans="11:34" ht="14.5" x14ac:dyDescent="0.35">
      <c r="K7131" s="4"/>
      <c r="AC7131" s="7">
        <v>2022</v>
      </c>
      <c r="AD7131" s="7">
        <v>10</v>
      </c>
      <c r="AE7131" s="7">
        <v>25</v>
      </c>
      <c r="AF7131" s="8">
        <v>4.1666666666666664E-2</v>
      </c>
      <c r="AG7131" s="9">
        <v>0.1</v>
      </c>
      <c r="AH7131" s="10">
        <f t="shared" si="126"/>
        <v>0</v>
      </c>
    </row>
    <row r="7132" spans="11:34" ht="14.5" x14ac:dyDescent="0.35">
      <c r="K7132" s="4"/>
      <c r="AC7132" s="7">
        <v>2022</v>
      </c>
      <c r="AD7132" s="7">
        <v>10</v>
      </c>
      <c r="AE7132" s="7">
        <v>25</v>
      </c>
      <c r="AF7132" s="8">
        <v>8.3333333333333329E-2</v>
      </c>
      <c r="AG7132" s="9">
        <v>-1.6</v>
      </c>
      <c r="AH7132" s="10">
        <f t="shared" si="126"/>
        <v>-2</v>
      </c>
    </row>
    <row r="7133" spans="11:34" ht="14.5" x14ac:dyDescent="0.35">
      <c r="K7133" s="4"/>
      <c r="AC7133" s="7">
        <v>2022</v>
      </c>
      <c r="AD7133" s="7">
        <v>10</v>
      </c>
      <c r="AE7133" s="7">
        <v>25</v>
      </c>
      <c r="AF7133" s="8">
        <v>0.125</v>
      </c>
      <c r="AG7133" s="9">
        <v>-3.6</v>
      </c>
      <c r="AH7133" s="10">
        <f t="shared" si="126"/>
        <v>-4</v>
      </c>
    </row>
    <row r="7134" spans="11:34" ht="14.5" x14ac:dyDescent="0.35">
      <c r="K7134" s="4"/>
      <c r="AC7134" s="7">
        <v>2022</v>
      </c>
      <c r="AD7134" s="7">
        <v>10</v>
      </c>
      <c r="AE7134" s="7">
        <v>25</v>
      </c>
      <c r="AF7134" s="8">
        <v>0.16666666666666666</v>
      </c>
      <c r="AG7134" s="9">
        <v>-4.4000000000000004</v>
      </c>
      <c r="AH7134" s="10">
        <f t="shared" si="126"/>
        <v>-4</v>
      </c>
    </row>
    <row r="7135" spans="11:34" ht="14.5" x14ac:dyDescent="0.35">
      <c r="K7135" s="4"/>
      <c r="AC7135" s="7">
        <v>2022</v>
      </c>
      <c r="AD7135" s="7">
        <v>10</v>
      </c>
      <c r="AE7135" s="7">
        <v>25</v>
      </c>
      <c r="AF7135" s="8">
        <v>0.20833333333333334</v>
      </c>
      <c r="AG7135" s="9">
        <v>-1.5</v>
      </c>
      <c r="AH7135" s="10">
        <f t="shared" si="126"/>
        <v>-2</v>
      </c>
    </row>
    <row r="7136" spans="11:34" ht="14.5" x14ac:dyDescent="0.35">
      <c r="K7136" s="4"/>
      <c r="AC7136" s="7">
        <v>2022</v>
      </c>
      <c r="AD7136" s="7">
        <v>10</v>
      </c>
      <c r="AE7136" s="7">
        <v>25</v>
      </c>
      <c r="AF7136" s="8">
        <v>0.25</v>
      </c>
      <c r="AG7136" s="9">
        <v>-1.1000000000000001</v>
      </c>
      <c r="AH7136" s="10">
        <f t="shared" si="126"/>
        <v>-1</v>
      </c>
    </row>
    <row r="7137" spans="11:34" ht="14.5" x14ac:dyDescent="0.35">
      <c r="K7137" s="4"/>
      <c r="AC7137" s="7">
        <v>2022</v>
      </c>
      <c r="AD7137" s="7">
        <v>10</v>
      </c>
      <c r="AE7137" s="7">
        <v>25</v>
      </c>
      <c r="AF7137" s="8">
        <v>0.29166666666666669</v>
      </c>
      <c r="AG7137" s="9">
        <v>1.3</v>
      </c>
      <c r="AH7137" s="10">
        <f t="shared" si="126"/>
        <v>1</v>
      </c>
    </row>
    <row r="7138" spans="11:34" ht="14.5" x14ac:dyDescent="0.35">
      <c r="K7138" s="4"/>
      <c r="AC7138" s="7">
        <v>2022</v>
      </c>
      <c r="AD7138" s="7">
        <v>10</v>
      </c>
      <c r="AE7138" s="7">
        <v>25</v>
      </c>
      <c r="AF7138" s="8">
        <v>0.33333333333333331</v>
      </c>
      <c r="AG7138" s="9">
        <v>3.2</v>
      </c>
      <c r="AH7138" s="10">
        <f t="shared" si="126"/>
        <v>3</v>
      </c>
    </row>
    <row r="7139" spans="11:34" ht="14.5" x14ac:dyDescent="0.35">
      <c r="K7139" s="4"/>
      <c r="AC7139" s="7">
        <v>2022</v>
      </c>
      <c r="AD7139" s="7">
        <v>10</v>
      </c>
      <c r="AE7139" s="7">
        <v>25</v>
      </c>
      <c r="AF7139" s="8">
        <v>0.375</v>
      </c>
      <c r="AG7139" s="9">
        <v>2</v>
      </c>
      <c r="AH7139" s="10">
        <f t="shared" si="126"/>
        <v>2</v>
      </c>
    </row>
    <row r="7140" spans="11:34" ht="14.5" x14ac:dyDescent="0.35">
      <c r="K7140" s="4"/>
      <c r="AC7140" s="7">
        <v>2022</v>
      </c>
      <c r="AD7140" s="7">
        <v>10</v>
      </c>
      <c r="AE7140" s="7">
        <v>25</v>
      </c>
      <c r="AF7140" s="8">
        <v>0.41666666666666669</v>
      </c>
      <c r="AG7140" s="9">
        <v>1.6</v>
      </c>
      <c r="AH7140" s="10">
        <f t="shared" si="126"/>
        <v>2</v>
      </c>
    </row>
    <row r="7141" spans="11:34" ht="14.5" x14ac:dyDescent="0.35">
      <c r="K7141" s="4"/>
      <c r="AC7141" s="7">
        <v>2022</v>
      </c>
      <c r="AD7141" s="7">
        <v>10</v>
      </c>
      <c r="AE7141" s="7">
        <v>25</v>
      </c>
      <c r="AF7141" s="8">
        <v>0.45833333333333331</v>
      </c>
      <c r="AG7141" s="9">
        <v>1.7</v>
      </c>
      <c r="AH7141" s="10">
        <f t="shared" si="126"/>
        <v>2</v>
      </c>
    </row>
    <row r="7142" spans="11:34" ht="14.5" x14ac:dyDescent="0.35">
      <c r="K7142" s="4"/>
      <c r="AC7142" s="7">
        <v>2022</v>
      </c>
      <c r="AD7142" s="7">
        <v>10</v>
      </c>
      <c r="AE7142" s="7">
        <v>25</v>
      </c>
      <c r="AF7142" s="8">
        <v>0.5</v>
      </c>
      <c r="AG7142" s="9">
        <v>1.4</v>
      </c>
      <c r="AH7142" s="10">
        <f t="shared" si="126"/>
        <v>1</v>
      </c>
    </row>
    <row r="7143" spans="11:34" ht="14.5" x14ac:dyDescent="0.35">
      <c r="K7143" s="4"/>
      <c r="AC7143" s="7">
        <v>2022</v>
      </c>
      <c r="AD7143" s="7">
        <v>10</v>
      </c>
      <c r="AE7143" s="7">
        <v>25</v>
      </c>
      <c r="AF7143" s="8">
        <v>0.54166666666666663</v>
      </c>
      <c r="AG7143" s="9">
        <v>1.2</v>
      </c>
      <c r="AH7143" s="10">
        <f t="shared" si="126"/>
        <v>1</v>
      </c>
    </row>
    <row r="7144" spans="11:34" ht="14.5" x14ac:dyDescent="0.35">
      <c r="K7144" s="4"/>
      <c r="AC7144" s="7">
        <v>2022</v>
      </c>
      <c r="AD7144" s="7">
        <v>10</v>
      </c>
      <c r="AE7144" s="7">
        <v>25</v>
      </c>
      <c r="AF7144" s="8">
        <v>0.58333333333333337</v>
      </c>
      <c r="AG7144" s="9">
        <v>1.7</v>
      </c>
      <c r="AH7144" s="10">
        <f t="shared" si="126"/>
        <v>2</v>
      </c>
    </row>
    <row r="7145" spans="11:34" ht="14.5" x14ac:dyDescent="0.35">
      <c r="K7145" s="4"/>
      <c r="AC7145" s="7">
        <v>2022</v>
      </c>
      <c r="AD7145" s="7">
        <v>10</v>
      </c>
      <c r="AE7145" s="7">
        <v>25</v>
      </c>
      <c r="AF7145" s="8">
        <v>0.625</v>
      </c>
      <c r="AG7145" s="9">
        <v>2.5</v>
      </c>
      <c r="AH7145" s="10">
        <f t="shared" si="126"/>
        <v>3</v>
      </c>
    </row>
    <row r="7146" spans="11:34" ht="14.5" x14ac:dyDescent="0.35">
      <c r="K7146" s="4"/>
      <c r="AC7146" s="7">
        <v>2022</v>
      </c>
      <c r="AD7146" s="7">
        <v>10</v>
      </c>
      <c r="AE7146" s="7">
        <v>25</v>
      </c>
      <c r="AF7146" s="8">
        <v>0.66666666666666663</v>
      </c>
      <c r="AG7146" s="9">
        <v>1.9</v>
      </c>
      <c r="AH7146" s="10">
        <f t="shared" si="126"/>
        <v>2</v>
      </c>
    </row>
    <row r="7147" spans="11:34" ht="14.5" x14ac:dyDescent="0.35">
      <c r="K7147" s="4"/>
      <c r="AC7147" s="7">
        <v>2022</v>
      </c>
      <c r="AD7147" s="7">
        <v>10</v>
      </c>
      <c r="AE7147" s="7">
        <v>25</v>
      </c>
      <c r="AF7147" s="8">
        <v>0.70833333333333337</v>
      </c>
      <c r="AG7147" s="9">
        <v>1.3</v>
      </c>
      <c r="AH7147" s="10">
        <f t="shared" si="126"/>
        <v>1</v>
      </c>
    </row>
    <row r="7148" spans="11:34" ht="14.5" x14ac:dyDescent="0.35">
      <c r="K7148" s="4"/>
      <c r="AC7148" s="7">
        <v>2022</v>
      </c>
      <c r="AD7148" s="7">
        <v>10</v>
      </c>
      <c r="AE7148" s="7">
        <v>25</v>
      </c>
      <c r="AF7148" s="8">
        <v>0.75</v>
      </c>
      <c r="AG7148" s="9">
        <v>0.8</v>
      </c>
      <c r="AH7148" s="10">
        <f t="shared" si="126"/>
        <v>1</v>
      </c>
    </row>
    <row r="7149" spans="11:34" ht="14.5" x14ac:dyDescent="0.35">
      <c r="K7149" s="4"/>
      <c r="AC7149" s="7">
        <v>2022</v>
      </c>
      <c r="AD7149" s="7">
        <v>10</v>
      </c>
      <c r="AE7149" s="7">
        <v>25</v>
      </c>
      <c r="AF7149" s="8">
        <v>0.79166666666666663</v>
      </c>
      <c r="AG7149" s="9">
        <v>0.1</v>
      </c>
      <c r="AH7149" s="10">
        <f t="shared" si="126"/>
        <v>0</v>
      </c>
    </row>
    <row r="7150" spans="11:34" ht="14.5" x14ac:dyDescent="0.35">
      <c r="K7150" s="4"/>
      <c r="AC7150" s="7">
        <v>2022</v>
      </c>
      <c r="AD7150" s="7">
        <v>10</v>
      </c>
      <c r="AE7150" s="7">
        <v>25</v>
      </c>
      <c r="AF7150" s="8">
        <v>0.83333333333333337</v>
      </c>
      <c r="AG7150" s="9">
        <v>-0.3</v>
      </c>
      <c r="AH7150" s="10">
        <f t="shared" si="126"/>
        <v>0</v>
      </c>
    </row>
    <row r="7151" spans="11:34" ht="14.5" x14ac:dyDescent="0.35">
      <c r="K7151" s="4"/>
      <c r="AC7151" s="7">
        <v>2022</v>
      </c>
      <c r="AD7151" s="7">
        <v>10</v>
      </c>
      <c r="AE7151" s="7">
        <v>25</v>
      </c>
      <c r="AF7151" s="8">
        <v>0.875</v>
      </c>
      <c r="AG7151" s="9">
        <v>-1.3</v>
      </c>
      <c r="AH7151" s="10">
        <f t="shared" si="126"/>
        <v>-1</v>
      </c>
    </row>
    <row r="7152" spans="11:34" ht="14.5" x14ac:dyDescent="0.35">
      <c r="K7152" s="4"/>
      <c r="AC7152" s="7">
        <v>2022</v>
      </c>
      <c r="AD7152" s="7">
        <v>10</v>
      </c>
      <c r="AE7152" s="7">
        <v>25</v>
      </c>
      <c r="AF7152" s="8">
        <v>0.91666666666666663</v>
      </c>
      <c r="AG7152" s="9">
        <v>-1.7</v>
      </c>
      <c r="AH7152" s="10">
        <f t="shared" si="126"/>
        <v>-2</v>
      </c>
    </row>
    <row r="7153" spans="11:34" ht="14.5" x14ac:dyDescent="0.35">
      <c r="K7153" s="4"/>
      <c r="AC7153" s="7">
        <v>2022</v>
      </c>
      <c r="AD7153" s="7">
        <v>10</v>
      </c>
      <c r="AE7153" s="7">
        <v>25</v>
      </c>
      <c r="AF7153" s="8">
        <v>0.95833333333333337</v>
      </c>
      <c r="AG7153" s="9">
        <v>-1.9</v>
      </c>
      <c r="AH7153" s="10">
        <f t="shared" si="126"/>
        <v>-2</v>
      </c>
    </row>
    <row r="7154" spans="11:34" ht="14.5" x14ac:dyDescent="0.35">
      <c r="K7154" s="4"/>
      <c r="AC7154" s="7">
        <v>2022</v>
      </c>
      <c r="AD7154" s="7">
        <v>10</v>
      </c>
      <c r="AE7154" s="7">
        <v>26</v>
      </c>
      <c r="AF7154" s="8">
        <v>0</v>
      </c>
      <c r="AG7154" s="9">
        <v>-2.2000000000000002</v>
      </c>
      <c r="AH7154" s="10">
        <f t="shared" si="126"/>
        <v>-2</v>
      </c>
    </row>
    <row r="7155" spans="11:34" ht="14.5" x14ac:dyDescent="0.35">
      <c r="K7155" s="4"/>
      <c r="AC7155" s="7">
        <v>2022</v>
      </c>
      <c r="AD7155" s="7">
        <v>10</v>
      </c>
      <c r="AE7155" s="7">
        <v>26</v>
      </c>
      <c r="AF7155" s="8">
        <v>4.1666666666666664E-2</v>
      </c>
      <c r="AG7155" s="9">
        <v>-3.6</v>
      </c>
      <c r="AH7155" s="10">
        <f t="shared" si="126"/>
        <v>-4</v>
      </c>
    </row>
    <row r="7156" spans="11:34" ht="14.5" x14ac:dyDescent="0.35">
      <c r="K7156" s="4"/>
      <c r="AC7156" s="7">
        <v>2022</v>
      </c>
      <c r="AD7156" s="7">
        <v>10</v>
      </c>
      <c r="AE7156" s="7">
        <v>26</v>
      </c>
      <c r="AF7156" s="8">
        <v>8.3333333333333329E-2</v>
      </c>
      <c r="AG7156" s="9">
        <v>-3.7</v>
      </c>
      <c r="AH7156" s="10">
        <f t="shared" si="126"/>
        <v>-4</v>
      </c>
    </row>
    <row r="7157" spans="11:34" ht="14.5" x14ac:dyDescent="0.35">
      <c r="K7157" s="4"/>
      <c r="AC7157" s="7">
        <v>2022</v>
      </c>
      <c r="AD7157" s="7">
        <v>10</v>
      </c>
      <c r="AE7157" s="7">
        <v>26</v>
      </c>
      <c r="AF7157" s="8">
        <v>0.125</v>
      </c>
      <c r="AG7157" s="9">
        <v>-4.5</v>
      </c>
      <c r="AH7157" s="10">
        <f t="shared" si="126"/>
        <v>-5</v>
      </c>
    </row>
    <row r="7158" spans="11:34" ht="14.5" x14ac:dyDescent="0.35">
      <c r="K7158" s="4"/>
      <c r="AC7158" s="7">
        <v>2022</v>
      </c>
      <c r="AD7158" s="7">
        <v>10</v>
      </c>
      <c r="AE7158" s="7">
        <v>26</v>
      </c>
      <c r="AF7158" s="8">
        <v>0.16666666666666666</v>
      </c>
      <c r="AG7158" s="9">
        <v>-2.6</v>
      </c>
      <c r="AH7158" s="10">
        <f t="shared" si="126"/>
        <v>-3</v>
      </c>
    </row>
    <row r="7159" spans="11:34" ht="14.5" x14ac:dyDescent="0.35">
      <c r="K7159" s="4"/>
      <c r="AC7159" s="7">
        <v>2022</v>
      </c>
      <c r="AD7159" s="7">
        <v>10</v>
      </c>
      <c r="AE7159" s="7">
        <v>26</v>
      </c>
      <c r="AF7159" s="8">
        <v>0.20833333333333334</v>
      </c>
      <c r="AG7159" s="9">
        <v>-2.9</v>
      </c>
      <c r="AH7159" s="10">
        <f t="shared" si="126"/>
        <v>-3</v>
      </c>
    </row>
    <row r="7160" spans="11:34" ht="14.5" x14ac:dyDescent="0.35">
      <c r="K7160" s="4"/>
      <c r="AC7160" s="7">
        <v>2022</v>
      </c>
      <c r="AD7160" s="7">
        <v>10</v>
      </c>
      <c r="AE7160" s="7">
        <v>26</v>
      </c>
      <c r="AF7160" s="8">
        <v>0.25</v>
      </c>
      <c r="AG7160" s="9">
        <v>-1</v>
      </c>
      <c r="AH7160" s="10">
        <f t="shared" si="126"/>
        <v>-1</v>
      </c>
    </row>
    <row r="7161" spans="11:34" ht="14.5" x14ac:dyDescent="0.35">
      <c r="K7161" s="4"/>
      <c r="AC7161" s="7">
        <v>2022</v>
      </c>
      <c r="AD7161" s="7">
        <v>10</v>
      </c>
      <c r="AE7161" s="7">
        <v>26</v>
      </c>
      <c r="AF7161" s="8">
        <v>0.29166666666666669</v>
      </c>
      <c r="AG7161" s="9">
        <v>-1.7</v>
      </c>
      <c r="AH7161" s="10">
        <f t="shared" si="126"/>
        <v>-2</v>
      </c>
    </row>
    <row r="7162" spans="11:34" ht="14.5" x14ac:dyDescent="0.35">
      <c r="K7162" s="4"/>
      <c r="AC7162" s="7">
        <v>2022</v>
      </c>
      <c r="AD7162" s="7">
        <v>10</v>
      </c>
      <c r="AE7162" s="7">
        <v>26</v>
      </c>
      <c r="AF7162" s="8">
        <v>0.33333333333333331</v>
      </c>
      <c r="AG7162" s="9">
        <v>0.2</v>
      </c>
      <c r="AH7162" s="10">
        <f t="shared" si="126"/>
        <v>0</v>
      </c>
    </row>
    <row r="7163" spans="11:34" ht="14.5" x14ac:dyDescent="0.35">
      <c r="K7163" s="4"/>
      <c r="AC7163" s="7">
        <v>2022</v>
      </c>
      <c r="AD7163" s="7">
        <v>10</v>
      </c>
      <c r="AE7163" s="7">
        <v>26</v>
      </c>
      <c r="AF7163" s="8">
        <v>0.375</v>
      </c>
      <c r="AG7163" s="9">
        <v>1.3</v>
      </c>
      <c r="AH7163" s="10">
        <f t="shared" si="126"/>
        <v>1</v>
      </c>
    </row>
    <row r="7164" spans="11:34" ht="14.5" x14ac:dyDescent="0.35">
      <c r="K7164" s="4"/>
      <c r="AC7164" s="7">
        <v>2022</v>
      </c>
      <c r="AD7164" s="7">
        <v>10</v>
      </c>
      <c r="AE7164" s="7">
        <v>26</v>
      </c>
      <c r="AF7164" s="8">
        <v>0.41666666666666669</v>
      </c>
      <c r="AG7164" s="9">
        <v>2.2000000000000002</v>
      </c>
      <c r="AH7164" s="10">
        <f t="shared" si="126"/>
        <v>2</v>
      </c>
    </row>
    <row r="7165" spans="11:34" ht="14.5" x14ac:dyDescent="0.35">
      <c r="K7165" s="4"/>
      <c r="AC7165" s="7">
        <v>2022</v>
      </c>
      <c r="AD7165" s="7">
        <v>10</v>
      </c>
      <c r="AE7165" s="7">
        <v>26</v>
      </c>
      <c r="AF7165" s="8">
        <v>0.45833333333333331</v>
      </c>
      <c r="AG7165" s="9">
        <v>5.5</v>
      </c>
      <c r="AH7165" s="10">
        <f t="shared" si="126"/>
        <v>6</v>
      </c>
    </row>
    <row r="7166" spans="11:34" ht="14.5" x14ac:dyDescent="0.35">
      <c r="K7166" s="4"/>
      <c r="AC7166" s="7">
        <v>2022</v>
      </c>
      <c r="AD7166" s="7">
        <v>10</v>
      </c>
      <c r="AE7166" s="7">
        <v>26</v>
      </c>
      <c r="AF7166" s="8">
        <v>0.5</v>
      </c>
      <c r="AG7166" s="9">
        <v>6.5</v>
      </c>
      <c r="AH7166" s="10">
        <f t="shared" si="126"/>
        <v>7</v>
      </c>
    </row>
    <row r="7167" spans="11:34" ht="14.5" x14ac:dyDescent="0.35">
      <c r="K7167" s="4"/>
      <c r="AC7167" s="7">
        <v>2022</v>
      </c>
      <c r="AD7167" s="7">
        <v>10</v>
      </c>
      <c r="AE7167" s="7">
        <v>26</v>
      </c>
      <c r="AF7167" s="8">
        <v>0.54166666666666663</v>
      </c>
      <c r="AG7167" s="9">
        <v>6</v>
      </c>
      <c r="AH7167" s="10">
        <f t="shared" si="126"/>
        <v>6</v>
      </c>
    </row>
    <row r="7168" spans="11:34" ht="14.5" x14ac:dyDescent="0.35">
      <c r="K7168" s="4"/>
      <c r="AC7168" s="7">
        <v>2022</v>
      </c>
      <c r="AD7168" s="7">
        <v>10</v>
      </c>
      <c r="AE7168" s="7">
        <v>26</v>
      </c>
      <c r="AF7168" s="8">
        <v>0.58333333333333337</v>
      </c>
      <c r="AG7168" s="9">
        <v>7.7</v>
      </c>
      <c r="AH7168" s="10">
        <f t="shared" si="126"/>
        <v>8</v>
      </c>
    </row>
    <row r="7169" spans="11:34" ht="14.5" x14ac:dyDescent="0.35">
      <c r="K7169" s="4"/>
      <c r="AC7169" s="7">
        <v>2022</v>
      </c>
      <c r="AD7169" s="7">
        <v>10</v>
      </c>
      <c r="AE7169" s="7">
        <v>26</v>
      </c>
      <c r="AF7169" s="8">
        <v>0.625</v>
      </c>
      <c r="AG7169" s="9">
        <v>7.8</v>
      </c>
      <c r="AH7169" s="10">
        <f t="shared" si="126"/>
        <v>8</v>
      </c>
    </row>
    <row r="7170" spans="11:34" ht="14.5" x14ac:dyDescent="0.35">
      <c r="K7170" s="4"/>
      <c r="AC7170" s="7">
        <v>2022</v>
      </c>
      <c r="AD7170" s="7">
        <v>10</v>
      </c>
      <c r="AE7170" s="7">
        <v>26</v>
      </c>
      <c r="AF7170" s="8">
        <v>0.66666666666666663</v>
      </c>
      <c r="AG7170" s="9">
        <v>6.9</v>
      </c>
      <c r="AH7170" s="10">
        <f t="shared" si="126"/>
        <v>7</v>
      </c>
    </row>
    <row r="7171" spans="11:34" ht="14.5" x14ac:dyDescent="0.35">
      <c r="K7171" s="4"/>
      <c r="AC7171" s="7">
        <v>2022</v>
      </c>
      <c r="AD7171" s="7">
        <v>10</v>
      </c>
      <c r="AE7171" s="7">
        <v>26</v>
      </c>
      <c r="AF7171" s="8">
        <v>0.70833333333333337</v>
      </c>
      <c r="AG7171" s="9">
        <v>5.8</v>
      </c>
      <c r="AH7171" s="10">
        <f t="shared" si="126"/>
        <v>6</v>
      </c>
    </row>
    <row r="7172" spans="11:34" ht="14.5" x14ac:dyDescent="0.35">
      <c r="K7172" s="4"/>
      <c r="AC7172" s="7">
        <v>2022</v>
      </c>
      <c r="AD7172" s="7">
        <v>10</v>
      </c>
      <c r="AE7172" s="7">
        <v>26</v>
      </c>
      <c r="AF7172" s="8">
        <v>0.75</v>
      </c>
      <c r="AG7172" s="9">
        <v>5.2</v>
      </c>
      <c r="AH7172" s="10">
        <f t="shared" si="126"/>
        <v>5</v>
      </c>
    </row>
    <row r="7173" spans="11:34" ht="14.5" x14ac:dyDescent="0.35">
      <c r="K7173" s="4"/>
      <c r="AC7173" s="7">
        <v>2022</v>
      </c>
      <c r="AD7173" s="7">
        <v>10</v>
      </c>
      <c r="AE7173" s="7">
        <v>26</v>
      </c>
      <c r="AF7173" s="8">
        <v>0.79166666666666663</v>
      </c>
      <c r="AG7173" s="9">
        <v>4.5999999999999996</v>
      </c>
      <c r="AH7173" s="10">
        <f t="shared" si="126"/>
        <v>5</v>
      </c>
    </row>
    <row r="7174" spans="11:34" ht="14.5" x14ac:dyDescent="0.35">
      <c r="K7174" s="4"/>
      <c r="AC7174" s="7">
        <v>2022</v>
      </c>
      <c r="AD7174" s="7">
        <v>10</v>
      </c>
      <c r="AE7174" s="7">
        <v>26</v>
      </c>
      <c r="AF7174" s="8">
        <v>0.83333333333333337</v>
      </c>
      <c r="AG7174" s="9">
        <v>3.4</v>
      </c>
      <c r="AH7174" s="10">
        <f t="shared" si="126"/>
        <v>3</v>
      </c>
    </row>
    <row r="7175" spans="11:34" ht="14.5" x14ac:dyDescent="0.35">
      <c r="K7175" s="4"/>
      <c r="AC7175" s="7">
        <v>2022</v>
      </c>
      <c r="AD7175" s="7">
        <v>10</v>
      </c>
      <c r="AE7175" s="7">
        <v>26</v>
      </c>
      <c r="AF7175" s="8">
        <v>0.875</v>
      </c>
      <c r="AG7175" s="9">
        <v>3.1</v>
      </c>
      <c r="AH7175" s="10">
        <f t="shared" si="126"/>
        <v>3</v>
      </c>
    </row>
    <row r="7176" spans="11:34" ht="14.5" x14ac:dyDescent="0.35">
      <c r="K7176" s="4"/>
      <c r="AC7176" s="7">
        <v>2022</v>
      </c>
      <c r="AD7176" s="7">
        <v>10</v>
      </c>
      <c r="AE7176" s="7">
        <v>26</v>
      </c>
      <c r="AF7176" s="8">
        <v>0.91666666666666663</v>
      </c>
      <c r="AG7176" s="9">
        <v>2.7</v>
      </c>
      <c r="AH7176" s="10">
        <f t="shared" si="126"/>
        <v>3</v>
      </c>
    </row>
    <row r="7177" spans="11:34" ht="14.5" x14ac:dyDescent="0.35">
      <c r="K7177" s="4"/>
      <c r="AC7177" s="7">
        <v>2022</v>
      </c>
      <c r="AD7177" s="7">
        <v>10</v>
      </c>
      <c r="AE7177" s="7">
        <v>26</v>
      </c>
      <c r="AF7177" s="8">
        <v>0.95833333333333337</v>
      </c>
      <c r="AG7177" s="9">
        <v>4.5999999999999996</v>
      </c>
      <c r="AH7177" s="10">
        <f t="shared" si="126"/>
        <v>5</v>
      </c>
    </row>
    <row r="7178" spans="11:34" ht="14.5" x14ac:dyDescent="0.35">
      <c r="K7178" s="4"/>
      <c r="AC7178" s="7">
        <v>2022</v>
      </c>
      <c r="AD7178" s="7">
        <v>10</v>
      </c>
      <c r="AE7178" s="7">
        <v>27</v>
      </c>
      <c r="AF7178" s="8">
        <v>0</v>
      </c>
      <c r="AG7178" s="9">
        <v>6.2</v>
      </c>
      <c r="AH7178" s="10">
        <f t="shared" si="126"/>
        <v>6</v>
      </c>
    </row>
    <row r="7179" spans="11:34" ht="14.5" x14ac:dyDescent="0.35">
      <c r="K7179" s="4"/>
      <c r="AC7179" s="7">
        <v>2022</v>
      </c>
      <c r="AD7179" s="7">
        <v>10</v>
      </c>
      <c r="AE7179" s="7">
        <v>27</v>
      </c>
      <c r="AF7179" s="8">
        <v>4.1666666666666664E-2</v>
      </c>
      <c r="AG7179" s="9">
        <v>5.3</v>
      </c>
      <c r="AH7179" s="10">
        <f t="shared" ref="AH7179:AH7242" si="127">ROUND(AG7179,0)</f>
        <v>5</v>
      </c>
    </row>
    <row r="7180" spans="11:34" ht="14.5" x14ac:dyDescent="0.35">
      <c r="K7180" s="4"/>
      <c r="AC7180" s="7">
        <v>2022</v>
      </c>
      <c r="AD7180" s="7">
        <v>10</v>
      </c>
      <c r="AE7180" s="7">
        <v>27</v>
      </c>
      <c r="AF7180" s="8">
        <v>8.3333333333333329E-2</v>
      </c>
      <c r="AG7180" s="9">
        <v>5.2</v>
      </c>
      <c r="AH7180" s="10">
        <f t="shared" si="127"/>
        <v>5</v>
      </c>
    </row>
    <row r="7181" spans="11:34" ht="14.5" x14ac:dyDescent="0.35">
      <c r="K7181" s="4"/>
      <c r="AC7181" s="7">
        <v>2022</v>
      </c>
      <c r="AD7181" s="7">
        <v>10</v>
      </c>
      <c r="AE7181" s="7">
        <v>27</v>
      </c>
      <c r="AF7181" s="8">
        <v>0.125</v>
      </c>
      <c r="AG7181" s="9">
        <v>4.5</v>
      </c>
      <c r="AH7181" s="10">
        <f t="shared" si="127"/>
        <v>5</v>
      </c>
    </row>
    <row r="7182" spans="11:34" ht="14.5" x14ac:dyDescent="0.35">
      <c r="K7182" s="4"/>
      <c r="AC7182" s="7">
        <v>2022</v>
      </c>
      <c r="AD7182" s="7">
        <v>10</v>
      </c>
      <c r="AE7182" s="7">
        <v>27</v>
      </c>
      <c r="AF7182" s="8">
        <v>0.16666666666666666</v>
      </c>
      <c r="AG7182" s="9">
        <v>6.1</v>
      </c>
      <c r="AH7182" s="10">
        <f t="shared" si="127"/>
        <v>6</v>
      </c>
    </row>
    <row r="7183" spans="11:34" ht="14.5" x14ac:dyDescent="0.35">
      <c r="K7183" s="4"/>
      <c r="AC7183" s="7">
        <v>2022</v>
      </c>
      <c r="AD7183" s="7">
        <v>10</v>
      </c>
      <c r="AE7183" s="7">
        <v>27</v>
      </c>
      <c r="AF7183" s="8">
        <v>0.20833333333333334</v>
      </c>
      <c r="AG7183" s="9">
        <v>6.2</v>
      </c>
      <c r="AH7183" s="10">
        <f t="shared" si="127"/>
        <v>6</v>
      </c>
    </row>
    <row r="7184" spans="11:34" ht="14.5" x14ac:dyDescent="0.35">
      <c r="K7184" s="4"/>
      <c r="AC7184" s="7">
        <v>2022</v>
      </c>
      <c r="AD7184" s="7">
        <v>10</v>
      </c>
      <c r="AE7184" s="7">
        <v>27</v>
      </c>
      <c r="AF7184" s="8">
        <v>0.25</v>
      </c>
      <c r="AG7184" s="9">
        <v>6.3</v>
      </c>
      <c r="AH7184" s="10">
        <f t="shared" si="127"/>
        <v>6</v>
      </c>
    </row>
    <row r="7185" spans="11:34" ht="14.5" x14ac:dyDescent="0.35">
      <c r="K7185" s="4"/>
      <c r="AC7185" s="7">
        <v>2022</v>
      </c>
      <c r="AD7185" s="7">
        <v>10</v>
      </c>
      <c r="AE7185" s="7">
        <v>27</v>
      </c>
      <c r="AF7185" s="8">
        <v>0.29166666666666669</v>
      </c>
      <c r="AG7185" s="9">
        <v>6.3</v>
      </c>
      <c r="AH7185" s="10">
        <f t="shared" si="127"/>
        <v>6</v>
      </c>
    </row>
    <row r="7186" spans="11:34" ht="14.5" x14ac:dyDescent="0.35">
      <c r="K7186" s="4"/>
      <c r="AC7186" s="7">
        <v>2022</v>
      </c>
      <c r="AD7186" s="7">
        <v>10</v>
      </c>
      <c r="AE7186" s="7">
        <v>27</v>
      </c>
      <c r="AF7186" s="8">
        <v>0.33333333333333331</v>
      </c>
      <c r="AG7186" s="9">
        <v>6</v>
      </c>
      <c r="AH7186" s="10">
        <f t="shared" si="127"/>
        <v>6</v>
      </c>
    </row>
    <row r="7187" spans="11:34" ht="14.5" x14ac:dyDescent="0.35">
      <c r="K7187" s="4"/>
      <c r="AC7187" s="7">
        <v>2022</v>
      </c>
      <c r="AD7187" s="7">
        <v>10</v>
      </c>
      <c r="AE7187" s="7">
        <v>27</v>
      </c>
      <c r="AF7187" s="8">
        <v>0.375</v>
      </c>
      <c r="AG7187" s="9">
        <v>7.3</v>
      </c>
      <c r="AH7187" s="10">
        <f t="shared" si="127"/>
        <v>7</v>
      </c>
    </row>
    <row r="7188" spans="11:34" ht="14.5" x14ac:dyDescent="0.35">
      <c r="K7188" s="4"/>
      <c r="AC7188" s="7">
        <v>2022</v>
      </c>
      <c r="AD7188" s="7">
        <v>10</v>
      </c>
      <c r="AE7188" s="7">
        <v>27</v>
      </c>
      <c r="AF7188" s="8">
        <v>0.41666666666666669</v>
      </c>
      <c r="AG7188" s="9">
        <v>6.2</v>
      </c>
      <c r="AH7188" s="10">
        <f t="shared" si="127"/>
        <v>6</v>
      </c>
    </row>
    <row r="7189" spans="11:34" ht="14.5" x14ac:dyDescent="0.35">
      <c r="K7189" s="4"/>
      <c r="AC7189" s="7">
        <v>2022</v>
      </c>
      <c r="AD7189" s="7">
        <v>10</v>
      </c>
      <c r="AE7189" s="7">
        <v>27</v>
      </c>
      <c r="AF7189" s="8">
        <v>0.45833333333333331</v>
      </c>
      <c r="AG7189" s="9">
        <v>6.2</v>
      </c>
      <c r="AH7189" s="10">
        <f t="shared" si="127"/>
        <v>6</v>
      </c>
    </row>
    <row r="7190" spans="11:34" ht="14.5" x14ac:dyDescent="0.35">
      <c r="K7190" s="4"/>
      <c r="AC7190" s="7">
        <v>2022</v>
      </c>
      <c r="AD7190" s="7">
        <v>10</v>
      </c>
      <c r="AE7190" s="7">
        <v>27</v>
      </c>
      <c r="AF7190" s="8">
        <v>0.5</v>
      </c>
      <c r="AG7190" s="9">
        <v>7.7</v>
      </c>
      <c r="AH7190" s="10">
        <f t="shared" si="127"/>
        <v>8</v>
      </c>
    </row>
    <row r="7191" spans="11:34" ht="14.5" x14ac:dyDescent="0.35">
      <c r="K7191" s="4"/>
      <c r="AC7191" s="7">
        <v>2022</v>
      </c>
      <c r="AD7191" s="7">
        <v>10</v>
      </c>
      <c r="AE7191" s="7">
        <v>27</v>
      </c>
      <c r="AF7191" s="8">
        <v>0.54166666666666663</v>
      </c>
      <c r="AG7191" s="9">
        <v>7.5</v>
      </c>
      <c r="AH7191" s="10">
        <f t="shared" si="127"/>
        <v>8</v>
      </c>
    </row>
    <row r="7192" spans="11:34" ht="14.5" x14ac:dyDescent="0.35">
      <c r="K7192" s="4"/>
      <c r="AC7192" s="7">
        <v>2022</v>
      </c>
      <c r="AD7192" s="7">
        <v>10</v>
      </c>
      <c r="AE7192" s="7">
        <v>27</v>
      </c>
      <c r="AF7192" s="8">
        <v>0.58333333333333337</v>
      </c>
      <c r="AG7192" s="9">
        <v>10.5</v>
      </c>
      <c r="AH7192" s="10">
        <f t="shared" si="127"/>
        <v>11</v>
      </c>
    </row>
    <row r="7193" spans="11:34" ht="14.5" x14ac:dyDescent="0.35">
      <c r="K7193" s="4"/>
      <c r="AC7193" s="7">
        <v>2022</v>
      </c>
      <c r="AD7193" s="7">
        <v>10</v>
      </c>
      <c r="AE7193" s="7">
        <v>27</v>
      </c>
      <c r="AF7193" s="8">
        <v>0.625</v>
      </c>
      <c r="AG7193" s="9">
        <v>11.6</v>
      </c>
      <c r="AH7193" s="10">
        <f t="shared" si="127"/>
        <v>12</v>
      </c>
    </row>
    <row r="7194" spans="11:34" ht="14.5" x14ac:dyDescent="0.35">
      <c r="K7194" s="4"/>
      <c r="AC7194" s="7">
        <v>2022</v>
      </c>
      <c r="AD7194" s="7">
        <v>10</v>
      </c>
      <c r="AE7194" s="7">
        <v>27</v>
      </c>
      <c r="AF7194" s="8">
        <v>0.66666666666666663</v>
      </c>
      <c r="AG7194" s="9">
        <v>11.5</v>
      </c>
      <c r="AH7194" s="10">
        <f t="shared" si="127"/>
        <v>12</v>
      </c>
    </row>
    <row r="7195" spans="11:34" ht="14.5" x14ac:dyDescent="0.35">
      <c r="K7195" s="4"/>
      <c r="AC7195" s="7">
        <v>2022</v>
      </c>
      <c r="AD7195" s="7">
        <v>10</v>
      </c>
      <c r="AE7195" s="7">
        <v>27</v>
      </c>
      <c r="AF7195" s="8">
        <v>0.70833333333333337</v>
      </c>
      <c r="AG7195" s="9">
        <v>9.6999999999999993</v>
      </c>
      <c r="AH7195" s="10">
        <f t="shared" si="127"/>
        <v>10</v>
      </c>
    </row>
    <row r="7196" spans="11:34" ht="14.5" x14ac:dyDescent="0.35">
      <c r="K7196" s="4"/>
      <c r="AC7196" s="7">
        <v>2022</v>
      </c>
      <c r="AD7196" s="7">
        <v>10</v>
      </c>
      <c r="AE7196" s="7">
        <v>27</v>
      </c>
      <c r="AF7196" s="8">
        <v>0.75</v>
      </c>
      <c r="AG7196" s="9">
        <v>8.5</v>
      </c>
      <c r="AH7196" s="10">
        <f t="shared" si="127"/>
        <v>9</v>
      </c>
    </row>
    <row r="7197" spans="11:34" ht="14.5" x14ac:dyDescent="0.35">
      <c r="K7197" s="4"/>
      <c r="AC7197" s="7">
        <v>2022</v>
      </c>
      <c r="AD7197" s="7">
        <v>10</v>
      </c>
      <c r="AE7197" s="7">
        <v>27</v>
      </c>
      <c r="AF7197" s="8">
        <v>0.79166666666666663</v>
      </c>
      <c r="AG7197" s="9">
        <v>7.1</v>
      </c>
      <c r="AH7197" s="10">
        <f t="shared" si="127"/>
        <v>7</v>
      </c>
    </row>
    <row r="7198" spans="11:34" ht="14.5" x14ac:dyDescent="0.35">
      <c r="K7198" s="4"/>
      <c r="AC7198" s="7">
        <v>2022</v>
      </c>
      <c r="AD7198" s="7">
        <v>10</v>
      </c>
      <c r="AE7198" s="7">
        <v>27</v>
      </c>
      <c r="AF7198" s="8">
        <v>0.83333333333333337</v>
      </c>
      <c r="AG7198" s="9">
        <v>6.9</v>
      </c>
      <c r="AH7198" s="10">
        <f t="shared" si="127"/>
        <v>7</v>
      </c>
    </row>
    <row r="7199" spans="11:34" ht="14.5" x14ac:dyDescent="0.35">
      <c r="K7199" s="4"/>
      <c r="AC7199" s="7">
        <v>2022</v>
      </c>
      <c r="AD7199" s="7">
        <v>10</v>
      </c>
      <c r="AE7199" s="7">
        <v>27</v>
      </c>
      <c r="AF7199" s="8">
        <v>0.875</v>
      </c>
      <c r="AG7199" s="9">
        <v>6.3</v>
      </c>
      <c r="AH7199" s="10">
        <f t="shared" si="127"/>
        <v>6</v>
      </c>
    </row>
    <row r="7200" spans="11:34" ht="14.5" x14ac:dyDescent="0.35">
      <c r="K7200" s="4"/>
      <c r="AC7200" s="7">
        <v>2022</v>
      </c>
      <c r="AD7200" s="7">
        <v>10</v>
      </c>
      <c r="AE7200" s="7">
        <v>27</v>
      </c>
      <c r="AF7200" s="8">
        <v>0.91666666666666663</v>
      </c>
      <c r="AG7200" s="9">
        <v>5.0999999999999996</v>
      </c>
      <c r="AH7200" s="10">
        <f t="shared" si="127"/>
        <v>5</v>
      </c>
    </row>
    <row r="7201" spans="11:34" ht="14.5" x14ac:dyDescent="0.35">
      <c r="K7201" s="4"/>
      <c r="AC7201" s="7">
        <v>2022</v>
      </c>
      <c r="AD7201" s="7">
        <v>10</v>
      </c>
      <c r="AE7201" s="7">
        <v>27</v>
      </c>
      <c r="AF7201" s="8">
        <v>0.95833333333333337</v>
      </c>
      <c r="AG7201" s="9">
        <v>3.8</v>
      </c>
      <c r="AH7201" s="10">
        <f t="shared" si="127"/>
        <v>4</v>
      </c>
    </row>
    <row r="7202" spans="11:34" ht="14.5" x14ac:dyDescent="0.35">
      <c r="K7202" s="4"/>
      <c r="AC7202" s="7">
        <v>2022</v>
      </c>
      <c r="AD7202" s="7">
        <v>10</v>
      </c>
      <c r="AE7202" s="7">
        <v>28</v>
      </c>
      <c r="AF7202" s="8">
        <v>0</v>
      </c>
      <c r="AG7202" s="9">
        <v>3.1</v>
      </c>
      <c r="AH7202" s="10">
        <f t="shared" si="127"/>
        <v>3</v>
      </c>
    </row>
    <row r="7203" spans="11:34" ht="14.5" x14ac:dyDescent="0.35">
      <c r="K7203" s="4"/>
      <c r="AC7203" s="7">
        <v>2022</v>
      </c>
      <c r="AD7203" s="7">
        <v>10</v>
      </c>
      <c r="AE7203" s="7">
        <v>28</v>
      </c>
      <c r="AF7203" s="8">
        <v>4.1666666666666664E-2</v>
      </c>
      <c r="AG7203" s="9">
        <v>2.8</v>
      </c>
      <c r="AH7203" s="10">
        <f t="shared" si="127"/>
        <v>3</v>
      </c>
    </row>
    <row r="7204" spans="11:34" ht="14.5" x14ac:dyDescent="0.35">
      <c r="K7204" s="4"/>
      <c r="AC7204" s="7">
        <v>2022</v>
      </c>
      <c r="AD7204" s="7">
        <v>10</v>
      </c>
      <c r="AE7204" s="7">
        <v>28</v>
      </c>
      <c r="AF7204" s="8">
        <v>8.3333333333333329E-2</v>
      </c>
      <c r="AG7204" s="9">
        <v>4</v>
      </c>
      <c r="AH7204" s="10">
        <f t="shared" si="127"/>
        <v>4</v>
      </c>
    </row>
    <row r="7205" spans="11:34" ht="14.5" x14ac:dyDescent="0.35">
      <c r="K7205" s="4"/>
      <c r="AC7205" s="7">
        <v>2022</v>
      </c>
      <c r="AD7205" s="7">
        <v>10</v>
      </c>
      <c r="AE7205" s="7">
        <v>28</v>
      </c>
      <c r="AF7205" s="8">
        <v>0.125</v>
      </c>
      <c r="AG7205" s="9">
        <v>1.9</v>
      </c>
      <c r="AH7205" s="10">
        <f t="shared" si="127"/>
        <v>2</v>
      </c>
    </row>
    <row r="7206" spans="11:34" ht="14.5" x14ac:dyDescent="0.35">
      <c r="K7206" s="4"/>
      <c r="AC7206" s="7">
        <v>2022</v>
      </c>
      <c r="AD7206" s="7">
        <v>10</v>
      </c>
      <c r="AE7206" s="7">
        <v>28</v>
      </c>
      <c r="AF7206" s="8">
        <v>0.16666666666666666</v>
      </c>
      <c r="AG7206" s="9">
        <v>3.3</v>
      </c>
      <c r="AH7206" s="10">
        <f t="shared" si="127"/>
        <v>3</v>
      </c>
    </row>
    <row r="7207" spans="11:34" ht="14.5" x14ac:dyDescent="0.35">
      <c r="K7207" s="4"/>
      <c r="AC7207" s="7">
        <v>2022</v>
      </c>
      <c r="AD7207" s="7">
        <v>10</v>
      </c>
      <c r="AE7207" s="7">
        <v>28</v>
      </c>
      <c r="AF7207" s="8">
        <v>0.20833333333333334</v>
      </c>
      <c r="AG7207" s="9">
        <v>2.2000000000000002</v>
      </c>
      <c r="AH7207" s="10">
        <f t="shared" si="127"/>
        <v>2</v>
      </c>
    </row>
    <row r="7208" spans="11:34" ht="14.5" x14ac:dyDescent="0.35">
      <c r="K7208" s="4"/>
      <c r="AC7208" s="7">
        <v>2022</v>
      </c>
      <c r="AD7208" s="7">
        <v>10</v>
      </c>
      <c r="AE7208" s="7">
        <v>28</v>
      </c>
      <c r="AF7208" s="8">
        <v>0.25</v>
      </c>
      <c r="AG7208" s="9">
        <v>1.5</v>
      </c>
      <c r="AH7208" s="10">
        <f t="shared" si="127"/>
        <v>2</v>
      </c>
    </row>
    <row r="7209" spans="11:34" ht="14.5" x14ac:dyDescent="0.35">
      <c r="K7209" s="4"/>
      <c r="AC7209" s="7">
        <v>2022</v>
      </c>
      <c r="AD7209" s="7">
        <v>10</v>
      </c>
      <c r="AE7209" s="7">
        <v>28</v>
      </c>
      <c r="AF7209" s="8">
        <v>0.29166666666666669</v>
      </c>
      <c r="AG7209" s="9">
        <v>2.6</v>
      </c>
      <c r="AH7209" s="10">
        <f t="shared" si="127"/>
        <v>3</v>
      </c>
    </row>
    <row r="7210" spans="11:34" ht="14.5" x14ac:dyDescent="0.35">
      <c r="K7210" s="4"/>
      <c r="AC7210" s="7">
        <v>2022</v>
      </c>
      <c r="AD7210" s="7">
        <v>10</v>
      </c>
      <c r="AE7210" s="7">
        <v>28</v>
      </c>
      <c r="AF7210" s="8">
        <v>0.33333333333333331</v>
      </c>
      <c r="AG7210" s="9">
        <v>0.3</v>
      </c>
      <c r="AH7210" s="10">
        <f t="shared" si="127"/>
        <v>0</v>
      </c>
    </row>
    <row r="7211" spans="11:34" ht="14.5" x14ac:dyDescent="0.35">
      <c r="K7211" s="4"/>
      <c r="AC7211" s="7">
        <v>2022</v>
      </c>
      <c r="AD7211" s="7">
        <v>10</v>
      </c>
      <c r="AE7211" s="7">
        <v>28</v>
      </c>
      <c r="AF7211" s="8">
        <v>0.375</v>
      </c>
      <c r="AG7211" s="9">
        <v>2.7</v>
      </c>
      <c r="AH7211" s="10">
        <f t="shared" si="127"/>
        <v>3</v>
      </c>
    </row>
    <row r="7212" spans="11:34" ht="14.5" x14ac:dyDescent="0.35">
      <c r="K7212" s="4"/>
      <c r="AC7212" s="7">
        <v>2022</v>
      </c>
      <c r="AD7212" s="7">
        <v>10</v>
      </c>
      <c r="AE7212" s="7">
        <v>28</v>
      </c>
      <c r="AF7212" s="8">
        <v>0.41666666666666669</v>
      </c>
      <c r="AG7212" s="9">
        <v>3.7</v>
      </c>
      <c r="AH7212" s="10">
        <f t="shared" si="127"/>
        <v>4</v>
      </c>
    </row>
    <row r="7213" spans="11:34" ht="14.5" x14ac:dyDescent="0.35">
      <c r="K7213" s="4"/>
      <c r="AC7213" s="7">
        <v>2022</v>
      </c>
      <c r="AD7213" s="7">
        <v>10</v>
      </c>
      <c r="AE7213" s="7">
        <v>28</v>
      </c>
      <c r="AF7213" s="8">
        <v>0.45833333333333331</v>
      </c>
      <c r="AG7213" s="9">
        <v>8.6999999999999993</v>
      </c>
      <c r="AH7213" s="10">
        <f t="shared" si="127"/>
        <v>9</v>
      </c>
    </row>
    <row r="7214" spans="11:34" ht="14.5" x14ac:dyDescent="0.35">
      <c r="K7214" s="4"/>
      <c r="AC7214" s="7">
        <v>2022</v>
      </c>
      <c r="AD7214" s="7">
        <v>10</v>
      </c>
      <c r="AE7214" s="7">
        <v>28</v>
      </c>
      <c r="AF7214" s="8">
        <v>0.5</v>
      </c>
      <c r="AG7214" s="9">
        <v>10</v>
      </c>
      <c r="AH7214" s="10">
        <f t="shared" si="127"/>
        <v>10</v>
      </c>
    </row>
    <row r="7215" spans="11:34" ht="14.5" x14ac:dyDescent="0.35">
      <c r="K7215" s="4"/>
      <c r="AC7215" s="7">
        <v>2022</v>
      </c>
      <c r="AD7215" s="7">
        <v>10</v>
      </c>
      <c r="AE7215" s="7">
        <v>28</v>
      </c>
      <c r="AF7215" s="8">
        <v>0.54166666666666663</v>
      </c>
      <c r="AG7215" s="9">
        <v>11.9</v>
      </c>
      <c r="AH7215" s="10">
        <f t="shared" si="127"/>
        <v>12</v>
      </c>
    </row>
    <row r="7216" spans="11:34" ht="14.5" x14ac:dyDescent="0.35">
      <c r="K7216" s="4"/>
      <c r="AC7216" s="7">
        <v>2022</v>
      </c>
      <c r="AD7216" s="7">
        <v>10</v>
      </c>
      <c r="AE7216" s="7">
        <v>28</v>
      </c>
      <c r="AF7216" s="8">
        <v>0.58333333333333337</v>
      </c>
      <c r="AG7216" s="9">
        <v>11.3</v>
      </c>
      <c r="AH7216" s="10">
        <f t="shared" si="127"/>
        <v>11</v>
      </c>
    </row>
    <row r="7217" spans="11:34" ht="14.5" x14ac:dyDescent="0.35">
      <c r="K7217" s="4"/>
      <c r="AC7217" s="7">
        <v>2022</v>
      </c>
      <c r="AD7217" s="7">
        <v>10</v>
      </c>
      <c r="AE7217" s="7">
        <v>28</v>
      </c>
      <c r="AF7217" s="8">
        <v>0.625</v>
      </c>
      <c r="AG7217" s="9">
        <v>10.3</v>
      </c>
      <c r="AH7217" s="10">
        <f t="shared" si="127"/>
        <v>10</v>
      </c>
    </row>
    <row r="7218" spans="11:34" ht="14.5" x14ac:dyDescent="0.35">
      <c r="K7218" s="4"/>
      <c r="AC7218" s="7">
        <v>2022</v>
      </c>
      <c r="AD7218" s="7">
        <v>10</v>
      </c>
      <c r="AE7218" s="7">
        <v>28</v>
      </c>
      <c r="AF7218" s="8">
        <v>0.66666666666666663</v>
      </c>
      <c r="AG7218" s="9">
        <v>9.9</v>
      </c>
      <c r="AH7218" s="10">
        <f t="shared" si="127"/>
        <v>10</v>
      </c>
    </row>
    <row r="7219" spans="11:34" ht="14.5" x14ac:dyDescent="0.35">
      <c r="K7219" s="4"/>
      <c r="AC7219" s="7">
        <v>2022</v>
      </c>
      <c r="AD7219" s="7">
        <v>10</v>
      </c>
      <c r="AE7219" s="7">
        <v>28</v>
      </c>
      <c r="AF7219" s="8">
        <v>0.70833333333333337</v>
      </c>
      <c r="AG7219" s="9">
        <v>7</v>
      </c>
      <c r="AH7219" s="10">
        <f t="shared" si="127"/>
        <v>7</v>
      </c>
    </row>
    <row r="7220" spans="11:34" ht="14.5" x14ac:dyDescent="0.35">
      <c r="K7220" s="4"/>
      <c r="AC7220" s="7">
        <v>2022</v>
      </c>
      <c r="AD7220" s="7">
        <v>10</v>
      </c>
      <c r="AE7220" s="7">
        <v>28</v>
      </c>
      <c r="AF7220" s="8">
        <v>0.75</v>
      </c>
      <c r="AG7220" s="9">
        <v>5.8</v>
      </c>
      <c r="AH7220" s="10">
        <f t="shared" si="127"/>
        <v>6</v>
      </c>
    </row>
    <row r="7221" spans="11:34" ht="14.5" x14ac:dyDescent="0.35">
      <c r="K7221" s="4"/>
      <c r="AC7221" s="7">
        <v>2022</v>
      </c>
      <c r="AD7221" s="7">
        <v>10</v>
      </c>
      <c r="AE7221" s="7">
        <v>28</v>
      </c>
      <c r="AF7221" s="8">
        <v>0.79166666666666663</v>
      </c>
      <c r="AG7221" s="9">
        <v>3</v>
      </c>
      <c r="AH7221" s="10">
        <f t="shared" si="127"/>
        <v>3</v>
      </c>
    </row>
    <row r="7222" spans="11:34" ht="14.5" x14ac:dyDescent="0.35">
      <c r="K7222" s="4"/>
      <c r="AC7222" s="7">
        <v>2022</v>
      </c>
      <c r="AD7222" s="7">
        <v>10</v>
      </c>
      <c r="AE7222" s="7">
        <v>28</v>
      </c>
      <c r="AF7222" s="8">
        <v>0.83333333333333337</v>
      </c>
      <c r="AG7222" s="9">
        <v>1.5</v>
      </c>
      <c r="AH7222" s="10">
        <f t="shared" si="127"/>
        <v>2</v>
      </c>
    </row>
    <row r="7223" spans="11:34" ht="14.5" x14ac:dyDescent="0.35">
      <c r="K7223" s="4"/>
      <c r="AC7223" s="7">
        <v>2022</v>
      </c>
      <c r="AD7223" s="7">
        <v>10</v>
      </c>
      <c r="AE7223" s="7">
        <v>28</v>
      </c>
      <c r="AF7223" s="8">
        <v>0.875</v>
      </c>
      <c r="AG7223" s="9">
        <v>0.3</v>
      </c>
      <c r="AH7223" s="10">
        <f t="shared" si="127"/>
        <v>0</v>
      </c>
    </row>
    <row r="7224" spans="11:34" ht="14.5" x14ac:dyDescent="0.35">
      <c r="K7224" s="4"/>
      <c r="AC7224" s="7">
        <v>2022</v>
      </c>
      <c r="AD7224" s="7">
        <v>10</v>
      </c>
      <c r="AE7224" s="7">
        <v>28</v>
      </c>
      <c r="AF7224" s="8">
        <v>0.91666666666666663</v>
      </c>
      <c r="AG7224" s="9">
        <v>-1.2</v>
      </c>
      <c r="AH7224" s="10">
        <f t="shared" si="127"/>
        <v>-1</v>
      </c>
    </row>
    <row r="7225" spans="11:34" ht="14.5" x14ac:dyDescent="0.35">
      <c r="K7225" s="4"/>
      <c r="AC7225" s="7">
        <v>2022</v>
      </c>
      <c r="AD7225" s="7">
        <v>10</v>
      </c>
      <c r="AE7225" s="7">
        <v>28</v>
      </c>
      <c r="AF7225" s="8">
        <v>0.95833333333333337</v>
      </c>
      <c r="AG7225" s="9">
        <v>0.1</v>
      </c>
      <c r="AH7225" s="10">
        <f t="shared" si="127"/>
        <v>0</v>
      </c>
    </row>
    <row r="7226" spans="11:34" ht="14.5" x14ac:dyDescent="0.35">
      <c r="K7226" s="4"/>
      <c r="AC7226" s="7">
        <v>2022</v>
      </c>
      <c r="AD7226" s="7">
        <v>10</v>
      </c>
      <c r="AE7226" s="7">
        <v>29</v>
      </c>
      <c r="AF7226" s="8">
        <v>0</v>
      </c>
      <c r="AG7226" s="9">
        <v>-0.4</v>
      </c>
      <c r="AH7226" s="10">
        <f t="shared" si="127"/>
        <v>0</v>
      </c>
    </row>
    <row r="7227" spans="11:34" ht="14.5" x14ac:dyDescent="0.35">
      <c r="K7227" s="4"/>
      <c r="AC7227" s="7">
        <v>2022</v>
      </c>
      <c r="AD7227" s="7">
        <v>10</v>
      </c>
      <c r="AE7227" s="7">
        <v>29</v>
      </c>
      <c r="AF7227" s="8">
        <v>4.1666666666666664E-2</v>
      </c>
      <c r="AG7227" s="9">
        <v>-0.2</v>
      </c>
      <c r="AH7227" s="10">
        <f t="shared" si="127"/>
        <v>0</v>
      </c>
    </row>
    <row r="7228" spans="11:34" ht="14.5" x14ac:dyDescent="0.35">
      <c r="K7228" s="4"/>
      <c r="AC7228" s="7">
        <v>2022</v>
      </c>
      <c r="AD7228" s="7">
        <v>10</v>
      </c>
      <c r="AE7228" s="7">
        <v>29</v>
      </c>
      <c r="AF7228" s="8">
        <v>8.3333333333333329E-2</v>
      </c>
      <c r="AG7228" s="9">
        <v>-2.2000000000000002</v>
      </c>
      <c r="AH7228" s="10">
        <f t="shared" si="127"/>
        <v>-2</v>
      </c>
    </row>
    <row r="7229" spans="11:34" ht="14.5" x14ac:dyDescent="0.35">
      <c r="K7229" s="4"/>
      <c r="AC7229" s="7">
        <v>2022</v>
      </c>
      <c r="AD7229" s="7">
        <v>10</v>
      </c>
      <c r="AE7229" s="7">
        <v>29</v>
      </c>
      <c r="AF7229" s="8">
        <v>0.125</v>
      </c>
      <c r="AG7229" s="9">
        <v>-0.8</v>
      </c>
      <c r="AH7229" s="10">
        <f t="shared" si="127"/>
        <v>-1</v>
      </c>
    </row>
    <row r="7230" spans="11:34" ht="14.5" x14ac:dyDescent="0.35">
      <c r="K7230" s="4"/>
      <c r="AC7230" s="7">
        <v>2022</v>
      </c>
      <c r="AD7230" s="7">
        <v>10</v>
      </c>
      <c r="AE7230" s="7">
        <v>29</v>
      </c>
      <c r="AF7230" s="8">
        <v>0.16666666666666666</v>
      </c>
      <c r="AG7230" s="9">
        <v>-1.9</v>
      </c>
      <c r="AH7230" s="10">
        <f t="shared" si="127"/>
        <v>-2</v>
      </c>
    </row>
    <row r="7231" spans="11:34" ht="14.5" x14ac:dyDescent="0.35">
      <c r="K7231" s="4"/>
      <c r="AC7231" s="7">
        <v>2022</v>
      </c>
      <c r="AD7231" s="7">
        <v>10</v>
      </c>
      <c r="AE7231" s="7">
        <v>29</v>
      </c>
      <c r="AF7231" s="8">
        <v>0.20833333333333334</v>
      </c>
      <c r="AG7231" s="9">
        <v>0.1</v>
      </c>
      <c r="AH7231" s="10">
        <f t="shared" si="127"/>
        <v>0</v>
      </c>
    </row>
    <row r="7232" spans="11:34" ht="14.5" x14ac:dyDescent="0.35">
      <c r="K7232" s="4"/>
      <c r="AC7232" s="7">
        <v>2022</v>
      </c>
      <c r="AD7232" s="7">
        <v>10</v>
      </c>
      <c r="AE7232" s="7">
        <v>29</v>
      </c>
      <c r="AF7232" s="8">
        <v>0.25</v>
      </c>
      <c r="AG7232" s="9">
        <v>0.1</v>
      </c>
      <c r="AH7232" s="10">
        <f t="shared" si="127"/>
        <v>0</v>
      </c>
    </row>
    <row r="7233" spans="11:34" ht="14.5" x14ac:dyDescent="0.35">
      <c r="K7233" s="4"/>
      <c r="AC7233" s="7">
        <v>2022</v>
      </c>
      <c r="AD7233" s="7">
        <v>10</v>
      </c>
      <c r="AE7233" s="7">
        <v>29</v>
      </c>
      <c r="AF7233" s="8">
        <v>0.29166666666666669</v>
      </c>
      <c r="AG7233" s="9">
        <v>1.9</v>
      </c>
      <c r="AH7233" s="10">
        <f t="shared" si="127"/>
        <v>2</v>
      </c>
    </row>
    <row r="7234" spans="11:34" ht="14.5" x14ac:dyDescent="0.35">
      <c r="K7234" s="4"/>
      <c r="AC7234" s="7">
        <v>2022</v>
      </c>
      <c r="AD7234" s="7">
        <v>10</v>
      </c>
      <c r="AE7234" s="7">
        <v>29</v>
      </c>
      <c r="AF7234" s="8">
        <v>0.33333333333333331</v>
      </c>
      <c r="AG7234" s="9">
        <v>0.3</v>
      </c>
      <c r="AH7234" s="10">
        <f t="shared" si="127"/>
        <v>0</v>
      </c>
    </row>
    <row r="7235" spans="11:34" ht="14.5" x14ac:dyDescent="0.35">
      <c r="K7235" s="4"/>
      <c r="AC7235" s="7">
        <v>2022</v>
      </c>
      <c r="AD7235" s="7">
        <v>10</v>
      </c>
      <c r="AE7235" s="7">
        <v>29</v>
      </c>
      <c r="AF7235" s="8">
        <v>0.375</v>
      </c>
      <c r="AG7235" s="9">
        <v>2.2000000000000002</v>
      </c>
      <c r="AH7235" s="10">
        <f t="shared" si="127"/>
        <v>2</v>
      </c>
    </row>
    <row r="7236" spans="11:34" ht="14.5" x14ac:dyDescent="0.35">
      <c r="K7236" s="4"/>
      <c r="AC7236" s="7">
        <v>2022</v>
      </c>
      <c r="AD7236" s="7">
        <v>10</v>
      </c>
      <c r="AE7236" s="7">
        <v>29</v>
      </c>
      <c r="AF7236" s="8">
        <v>0.41666666666666669</v>
      </c>
      <c r="AG7236" s="9">
        <v>6</v>
      </c>
      <c r="AH7236" s="10">
        <f t="shared" si="127"/>
        <v>6</v>
      </c>
    </row>
    <row r="7237" spans="11:34" ht="14.5" x14ac:dyDescent="0.35">
      <c r="K7237" s="4"/>
      <c r="AC7237" s="7">
        <v>2022</v>
      </c>
      <c r="AD7237" s="7">
        <v>10</v>
      </c>
      <c r="AE7237" s="7">
        <v>29</v>
      </c>
      <c r="AF7237" s="8">
        <v>0.45833333333333331</v>
      </c>
      <c r="AG7237" s="9">
        <v>9.3000000000000007</v>
      </c>
      <c r="AH7237" s="10">
        <f t="shared" si="127"/>
        <v>9</v>
      </c>
    </row>
    <row r="7238" spans="11:34" ht="14.5" x14ac:dyDescent="0.35">
      <c r="K7238" s="4"/>
      <c r="AC7238" s="7">
        <v>2022</v>
      </c>
      <c r="AD7238" s="7">
        <v>10</v>
      </c>
      <c r="AE7238" s="7">
        <v>29</v>
      </c>
      <c r="AF7238" s="8">
        <v>0.5</v>
      </c>
      <c r="AG7238" s="9">
        <v>11.5</v>
      </c>
      <c r="AH7238" s="10">
        <f t="shared" si="127"/>
        <v>12</v>
      </c>
    </row>
    <row r="7239" spans="11:34" ht="14.5" x14ac:dyDescent="0.35">
      <c r="K7239" s="4"/>
      <c r="AC7239" s="7">
        <v>2022</v>
      </c>
      <c r="AD7239" s="7">
        <v>10</v>
      </c>
      <c r="AE7239" s="7">
        <v>29</v>
      </c>
      <c r="AF7239" s="8">
        <v>0.54166666666666663</v>
      </c>
      <c r="AG7239" s="9">
        <v>12.3</v>
      </c>
      <c r="AH7239" s="10">
        <f t="shared" si="127"/>
        <v>12</v>
      </c>
    </row>
    <row r="7240" spans="11:34" ht="14.5" x14ac:dyDescent="0.35">
      <c r="K7240" s="4"/>
      <c r="AC7240" s="7">
        <v>2022</v>
      </c>
      <c r="AD7240" s="7">
        <v>10</v>
      </c>
      <c r="AE7240" s="7">
        <v>29</v>
      </c>
      <c r="AF7240" s="8">
        <v>0.58333333333333337</v>
      </c>
      <c r="AG7240" s="9">
        <v>11.6</v>
      </c>
      <c r="AH7240" s="10">
        <f t="shared" si="127"/>
        <v>12</v>
      </c>
    </row>
    <row r="7241" spans="11:34" ht="14.5" x14ac:dyDescent="0.35">
      <c r="K7241" s="4"/>
      <c r="AC7241" s="7">
        <v>2022</v>
      </c>
      <c r="AD7241" s="7">
        <v>10</v>
      </c>
      <c r="AE7241" s="7">
        <v>29</v>
      </c>
      <c r="AF7241" s="8">
        <v>0.625</v>
      </c>
      <c r="AG7241" s="9">
        <v>10.8</v>
      </c>
      <c r="AH7241" s="10">
        <f t="shared" si="127"/>
        <v>11</v>
      </c>
    </row>
    <row r="7242" spans="11:34" ht="14.5" x14ac:dyDescent="0.35">
      <c r="K7242" s="4"/>
      <c r="AC7242" s="7">
        <v>2022</v>
      </c>
      <c r="AD7242" s="7">
        <v>10</v>
      </c>
      <c r="AE7242" s="7">
        <v>29</v>
      </c>
      <c r="AF7242" s="8">
        <v>0.66666666666666663</v>
      </c>
      <c r="AG7242" s="9">
        <v>9.6</v>
      </c>
      <c r="AH7242" s="10">
        <f t="shared" si="127"/>
        <v>10</v>
      </c>
    </row>
    <row r="7243" spans="11:34" ht="14.5" x14ac:dyDescent="0.35">
      <c r="K7243" s="4"/>
      <c r="AC7243" s="7">
        <v>2022</v>
      </c>
      <c r="AD7243" s="7">
        <v>10</v>
      </c>
      <c r="AE7243" s="7">
        <v>29</v>
      </c>
      <c r="AF7243" s="8">
        <v>0.70833333333333337</v>
      </c>
      <c r="AG7243" s="9">
        <v>8.9</v>
      </c>
      <c r="AH7243" s="10">
        <f t="shared" ref="AH7243:AH7306" si="128">ROUND(AG7243,0)</f>
        <v>9</v>
      </c>
    </row>
    <row r="7244" spans="11:34" ht="14.5" x14ac:dyDescent="0.35">
      <c r="K7244" s="4"/>
      <c r="AC7244" s="7">
        <v>2022</v>
      </c>
      <c r="AD7244" s="7">
        <v>10</v>
      </c>
      <c r="AE7244" s="7">
        <v>29</v>
      </c>
      <c r="AF7244" s="8">
        <v>0.75</v>
      </c>
      <c r="AG7244" s="9">
        <v>7.8</v>
      </c>
      <c r="AH7244" s="10">
        <f t="shared" si="128"/>
        <v>8</v>
      </c>
    </row>
    <row r="7245" spans="11:34" ht="14.5" x14ac:dyDescent="0.35">
      <c r="K7245" s="4"/>
      <c r="AC7245" s="7">
        <v>2022</v>
      </c>
      <c r="AD7245" s="7">
        <v>10</v>
      </c>
      <c r="AE7245" s="7">
        <v>29</v>
      </c>
      <c r="AF7245" s="8">
        <v>0.79166666666666663</v>
      </c>
      <c r="AG7245" s="9">
        <v>7.4</v>
      </c>
      <c r="AH7245" s="10">
        <f t="shared" si="128"/>
        <v>7</v>
      </c>
    </row>
    <row r="7246" spans="11:34" ht="14.5" x14ac:dyDescent="0.35">
      <c r="K7246" s="4"/>
      <c r="AC7246" s="7">
        <v>2022</v>
      </c>
      <c r="AD7246" s="7">
        <v>10</v>
      </c>
      <c r="AE7246" s="7">
        <v>29</v>
      </c>
      <c r="AF7246" s="8">
        <v>0.83333333333333337</v>
      </c>
      <c r="AG7246" s="9">
        <v>5.5</v>
      </c>
      <c r="AH7246" s="10">
        <f t="shared" si="128"/>
        <v>6</v>
      </c>
    </row>
    <row r="7247" spans="11:34" ht="14.5" x14ac:dyDescent="0.35">
      <c r="K7247" s="4"/>
      <c r="AC7247" s="7">
        <v>2022</v>
      </c>
      <c r="AD7247" s="7">
        <v>10</v>
      </c>
      <c r="AE7247" s="7">
        <v>29</v>
      </c>
      <c r="AF7247" s="8">
        <v>0.875</v>
      </c>
      <c r="AG7247" s="9">
        <v>6.3</v>
      </c>
      <c r="AH7247" s="10">
        <f t="shared" si="128"/>
        <v>6</v>
      </c>
    </row>
    <row r="7248" spans="11:34" ht="14.5" x14ac:dyDescent="0.35">
      <c r="K7248" s="4"/>
      <c r="AC7248" s="7">
        <v>2022</v>
      </c>
      <c r="AD7248" s="7">
        <v>10</v>
      </c>
      <c r="AE7248" s="7">
        <v>29</v>
      </c>
      <c r="AF7248" s="8">
        <v>0.91666666666666663</v>
      </c>
      <c r="AG7248" s="9">
        <v>3.8</v>
      </c>
      <c r="AH7248" s="10">
        <f t="shared" si="128"/>
        <v>4</v>
      </c>
    </row>
    <row r="7249" spans="11:34" ht="14.5" x14ac:dyDescent="0.35">
      <c r="K7249" s="4"/>
      <c r="AC7249" s="7">
        <v>2022</v>
      </c>
      <c r="AD7249" s="7">
        <v>10</v>
      </c>
      <c r="AE7249" s="7">
        <v>29</v>
      </c>
      <c r="AF7249" s="8">
        <v>0.95833333333333337</v>
      </c>
      <c r="AG7249" s="9">
        <v>3.9</v>
      </c>
      <c r="AH7249" s="10">
        <f t="shared" si="128"/>
        <v>4</v>
      </c>
    </row>
    <row r="7250" spans="11:34" ht="14.5" x14ac:dyDescent="0.35">
      <c r="K7250" s="4"/>
      <c r="AC7250" s="7">
        <v>2022</v>
      </c>
      <c r="AD7250" s="7">
        <v>10</v>
      </c>
      <c r="AE7250" s="7">
        <v>30</v>
      </c>
      <c r="AF7250" s="8">
        <v>0</v>
      </c>
      <c r="AG7250" s="9">
        <v>4</v>
      </c>
      <c r="AH7250" s="10">
        <f t="shared" si="128"/>
        <v>4</v>
      </c>
    </row>
    <row r="7251" spans="11:34" ht="14.5" x14ac:dyDescent="0.35">
      <c r="K7251" s="4"/>
      <c r="AC7251" s="7">
        <v>2022</v>
      </c>
      <c r="AD7251" s="7">
        <v>10</v>
      </c>
      <c r="AE7251" s="7">
        <v>30</v>
      </c>
      <c r="AF7251" s="8">
        <v>4.1666666666666664E-2</v>
      </c>
      <c r="AG7251" s="9">
        <v>4.9000000000000004</v>
      </c>
      <c r="AH7251" s="10">
        <f t="shared" si="128"/>
        <v>5</v>
      </c>
    </row>
    <row r="7252" spans="11:34" ht="14.5" x14ac:dyDescent="0.35">
      <c r="K7252" s="4"/>
      <c r="AC7252" s="7">
        <v>2022</v>
      </c>
      <c r="AD7252" s="7">
        <v>10</v>
      </c>
      <c r="AE7252" s="7">
        <v>30</v>
      </c>
      <c r="AF7252" s="8">
        <v>8.3333333333333329E-2</v>
      </c>
      <c r="AG7252" s="9">
        <v>4.9000000000000004</v>
      </c>
      <c r="AH7252" s="10">
        <f t="shared" si="128"/>
        <v>5</v>
      </c>
    </row>
    <row r="7253" spans="11:34" ht="14.5" x14ac:dyDescent="0.35">
      <c r="K7253" s="4"/>
      <c r="AC7253" s="7">
        <v>2022</v>
      </c>
      <c r="AD7253" s="7">
        <v>10</v>
      </c>
      <c r="AE7253" s="7">
        <v>30</v>
      </c>
      <c r="AF7253" s="8">
        <v>0.125</v>
      </c>
      <c r="AG7253" s="9">
        <v>3.8</v>
      </c>
      <c r="AH7253" s="10">
        <f t="shared" si="128"/>
        <v>4</v>
      </c>
    </row>
    <row r="7254" spans="11:34" ht="14.5" x14ac:dyDescent="0.35">
      <c r="K7254" s="4"/>
      <c r="AC7254" s="7">
        <v>2022</v>
      </c>
      <c r="AD7254" s="7">
        <v>10</v>
      </c>
      <c r="AE7254" s="7">
        <v>30</v>
      </c>
      <c r="AF7254" s="8">
        <v>0.16666666666666666</v>
      </c>
      <c r="AG7254" s="9">
        <v>4.8</v>
      </c>
      <c r="AH7254" s="10">
        <f t="shared" si="128"/>
        <v>5</v>
      </c>
    </row>
    <row r="7255" spans="11:34" ht="14.5" x14ac:dyDescent="0.35">
      <c r="K7255" s="4"/>
      <c r="AC7255" s="7">
        <v>2022</v>
      </c>
      <c r="AD7255" s="7">
        <v>10</v>
      </c>
      <c r="AE7255" s="7">
        <v>30</v>
      </c>
      <c r="AF7255" s="8">
        <v>0.20833333333333334</v>
      </c>
      <c r="AG7255" s="9">
        <v>7.3</v>
      </c>
      <c r="AH7255" s="10">
        <f t="shared" si="128"/>
        <v>7</v>
      </c>
    </row>
    <row r="7256" spans="11:34" ht="14.5" x14ac:dyDescent="0.35">
      <c r="K7256" s="4"/>
      <c r="AC7256" s="7">
        <v>2022</v>
      </c>
      <c r="AD7256" s="7">
        <v>10</v>
      </c>
      <c r="AE7256" s="7">
        <v>30</v>
      </c>
      <c r="AF7256" s="8">
        <v>0.25</v>
      </c>
      <c r="AG7256" s="9">
        <v>7.7</v>
      </c>
      <c r="AH7256" s="10">
        <f t="shared" si="128"/>
        <v>8</v>
      </c>
    </row>
    <row r="7257" spans="11:34" ht="14.5" x14ac:dyDescent="0.35">
      <c r="K7257" s="4"/>
      <c r="AC7257" s="7">
        <v>2022</v>
      </c>
      <c r="AD7257" s="7">
        <v>10</v>
      </c>
      <c r="AE7257" s="7">
        <v>30</v>
      </c>
      <c r="AF7257" s="8">
        <v>0.29166666666666669</v>
      </c>
      <c r="AG7257" s="9">
        <v>6.8</v>
      </c>
      <c r="AH7257" s="10">
        <f t="shared" si="128"/>
        <v>7</v>
      </c>
    </row>
    <row r="7258" spans="11:34" ht="14.5" x14ac:dyDescent="0.35">
      <c r="K7258" s="4"/>
      <c r="AC7258" s="7">
        <v>2022</v>
      </c>
      <c r="AD7258" s="7">
        <v>10</v>
      </c>
      <c r="AE7258" s="7">
        <v>30</v>
      </c>
      <c r="AF7258" s="8">
        <v>0.33333333333333331</v>
      </c>
      <c r="AG7258" s="9">
        <v>6.6</v>
      </c>
      <c r="AH7258" s="10">
        <f t="shared" si="128"/>
        <v>7</v>
      </c>
    </row>
    <row r="7259" spans="11:34" ht="14.5" x14ac:dyDescent="0.35">
      <c r="K7259" s="4"/>
      <c r="AC7259" s="7">
        <v>2022</v>
      </c>
      <c r="AD7259" s="7">
        <v>10</v>
      </c>
      <c r="AE7259" s="7">
        <v>30</v>
      </c>
      <c r="AF7259" s="8">
        <v>0.375</v>
      </c>
      <c r="AG7259" s="9">
        <v>9.3000000000000007</v>
      </c>
      <c r="AH7259" s="10">
        <f t="shared" si="128"/>
        <v>9</v>
      </c>
    </row>
    <row r="7260" spans="11:34" ht="14.5" x14ac:dyDescent="0.35">
      <c r="K7260" s="4"/>
      <c r="AC7260" s="7">
        <v>2022</v>
      </c>
      <c r="AD7260" s="7">
        <v>10</v>
      </c>
      <c r="AE7260" s="7">
        <v>30</v>
      </c>
      <c r="AF7260" s="8">
        <v>0.41666666666666669</v>
      </c>
      <c r="AG7260" s="9">
        <v>9.8000000000000007</v>
      </c>
      <c r="AH7260" s="10">
        <f t="shared" si="128"/>
        <v>10</v>
      </c>
    </row>
    <row r="7261" spans="11:34" ht="14.5" x14ac:dyDescent="0.35">
      <c r="K7261" s="4"/>
      <c r="AC7261" s="7">
        <v>2022</v>
      </c>
      <c r="AD7261" s="7">
        <v>10</v>
      </c>
      <c r="AE7261" s="7">
        <v>30</v>
      </c>
      <c r="AF7261" s="8">
        <v>0.45833333333333331</v>
      </c>
      <c r="AG7261" s="9">
        <v>10.8</v>
      </c>
      <c r="AH7261" s="10">
        <f t="shared" si="128"/>
        <v>11</v>
      </c>
    </row>
    <row r="7262" spans="11:34" ht="14.5" x14ac:dyDescent="0.35">
      <c r="K7262" s="4"/>
      <c r="AC7262" s="7">
        <v>2022</v>
      </c>
      <c r="AD7262" s="7">
        <v>10</v>
      </c>
      <c r="AE7262" s="7">
        <v>30</v>
      </c>
      <c r="AF7262" s="8">
        <v>0.5</v>
      </c>
      <c r="AG7262" s="9">
        <v>11.8</v>
      </c>
      <c r="AH7262" s="10">
        <f t="shared" si="128"/>
        <v>12</v>
      </c>
    </row>
    <row r="7263" spans="11:34" ht="14.5" x14ac:dyDescent="0.35">
      <c r="K7263" s="4"/>
      <c r="AC7263" s="7">
        <v>2022</v>
      </c>
      <c r="AD7263" s="7">
        <v>10</v>
      </c>
      <c r="AE7263" s="7">
        <v>30</v>
      </c>
      <c r="AF7263" s="8">
        <v>0.54166666666666663</v>
      </c>
      <c r="AG7263" s="9">
        <v>13</v>
      </c>
      <c r="AH7263" s="10">
        <f t="shared" si="128"/>
        <v>13</v>
      </c>
    </row>
    <row r="7264" spans="11:34" ht="14.5" x14ac:dyDescent="0.35">
      <c r="K7264" s="4"/>
      <c r="AC7264" s="7">
        <v>2022</v>
      </c>
      <c r="AD7264" s="7">
        <v>10</v>
      </c>
      <c r="AE7264" s="7">
        <v>30</v>
      </c>
      <c r="AF7264" s="8">
        <v>0.58333333333333337</v>
      </c>
      <c r="AG7264" s="9">
        <v>12.6</v>
      </c>
      <c r="AH7264" s="10">
        <f t="shared" si="128"/>
        <v>13</v>
      </c>
    </row>
    <row r="7265" spans="11:34" ht="14.5" x14ac:dyDescent="0.35">
      <c r="K7265" s="4"/>
      <c r="AC7265" s="7">
        <v>2022</v>
      </c>
      <c r="AD7265" s="7">
        <v>10</v>
      </c>
      <c r="AE7265" s="7">
        <v>30</v>
      </c>
      <c r="AF7265" s="8">
        <v>0.625</v>
      </c>
      <c r="AG7265" s="9">
        <v>13.1</v>
      </c>
      <c r="AH7265" s="10">
        <f t="shared" si="128"/>
        <v>13</v>
      </c>
    </row>
    <row r="7266" spans="11:34" ht="14.5" x14ac:dyDescent="0.35">
      <c r="K7266" s="4"/>
      <c r="AC7266" s="7">
        <v>2022</v>
      </c>
      <c r="AD7266" s="7">
        <v>10</v>
      </c>
      <c r="AE7266" s="7">
        <v>30</v>
      </c>
      <c r="AF7266" s="8">
        <v>0.66666666666666663</v>
      </c>
      <c r="AG7266" s="9">
        <v>13.1</v>
      </c>
      <c r="AH7266" s="10">
        <f t="shared" si="128"/>
        <v>13</v>
      </c>
    </row>
    <row r="7267" spans="11:34" ht="14.5" x14ac:dyDescent="0.35">
      <c r="K7267" s="4"/>
      <c r="AC7267" s="7">
        <v>2022</v>
      </c>
      <c r="AD7267" s="7">
        <v>10</v>
      </c>
      <c r="AE7267" s="7">
        <v>30</v>
      </c>
      <c r="AF7267" s="8">
        <v>0.70833333333333337</v>
      </c>
      <c r="AG7267" s="9">
        <v>10.7</v>
      </c>
      <c r="AH7267" s="10">
        <f t="shared" si="128"/>
        <v>11</v>
      </c>
    </row>
    <row r="7268" spans="11:34" ht="14.5" x14ac:dyDescent="0.35">
      <c r="K7268" s="4"/>
      <c r="AC7268" s="7">
        <v>2022</v>
      </c>
      <c r="AD7268" s="7">
        <v>10</v>
      </c>
      <c r="AE7268" s="7">
        <v>30</v>
      </c>
      <c r="AF7268" s="8">
        <v>0.75</v>
      </c>
      <c r="AG7268" s="9">
        <v>8.9</v>
      </c>
      <c r="AH7268" s="10">
        <f t="shared" si="128"/>
        <v>9</v>
      </c>
    </row>
    <row r="7269" spans="11:34" ht="14.5" x14ac:dyDescent="0.35">
      <c r="K7269" s="4"/>
      <c r="AC7269" s="7">
        <v>2022</v>
      </c>
      <c r="AD7269" s="7">
        <v>10</v>
      </c>
      <c r="AE7269" s="7">
        <v>30</v>
      </c>
      <c r="AF7269" s="8">
        <v>0.79166666666666663</v>
      </c>
      <c r="AG7269" s="9">
        <v>9.1999999999999993</v>
      </c>
      <c r="AH7269" s="10">
        <f t="shared" si="128"/>
        <v>9</v>
      </c>
    </row>
    <row r="7270" spans="11:34" ht="14.5" x14ac:dyDescent="0.35">
      <c r="K7270" s="4"/>
      <c r="AC7270" s="7">
        <v>2022</v>
      </c>
      <c r="AD7270" s="7">
        <v>10</v>
      </c>
      <c r="AE7270" s="7">
        <v>30</v>
      </c>
      <c r="AF7270" s="8">
        <v>0.83333333333333337</v>
      </c>
      <c r="AG7270" s="9">
        <v>8.1999999999999993</v>
      </c>
      <c r="AH7270" s="10">
        <f t="shared" si="128"/>
        <v>8</v>
      </c>
    </row>
    <row r="7271" spans="11:34" ht="14.5" x14ac:dyDescent="0.35">
      <c r="K7271" s="4"/>
      <c r="AC7271" s="7">
        <v>2022</v>
      </c>
      <c r="AD7271" s="7">
        <v>10</v>
      </c>
      <c r="AE7271" s="7">
        <v>30</v>
      </c>
      <c r="AF7271" s="8">
        <v>0.875</v>
      </c>
      <c r="AG7271" s="9">
        <v>7.8</v>
      </c>
      <c r="AH7271" s="10">
        <f t="shared" si="128"/>
        <v>8</v>
      </c>
    </row>
    <row r="7272" spans="11:34" ht="14.5" x14ac:dyDescent="0.35">
      <c r="K7272" s="4"/>
      <c r="AC7272" s="7">
        <v>2022</v>
      </c>
      <c r="AD7272" s="7">
        <v>10</v>
      </c>
      <c r="AE7272" s="7">
        <v>30</v>
      </c>
      <c r="AF7272" s="8">
        <v>0.91666666666666663</v>
      </c>
      <c r="AG7272" s="9">
        <v>7</v>
      </c>
      <c r="AH7272" s="10">
        <f t="shared" si="128"/>
        <v>7</v>
      </c>
    </row>
    <row r="7273" spans="11:34" ht="14.5" x14ac:dyDescent="0.35">
      <c r="K7273" s="4"/>
      <c r="AC7273" s="7">
        <v>2022</v>
      </c>
      <c r="AD7273" s="7">
        <v>10</v>
      </c>
      <c r="AE7273" s="7">
        <v>30</v>
      </c>
      <c r="AF7273" s="8">
        <v>0.95833333333333337</v>
      </c>
      <c r="AG7273" s="9">
        <v>7.1</v>
      </c>
      <c r="AH7273" s="10">
        <f t="shared" si="128"/>
        <v>7</v>
      </c>
    </row>
    <row r="7274" spans="11:34" ht="14.5" x14ac:dyDescent="0.35">
      <c r="K7274" s="4"/>
      <c r="AC7274" s="7">
        <v>2022</v>
      </c>
      <c r="AD7274" s="7">
        <v>10</v>
      </c>
      <c r="AE7274" s="7">
        <v>31</v>
      </c>
      <c r="AF7274" s="8">
        <v>0</v>
      </c>
      <c r="AG7274" s="9">
        <v>3.8</v>
      </c>
      <c r="AH7274" s="10">
        <f t="shared" si="128"/>
        <v>4</v>
      </c>
    </row>
    <row r="7275" spans="11:34" ht="14.5" x14ac:dyDescent="0.35">
      <c r="K7275" s="4"/>
      <c r="AC7275" s="7">
        <v>2022</v>
      </c>
      <c r="AD7275" s="7">
        <v>10</v>
      </c>
      <c r="AE7275" s="7">
        <v>31</v>
      </c>
      <c r="AF7275" s="8">
        <v>4.1666666666666664E-2</v>
      </c>
      <c r="AG7275" s="9">
        <v>2.2000000000000002</v>
      </c>
      <c r="AH7275" s="10">
        <f t="shared" si="128"/>
        <v>2</v>
      </c>
    </row>
    <row r="7276" spans="11:34" ht="14.5" x14ac:dyDescent="0.35">
      <c r="K7276" s="4"/>
      <c r="AC7276" s="7">
        <v>2022</v>
      </c>
      <c r="AD7276" s="7">
        <v>10</v>
      </c>
      <c r="AE7276" s="7">
        <v>31</v>
      </c>
      <c r="AF7276" s="8">
        <v>8.3333333333333329E-2</v>
      </c>
      <c r="AG7276" s="9">
        <v>0.9</v>
      </c>
      <c r="AH7276" s="10">
        <f t="shared" si="128"/>
        <v>1</v>
      </c>
    </row>
    <row r="7277" spans="11:34" ht="14.5" x14ac:dyDescent="0.35">
      <c r="K7277" s="4"/>
      <c r="AC7277" s="7">
        <v>2022</v>
      </c>
      <c r="AD7277" s="7">
        <v>10</v>
      </c>
      <c r="AE7277" s="7">
        <v>31</v>
      </c>
      <c r="AF7277" s="8">
        <v>0.125</v>
      </c>
      <c r="AG7277" s="9">
        <v>0.9</v>
      </c>
      <c r="AH7277" s="10">
        <f t="shared" si="128"/>
        <v>1</v>
      </c>
    </row>
    <row r="7278" spans="11:34" ht="14.5" x14ac:dyDescent="0.35">
      <c r="K7278" s="4"/>
      <c r="AC7278" s="7">
        <v>2022</v>
      </c>
      <c r="AD7278" s="7">
        <v>10</v>
      </c>
      <c r="AE7278" s="7">
        <v>31</v>
      </c>
      <c r="AF7278" s="8">
        <v>0.16666666666666666</v>
      </c>
      <c r="AG7278" s="9">
        <v>0.4</v>
      </c>
      <c r="AH7278" s="10">
        <f t="shared" si="128"/>
        <v>0</v>
      </c>
    </row>
    <row r="7279" spans="11:34" ht="14.5" x14ac:dyDescent="0.35">
      <c r="K7279" s="4"/>
      <c r="AC7279" s="7">
        <v>2022</v>
      </c>
      <c r="AD7279" s="7">
        <v>10</v>
      </c>
      <c r="AE7279" s="7">
        <v>31</v>
      </c>
      <c r="AF7279" s="8">
        <v>0.20833333333333334</v>
      </c>
      <c r="AG7279" s="9">
        <v>0.8</v>
      </c>
      <c r="AH7279" s="10">
        <f t="shared" si="128"/>
        <v>1</v>
      </c>
    </row>
    <row r="7280" spans="11:34" ht="14.5" x14ac:dyDescent="0.35">
      <c r="K7280" s="4"/>
      <c r="AC7280" s="7">
        <v>2022</v>
      </c>
      <c r="AD7280" s="7">
        <v>10</v>
      </c>
      <c r="AE7280" s="7">
        <v>31</v>
      </c>
      <c r="AF7280" s="8">
        <v>0.25</v>
      </c>
      <c r="AG7280" s="9">
        <v>1.5</v>
      </c>
      <c r="AH7280" s="10">
        <f t="shared" si="128"/>
        <v>2</v>
      </c>
    </row>
    <row r="7281" spans="11:34" ht="14.5" x14ac:dyDescent="0.35">
      <c r="K7281" s="4"/>
      <c r="AC7281" s="7">
        <v>2022</v>
      </c>
      <c r="AD7281" s="7">
        <v>10</v>
      </c>
      <c r="AE7281" s="7">
        <v>31</v>
      </c>
      <c r="AF7281" s="8">
        <v>0.29166666666666669</v>
      </c>
      <c r="AG7281" s="9">
        <v>1.4</v>
      </c>
      <c r="AH7281" s="10">
        <f t="shared" si="128"/>
        <v>1</v>
      </c>
    </row>
    <row r="7282" spans="11:34" ht="14.5" x14ac:dyDescent="0.35">
      <c r="K7282" s="4"/>
      <c r="AC7282" s="7">
        <v>2022</v>
      </c>
      <c r="AD7282" s="7">
        <v>10</v>
      </c>
      <c r="AE7282" s="7">
        <v>31</v>
      </c>
      <c r="AF7282" s="8">
        <v>0.33333333333333331</v>
      </c>
      <c r="AG7282" s="9">
        <v>1.4</v>
      </c>
      <c r="AH7282" s="10">
        <f t="shared" si="128"/>
        <v>1</v>
      </c>
    </row>
    <row r="7283" spans="11:34" ht="14.5" x14ac:dyDescent="0.35">
      <c r="K7283" s="4"/>
      <c r="AC7283" s="7">
        <v>2022</v>
      </c>
      <c r="AD7283" s="7">
        <v>10</v>
      </c>
      <c r="AE7283" s="7">
        <v>31</v>
      </c>
      <c r="AF7283" s="8">
        <v>0.375</v>
      </c>
      <c r="AG7283" s="9">
        <v>1.4</v>
      </c>
      <c r="AH7283" s="10">
        <f t="shared" si="128"/>
        <v>1</v>
      </c>
    </row>
    <row r="7284" spans="11:34" ht="14.5" x14ac:dyDescent="0.35">
      <c r="K7284" s="4"/>
      <c r="AC7284" s="7">
        <v>2022</v>
      </c>
      <c r="AD7284" s="7">
        <v>10</v>
      </c>
      <c r="AE7284" s="7">
        <v>31</v>
      </c>
      <c r="AF7284" s="8">
        <v>0.41666666666666669</v>
      </c>
      <c r="AG7284" s="9">
        <v>2.2000000000000002</v>
      </c>
      <c r="AH7284" s="10">
        <f t="shared" si="128"/>
        <v>2</v>
      </c>
    </row>
    <row r="7285" spans="11:34" ht="14.5" x14ac:dyDescent="0.35">
      <c r="K7285" s="4"/>
      <c r="AC7285" s="7">
        <v>2022</v>
      </c>
      <c r="AD7285" s="7">
        <v>10</v>
      </c>
      <c r="AE7285" s="7">
        <v>31</v>
      </c>
      <c r="AF7285" s="8">
        <v>0.45833333333333331</v>
      </c>
      <c r="AG7285" s="9">
        <v>2.9</v>
      </c>
      <c r="AH7285" s="10">
        <f t="shared" si="128"/>
        <v>3</v>
      </c>
    </row>
    <row r="7286" spans="11:34" ht="14.5" x14ac:dyDescent="0.35">
      <c r="K7286" s="4"/>
      <c r="AC7286" s="7">
        <v>2022</v>
      </c>
      <c r="AD7286" s="7">
        <v>10</v>
      </c>
      <c r="AE7286" s="7">
        <v>31</v>
      </c>
      <c r="AF7286" s="8">
        <v>0.5</v>
      </c>
      <c r="AG7286" s="9">
        <v>3.5</v>
      </c>
      <c r="AH7286" s="10">
        <f t="shared" si="128"/>
        <v>4</v>
      </c>
    </row>
    <row r="7287" spans="11:34" ht="14.5" x14ac:dyDescent="0.35">
      <c r="K7287" s="4"/>
      <c r="AC7287" s="7">
        <v>2022</v>
      </c>
      <c r="AD7287" s="7">
        <v>10</v>
      </c>
      <c r="AE7287" s="7">
        <v>31</v>
      </c>
      <c r="AF7287" s="8">
        <v>0.54166666666666663</v>
      </c>
      <c r="AG7287" s="9">
        <v>5</v>
      </c>
      <c r="AH7287" s="10">
        <f t="shared" si="128"/>
        <v>5</v>
      </c>
    </row>
    <row r="7288" spans="11:34" ht="14.5" x14ac:dyDescent="0.35">
      <c r="K7288" s="4"/>
      <c r="AC7288" s="7">
        <v>2022</v>
      </c>
      <c r="AD7288" s="7">
        <v>10</v>
      </c>
      <c r="AE7288" s="7">
        <v>31</v>
      </c>
      <c r="AF7288" s="8">
        <v>0.58333333333333337</v>
      </c>
      <c r="AG7288" s="9">
        <v>4.7</v>
      </c>
      <c r="AH7288" s="10">
        <f t="shared" si="128"/>
        <v>5</v>
      </c>
    </row>
    <row r="7289" spans="11:34" ht="14.5" x14ac:dyDescent="0.35">
      <c r="K7289" s="4"/>
      <c r="AC7289" s="7">
        <v>2022</v>
      </c>
      <c r="AD7289" s="7">
        <v>10</v>
      </c>
      <c r="AE7289" s="7">
        <v>31</v>
      </c>
      <c r="AF7289" s="8">
        <v>0.625</v>
      </c>
      <c r="AG7289" s="9">
        <v>4.3</v>
      </c>
      <c r="AH7289" s="10">
        <f t="shared" si="128"/>
        <v>4</v>
      </c>
    </row>
    <row r="7290" spans="11:34" ht="14.5" x14ac:dyDescent="0.35">
      <c r="K7290" s="4"/>
      <c r="AC7290" s="7">
        <v>2022</v>
      </c>
      <c r="AD7290" s="7">
        <v>10</v>
      </c>
      <c r="AE7290" s="7">
        <v>31</v>
      </c>
      <c r="AF7290" s="8">
        <v>0.66666666666666663</v>
      </c>
      <c r="AG7290" s="9">
        <v>3.1</v>
      </c>
      <c r="AH7290" s="10">
        <f t="shared" si="128"/>
        <v>3</v>
      </c>
    </row>
    <row r="7291" spans="11:34" ht="14.5" x14ac:dyDescent="0.35">
      <c r="K7291" s="4"/>
      <c r="AC7291" s="7">
        <v>2022</v>
      </c>
      <c r="AD7291" s="7">
        <v>10</v>
      </c>
      <c r="AE7291" s="7">
        <v>31</v>
      </c>
      <c r="AF7291" s="8">
        <v>0.70833333333333337</v>
      </c>
      <c r="AG7291" s="9">
        <v>2.6</v>
      </c>
      <c r="AH7291" s="10">
        <f t="shared" si="128"/>
        <v>3</v>
      </c>
    </row>
    <row r="7292" spans="11:34" ht="14.5" x14ac:dyDescent="0.35">
      <c r="K7292" s="4"/>
      <c r="AC7292" s="7">
        <v>2022</v>
      </c>
      <c r="AD7292" s="7">
        <v>10</v>
      </c>
      <c r="AE7292" s="7">
        <v>31</v>
      </c>
      <c r="AF7292" s="8">
        <v>0.75</v>
      </c>
      <c r="AG7292" s="9">
        <v>1.3</v>
      </c>
      <c r="AH7292" s="10">
        <f t="shared" si="128"/>
        <v>1</v>
      </c>
    </row>
    <row r="7293" spans="11:34" ht="14.5" x14ac:dyDescent="0.35">
      <c r="K7293" s="4"/>
      <c r="AC7293" s="7">
        <v>2022</v>
      </c>
      <c r="AD7293" s="7">
        <v>10</v>
      </c>
      <c r="AE7293" s="7">
        <v>31</v>
      </c>
      <c r="AF7293" s="8">
        <v>0.79166666666666663</v>
      </c>
      <c r="AG7293" s="9">
        <v>1</v>
      </c>
      <c r="AH7293" s="10">
        <f t="shared" si="128"/>
        <v>1</v>
      </c>
    </row>
    <row r="7294" spans="11:34" ht="14.5" x14ac:dyDescent="0.35">
      <c r="K7294" s="4"/>
      <c r="AC7294" s="7">
        <v>2022</v>
      </c>
      <c r="AD7294" s="7">
        <v>10</v>
      </c>
      <c r="AE7294" s="7">
        <v>31</v>
      </c>
      <c r="AF7294" s="8">
        <v>0.83333333333333337</v>
      </c>
      <c r="AG7294" s="9">
        <v>1.1000000000000001</v>
      </c>
      <c r="AH7294" s="10">
        <f t="shared" si="128"/>
        <v>1</v>
      </c>
    </row>
    <row r="7295" spans="11:34" ht="14.5" x14ac:dyDescent="0.35">
      <c r="K7295" s="4"/>
      <c r="AC7295" s="7">
        <v>2022</v>
      </c>
      <c r="AD7295" s="7">
        <v>10</v>
      </c>
      <c r="AE7295" s="7">
        <v>31</v>
      </c>
      <c r="AF7295" s="8">
        <v>0.875</v>
      </c>
      <c r="AG7295" s="9">
        <v>0.6</v>
      </c>
      <c r="AH7295" s="10">
        <f t="shared" si="128"/>
        <v>1</v>
      </c>
    </row>
    <row r="7296" spans="11:34" ht="14.5" x14ac:dyDescent="0.35">
      <c r="K7296" s="4"/>
      <c r="AC7296" s="7">
        <v>2022</v>
      </c>
      <c r="AD7296" s="7">
        <v>10</v>
      </c>
      <c r="AE7296" s="7">
        <v>31</v>
      </c>
      <c r="AF7296" s="8">
        <v>0.91666666666666663</v>
      </c>
      <c r="AG7296" s="9">
        <v>1.4</v>
      </c>
      <c r="AH7296" s="10">
        <f t="shared" si="128"/>
        <v>1</v>
      </c>
    </row>
    <row r="7297" spans="11:34" ht="14.5" x14ac:dyDescent="0.35">
      <c r="K7297" s="4"/>
      <c r="AC7297" s="7">
        <v>2022</v>
      </c>
      <c r="AD7297" s="7">
        <v>10</v>
      </c>
      <c r="AE7297" s="7">
        <v>31</v>
      </c>
      <c r="AF7297" s="8">
        <v>0.95833333333333337</v>
      </c>
      <c r="AG7297" s="9">
        <v>3.3</v>
      </c>
      <c r="AH7297" s="10">
        <f t="shared" si="128"/>
        <v>3</v>
      </c>
    </row>
    <row r="7298" spans="11:34" ht="14.5" x14ac:dyDescent="0.35">
      <c r="K7298" s="4"/>
      <c r="AC7298" s="7">
        <v>2022</v>
      </c>
      <c r="AD7298" s="7">
        <v>11</v>
      </c>
      <c r="AE7298" s="7">
        <v>1</v>
      </c>
      <c r="AF7298" s="8">
        <v>0</v>
      </c>
      <c r="AG7298" s="9">
        <v>0.9</v>
      </c>
      <c r="AH7298" s="10">
        <f t="shared" si="128"/>
        <v>1</v>
      </c>
    </row>
    <row r="7299" spans="11:34" ht="14.5" x14ac:dyDescent="0.35">
      <c r="K7299" s="4"/>
      <c r="AC7299" s="7">
        <v>2022</v>
      </c>
      <c r="AD7299" s="7">
        <v>11</v>
      </c>
      <c r="AE7299" s="7">
        <v>1</v>
      </c>
      <c r="AF7299" s="8">
        <v>4.1666666666666664E-2</v>
      </c>
      <c r="AG7299" s="9">
        <v>0.6</v>
      </c>
      <c r="AH7299" s="10">
        <f t="shared" si="128"/>
        <v>1</v>
      </c>
    </row>
    <row r="7300" spans="11:34" ht="14.5" x14ac:dyDescent="0.35">
      <c r="K7300" s="4"/>
      <c r="AC7300" s="7">
        <v>2022</v>
      </c>
      <c r="AD7300" s="7">
        <v>11</v>
      </c>
      <c r="AE7300" s="7">
        <v>1</v>
      </c>
      <c r="AF7300" s="8">
        <v>8.3333333333333329E-2</v>
      </c>
      <c r="AG7300" s="9">
        <v>0.6</v>
      </c>
      <c r="AH7300" s="10">
        <f t="shared" si="128"/>
        <v>1</v>
      </c>
    </row>
    <row r="7301" spans="11:34" ht="14.5" x14ac:dyDescent="0.35">
      <c r="K7301" s="4"/>
      <c r="AC7301" s="7">
        <v>2022</v>
      </c>
      <c r="AD7301" s="7">
        <v>11</v>
      </c>
      <c r="AE7301" s="7">
        <v>1</v>
      </c>
      <c r="AF7301" s="8">
        <v>0.125</v>
      </c>
      <c r="AG7301" s="9">
        <v>-0.3</v>
      </c>
      <c r="AH7301" s="10">
        <f t="shared" si="128"/>
        <v>0</v>
      </c>
    </row>
    <row r="7302" spans="11:34" ht="14.5" x14ac:dyDescent="0.35">
      <c r="K7302" s="4"/>
      <c r="AC7302" s="7">
        <v>2022</v>
      </c>
      <c r="AD7302" s="7">
        <v>11</v>
      </c>
      <c r="AE7302" s="7">
        <v>1</v>
      </c>
      <c r="AF7302" s="8">
        <v>0.16666666666666666</v>
      </c>
      <c r="AG7302" s="9">
        <v>-0.2</v>
      </c>
      <c r="AH7302" s="10">
        <f t="shared" si="128"/>
        <v>0</v>
      </c>
    </row>
    <row r="7303" spans="11:34" ht="14.5" x14ac:dyDescent="0.35">
      <c r="K7303" s="4"/>
      <c r="AC7303" s="7">
        <v>2022</v>
      </c>
      <c r="AD7303" s="7">
        <v>11</v>
      </c>
      <c r="AE7303" s="7">
        <v>1</v>
      </c>
      <c r="AF7303" s="8">
        <v>0.20833333333333334</v>
      </c>
      <c r="AG7303" s="9">
        <v>0.1</v>
      </c>
      <c r="AH7303" s="10">
        <f t="shared" si="128"/>
        <v>0</v>
      </c>
    </row>
    <row r="7304" spans="11:34" ht="14.5" x14ac:dyDescent="0.35">
      <c r="K7304" s="4"/>
      <c r="AC7304" s="7">
        <v>2022</v>
      </c>
      <c r="AD7304" s="7">
        <v>11</v>
      </c>
      <c r="AE7304" s="7">
        <v>1</v>
      </c>
      <c r="AF7304" s="8">
        <v>0.25</v>
      </c>
      <c r="AG7304" s="9">
        <v>0.1</v>
      </c>
      <c r="AH7304" s="10">
        <f t="shared" si="128"/>
        <v>0</v>
      </c>
    </row>
    <row r="7305" spans="11:34" ht="14.5" x14ac:dyDescent="0.35">
      <c r="K7305" s="4"/>
      <c r="AC7305" s="7">
        <v>2022</v>
      </c>
      <c r="AD7305" s="7">
        <v>11</v>
      </c>
      <c r="AE7305" s="7">
        <v>1</v>
      </c>
      <c r="AF7305" s="8">
        <v>0.29166666666666669</v>
      </c>
      <c r="AG7305" s="9">
        <v>0</v>
      </c>
      <c r="AH7305" s="10">
        <f t="shared" si="128"/>
        <v>0</v>
      </c>
    </row>
    <row r="7306" spans="11:34" ht="14.5" x14ac:dyDescent="0.35">
      <c r="K7306" s="4"/>
      <c r="AC7306" s="7">
        <v>2022</v>
      </c>
      <c r="AD7306" s="7">
        <v>11</v>
      </c>
      <c r="AE7306" s="7">
        <v>1</v>
      </c>
      <c r="AF7306" s="8">
        <v>0.33333333333333331</v>
      </c>
      <c r="AG7306" s="9">
        <v>0.3</v>
      </c>
      <c r="AH7306" s="10">
        <f t="shared" si="128"/>
        <v>0</v>
      </c>
    </row>
    <row r="7307" spans="11:34" ht="14.5" x14ac:dyDescent="0.35">
      <c r="K7307" s="4"/>
      <c r="AC7307" s="7">
        <v>2022</v>
      </c>
      <c r="AD7307" s="7">
        <v>11</v>
      </c>
      <c r="AE7307" s="7">
        <v>1</v>
      </c>
      <c r="AF7307" s="8">
        <v>0.375</v>
      </c>
      <c r="AG7307" s="9">
        <v>0.7</v>
      </c>
      <c r="AH7307" s="10">
        <f t="shared" ref="AH7307:AH7370" si="129">ROUND(AG7307,0)</f>
        <v>1</v>
      </c>
    </row>
    <row r="7308" spans="11:34" ht="14.5" x14ac:dyDescent="0.35">
      <c r="K7308" s="4"/>
      <c r="AC7308" s="7">
        <v>2022</v>
      </c>
      <c r="AD7308" s="7">
        <v>11</v>
      </c>
      <c r="AE7308" s="7">
        <v>1</v>
      </c>
      <c r="AF7308" s="8">
        <v>0.41666666666666669</v>
      </c>
      <c r="AG7308" s="9">
        <v>0.7</v>
      </c>
      <c r="AH7308" s="10">
        <f t="shared" si="129"/>
        <v>1</v>
      </c>
    </row>
    <row r="7309" spans="11:34" ht="14.5" x14ac:dyDescent="0.35">
      <c r="K7309" s="4"/>
      <c r="AC7309" s="7">
        <v>2022</v>
      </c>
      <c r="AD7309" s="7">
        <v>11</v>
      </c>
      <c r="AE7309" s="7">
        <v>1</v>
      </c>
      <c r="AF7309" s="8">
        <v>0.45833333333333331</v>
      </c>
      <c r="AG7309" s="9">
        <v>0.2</v>
      </c>
      <c r="AH7309" s="10">
        <f t="shared" si="129"/>
        <v>0</v>
      </c>
    </row>
    <row r="7310" spans="11:34" ht="14.5" x14ac:dyDescent="0.35">
      <c r="K7310" s="4"/>
      <c r="AC7310" s="7">
        <v>2022</v>
      </c>
      <c r="AD7310" s="7">
        <v>11</v>
      </c>
      <c r="AE7310" s="7">
        <v>1</v>
      </c>
      <c r="AF7310" s="8">
        <v>0.5</v>
      </c>
      <c r="AG7310" s="9">
        <v>-0.1</v>
      </c>
      <c r="AH7310" s="10">
        <f t="shared" si="129"/>
        <v>0</v>
      </c>
    </row>
    <row r="7311" spans="11:34" ht="14.5" x14ac:dyDescent="0.35">
      <c r="K7311" s="4"/>
      <c r="AC7311" s="7">
        <v>2022</v>
      </c>
      <c r="AD7311" s="7">
        <v>11</v>
      </c>
      <c r="AE7311" s="7">
        <v>1</v>
      </c>
      <c r="AF7311" s="8">
        <v>0.54166666666666663</v>
      </c>
      <c r="AG7311" s="9">
        <v>-0.6</v>
      </c>
      <c r="AH7311" s="10">
        <f t="shared" si="129"/>
        <v>-1</v>
      </c>
    </row>
    <row r="7312" spans="11:34" ht="14.5" x14ac:dyDescent="0.35">
      <c r="K7312" s="4"/>
      <c r="AC7312" s="7">
        <v>2022</v>
      </c>
      <c r="AD7312" s="7">
        <v>11</v>
      </c>
      <c r="AE7312" s="7">
        <v>1</v>
      </c>
      <c r="AF7312" s="8">
        <v>0.58333333333333337</v>
      </c>
      <c r="AG7312" s="9">
        <v>-1.1000000000000001</v>
      </c>
      <c r="AH7312" s="10">
        <f t="shared" si="129"/>
        <v>-1</v>
      </c>
    </row>
    <row r="7313" spans="11:34" ht="14.5" x14ac:dyDescent="0.35">
      <c r="K7313" s="4"/>
      <c r="AC7313" s="7">
        <v>2022</v>
      </c>
      <c r="AD7313" s="7">
        <v>11</v>
      </c>
      <c r="AE7313" s="7">
        <v>1</v>
      </c>
      <c r="AF7313" s="8">
        <v>0.625</v>
      </c>
      <c r="AG7313" s="9">
        <v>-1.3</v>
      </c>
      <c r="AH7313" s="10">
        <f t="shared" si="129"/>
        <v>-1</v>
      </c>
    </row>
    <row r="7314" spans="11:34" ht="14.5" x14ac:dyDescent="0.35">
      <c r="K7314" s="4"/>
      <c r="AC7314" s="7">
        <v>2022</v>
      </c>
      <c r="AD7314" s="7">
        <v>11</v>
      </c>
      <c r="AE7314" s="7">
        <v>1</v>
      </c>
      <c r="AF7314" s="8">
        <v>0.66666666666666663</v>
      </c>
      <c r="AG7314" s="9">
        <v>-1.9</v>
      </c>
      <c r="AH7314" s="10">
        <f t="shared" si="129"/>
        <v>-2</v>
      </c>
    </row>
    <row r="7315" spans="11:34" ht="14.5" x14ac:dyDescent="0.35">
      <c r="K7315" s="4"/>
      <c r="AC7315" s="7">
        <v>2022</v>
      </c>
      <c r="AD7315" s="7">
        <v>11</v>
      </c>
      <c r="AE7315" s="7">
        <v>1</v>
      </c>
      <c r="AF7315" s="8">
        <v>0.70833333333333337</v>
      </c>
      <c r="AG7315" s="9">
        <v>-2.2000000000000002</v>
      </c>
      <c r="AH7315" s="10">
        <f t="shared" si="129"/>
        <v>-2</v>
      </c>
    </row>
    <row r="7316" spans="11:34" ht="14.5" x14ac:dyDescent="0.35">
      <c r="K7316" s="4"/>
      <c r="AC7316" s="7">
        <v>2022</v>
      </c>
      <c r="AD7316" s="7">
        <v>11</v>
      </c>
      <c r="AE7316" s="7">
        <v>1</v>
      </c>
      <c r="AF7316" s="8">
        <v>0.75</v>
      </c>
      <c r="AG7316" s="9">
        <v>-2.6</v>
      </c>
      <c r="AH7316" s="10">
        <f t="shared" si="129"/>
        <v>-3</v>
      </c>
    </row>
    <row r="7317" spans="11:34" ht="14.5" x14ac:dyDescent="0.35">
      <c r="K7317" s="4"/>
      <c r="AC7317" s="7">
        <v>2022</v>
      </c>
      <c r="AD7317" s="7">
        <v>11</v>
      </c>
      <c r="AE7317" s="7">
        <v>1</v>
      </c>
      <c r="AF7317" s="8">
        <v>0.79166666666666663</v>
      </c>
      <c r="AG7317" s="9">
        <v>-2.8</v>
      </c>
      <c r="AH7317" s="10">
        <f t="shared" si="129"/>
        <v>-3</v>
      </c>
    </row>
    <row r="7318" spans="11:34" ht="14.5" x14ac:dyDescent="0.35">
      <c r="K7318" s="4"/>
      <c r="AC7318" s="7">
        <v>2022</v>
      </c>
      <c r="AD7318" s="7">
        <v>11</v>
      </c>
      <c r="AE7318" s="7">
        <v>1</v>
      </c>
      <c r="AF7318" s="8">
        <v>0.83333333333333337</v>
      </c>
      <c r="AG7318" s="9">
        <v>-3.1</v>
      </c>
      <c r="AH7318" s="10">
        <f t="shared" si="129"/>
        <v>-3</v>
      </c>
    </row>
    <row r="7319" spans="11:34" ht="14.5" x14ac:dyDescent="0.35">
      <c r="K7319" s="4"/>
      <c r="AC7319" s="7">
        <v>2022</v>
      </c>
      <c r="AD7319" s="7">
        <v>11</v>
      </c>
      <c r="AE7319" s="7">
        <v>1</v>
      </c>
      <c r="AF7319" s="8">
        <v>0.875</v>
      </c>
      <c r="AG7319" s="9">
        <v>-3.4</v>
      </c>
      <c r="AH7319" s="10">
        <f t="shared" si="129"/>
        <v>-3</v>
      </c>
    </row>
    <row r="7320" spans="11:34" ht="14.5" x14ac:dyDescent="0.35">
      <c r="K7320" s="4"/>
      <c r="AC7320" s="7">
        <v>2022</v>
      </c>
      <c r="AD7320" s="7">
        <v>11</v>
      </c>
      <c r="AE7320" s="7">
        <v>1</v>
      </c>
      <c r="AF7320" s="8">
        <v>0.91666666666666663</v>
      </c>
      <c r="AG7320" s="9">
        <v>-3.5</v>
      </c>
      <c r="AH7320" s="10">
        <f t="shared" si="129"/>
        <v>-4</v>
      </c>
    </row>
    <row r="7321" spans="11:34" ht="14.5" x14ac:dyDescent="0.35">
      <c r="K7321" s="4"/>
      <c r="AC7321" s="7">
        <v>2022</v>
      </c>
      <c r="AD7321" s="7">
        <v>11</v>
      </c>
      <c r="AE7321" s="7">
        <v>1</v>
      </c>
      <c r="AF7321" s="8">
        <v>0.95833333333333337</v>
      </c>
      <c r="AG7321" s="9">
        <v>-3.4</v>
      </c>
      <c r="AH7321" s="10">
        <f t="shared" si="129"/>
        <v>-3</v>
      </c>
    </row>
    <row r="7322" spans="11:34" ht="14.5" x14ac:dyDescent="0.35">
      <c r="K7322" s="4"/>
      <c r="AC7322" s="7">
        <v>2022</v>
      </c>
      <c r="AD7322" s="7">
        <v>11</v>
      </c>
      <c r="AE7322" s="7">
        <v>2</v>
      </c>
      <c r="AF7322" s="8">
        <v>0</v>
      </c>
      <c r="AG7322" s="9">
        <v>-3.4</v>
      </c>
      <c r="AH7322" s="10">
        <f t="shared" si="129"/>
        <v>-3</v>
      </c>
    </row>
    <row r="7323" spans="11:34" ht="14.5" x14ac:dyDescent="0.35">
      <c r="K7323" s="4"/>
      <c r="AC7323" s="7">
        <v>2022</v>
      </c>
      <c r="AD7323" s="7">
        <v>11</v>
      </c>
      <c r="AE7323" s="7">
        <v>2</v>
      </c>
      <c r="AF7323" s="8">
        <v>4.1666666666666664E-2</v>
      </c>
      <c r="AG7323" s="9">
        <v>-3.5</v>
      </c>
      <c r="AH7323" s="10">
        <f t="shared" si="129"/>
        <v>-4</v>
      </c>
    </row>
    <row r="7324" spans="11:34" ht="14.5" x14ac:dyDescent="0.35">
      <c r="K7324" s="4"/>
      <c r="AC7324" s="7">
        <v>2022</v>
      </c>
      <c r="AD7324" s="7">
        <v>11</v>
      </c>
      <c r="AE7324" s="7">
        <v>2</v>
      </c>
      <c r="AF7324" s="8">
        <v>8.3333333333333329E-2</v>
      </c>
      <c r="AG7324" s="9">
        <v>-3.9</v>
      </c>
      <c r="AH7324" s="10">
        <f t="shared" si="129"/>
        <v>-4</v>
      </c>
    </row>
    <row r="7325" spans="11:34" ht="14.5" x14ac:dyDescent="0.35">
      <c r="K7325" s="4"/>
      <c r="AC7325" s="7">
        <v>2022</v>
      </c>
      <c r="AD7325" s="7">
        <v>11</v>
      </c>
      <c r="AE7325" s="7">
        <v>2</v>
      </c>
      <c r="AF7325" s="8">
        <v>0.125</v>
      </c>
      <c r="AG7325" s="9">
        <v>-4.2</v>
      </c>
      <c r="AH7325" s="10">
        <f t="shared" si="129"/>
        <v>-4</v>
      </c>
    </row>
    <row r="7326" spans="11:34" ht="14.5" x14ac:dyDescent="0.35">
      <c r="K7326" s="4"/>
      <c r="AC7326" s="7">
        <v>2022</v>
      </c>
      <c r="AD7326" s="7">
        <v>11</v>
      </c>
      <c r="AE7326" s="7">
        <v>2</v>
      </c>
      <c r="AF7326" s="8">
        <v>0.16666666666666666</v>
      </c>
      <c r="AG7326" s="9">
        <v>-4.4000000000000004</v>
      </c>
      <c r="AH7326" s="10">
        <f t="shared" si="129"/>
        <v>-4</v>
      </c>
    </row>
    <row r="7327" spans="11:34" ht="14.5" x14ac:dyDescent="0.35">
      <c r="K7327" s="4"/>
      <c r="AC7327" s="7">
        <v>2022</v>
      </c>
      <c r="AD7327" s="7">
        <v>11</v>
      </c>
      <c r="AE7327" s="7">
        <v>2</v>
      </c>
      <c r="AF7327" s="8">
        <v>0.20833333333333334</v>
      </c>
      <c r="AG7327" s="9">
        <v>-5</v>
      </c>
      <c r="AH7327" s="10">
        <f t="shared" si="129"/>
        <v>-5</v>
      </c>
    </row>
    <row r="7328" spans="11:34" ht="14.5" x14ac:dyDescent="0.35">
      <c r="K7328" s="4"/>
      <c r="AC7328" s="7">
        <v>2022</v>
      </c>
      <c r="AD7328" s="7">
        <v>11</v>
      </c>
      <c r="AE7328" s="7">
        <v>2</v>
      </c>
      <c r="AF7328" s="8">
        <v>0.25</v>
      </c>
      <c r="AG7328" s="9">
        <v>-5.2</v>
      </c>
      <c r="AH7328" s="10">
        <f t="shared" si="129"/>
        <v>-5</v>
      </c>
    </row>
    <row r="7329" spans="11:34" ht="14.5" x14ac:dyDescent="0.35">
      <c r="K7329" s="4"/>
      <c r="AC7329" s="7">
        <v>2022</v>
      </c>
      <c r="AD7329" s="7">
        <v>11</v>
      </c>
      <c r="AE7329" s="7">
        <v>2</v>
      </c>
      <c r="AF7329" s="8">
        <v>0.29166666666666669</v>
      </c>
      <c r="AG7329" s="9">
        <v>-5.9</v>
      </c>
      <c r="AH7329" s="10">
        <f t="shared" si="129"/>
        <v>-6</v>
      </c>
    </row>
    <row r="7330" spans="11:34" ht="14.5" x14ac:dyDescent="0.35">
      <c r="K7330" s="4"/>
      <c r="AC7330" s="7">
        <v>2022</v>
      </c>
      <c r="AD7330" s="7">
        <v>11</v>
      </c>
      <c r="AE7330" s="7">
        <v>2</v>
      </c>
      <c r="AF7330" s="8">
        <v>0.33333333333333331</v>
      </c>
      <c r="AG7330" s="9">
        <v>-5.8</v>
      </c>
      <c r="AH7330" s="10">
        <f t="shared" si="129"/>
        <v>-6</v>
      </c>
    </row>
    <row r="7331" spans="11:34" ht="14.5" x14ac:dyDescent="0.35">
      <c r="K7331" s="4"/>
      <c r="AC7331" s="7">
        <v>2022</v>
      </c>
      <c r="AD7331" s="7">
        <v>11</v>
      </c>
      <c r="AE7331" s="7">
        <v>2</v>
      </c>
      <c r="AF7331" s="8">
        <v>0.375</v>
      </c>
      <c r="AG7331" s="9">
        <v>-6.2</v>
      </c>
      <c r="AH7331" s="10">
        <f t="shared" si="129"/>
        <v>-6</v>
      </c>
    </row>
    <row r="7332" spans="11:34" ht="14.5" x14ac:dyDescent="0.35">
      <c r="K7332" s="4"/>
      <c r="AC7332" s="7">
        <v>2022</v>
      </c>
      <c r="AD7332" s="7">
        <v>11</v>
      </c>
      <c r="AE7332" s="7">
        <v>2</v>
      </c>
      <c r="AF7332" s="8">
        <v>0.41666666666666669</v>
      </c>
      <c r="AG7332" s="9">
        <v>-6.4</v>
      </c>
      <c r="AH7332" s="10">
        <f t="shared" si="129"/>
        <v>-6</v>
      </c>
    </row>
    <row r="7333" spans="11:34" ht="14.5" x14ac:dyDescent="0.35">
      <c r="K7333" s="4"/>
      <c r="AC7333" s="7">
        <v>2022</v>
      </c>
      <c r="AD7333" s="7">
        <v>11</v>
      </c>
      <c r="AE7333" s="7">
        <v>2</v>
      </c>
      <c r="AF7333" s="8">
        <v>0.45833333333333331</v>
      </c>
      <c r="AG7333" s="9">
        <v>-6.3</v>
      </c>
      <c r="AH7333" s="10">
        <f t="shared" si="129"/>
        <v>-6</v>
      </c>
    </row>
    <row r="7334" spans="11:34" ht="14.5" x14ac:dyDescent="0.35">
      <c r="K7334" s="4"/>
      <c r="AC7334" s="7">
        <v>2022</v>
      </c>
      <c r="AD7334" s="7">
        <v>11</v>
      </c>
      <c r="AE7334" s="7">
        <v>2</v>
      </c>
      <c r="AF7334" s="8">
        <v>0.5</v>
      </c>
      <c r="AG7334" s="9">
        <v>-6.3</v>
      </c>
      <c r="AH7334" s="10">
        <f t="shared" si="129"/>
        <v>-6</v>
      </c>
    </row>
    <row r="7335" spans="11:34" ht="14.5" x14ac:dyDescent="0.35">
      <c r="K7335" s="4"/>
      <c r="AC7335" s="7">
        <v>2022</v>
      </c>
      <c r="AD7335" s="7">
        <v>11</v>
      </c>
      <c r="AE7335" s="7">
        <v>2</v>
      </c>
      <c r="AF7335" s="8">
        <v>0.54166666666666663</v>
      </c>
      <c r="AG7335" s="9">
        <v>-6.2</v>
      </c>
      <c r="AH7335" s="10">
        <f t="shared" si="129"/>
        <v>-6</v>
      </c>
    </row>
    <row r="7336" spans="11:34" ht="14.5" x14ac:dyDescent="0.35">
      <c r="K7336" s="4"/>
      <c r="AC7336" s="7">
        <v>2022</v>
      </c>
      <c r="AD7336" s="7">
        <v>11</v>
      </c>
      <c r="AE7336" s="7">
        <v>2</v>
      </c>
      <c r="AF7336" s="8">
        <v>0.58333333333333337</v>
      </c>
      <c r="AG7336" s="9">
        <v>-6.2</v>
      </c>
      <c r="AH7336" s="10">
        <f t="shared" si="129"/>
        <v>-6</v>
      </c>
    </row>
    <row r="7337" spans="11:34" ht="14.5" x14ac:dyDescent="0.35">
      <c r="K7337" s="4"/>
      <c r="AC7337" s="7">
        <v>2022</v>
      </c>
      <c r="AD7337" s="7">
        <v>11</v>
      </c>
      <c r="AE7337" s="7">
        <v>2</v>
      </c>
      <c r="AF7337" s="8">
        <v>0.625</v>
      </c>
      <c r="AG7337" s="9">
        <v>-6</v>
      </c>
      <c r="AH7337" s="10">
        <f t="shared" si="129"/>
        <v>-6</v>
      </c>
    </row>
    <row r="7338" spans="11:34" ht="14.5" x14ac:dyDescent="0.35">
      <c r="K7338" s="4"/>
      <c r="AC7338" s="7">
        <v>2022</v>
      </c>
      <c r="AD7338" s="7">
        <v>11</v>
      </c>
      <c r="AE7338" s="7">
        <v>2</v>
      </c>
      <c r="AF7338" s="8">
        <v>0.66666666666666663</v>
      </c>
      <c r="AG7338" s="9">
        <v>-5.9</v>
      </c>
      <c r="AH7338" s="10">
        <f t="shared" si="129"/>
        <v>-6</v>
      </c>
    </row>
    <row r="7339" spans="11:34" ht="14.5" x14ac:dyDescent="0.35">
      <c r="K7339" s="4"/>
      <c r="AC7339" s="7">
        <v>2022</v>
      </c>
      <c r="AD7339" s="7">
        <v>11</v>
      </c>
      <c r="AE7339" s="7">
        <v>2</v>
      </c>
      <c r="AF7339" s="8">
        <v>0.70833333333333337</v>
      </c>
      <c r="AG7339" s="9">
        <v>-6.1</v>
      </c>
      <c r="AH7339" s="10">
        <f t="shared" si="129"/>
        <v>-6</v>
      </c>
    </row>
    <row r="7340" spans="11:34" ht="14.5" x14ac:dyDescent="0.35">
      <c r="K7340" s="4"/>
      <c r="AC7340" s="7">
        <v>2022</v>
      </c>
      <c r="AD7340" s="7">
        <v>11</v>
      </c>
      <c r="AE7340" s="7">
        <v>2</v>
      </c>
      <c r="AF7340" s="8">
        <v>0.75</v>
      </c>
      <c r="AG7340" s="9">
        <v>-6.5</v>
      </c>
      <c r="AH7340" s="10">
        <f t="shared" si="129"/>
        <v>-7</v>
      </c>
    </row>
    <row r="7341" spans="11:34" ht="14.5" x14ac:dyDescent="0.35">
      <c r="K7341" s="4"/>
      <c r="AC7341" s="7">
        <v>2022</v>
      </c>
      <c r="AD7341" s="7">
        <v>11</v>
      </c>
      <c r="AE7341" s="7">
        <v>2</v>
      </c>
      <c r="AF7341" s="8">
        <v>0.79166666666666663</v>
      </c>
      <c r="AG7341" s="9">
        <v>-6.9</v>
      </c>
      <c r="AH7341" s="10">
        <f t="shared" si="129"/>
        <v>-7</v>
      </c>
    </row>
    <row r="7342" spans="11:34" ht="14.5" x14ac:dyDescent="0.35">
      <c r="K7342" s="4"/>
      <c r="AC7342" s="7">
        <v>2022</v>
      </c>
      <c r="AD7342" s="7">
        <v>11</v>
      </c>
      <c r="AE7342" s="7">
        <v>2</v>
      </c>
      <c r="AF7342" s="8">
        <v>0.83333333333333337</v>
      </c>
      <c r="AG7342" s="9">
        <v>-7.3</v>
      </c>
      <c r="AH7342" s="10">
        <f t="shared" si="129"/>
        <v>-7</v>
      </c>
    </row>
    <row r="7343" spans="11:34" ht="14.5" x14ac:dyDescent="0.35">
      <c r="K7343" s="4"/>
      <c r="AC7343" s="7">
        <v>2022</v>
      </c>
      <c r="AD7343" s="7">
        <v>11</v>
      </c>
      <c r="AE7343" s="7">
        <v>2</v>
      </c>
      <c r="AF7343" s="8">
        <v>0.875</v>
      </c>
      <c r="AG7343" s="9">
        <v>-7.3</v>
      </c>
      <c r="AH7343" s="10">
        <f t="shared" si="129"/>
        <v>-7</v>
      </c>
    </row>
    <row r="7344" spans="11:34" ht="14.5" x14ac:dyDescent="0.35">
      <c r="K7344" s="4"/>
      <c r="AC7344" s="7">
        <v>2022</v>
      </c>
      <c r="AD7344" s="7">
        <v>11</v>
      </c>
      <c r="AE7344" s="7">
        <v>2</v>
      </c>
      <c r="AF7344" s="8">
        <v>0.91666666666666663</v>
      </c>
      <c r="AG7344" s="9">
        <v>-8.1999999999999993</v>
      </c>
      <c r="AH7344" s="10">
        <f t="shared" si="129"/>
        <v>-8</v>
      </c>
    </row>
    <row r="7345" spans="11:34" ht="14.5" x14ac:dyDescent="0.35">
      <c r="K7345" s="4"/>
      <c r="AC7345" s="7">
        <v>2022</v>
      </c>
      <c r="AD7345" s="7">
        <v>11</v>
      </c>
      <c r="AE7345" s="7">
        <v>2</v>
      </c>
      <c r="AF7345" s="8">
        <v>0.95833333333333337</v>
      </c>
      <c r="AG7345" s="9">
        <v>-9.6999999999999993</v>
      </c>
      <c r="AH7345" s="10">
        <f t="shared" si="129"/>
        <v>-10</v>
      </c>
    </row>
    <row r="7346" spans="11:34" ht="14.5" x14ac:dyDescent="0.35">
      <c r="K7346" s="4"/>
      <c r="AC7346" s="7">
        <v>2022</v>
      </c>
      <c r="AD7346" s="7">
        <v>11</v>
      </c>
      <c r="AE7346" s="7">
        <v>3</v>
      </c>
      <c r="AF7346" s="8">
        <v>0</v>
      </c>
      <c r="AG7346" s="9">
        <v>-10.7</v>
      </c>
      <c r="AH7346" s="10">
        <f t="shared" si="129"/>
        <v>-11</v>
      </c>
    </row>
    <row r="7347" spans="11:34" ht="14.5" x14ac:dyDescent="0.35">
      <c r="K7347" s="4"/>
      <c r="AC7347" s="7">
        <v>2022</v>
      </c>
      <c r="AD7347" s="7">
        <v>11</v>
      </c>
      <c r="AE7347" s="7">
        <v>3</v>
      </c>
      <c r="AF7347" s="8">
        <v>4.1666666666666664E-2</v>
      </c>
      <c r="AG7347" s="9">
        <v>-11.2</v>
      </c>
      <c r="AH7347" s="10">
        <f t="shared" si="129"/>
        <v>-11</v>
      </c>
    </row>
    <row r="7348" spans="11:34" ht="14.5" x14ac:dyDescent="0.35">
      <c r="K7348" s="4"/>
      <c r="AC7348" s="7">
        <v>2022</v>
      </c>
      <c r="AD7348" s="7">
        <v>11</v>
      </c>
      <c r="AE7348" s="7">
        <v>3</v>
      </c>
      <c r="AF7348" s="8">
        <v>8.3333333333333329E-2</v>
      </c>
      <c r="AG7348" s="9">
        <v>-12</v>
      </c>
      <c r="AH7348" s="10">
        <f t="shared" si="129"/>
        <v>-12</v>
      </c>
    </row>
    <row r="7349" spans="11:34" ht="14.5" x14ac:dyDescent="0.35">
      <c r="K7349" s="4"/>
      <c r="AC7349" s="7">
        <v>2022</v>
      </c>
      <c r="AD7349" s="7">
        <v>11</v>
      </c>
      <c r="AE7349" s="7">
        <v>3</v>
      </c>
      <c r="AF7349" s="8">
        <v>0.125</v>
      </c>
      <c r="AG7349" s="9">
        <v>-14.2</v>
      </c>
      <c r="AH7349" s="10">
        <f t="shared" si="129"/>
        <v>-14</v>
      </c>
    </row>
    <row r="7350" spans="11:34" ht="14.5" x14ac:dyDescent="0.35">
      <c r="K7350" s="4"/>
      <c r="AC7350" s="7">
        <v>2022</v>
      </c>
      <c r="AD7350" s="7">
        <v>11</v>
      </c>
      <c r="AE7350" s="7">
        <v>3</v>
      </c>
      <c r="AF7350" s="8">
        <v>0.16666666666666666</v>
      </c>
      <c r="AG7350" s="9">
        <v>-14.1</v>
      </c>
      <c r="AH7350" s="10">
        <f t="shared" si="129"/>
        <v>-14</v>
      </c>
    </row>
    <row r="7351" spans="11:34" ht="14.5" x14ac:dyDescent="0.35">
      <c r="K7351" s="4"/>
      <c r="AC7351" s="7">
        <v>2022</v>
      </c>
      <c r="AD7351" s="7">
        <v>11</v>
      </c>
      <c r="AE7351" s="7">
        <v>3</v>
      </c>
      <c r="AF7351" s="8">
        <v>0.20833333333333334</v>
      </c>
      <c r="AG7351" s="9">
        <v>-15.5</v>
      </c>
      <c r="AH7351" s="10">
        <f t="shared" si="129"/>
        <v>-16</v>
      </c>
    </row>
    <row r="7352" spans="11:34" ht="14.5" x14ac:dyDescent="0.35">
      <c r="K7352" s="4"/>
      <c r="AC7352" s="7">
        <v>2022</v>
      </c>
      <c r="AD7352" s="7">
        <v>11</v>
      </c>
      <c r="AE7352" s="7">
        <v>3</v>
      </c>
      <c r="AF7352" s="8">
        <v>0.25</v>
      </c>
      <c r="AG7352" s="9">
        <v>-13.4</v>
      </c>
      <c r="AH7352" s="10">
        <f t="shared" si="129"/>
        <v>-13</v>
      </c>
    </row>
    <row r="7353" spans="11:34" ht="14.5" x14ac:dyDescent="0.35">
      <c r="K7353" s="4"/>
      <c r="AC7353" s="7">
        <v>2022</v>
      </c>
      <c r="AD7353" s="7">
        <v>11</v>
      </c>
      <c r="AE7353" s="7">
        <v>3</v>
      </c>
      <c r="AF7353" s="8">
        <v>0.29166666666666669</v>
      </c>
      <c r="AG7353" s="9">
        <v>-12.8</v>
      </c>
      <c r="AH7353" s="10">
        <f t="shared" si="129"/>
        <v>-13</v>
      </c>
    </row>
    <row r="7354" spans="11:34" ht="14.5" x14ac:dyDescent="0.35">
      <c r="K7354" s="4"/>
      <c r="AC7354" s="7">
        <v>2022</v>
      </c>
      <c r="AD7354" s="7">
        <v>11</v>
      </c>
      <c r="AE7354" s="7">
        <v>3</v>
      </c>
      <c r="AF7354" s="8">
        <v>0.33333333333333331</v>
      </c>
      <c r="AG7354" s="9">
        <v>-12.3</v>
      </c>
      <c r="AH7354" s="10">
        <f t="shared" si="129"/>
        <v>-12</v>
      </c>
    </row>
    <row r="7355" spans="11:34" ht="14.5" x14ac:dyDescent="0.35">
      <c r="K7355" s="4"/>
      <c r="AC7355" s="7">
        <v>2022</v>
      </c>
      <c r="AD7355" s="7">
        <v>11</v>
      </c>
      <c r="AE7355" s="7">
        <v>3</v>
      </c>
      <c r="AF7355" s="8">
        <v>0.375</v>
      </c>
      <c r="AG7355" s="9">
        <v>-10.4</v>
      </c>
      <c r="AH7355" s="10">
        <f t="shared" si="129"/>
        <v>-10</v>
      </c>
    </row>
    <row r="7356" spans="11:34" ht="14.5" x14ac:dyDescent="0.35">
      <c r="K7356" s="4"/>
      <c r="AC7356" s="7">
        <v>2022</v>
      </c>
      <c r="AD7356" s="7">
        <v>11</v>
      </c>
      <c r="AE7356" s="7">
        <v>3</v>
      </c>
      <c r="AF7356" s="8">
        <v>0.41666666666666669</v>
      </c>
      <c r="AG7356" s="9">
        <v>-9.1999999999999993</v>
      </c>
      <c r="AH7356" s="10">
        <f t="shared" si="129"/>
        <v>-9</v>
      </c>
    </row>
    <row r="7357" spans="11:34" ht="14.5" x14ac:dyDescent="0.35">
      <c r="K7357" s="4"/>
      <c r="AC7357" s="7">
        <v>2022</v>
      </c>
      <c r="AD7357" s="7">
        <v>11</v>
      </c>
      <c r="AE7357" s="7">
        <v>3</v>
      </c>
      <c r="AF7357" s="8">
        <v>0.45833333333333331</v>
      </c>
      <c r="AG7357" s="9">
        <v>-7</v>
      </c>
      <c r="AH7357" s="10">
        <f t="shared" si="129"/>
        <v>-7</v>
      </c>
    </row>
    <row r="7358" spans="11:34" ht="14.5" x14ac:dyDescent="0.35">
      <c r="K7358" s="4"/>
      <c r="AC7358" s="7">
        <v>2022</v>
      </c>
      <c r="AD7358" s="7">
        <v>11</v>
      </c>
      <c r="AE7358" s="7">
        <v>3</v>
      </c>
      <c r="AF7358" s="8">
        <v>0.5</v>
      </c>
      <c r="AG7358" s="9">
        <v>-5.0999999999999996</v>
      </c>
      <c r="AH7358" s="10">
        <f t="shared" si="129"/>
        <v>-5</v>
      </c>
    </row>
    <row r="7359" spans="11:34" ht="14.5" x14ac:dyDescent="0.35">
      <c r="K7359" s="4"/>
      <c r="AC7359" s="7">
        <v>2022</v>
      </c>
      <c r="AD7359" s="7">
        <v>11</v>
      </c>
      <c r="AE7359" s="7">
        <v>3</v>
      </c>
      <c r="AF7359" s="8">
        <v>0.54166666666666663</v>
      </c>
      <c r="AG7359" s="9">
        <v>-3.5</v>
      </c>
      <c r="AH7359" s="10">
        <f t="shared" si="129"/>
        <v>-4</v>
      </c>
    </row>
    <row r="7360" spans="11:34" ht="14.5" x14ac:dyDescent="0.35">
      <c r="K7360" s="4"/>
      <c r="AC7360" s="7">
        <v>2022</v>
      </c>
      <c r="AD7360" s="7">
        <v>11</v>
      </c>
      <c r="AE7360" s="7">
        <v>3</v>
      </c>
      <c r="AF7360" s="8">
        <v>0.58333333333333337</v>
      </c>
      <c r="AG7360" s="9">
        <v>-2.2999999999999998</v>
      </c>
      <c r="AH7360" s="10">
        <f t="shared" si="129"/>
        <v>-2</v>
      </c>
    </row>
    <row r="7361" spans="11:34" ht="14.5" x14ac:dyDescent="0.35">
      <c r="K7361" s="4"/>
      <c r="AC7361" s="7">
        <v>2022</v>
      </c>
      <c r="AD7361" s="7">
        <v>11</v>
      </c>
      <c r="AE7361" s="7">
        <v>3</v>
      </c>
      <c r="AF7361" s="8">
        <v>0.625</v>
      </c>
      <c r="AG7361" s="9">
        <v>-0.7</v>
      </c>
      <c r="AH7361" s="10">
        <f t="shared" si="129"/>
        <v>-1</v>
      </c>
    </row>
    <row r="7362" spans="11:34" ht="14.5" x14ac:dyDescent="0.35">
      <c r="K7362" s="4"/>
      <c r="AC7362" s="7">
        <v>2022</v>
      </c>
      <c r="AD7362" s="7">
        <v>11</v>
      </c>
      <c r="AE7362" s="7">
        <v>3</v>
      </c>
      <c r="AF7362" s="8">
        <v>0.66666666666666663</v>
      </c>
      <c r="AG7362" s="9">
        <v>-4.2</v>
      </c>
      <c r="AH7362" s="10">
        <f t="shared" si="129"/>
        <v>-4</v>
      </c>
    </row>
    <row r="7363" spans="11:34" ht="14.5" x14ac:dyDescent="0.35">
      <c r="K7363" s="4"/>
      <c r="AC7363" s="7">
        <v>2022</v>
      </c>
      <c r="AD7363" s="7">
        <v>11</v>
      </c>
      <c r="AE7363" s="7">
        <v>3</v>
      </c>
      <c r="AF7363" s="8">
        <v>0.70833333333333337</v>
      </c>
      <c r="AG7363" s="9">
        <v>-3.5</v>
      </c>
      <c r="AH7363" s="10">
        <f t="shared" si="129"/>
        <v>-4</v>
      </c>
    </row>
    <row r="7364" spans="11:34" ht="14.5" x14ac:dyDescent="0.35">
      <c r="K7364" s="4"/>
      <c r="AC7364" s="7">
        <v>2022</v>
      </c>
      <c r="AD7364" s="7">
        <v>11</v>
      </c>
      <c r="AE7364" s="7">
        <v>3</v>
      </c>
      <c r="AF7364" s="8">
        <v>0.75</v>
      </c>
      <c r="AG7364" s="9">
        <v>-6.1</v>
      </c>
      <c r="AH7364" s="10">
        <f t="shared" si="129"/>
        <v>-6</v>
      </c>
    </row>
    <row r="7365" spans="11:34" ht="14.5" x14ac:dyDescent="0.35">
      <c r="K7365" s="4"/>
      <c r="AC7365" s="7">
        <v>2022</v>
      </c>
      <c r="AD7365" s="7">
        <v>11</v>
      </c>
      <c r="AE7365" s="7">
        <v>3</v>
      </c>
      <c r="AF7365" s="8">
        <v>0.79166666666666663</v>
      </c>
      <c r="AG7365" s="9">
        <v>-2.8</v>
      </c>
      <c r="AH7365" s="10">
        <f t="shared" si="129"/>
        <v>-3</v>
      </c>
    </row>
    <row r="7366" spans="11:34" ht="14.5" x14ac:dyDescent="0.35">
      <c r="K7366" s="4"/>
      <c r="AC7366" s="7">
        <v>2022</v>
      </c>
      <c r="AD7366" s="7">
        <v>11</v>
      </c>
      <c r="AE7366" s="7">
        <v>3</v>
      </c>
      <c r="AF7366" s="8">
        <v>0.83333333333333337</v>
      </c>
      <c r="AG7366" s="9">
        <v>-2.4</v>
      </c>
      <c r="AH7366" s="10">
        <f t="shared" si="129"/>
        <v>-2</v>
      </c>
    </row>
    <row r="7367" spans="11:34" ht="14.5" x14ac:dyDescent="0.35">
      <c r="K7367" s="4"/>
      <c r="AC7367" s="7">
        <v>2022</v>
      </c>
      <c r="AD7367" s="7">
        <v>11</v>
      </c>
      <c r="AE7367" s="7">
        <v>3</v>
      </c>
      <c r="AF7367" s="8">
        <v>0.875</v>
      </c>
      <c r="AG7367" s="9">
        <v>-3.1</v>
      </c>
      <c r="AH7367" s="10">
        <f t="shared" si="129"/>
        <v>-3</v>
      </c>
    </row>
    <row r="7368" spans="11:34" ht="14.5" x14ac:dyDescent="0.35">
      <c r="K7368" s="4"/>
      <c r="AC7368" s="7">
        <v>2022</v>
      </c>
      <c r="AD7368" s="7">
        <v>11</v>
      </c>
      <c r="AE7368" s="7">
        <v>3</v>
      </c>
      <c r="AF7368" s="8">
        <v>0.91666666666666663</v>
      </c>
      <c r="AG7368" s="9">
        <v>-3.3</v>
      </c>
      <c r="AH7368" s="10">
        <f t="shared" si="129"/>
        <v>-3</v>
      </c>
    </row>
    <row r="7369" spans="11:34" ht="14.5" x14ac:dyDescent="0.35">
      <c r="K7369" s="4"/>
      <c r="AC7369" s="7">
        <v>2022</v>
      </c>
      <c r="AD7369" s="7">
        <v>11</v>
      </c>
      <c r="AE7369" s="7">
        <v>3</v>
      </c>
      <c r="AF7369" s="8">
        <v>0.95833333333333337</v>
      </c>
      <c r="AG7369" s="9">
        <v>-3.4</v>
      </c>
      <c r="AH7369" s="10">
        <f t="shared" si="129"/>
        <v>-3</v>
      </c>
    </row>
    <row r="7370" spans="11:34" ht="14.5" x14ac:dyDescent="0.35">
      <c r="K7370" s="4"/>
      <c r="AC7370" s="7">
        <v>2022</v>
      </c>
      <c r="AD7370" s="7">
        <v>11</v>
      </c>
      <c r="AE7370" s="7">
        <v>4</v>
      </c>
      <c r="AF7370" s="8">
        <v>0</v>
      </c>
      <c r="AG7370" s="9">
        <v>-1.2</v>
      </c>
      <c r="AH7370" s="10">
        <f t="shared" si="129"/>
        <v>-1</v>
      </c>
    </row>
    <row r="7371" spans="11:34" ht="14.5" x14ac:dyDescent="0.35">
      <c r="K7371" s="4"/>
      <c r="AC7371" s="7">
        <v>2022</v>
      </c>
      <c r="AD7371" s="7">
        <v>11</v>
      </c>
      <c r="AE7371" s="7">
        <v>4</v>
      </c>
      <c r="AF7371" s="8">
        <v>4.1666666666666664E-2</v>
      </c>
      <c r="AG7371" s="9">
        <v>-1.5</v>
      </c>
      <c r="AH7371" s="10">
        <f t="shared" ref="AH7371:AH7434" si="130">ROUND(AG7371,0)</f>
        <v>-2</v>
      </c>
    </row>
    <row r="7372" spans="11:34" ht="14.5" x14ac:dyDescent="0.35">
      <c r="K7372" s="4"/>
      <c r="AC7372" s="7">
        <v>2022</v>
      </c>
      <c r="AD7372" s="7">
        <v>11</v>
      </c>
      <c r="AE7372" s="7">
        <v>4</v>
      </c>
      <c r="AF7372" s="8">
        <v>8.3333333333333329E-2</v>
      </c>
      <c r="AG7372" s="9">
        <v>-0.9</v>
      </c>
      <c r="AH7372" s="10">
        <f t="shared" si="130"/>
        <v>-1</v>
      </c>
    </row>
    <row r="7373" spans="11:34" ht="14.5" x14ac:dyDescent="0.35">
      <c r="K7373" s="4"/>
      <c r="AC7373" s="7">
        <v>2022</v>
      </c>
      <c r="AD7373" s="7">
        <v>11</v>
      </c>
      <c r="AE7373" s="7">
        <v>4</v>
      </c>
      <c r="AF7373" s="8">
        <v>0.125</v>
      </c>
      <c r="AG7373" s="9">
        <v>-3.8</v>
      </c>
      <c r="AH7373" s="10">
        <f t="shared" si="130"/>
        <v>-4</v>
      </c>
    </row>
    <row r="7374" spans="11:34" ht="14.5" x14ac:dyDescent="0.35">
      <c r="K7374" s="4"/>
      <c r="AC7374" s="7">
        <v>2022</v>
      </c>
      <c r="AD7374" s="7">
        <v>11</v>
      </c>
      <c r="AE7374" s="7">
        <v>4</v>
      </c>
      <c r="AF7374" s="8">
        <v>0.16666666666666666</v>
      </c>
      <c r="AG7374" s="9">
        <v>-1.1000000000000001</v>
      </c>
      <c r="AH7374" s="10">
        <f t="shared" si="130"/>
        <v>-1</v>
      </c>
    </row>
    <row r="7375" spans="11:34" ht="14.5" x14ac:dyDescent="0.35">
      <c r="K7375" s="4"/>
      <c r="AC7375" s="7">
        <v>2022</v>
      </c>
      <c r="AD7375" s="7">
        <v>11</v>
      </c>
      <c r="AE7375" s="7">
        <v>4</v>
      </c>
      <c r="AF7375" s="8">
        <v>0.20833333333333334</v>
      </c>
      <c r="AG7375" s="9">
        <v>-2.1</v>
      </c>
      <c r="AH7375" s="10">
        <f t="shared" si="130"/>
        <v>-2</v>
      </c>
    </row>
    <row r="7376" spans="11:34" ht="14.5" x14ac:dyDescent="0.35">
      <c r="K7376" s="4"/>
      <c r="AC7376" s="7">
        <v>2022</v>
      </c>
      <c r="AD7376" s="7">
        <v>11</v>
      </c>
      <c r="AE7376" s="7">
        <v>4</v>
      </c>
      <c r="AF7376" s="8">
        <v>0.25</v>
      </c>
      <c r="AG7376" s="9">
        <v>-2.2999999999999998</v>
      </c>
      <c r="AH7376" s="10">
        <f t="shared" si="130"/>
        <v>-2</v>
      </c>
    </row>
    <row r="7377" spans="11:34" ht="14.5" x14ac:dyDescent="0.35">
      <c r="K7377" s="4"/>
      <c r="AC7377" s="7">
        <v>2022</v>
      </c>
      <c r="AD7377" s="7">
        <v>11</v>
      </c>
      <c r="AE7377" s="7">
        <v>4</v>
      </c>
      <c r="AF7377" s="8">
        <v>0.29166666666666669</v>
      </c>
      <c r="AG7377" s="9">
        <v>0.1</v>
      </c>
      <c r="AH7377" s="10">
        <f t="shared" si="130"/>
        <v>0</v>
      </c>
    </row>
    <row r="7378" spans="11:34" ht="14.5" x14ac:dyDescent="0.35">
      <c r="K7378" s="4"/>
      <c r="AC7378" s="7">
        <v>2022</v>
      </c>
      <c r="AD7378" s="7">
        <v>11</v>
      </c>
      <c r="AE7378" s="7">
        <v>4</v>
      </c>
      <c r="AF7378" s="8">
        <v>0.33333333333333331</v>
      </c>
      <c r="AG7378" s="9">
        <v>-0.1</v>
      </c>
      <c r="AH7378" s="10">
        <f t="shared" si="130"/>
        <v>0</v>
      </c>
    </row>
    <row r="7379" spans="11:34" ht="14.5" x14ac:dyDescent="0.35">
      <c r="K7379" s="4"/>
      <c r="AC7379" s="7">
        <v>2022</v>
      </c>
      <c r="AD7379" s="7">
        <v>11</v>
      </c>
      <c r="AE7379" s="7">
        <v>4</v>
      </c>
      <c r="AF7379" s="8">
        <v>0.375</v>
      </c>
      <c r="AG7379" s="9">
        <v>-0.3</v>
      </c>
      <c r="AH7379" s="10">
        <f t="shared" si="130"/>
        <v>0</v>
      </c>
    </row>
    <row r="7380" spans="11:34" ht="14.5" x14ac:dyDescent="0.35">
      <c r="K7380" s="4"/>
      <c r="AC7380" s="7">
        <v>2022</v>
      </c>
      <c r="AD7380" s="7">
        <v>11</v>
      </c>
      <c r="AE7380" s="7">
        <v>4</v>
      </c>
      <c r="AF7380" s="8">
        <v>0.41666666666666669</v>
      </c>
      <c r="AG7380" s="9">
        <v>0.9</v>
      </c>
      <c r="AH7380" s="10">
        <f t="shared" si="130"/>
        <v>1</v>
      </c>
    </row>
    <row r="7381" spans="11:34" ht="14.5" x14ac:dyDescent="0.35">
      <c r="K7381" s="4"/>
      <c r="AC7381" s="7">
        <v>2022</v>
      </c>
      <c r="AD7381" s="7">
        <v>11</v>
      </c>
      <c r="AE7381" s="7">
        <v>4</v>
      </c>
      <c r="AF7381" s="8">
        <v>0.45833333333333331</v>
      </c>
      <c r="AG7381" s="6"/>
      <c r="AH7381" s="10">
        <f t="shared" si="130"/>
        <v>0</v>
      </c>
    </row>
    <row r="7382" spans="11:34" ht="14.5" x14ac:dyDescent="0.35">
      <c r="K7382" s="4"/>
      <c r="AC7382" s="7">
        <v>2022</v>
      </c>
      <c r="AD7382" s="7">
        <v>11</v>
      </c>
      <c r="AE7382" s="7">
        <v>4</v>
      </c>
      <c r="AF7382" s="8">
        <v>0.5</v>
      </c>
      <c r="AG7382" s="6"/>
      <c r="AH7382" s="10">
        <f t="shared" si="130"/>
        <v>0</v>
      </c>
    </row>
    <row r="7383" spans="11:34" ht="14.5" x14ac:dyDescent="0.35">
      <c r="K7383" s="4"/>
      <c r="AC7383" s="7">
        <v>2022</v>
      </c>
      <c r="AD7383" s="7">
        <v>11</v>
      </c>
      <c r="AE7383" s="7">
        <v>4</v>
      </c>
      <c r="AF7383" s="8">
        <v>0.54166666666666663</v>
      </c>
      <c r="AG7383" s="6"/>
      <c r="AH7383" s="10">
        <f t="shared" si="130"/>
        <v>0</v>
      </c>
    </row>
    <row r="7384" spans="11:34" ht="14.5" x14ac:dyDescent="0.35">
      <c r="K7384" s="4"/>
      <c r="AC7384" s="7">
        <v>2022</v>
      </c>
      <c r="AD7384" s="7">
        <v>11</v>
      </c>
      <c r="AE7384" s="7">
        <v>4</v>
      </c>
      <c r="AF7384" s="8">
        <v>0.58333333333333337</v>
      </c>
      <c r="AG7384" s="7">
        <v>3.7</v>
      </c>
      <c r="AH7384" s="10">
        <f t="shared" si="130"/>
        <v>4</v>
      </c>
    </row>
    <row r="7385" spans="11:34" ht="14.5" x14ac:dyDescent="0.35">
      <c r="K7385" s="4"/>
      <c r="AC7385" s="7">
        <v>2022</v>
      </c>
      <c r="AD7385" s="7">
        <v>11</v>
      </c>
      <c r="AE7385" s="7">
        <v>4</v>
      </c>
      <c r="AF7385" s="8">
        <v>0.625</v>
      </c>
      <c r="AG7385" s="7">
        <v>2.2000000000000002</v>
      </c>
      <c r="AH7385" s="10">
        <f t="shared" si="130"/>
        <v>2</v>
      </c>
    </row>
    <row r="7386" spans="11:34" ht="14.5" x14ac:dyDescent="0.35">
      <c r="K7386" s="4"/>
      <c r="AC7386" s="7">
        <v>2022</v>
      </c>
      <c r="AD7386" s="7">
        <v>11</v>
      </c>
      <c r="AE7386" s="7">
        <v>4</v>
      </c>
      <c r="AF7386" s="8">
        <v>0.66666666666666663</v>
      </c>
      <c r="AG7386" s="7">
        <v>1.5</v>
      </c>
      <c r="AH7386" s="10">
        <f t="shared" si="130"/>
        <v>2</v>
      </c>
    </row>
    <row r="7387" spans="11:34" ht="14.5" x14ac:dyDescent="0.35">
      <c r="K7387" s="4"/>
      <c r="AC7387" s="7">
        <v>2022</v>
      </c>
      <c r="AD7387" s="7">
        <v>11</v>
      </c>
      <c r="AE7387" s="7">
        <v>4</v>
      </c>
      <c r="AF7387" s="8">
        <v>0.70833333333333337</v>
      </c>
      <c r="AG7387" s="7">
        <v>1.8</v>
      </c>
      <c r="AH7387" s="10">
        <f t="shared" si="130"/>
        <v>2</v>
      </c>
    </row>
    <row r="7388" spans="11:34" ht="14.5" x14ac:dyDescent="0.35">
      <c r="K7388" s="4"/>
      <c r="AC7388" s="7">
        <v>2022</v>
      </c>
      <c r="AD7388" s="7">
        <v>11</v>
      </c>
      <c r="AE7388" s="7">
        <v>4</v>
      </c>
      <c r="AF7388" s="8">
        <v>0.75</v>
      </c>
      <c r="AG7388" s="7">
        <v>0.8</v>
      </c>
      <c r="AH7388" s="10">
        <f t="shared" si="130"/>
        <v>1</v>
      </c>
    </row>
    <row r="7389" spans="11:34" ht="14.5" x14ac:dyDescent="0.35">
      <c r="K7389" s="4"/>
      <c r="AC7389" s="7">
        <v>2022</v>
      </c>
      <c r="AD7389" s="7">
        <v>11</v>
      </c>
      <c r="AE7389" s="7">
        <v>4</v>
      </c>
      <c r="AF7389" s="8">
        <v>0.79166666666666663</v>
      </c>
      <c r="AG7389" s="7">
        <v>-1.5</v>
      </c>
      <c r="AH7389" s="10">
        <f t="shared" si="130"/>
        <v>-2</v>
      </c>
    </row>
    <row r="7390" spans="11:34" ht="14.5" x14ac:dyDescent="0.35">
      <c r="K7390" s="4"/>
      <c r="AC7390" s="7">
        <v>2022</v>
      </c>
      <c r="AD7390" s="7">
        <v>11</v>
      </c>
      <c r="AE7390" s="7">
        <v>4</v>
      </c>
      <c r="AF7390" s="8">
        <v>0.83333333333333337</v>
      </c>
      <c r="AG7390" s="7">
        <v>-2</v>
      </c>
      <c r="AH7390" s="10">
        <f t="shared" si="130"/>
        <v>-2</v>
      </c>
    </row>
    <row r="7391" spans="11:34" ht="14.5" x14ac:dyDescent="0.35">
      <c r="K7391" s="4"/>
      <c r="AC7391" s="7">
        <v>2022</v>
      </c>
      <c r="AD7391" s="7">
        <v>11</v>
      </c>
      <c r="AE7391" s="7">
        <v>4</v>
      </c>
      <c r="AF7391" s="8">
        <v>0.875</v>
      </c>
      <c r="AG7391" s="7">
        <v>-3.5</v>
      </c>
      <c r="AH7391" s="10">
        <f t="shared" si="130"/>
        <v>-4</v>
      </c>
    </row>
    <row r="7392" spans="11:34" ht="14.5" x14ac:dyDescent="0.35">
      <c r="K7392" s="4"/>
      <c r="AC7392" s="7">
        <v>2022</v>
      </c>
      <c r="AD7392" s="7">
        <v>11</v>
      </c>
      <c r="AE7392" s="7">
        <v>4</v>
      </c>
      <c r="AF7392" s="8">
        <v>0.91666666666666663</v>
      </c>
      <c r="AG7392" s="7">
        <v>-3.8</v>
      </c>
      <c r="AH7392" s="10">
        <f t="shared" si="130"/>
        <v>-4</v>
      </c>
    </row>
    <row r="7393" spans="11:34" ht="14.5" x14ac:dyDescent="0.35">
      <c r="K7393" s="4"/>
      <c r="AC7393" s="7">
        <v>2022</v>
      </c>
      <c r="AD7393" s="7">
        <v>11</v>
      </c>
      <c r="AE7393" s="7">
        <v>4</v>
      </c>
      <c r="AF7393" s="8">
        <v>0.95833333333333337</v>
      </c>
      <c r="AG7393" s="7">
        <v>-3.1</v>
      </c>
      <c r="AH7393" s="10">
        <f t="shared" si="130"/>
        <v>-3</v>
      </c>
    </row>
    <row r="7394" spans="11:34" ht="14.5" x14ac:dyDescent="0.35">
      <c r="K7394" s="4"/>
      <c r="AC7394" s="7">
        <v>2022</v>
      </c>
      <c r="AD7394" s="7">
        <v>11</v>
      </c>
      <c r="AE7394" s="7">
        <v>5</v>
      </c>
      <c r="AF7394" s="8">
        <v>0</v>
      </c>
      <c r="AG7394" s="7">
        <v>-3.6</v>
      </c>
      <c r="AH7394" s="10">
        <f t="shared" si="130"/>
        <v>-4</v>
      </c>
    </row>
    <row r="7395" spans="11:34" ht="14.5" x14ac:dyDescent="0.35">
      <c r="K7395" s="4"/>
      <c r="AC7395" s="7">
        <v>2022</v>
      </c>
      <c r="AD7395" s="7">
        <v>11</v>
      </c>
      <c r="AE7395" s="7">
        <v>5</v>
      </c>
      <c r="AF7395" s="8">
        <v>4.1666666666666664E-2</v>
      </c>
      <c r="AG7395" s="7">
        <v>-3.5</v>
      </c>
      <c r="AH7395" s="10">
        <f t="shared" si="130"/>
        <v>-4</v>
      </c>
    </row>
    <row r="7396" spans="11:34" ht="14.5" x14ac:dyDescent="0.35">
      <c r="K7396" s="4"/>
      <c r="AC7396" s="7">
        <v>2022</v>
      </c>
      <c r="AD7396" s="7">
        <v>11</v>
      </c>
      <c r="AE7396" s="7">
        <v>5</v>
      </c>
      <c r="AF7396" s="8">
        <v>8.3333333333333329E-2</v>
      </c>
      <c r="AG7396" s="7">
        <v>-5.0999999999999996</v>
      </c>
      <c r="AH7396" s="10">
        <f t="shared" si="130"/>
        <v>-5</v>
      </c>
    </row>
    <row r="7397" spans="11:34" ht="14.5" x14ac:dyDescent="0.35">
      <c r="K7397" s="4"/>
      <c r="AC7397" s="7">
        <v>2022</v>
      </c>
      <c r="AD7397" s="7">
        <v>11</v>
      </c>
      <c r="AE7397" s="7">
        <v>5</v>
      </c>
      <c r="AF7397" s="8">
        <v>0.125</v>
      </c>
      <c r="AG7397" s="7">
        <v>-2.7</v>
      </c>
      <c r="AH7397" s="10">
        <f t="shared" si="130"/>
        <v>-3</v>
      </c>
    </row>
    <row r="7398" spans="11:34" ht="14.5" x14ac:dyDescent="0.35">
      <c r="K7398" s="4"/>
      <c r="AC7398" s="7">
        <v>2022</v>
      </c>
      <c r="AD7398" s="7">
        <v>11</v>
      </c>
      <c r="AE7398" s="7">
        <v>5</v>
      </c>
      <c r="AF7398" s="8">
        <v>0.16666666666666666</v>
      </c>
      <c r="AG7398" s="7">
        <v>-1.9</v>
      </c>
      <c r="AH7398" s="10">
        <f t="shared" si="130"/>
        <v>-2</v>
      </c>
    </row>
    <row r="7399" spans="11:34" ht="14.5" x14ac:dyDescent="0.35">
      <c r="K7399" s="4"/>
      <c r="AC7399" s="7">
        <v>2022</v>
      </c>
      <c r="AD7399" s="7">
        <v>11</v>
      </c>
      <c r="AE7399" s="7">
        <v>5</v>
      </c>
      <c r="AF7399" s="8">
        <v>0.20833333333333334</v>
      </c>
      <c r="AG7399" s="7">
        <v>-2.2000000000000002</v>
      </c>
      <c r="AH7399" s="10">
        <f t="shared" si="130"/>
        <v>-2</v>
      </c>
    </row>
    <row r="7400" spans="11:34" ht="14.5" x14ac:dyDescent="0.35">
      <c r="K7400" s="4"/>
      <c r="AC7400" s="7">
        <v>2022</v>
      </c>
      <c r="AD7400" s="7">
        <v>11</v>
      </c>
      <c r="AE7400" s="7">
        <v>5</v>
      </c>
      <c r="AF7400" s="8">
        <v>0.25</v>
      </c>
      <c r="AG7400" s="7">
        <v>-1.8</v>
      </c>
      <c r="AH7400" s="10">
        <f t="shared" si="130"/>
        <v>-2</v>
      </c>
    </row>
    <row r="7401" spans="11:34" ht="14.5" x14ac:dyDescent="0.35">
      <c r="K7401" s="4"/>
      <c r="AC7401" s="7">
        <v>2022</v>
      </c>
      <c r="AD7401" s="7">
        <v>11</v>
      </c>
      <c r="AE7401" s="7">
        <v>5</v>
      </c>
      <c r="AF7401" s="8">
        <v>0.29166666666666669</v>
      </c>
      <c r="AG7401" s="7">
        <v>-1.9</v>
      </c>
      <c r="AH7401" s="10">
        <f t="shared" si="130"/>
        <v>-2</v>
      </c>
    </row>
    <row r="7402" spans="11:34" ht="14.5" x14ac:dyDescent="0.35">
      <c r="K7402" s="4"/>
      <c r="AC7402" s="7">
        <v>2022</v>
      </c>
      <c r="AD7402" s="7">
        <v>11</v>
      </c>
      <c r="AE7402" s="7">
        <v>5</v>
      </c>
      <c r="AF7402" s="8">
        <v>0.33333333333333331</v>
      </c>
      <c r="AG7402" s="7">
        <v>-2.2999999999999998</v>
      </c>
      <c r="AH7402" s="10">
        <f t="shared" si="130"/>
        <v>-2</v>
      </c>
    </row>
    <row r="7403" spans="11:34" ht="14.5" x14ac:dyDescent="0.35">
      <c r="K7403" s="4"/>
      <c r="AC7403" s="7">
        <v>2022</v>
      </c>
      <c r="AD7403" s="7">
        <v>11</v>
      </c>
      <c r="AE7403" s="7">
        <v>5</v>
      </c>
      <c r="AF7403" s="8">
        <v>0.375</v>
      </c>
      <c r="AG7403" s="7">
        <v>-1.9</v>
      </c>
      <c r="AH7403" s="10">
        <f t="shared" si="130"/>
        <v>-2</v>
      </c>
    </row>
    <row r="7404" spans="11:34" ht="14.5" x14ac:dyDescent="0.35">
      <c r="K7404" s="4"/>
      <c r="AC7404" s="7">
        <v>2022</v>
      </c>
      <c r="AD7404" s="7">
        <v>11</v>
      </c>
      <c r="AE7404" s="7">
        <v>5</v>
      </c>
      <c r="AF7404" s="8">
        <v>0.41666666666666669</v>
      </c>
      <c r="AG7404" s="7">
        <v>-2.7</v>
      </c>
      <c r="AH7404" s="10">
        <f t="shared" si="130"/>
        <v>-3</v>
      </c>
    </row>
    <row r="7405" spans="11:34" ht="14.5" x14ac:dyDescent="0.35">
      <c r="K7405" s="4"/>
      <c r="AC7405" s="7">
        <v>2022</v>
      </c>
      <c r="AD7405" s="7">
        <v>11</v>
      </c>
      <c r="AE7405" s="7">
        <v>5</v>
      </c>
      <c r="AF7405" s="8">
        <v>0.45833333333333331</v>
      </c>
      <c r="AG7405" s="7">
        <v>-3.3</v>
      </c>
      <c r="AH7405" s="10">
        <f t="shared" si="130"/>
        <v>-3</v>
      </c>
    </row>
    <row r="7406" spans="11:34" ht="14.5" x14ac:dyDescent="0.35">
      <c r="K7406" s="4"/>
      <c r="AC7406" s="7">
        <v>2022</v>
      </c>
      <c r="AD7406" s="7">
        <v>11</v>
      </c>
      <c r="AE7406" s="7">
        <v>5</v>
      </c>
      <c r="AF7406" s="8">
        <v>0.5</v>
      </c>
      <c r="AG7406" s="7">
        <v>-3</v>
      </c>
      <c r="AH7406" s="10">
        <f t="shared" si="130"/>
        <v>-3</v>
      </c>
    </row>
    <row r="7407" spans="11:34" ht="14.5" x14ac:dyDescent="0.35">
      <c r="K7407" s="4"/>
      <c r="AC7407" s="7">
        <v>2022</v>
      </c>
      <c r="AD7407" s="7">
        <v>11</v>
      </c>
      <c r="AE7407" s="7">
        <v>5</v>
      </c>
      <c r="AF7407" s="8">
        <v>0.54166666666666663</v>
      </c>
      <c r="AG7407" s="7">
        <v>-2.8</v>
      </c>
      <c r="AH7407" s="10">
        <f t="shared" si="130"/>
        <v>-3</v>
      </c>
    </row>
    <row r="7408" spans="11:34" ht="14.5" x14ac:dyDescent="0.35">
      <c r="K7408" s="4"/>
      <c r="AC7408" s="7">
        <v>2022</v>
      </c>
      <c r="AD7408" s="7">
        <v>11</v>
      </c>
      <c r="AE7408" s="7">
        <v>5</v>
      </c>
      <c r="AF7408" s="8">
        <v>0.58333333333333337</v>
      </c>
      <c r="AG7408" s="7">
        <v>-4.7</v>
      </c>
      <c r="AH7408" s="10">
        <f t="shared" si="130"/>
        <v>-5</v>
      </c>
    </row>
    <row r="7409" spans="11:34" ht="14.5" x14ac:dyDescent="0.35">
      <c r="K7409" s="4"/>
      <c r="AC7409" s="7">
        <v>2022</v>
      </c>
      <c r="AD7409" s="7">
        <v>11</v>
      </c>
      <c r="AE7409" s="7">
        <v>5</v>
      </c>
      <c r="AF7409" s="8">
        <v>0.625</v>
      </c>
      <c r="AG7409" s="7">
        <v>-6.5</v>
      </c>
      <c r="AH7409" s="10">
        <f t="shared" si="130"/>
        <v>-7</v>
      </c>
    </row>
    <row r="7410" spans="11:34" ht="14.5" x14ac:dyDescent="0.35">
      <c r="K7410" s="4"/>
      <c r="AC7410" s="7">
        <v>2022</v>
      </c>
      <c r="AD7410" s="7">
        <v>11</v>
      </c>
      <c r="AE7410" s="7">
        <v>5</v>
      </c>
      <c r="AF7410" s="8">
        <v>0.66666666666666663</v>
      </c>
      <c r="AG7410" s="7">
        <v>-7</v>
      </c>
      <c r="AH7410" s="10">
        <f t="shared" si="130"/>
        <v>-7</v>
      </c>
    </row>
    <row r="7411" spans="11:34" ht="14.5" x14ac:dyDescent="0.35">
      <c r="K7411" s="4"/>
      <c r="AC7411" s="7">
        <v>2022</v>
      </c>
      <c r="AD7411" s="7">
        <v>11</v>
      </c>
      <c r="AE7411" s="7">
        <v>5</v>
      </c>
      <c r="AF7411" s="8">
        <v>0.70833333333333337</v>
      </c>
      <c r="AG7411" s="7">
        <v>-7.9</v>
      </c>
      <c r="AH7411" s="10">
        <f t="shared" si="130"/>
        <v>-8</v>
      </c>
    </row>
    <row r="7412" spans="11:34" ht="14.5" x14ac:dyDescent="0.35">
      <c r="K7412" s="4"/>
      <c r="AC7412" s="7">
        <v>2022</v>
      </c>
      <c r="AD7412" s="7">
        <v>11</v>
      </c>
      <c r="AE7412" s="7">
        <v>5</v>
      </c>
      <c r="AF7412" s="8">
        <v>0.75</v>
      </c>
      <c r="AG7412" s="7">
        <v>-8.3000000000000007</v>
      </c>
      <c r="AH7412" s="10">
        <f t="shared" si="130"/>
        <v>-8</v>
      </c>
    </row>
    <row r="7413" spans="11:34" ht="14.5" x14ac:dyDescent="0.35">
      <c r="K7413" s="4"/>
      <c r="AC7413" s="7">
        <v>2022</v>
      </c>
      <c r="AD7413" s="7">
        <v>11</v>
      </c>
      <c r="AE7413" s="7">
        <v>5</v>
      </c>
      <c r="AF7413" s="8">
        <v>0.79166666666666663</v>
      </c>
      <c r="AG7413" s="7">
        <v>-8.8000000000000007</v>
      </c>
      <c r="AH7413" s="10">
        <f t="shared" si="130"/>
        <v>-9</v>
      </c>
    </row>
    <row r="7414" spans="11:34" ht="14.5" x14ac:dyDescent="0.35">
      <c r="K7414" s="4"/>
      <c r="AC7414" s="7">
        <v>2022</v>
      </c>
      <c r="AD7414" s="7">
        <v>11</v>
      </c>
      <c r="AE7414" s="7">
        <v>5</v>
      </c>
      <c r="AF7414" s="8">
        <v>0.83333333333333337</v>
      </c>
      <c r="AG7414" s="7">
        <v>-9.5</v>
      </c>
      <c r="AH7414" s="10">
        <f t="shared" si="130"/>
        <v>-10</v>
      </c>
    </row>
    <row r="7415" spans="11:34" ht="14.5" x14ac:dyDescent="0.35">
      <c r="K7415" s="4"/>
      <c r="AC7415" s="7">
        <v>2022</v>
      </c>
      <c r="AD7415" s="7">
        <v>11</v>
      </c>
      <c r="AE7415" s="7">
        <v>5</v>
      </c>
      <c r="AF7415" s="8">
        <v>0.875</v>
      </c>
      <c r="AG7415" s="7">
        <v>-9.8000000000000007</v>
      </c>
      <c r="AH7415" s="10">
        <f t="shared" si="130"/>
        <v>-10</v>
      </c>
    </row>
    <row r="7416" spans="11:34" ht="14.5" x14ac:dyDescent="0.35">
      <c r="K7416" s="4"/>
      <c r="AC7416" s="7">
        <v>2022</v>
      </c>
      <c r="AD7416" s="7">
        <v>11</v>
      </c>
      <c r="AE7416" s="7">
        <v>5</v>
      </c>
      <c r="AF7416" s="8">
        <v>0.91666666666666663</v>
      </c>
      <c r="AG7416" s="7">
        <v>-10</v>
      </c>
      <c r="AH7416" s="10">
        <f t="shared" si="130"/>
        <v>-10</v>
      </c>
    </row>
    <row r="7417" spans="11:34" ht="14.5" x14ac:dyDescent="0.35">
      <c r="K7417" s="4"/>
      <c r="AC7417" s="7">
        <v>2022</v>
      </c>
      <c r="AD7417" s="7">
        <v>11</v>
      </c>
      <c r="AE7417" s="7">
        <v>5</v>
      </c>
      <c r="AF7417" s="8">
        <v>0.95833333333333337</v>
      </c>
      <c r="AG7417" s="7">
        <v>-10.5</v>
      </c>
      <c r="AH7417" s="10">
        <f t="shared" si="130"/>
        <v>-11</v>
      </c>
    </row>
    <row r="7418" spans="11:34" ht="14.5" x14ac:dyDescent="0.35">
      <c r="K7418" s="4"/>
      <c r="AC7418" s="7">
        <v>2022</v>
      </c>
      <c r="AD7418" s="7">
        <v>11</v>
      </c>
      <c r="AE7418" s="7">
        <v>6</v>
      </c>
      <c r="AF7418" s="8">
        <v>0</v>
      </c>
      <c r="AG7418" s="7">
        <v>-10.9</v>
      </c>
      <c r="AH7418" s="10">
        <f t="shared" si="130"/>
        <v>-11</v>
      </c>
    </row>
    <row r="7419" spans="11:34" ht="14.5" x14ac:dyDescent="0.35">
      <c r="K7419" s="4"/>
      <c r="AC7419" s="7">
        <v>2022</v>
      </c>
      <c r="AD7419" s="7">
        <v>11</v>
      </c>
      <c r="AE7419" s="7">
        <v>6</v>
      </c>
      <c r="AF7419" s="8">
        <v>4.1666666666666664E-2</v>
      </c>
      <c r="AG7419" s="7">
        <v>-11.3</v>
      </c>
      <c r="AH7419" s="10">
        <f t="shared" si="130"/>
        <v>-11</v>
      </c>
    </row>
    <row r="7420" spans="11:34" ht="14.5" x14ac:dyDescent="0.35">
      <c r="K7420" s="4"/>
      <c r="AC7420" s="7">
        <v>2022</v>
      </c>
      <c r="AD7420" s="7">
        <v>11</v>
      </c>
      <c r="AE7420" s="7">
        <v>6</v>
      </c>
      <c r="AF7420" s="8">
        <v>8.3333333333333329E-2</v>
      </c>
      <c r="AG7420" s="7">
        <v>-11.7</v>
      </c>
      <c r="AH7420" s="10">
        <f t="shared" si="130"/>
        <v>-12</v>
      </c>
    </row>
    <row r="7421" spans="11:34" ht="14.5" x14ac:dyDescent="0.35">
      <c r="K7421" s="4"/>
      <c r="AC7421" s="7">
        <v>2022</v>
      </c>
      <c r="AD7421" s="7">
        <v>11</v>
      </c>
      <c r="AE7421" s="7">
        <v>6</v>
      </c>
      <c r="AF7421" s="8">
        <v>0.125</v>
      </c>
      <c r="AG7421" s="7">
        <v>-12.1</v>
      </c>
      <c r="AH7421" s="10">
        <f t="shared" si="130"/>
        <v>-12</v>
      </c>
    </row>
    <row r="7422" spans="11:34" ht="14.5" x14ac:dyDescent="0.35">
      <c r="K7422" s="4"/>
      <c r="AC7422" s="7">
        <v>2022</v>
      </c>
      <c r="AD7422" s="7">
        <v>11</v>
      </c>
      <c r="AE7422" s="7">
        <v>6</v>
      </c>
      <c r="AF7422" s="8">
        <v>0.16666666666666666</v>
      </c>
      <c r="AG7422" s="7">
        <v>-12.4</v>
      </c>
      <c r="AH7422" s="10">
        <f t="shared" si="130"/>
        <v>-12</v>
      </c>
    </row>
    <row r="7423" spans="11:34" ht="14.5" x14ac:dyDescent="0.35">
      <c r="K7423" s="4"/>
      <c r="AC7423" s="7">
        <v>2022</v>
      </c>
      <c r="AD7423" s="7">
        <v>11</v>
      </c>
      <c r="AE7423" s="7">
        <v>6</v>
      </c>
      <c r="AF7423" s="8">
        <v>0.20833333333333334</v>
      </c>
      <c r="AG7423" s="7">
        <v>-12.7</v>
      </c>
      <c r="AH7423" s="10">
        <f t="shared" si="130"/>
        <v>-13</v>
      </c>
    </row>
    <row r="7424" spans="11:34" ht="14.5" x14ac:dyDescent="0.35">
      <c r="K7424" s="4"/>
      <c r="AC7424" s="7">
        <v>2022</v>
      </c>
      <c r="AD7424" s="7">
        <v>11</v>
      </c>
      <c r="AE7424" s="7">
        <v>6</v>
      </c>
      <c r="AF7424" s="8">
        <v>0.25</v>
      </c>
      <c r="AG7424" s="7">
        <v>-13.1</v>
      </c>
      <c r="AH7424" s="10">
        <f t="shared" si="130"/>
        <v>-13</v>
      </c>
    </row>
    <row r="7425" spans="11:34" ht="14.5" x14ac:dyDescent="0.35">
      <c r="K7425" s="4"/>
      <c r="AC7425" s="7">
        <v>2022</v>
      </c>
      <c r="AD7425" s="7">
        <v>11</v>
      </c>
      <c r="AE7425" s="7">
        <v>6</v>
      </c>
      <c r="AF7425" s="8">
        <v>0.29166666666666669</v>
      </c>
      <c r="AG7425" s="7">
        <v>-14</v>
      </c>
      <c r="AH7425" s="10">
        <f t="shared" si="130"/>
        <v>-14</v>
      </c>
    </row>
    <row r="7426" spans="11:34" ht="14.5" x14ac:dyDescent="0.35">
      <c r="K7426" s="4"/>
      <c r="AC7426" s="7">
        <v>2022</v>
      </c>
      <c r="AD7426" s="7">
        <v>11</v>
      </c>
      <c r="AE7426" s="7">
        <v>6</v>
      </c>
      <c r="AF7426" s="8">
        <v>0.33333333333333331</v>
      </c>
      <c r="AG7426" s="7">
        <v>-14.2</v>
      </c>
      <c r="AH7426" s="10">
        <f t="shared" si="130"/>
        <v>-14</v>
      </c>
    </row>
    <row r="7427" spans="11:34" ht="14.5" x14ac:dyDescent="0.35">
      <c r="K7427" s="4"/>
      <c r="AC7427" s="7">
        <v>2022</v>
      </c>
      <c r="AD7427" s="7">
        <v>11</v>
      </c>
      <c r="AE7427" s="7">
        <v>6</v>
      </c>
      <c r="AF7427" s="8">
        <v>0.375</v>
      </c>
      <c r="AG7427" s="7">
        <v>-13.4</v>
      </c>
      <c r="AH7427" s="10">
        <f t="shared" si="130"/>
        <v>-13</v>
      </c>
    </row>
    <row r="7428" spans="11:34" ht="14.5" x14ac:dyDescent="0.35">
      <c r="K7428" s="4"/>
      <c r="AC7428" s="7">
        <v>2022</v>
      </c>
      <c r="AD7428" s="7">
        <v>11</v>
      </c>
      <c r="AE7428" s="7">
        <v>6</v>
      </c>
      <c r="AF7428" s="8">
        <v>0.41666666666666669</v>
      </c>
      <c r="AG7428" s="7">
        <v>-13.3</v>
      </c>
      <c r="AH7428" s="10">
        <f t="shared" si="130"/>
        <v>-13</v>
      </c>
    </row>
    <row r="7429" spans="11:34" ht="14.5" x14ac:dyDescent="0.35">
      <c r="K7429" s="4"/>
      <c r="AC7429" s="7">
        <v>2022</v>
      </c>
      <c r="AD7429" s="7">
        <v>11</v>
      </c>
      <c r="AE7429" s="7">
        <v>6</v>
      </c>
      <c r="AF7429" s="8">
        <v>0.45833333333333331</v>
      </c>
      <c r="AG7429" s="7">
        <v>-13.4</v>
      </c>
      <c r="AH7429" s="10">
        <f t="shared" si="130"/>
        <v>-13</v>
      </c>
    </row>
    <row r="7430" spans="11:34" ht="14.5" x14ac:dyDescent="0.35">
      <c r="K7430" s="4"/>
      <c r="AC7430" s="7">
        <v>2022</v>
      </c>
      <c r="AD7430" s="7">
        <v>11</v>
      </c>
      <c r="AE7430" s="7">
        <v>6</v>
      </c>
      <c r="AF7430" s="8">
        <v>0.5</v>
      </c>
      <c r="AG7430" s="7">
        <v>-13.2</v>
      </c>
      <c r="AH7430" s="10">
        <f t="shared" si="130"/>
        <v>-13</v>
      </c>
    </row>
    <row r="7431" spans="11:34" ht="14.5" x14ac:dyDescent="0.35">
      <c r="K7431" s="4"/>
      <c r="AC7431" s="7">
        <v>2022</v>
      </c>
      <c r="AD7431" s="7">
        <v>11</v>
      </c>
      <c r="AE7431" s="7">
        <v>6</v>
      </c>
      <c r="AF7431" s="8">
        <v>0.54166666666666663</v>
      </c>
      <c r="AG7431" s="7">
        <v>-13.2</v>
      </c>
      <c r="AH7431" s="10">
        <f t="shared" si="130"/>
        <v>-13</v>
      </c>
    </row>
    <row r="7432" spans="11:34" ht="14.5" x14ac:dyDescent="0.35">
      <c r="K7432" s="4"/>
      <c r="AC7432" s="7">
        <v>2022</v>
      </c>
      <c r="AD7432" s="7">
        <v>11</v>
      </c>
      <c r="AE7432" s="7">
        <v>6</v>
      </c>
      <c r="AF7432" s="8">
        <v>0.58333333333333337</v>
      </c>
      <c r="AG7432" s="7">
        <v>-13.1</v>
      </c>
      <c r="AH7432" s="10">
        <f t="shared" si="130"/>
        <v>-13</v>
      </c>
    </row>
    <row r="7433" spans="11:34" ht="14.5" x14ac:dyDescent="0.35">
      <c r="K7433" s="4"/>
      <c r="AC7433" s="7">
        <v>2022</v>
      </c>
      <c r="AD7433" s="7">
        <v>11</v>
      </c>
      <c r="AE7433" s="7">
        <v>6</v>
      </c>
      <c r="AF7433" s="8">
        <v>0.625</v>
      </c>
      <c r="AG7433" s="7">
        <v>-13.4</v>
      </c>
      <c r="AH7433" s="10">
        <f t="shared" si="130"/>
        <v>-13</v>
      </c>
    </row>
    <row r="7434" spans="11:34" ht="14.5" x14ac:dyDescent="0.35">
      <c r="K7434" s="4"/>
      <c r="AC7434" s="7">
        <v>2022</v>
      </c>
      <c r="AD7434" s="7">
        <v>11</v>
      </c>
      <c r="AE7434" s="7">
        <v>6</v>
      </c>
      <c r="AF7434" s="8">
        <v>0.66666666666666663</v>
      </c>
      <c r="AG7434" s="7">
        <v>-13.8</v>
      </c>
      <c r="AH7434" s="10">
        <f t="shared" si="130"/>
        <v>-14</v>
      </c>
    </row>
    <row r="7435" spans="11:34" ht="14.5" x14ac:dyDescent="0.35">
      <c r="K7435" s="4"/>
      <c r="AC7435" s="7">
        <v>2022</v>
      </c>
      <c r="AD7435" s="7">
        <v>11</v>
      </c>
      <c r="AE7435" s="7">
        <v>6</v>
      </c>
      <c r="AF7435" s="8">
        <v>0.70833333333333337</v>
      </c>
      <c r="AG7435" s="7">
        <v>-14.1</v>
      </c>
      <c r="AH7435" s="10">
        <f t="shared" ref="AH7435:AH7498" si="131">ROUND(AG7435,0)</f>
        <v>-14</v>
      </c>
    </row>
    <row r="7436" spans="11:34" ht="14.5" x14ac:dyDescent="0.35">
      <c r="K7436" s="4"/>
      <c r="AC7436" s="7">
        <v>2022</v>
      </c>
      <c r="AD7436" s="7">
        <v>11</v>
      </c>
      <c r="AE7436" s="7">
        <v>6</v>
      </c>
      <c r="AF7436" s="8">
        <v>0.75</v>
      </c>
      <c r="AG7436" s="7">
        <v>-14.6</v>
      </c>
      <c r="AH7436" s="10">
        <f t="shared" si="131"/>
        <v>-15</v>
      </c>
    </row>
    <row r="7437" spans="11:34" ht="14.5" x14ac:dyDescent="0.35">
      <c r="K7437" s="4"/>
      <c r="AC7437" s="7">
        <v>2022</v>
      </c>
      <c r="AD7437" s="7">
        <v>11</v>
      </c>
      <c r="AE7437" s="7">
        <v>6</v>
      </c>
      <c r="AF7437" s="8">
        <v>0.79166666666666663</v>
      </c>
      <c r="AG7437" s="7">
        <v>-14.8</v>
      </c>
      <c r="AH7437" s="10">
        <f t="shared" si="131"/>
        <v>-15</v>
      </c>
    </row>
    <row r="7438" spans="11:34" ht="14.5" x14ac:dyDescent="0.35">
      <c r="K7438" s="4"/>
      <c r="AC7438" s="7">
        <v>2022</v>
      </c>
      <c r="AD7438" s="7">
        <v>11</v>
      </c>
      <c r="AE7438" s="7">
        <v>6</v>
      </c>
      <c r="AF7438" s="8">
        <v>0.83333333333333337</v>
      </c>
      <c r="AG7438" s="7">
        <v>-14.9</v>
      </c>
      <c r="AH7438" s="10">
        <f t="shared" si="131"/>
        <v>-15</v>
      </c>
    </row>
    <row r="7439" spans="11:34" ht="14.5" x14ac:dyDescent="0.35">
      <c r="K7439" s="4"/>
      <c r="AC7439" s="7">
        <v>2022</v>
      </c>
      <c r="AD7439" s="7">
        <v>11</v>
      </c>
      <c r="AE7439" s="7">
        <v>6</v>
      </c>
      <c r="AF7439" s="8">
        <v>0.875</v>
      </c>
      <c r="AG7439" s="7">
        <v>-14.8</v>
      </c>
      <c r="AH7439" s="10">
        <f t="shared" si="131"/>
        <v>-15</v>
      </c>
    </row>
    <row r="7440" spans="11:34" ht="14.5" x14ac:dyDescent="0.35">
      <c r="K7440" s="4"/>
      <c r="AC7440" s="7">
        <v>2022</v>
      </c>
      <c r="AD7440" s="7">
        <v>11</v>
      </c>
      <c r="AE7440" s="7">
        <v>6</v>
      </c>
      <c r="AF7440" s="8">
        <v>0.91666666666666663</v>
      </c>
      <c r="AG7440" s="7">
        <v>-14.8</v>
      </c>
      <c r="AH7440" s="10">
        <f t="shared" si="131"/>
        <v>-15</v>
      </c>
    </row>
    <row r="7441" spans="11:34" ht="14.5" x14ac:dyDescent="0.35">
      <c r="K7441" s="4"/>
      <c r="AC7441" s="7">
        <v>2022</v>
      </c>
      <c r="AD7441" s="7">
        <v>11</v>
      </c>
      <c r="AE7441" s="7">
        <v>6</v>
      </c>
      <c r="AF7441" s="8">
        <v>0.95833333333333337</v>
      </c>
      <c r="AG7441" s="7">
        <v>-15.2</v>
      </c>
      <c r="AH7441" s="10">
        <f t="shared" si="131"/>
        <v>-15</v>
      </c>
    </row>
    <row r="7442" spans="11:34" ht="14.5" x14ac:dyDescent="0.35">
      <c r="K7442" s="4"/>
      <c r="AC7442" s="7">
        <v>2022</v>
      </c>
      <c r="AD7442" s="7">
        <v>11</v>
      </c>
      <c r="AE7442" s="7">
        <v>7</v>
      </c>
      <c r="AF7442" s="8">
        <v>0</v>
      </c>
      <c r="AG7442" s="7">
        <v>-15.7</v>
      </c>
      <c r="AH7442" s="10">
        <f t="shared" si="131"/>
        <v>-16</v>
      </c>
    </row>
    <row r="7443" spans="11:34" ht="14.5" x14ac:dyDescent="0.35">
      <c r="K7443" s="4"/>
      <c r="AC7443" s="7">
        <v>2022</v>
      </c>
      <c r="AD7443" s="7">
        <v>11</v>
      </c>
      <c r="AE7443" s="7">
        <v>7</v>
      </c>
      <c r="AF7443" s="8">
        <v>4.1666666666666664E-2</v>
      </c>
      <c r="AG7443" s="7">
        <v>-16.100000000000001</v>
      </c>
      <c r="AH7443" s="10">
        <f t="shared" si="131"/>
        <v>-16</v>
      </c>
    </row>
    <row r="7444" spans="11:34" ht="14.5" x14ac:dyDescent="0.35">
      <c r="K7444" s="4"/>
      <c r="AC7444" s="7">
        <v>2022</v>
      </c>
      <c r="AD7444" s="7">
        <v>11</v>
      </c>
      <c r="AE7444" s="7">
        <v>7</v>
      </c>
      <c r="AF7444" s="8">
        <v>8.3333333333333329E-2</v>
      </c>
      <c r="AG7444" s="7">
        <v>-16.2</v>
      </c>
      <c r="AH7444" s="10">
        <f t="shared" si="131"/>
        <v>-16</v>
      </c>
    </row>
    <row r="7445" spans="11:34" ht="14.5" x14ac:dyDescent="0.35">
      <c r="K7445" s="4"/>
      <c r="AC7445" s="7">
        <v>2022</v>
      </c>
      <c r="AD7445" s="7">
        <v>11</v>
      </c>
      <c r="AE7445" s="7">
        <v>7</v>
      </c>
      <c r="AF7445" s="8">
        <v>0.125</v>
      </c>
      <c r="AG7445" s="7">
        <v>-16.3</v>
      </c>
      <c r="AH7445" s="10">
        <f t="shared" si="131"/>
        <v>-16</v>
      </c>
    </row>
    <row r="7446" spans="11:34" ht="14.5" x14ac:dyDescent="0.35">
      <c r="K7446" s="4"/>
      <c r="AC7446" s="7">
        <v>2022</v>
      </c>
      <c r="AD7446" s="7">
        <v>11</v>
      </c>
      <c r="AE7446" s="7">
        <v>7</v>
      </c>
      <c r="AF7446" s="8">
        <v>0.16666666666666666</v>
      </c>
      <c r="AG7446" s="7">
        <v>-16.600000000000001</v>
      </c>
      <c r="AH7446" s="10">
        <f t="shared" si="131"/>
        <v>-17</v>
      </c>
    </row>
    <row r="7447" spans="11:34" ht="14.5" x14ac:dyDescent="0.35">
      <c r="K7447" s="4"/>
      <c r="AC7447" s="7">
        <v>2022</v>
      </c>
      <c r="AD7447" s="7">
        <v>11</v>
      </c>
      <c r="AE7447" s="7">
        <v>7</v>
      </c>
      <c r="AF7447" s="8">
        <v>0.20833333333333334</v>
      </c>
      <c r="AG7447" s="7">
        <v>-16.7</v>
      </c>
      <c r="AH7447" s="10">
        <f t="shared" si="131"/>
        <v>-17</v>
      </c>
    </row>
    <row r="7448" spans="11:34" ht="14.5" x14ac:dyDescent="0.35">
      <c r="K7448" s="4"/>
      <c r="AC7448" s="7">
        <v>2022</v>
      </c>
      <c r="AD7448" s="7">
        <v>11</v>
      </c>
      <c r="AE7448" s="7">
        <v>7</v>
      </c>
      <c r="AF7448" s="8">
        <v>0.25</v>
      </c>
      <c r="AG7448" s="7">
        <v>-17.2</v>
      </c>
      <c r="AH7448" s="10">
        <f t="shared" si="131"/>
        <v>-17</v>
      </c>
    </row>
    <row r="7449" spans="11:34" ht="14.5" x14ac:dyDescent="0.35">
      <c r="K7449" s="4"/>
      <c r="AC7449" s="7">
        <v>2022</v>
      </c>
      <c r="AD7449" s="7">
        <v>11</v>
      </c>
      <c r="AE7449" s="7">
        <v>7</v>
      </c>
      <c r="AF7449" s="8">
        <v>0.29166666666666669</v>
      </c>
      <c r="AG7449" s="7">
        <v>-17.2</v>
      </c>
      <c r="AH7449" s="10">
        <f t="shared" si="131"/>
        <v>-17</v>
      </c>
    </row>
    <row r="7450" spans="11:34" ht="14.5" x14ac:dyDescent="0.35">
      <c r="K7450" s="4"/>
      <c r="AC7450" s="7">
        <v>2022</v>
      </c>
      <c r="AD7450" s="7">
        <v>11</v>
      </c>
      <c r="AE7450" s="7">
        <v>7</v>
      </c>
      <c r="AF7450" s="8">
        <v>0.33333333333333331</v>
      </c>
      <c r="AG7450" s="7">
        <v>-17.5</v>
      </c>
      <c r="AH7450" s="10">
        <f t="shared" si="131"/>
        <v>-18</v>
      </c>
    </row>
    <row r="7451" spans="11:34" ht="14.5" x14ac:dyDescent="0.35">
      <c r="K7451" s="4"/>
      <c r="AC7451" s="7">
        <v>2022</v>
      </c>
      <c r="AD7451" s="7">
        <v>11</v>
      </c>
      <c r="AE7451" s="7">
        <v>7</v>
      </c>
      <c r="AF7451" s="8">
        <v>0.375</v>
      </c>
      <c r="AG7451" s="7">
        <v>-17.399999999999999</v>
      </c>
      <c r="AH7451" s="10">
        <f t="shared" si="131"/>
        <v>-17</v>
      </c>
    </row>
    <row r="7452" spans="11:34" ht="14.5" x14ac:dyDescent="0.35">
      <c r="K7452" s="4"/>
      <c r="AC7452" s="7">
        <v>2022</v>
      </c>
      <c r="AD7452" s="7">
        <v>11</v>
      </c>
      <c r="AE7452" s="7">
        <v>7</v>
      </c>
      <c r="AF7452" s="8">
        <v>0.41666666666666669</v>
      </c>
      <c r="AG7452" s="7">
        <v>-17.100000000000001</v>
      </c>
      <c r="AH7452" s="10">
        <f t="shared" si="131"/>
        <v>-17</v>
      </c>
    </row>
    <row r="7453" spans="11:34" ht="14.5" x14ac:dyDescent="0.35">
      <c r="K7453" s="4"/>
      <c r="AC7453" s="7">
        <v>2022</v>
      </c>
      <c r="AD7453" s="7">
        <v>11</v>
      </c>
      <c r="AE7453" s="7">
        <v>7</v>
      </c>
      <c r="AF7453" s="8">
        <v>0.45833333333333331</v>
      </c>
      <c r="AG7453" s="7">
        <v>-17.100000000000001</v>
      </c>
      <c r="AH7453" s="10">
        <f t="shared" si="131"/>
        <v>-17</v>
      </c>
    </row>
    <row r="7454" spans="11:34" ht="14.5" x14ac:dyDescent="0.35">
      <c r="K7454" s="4"/>
      <c r="AC7454" s="7">
        <v>2022</v>
      </c>
      <c r="AD7454" s="7">
        <v>11</v>
      </c>
      <c r="AE7454" s="7">
        <v>7</v>
      </c>
      <c r="AF7454" s="8">
        <v>0.5</v>
      </c>
      <c r="AG7454" s="7">
        <v>-17</v>
      </c>
      <c r="AH7454" s="10">
        <f t="shared" si="131"/>
        <v>-17</v>
      </c>
    </row>
    <row r="7455" spans="11:34" ht="14.5" x14ac:dyDescent="0.35">
      <c r="K7455" s="4"/>
      <c r="AC7455" s="7">
        <v>2022</v>
      </c>
      <c r="AD7455" s="7">
        <v>11</v>
      </c>
      <c r="AE7455" s="7">
        <v>7</v>
      </c>
      <c r="AF7455" s="8">
        <v>0.54166666666666663</v>
      </c>
      <c r="AG7455" s="7">
        <v>-16.7</v>
      </c>
      <c r="AH7455" s="10">
        <f t="shared" si="131"/>
        <v>-17</v>
      </c>
    </row>
    <row r="7456" spans="11:34" ht="14.5" x14ac:dyDescent="0.35">
      <c r="K7456" s="4"/>
      <c r="AC7456" s="7">
        <v>2022</v>
      </c>
      <c r="AD7456" s="7">
        <v>11</v>
      </c>
      <c r="AE7456" s="7">
        <v>7</v>
      </c>
      <c r="AF7456" s="8">
        <v>0.58333333333333337</v>
      </c>
      <c r="AG7456" s="7">
        <v>-16.7</v>
      </c>
      <c r="AH7456" s="10">
        <f t="shared" si="131"/>
        <v>-17</v>
      </c>
    </row>
    <row r="7457" spans="11:34" ht="14.5" x14ac:dyDescent="0.35">
      <c r="K7457" s="4"/>
      <c r="AC7457" s="7">
        <v>2022</v>
      </c>
      <c r="AD7457" s="7">
        <v>11</v>
      </c>
      <c r="AE7457" s="7">
        <v>7</v>
      </c>
      <c r="AF7457" s="8">
        <v>0.625</v>
      </c>
      <c r="AG7457" s="7">
        <v>-16.600000000000001</v>
      </c>
      <c r="AH7457" s="10">
        <f t="shared" si="131"/>
        <v>-17</v>
      </c>
    </row>
    <row r="7458" spans="11:34" ht="14.5" x14ac:dyDescent="0.35">
      <c r="K7458" s="4"/>
      <c r="AC7458" s="7">
        <v>2022</v>
      </c>
      <c r="AD7458" s="7">
        <v>11</v>
      </c>
      <c r="AE7458" s="7">
        <v>7</v>
      </c>
      <c r="AF7458" s="8">
        <v>0.66666666666666663</v>
      </c>
      <c r="AG7458" s="7">
        <v>-16.5</v>
      </c>
      <c r="AH7458" s="10">
        <f t="shared" si="131"/>
        <v>-17</v>
      </c>
    </row>
    <row r="7459" spans="11:34" ht="14.5" x14ac:dyDescent="0.35">
      <c r="K7459" s="4"/>
      <c r="AC7459" s="7">
        <v>2022</v>
      </c>
      <c r="AD7459" s="7">
        <v>11</v>
      </c>
      <c r="AE7459" s="7">
        <v>7</v>
      </c>
      <c r="AF7459" s="8">
        <v>0.70833333333333337</v>
      </c>
      <c r="AG7459" s="7">
        <v>-16.3</v>
      </c>
      <c r="AH7459" s="10">
        <f t="shared" si="131"/>
        <v>-16</v>
      </c>
    </row>
    <row r="7460" spans="11:34" ht="14.5" x14ac:dyDescent="0.35">
      <c r="K7460" s="4"/>
      <c r="AC7460" s="7">
        <v>2022</v>
      </c>
      <c r="AD7460" s="7">
        <v>11</v>
      </c>
      <c r="AE7460" s="7">
        <v>7</v>
      </c>
      <c r="AF7460" s="8">
        <v>0.75</v>
      </c>
      <c r="AG7460" s="7">
        <v>-16.2</v>
      </c>
      <c r="AH7460" s="10">
        <f t="shared" si="131"/>
        <v>-16</v>
      </c>
    </row>
    <row r="7461" spans="11:34" ht="14.5" x14ac:dyDescent="0.35">
      <c r="K7461" s="4"/>
      <c r="AC7461" s="7">
        <v>2022</v>
      </c>
      <c r="AD7461" s="7">
        <v>11</v>
      </c>
      <c r="AE7461" s="7">
        <v>7</v>
      </c>
      <c r="AF7461" s="8">
        <v>0.79166666666666663</v>
      </c>
      <c r="AG7461" s="7">
        <v>-16.100000000000001</v>
      </c>
      <c r="AH7461" s="10">
        <f t="shared" si="131"/>
        <v>-16</v>
      </c>
    </row>
    <row r="7462" spans="11:34" ht="14.5" x14ac:dyDescent="0.35">
      <c r="K7462" s="4"/>
      <c r="AC7462" s="7">
        <v>2022</v>
      </c>
      <c r="AD7462" s="7">
        <v>11</v>
      </c>
      <c r="AE7462" s="7">
        <v>7</v>
      </c>
      <c r="AF7462" s="8">
        <v>0.83333333333333337</v>
      </c>
      <c r="AG7462" s="7">
        <v>-16</v>
      </c>
      <c r="AH7462" s="10">
        <f t="shared" si="131"/>
        <v>-16</v>
      </c>
    </row>
    <row r="7463" spans="11:34" ht="14.5" x14ac:dyDescent="0.35">
      <c r="K7463" s="4"/>
      <c r="AC7463" s="7">
        <v>2022</v>
      </c>
      <c r="AD7463" s="7">
        <v>11</v>
      </c>
      <c r="AE7463" s="7">
        <v>7</v>
      </c>
      <c r="AF7463" s="8">
        <v>0.875</v>
      </c>
      <c r="AG7463" s="7">
        <v>-17.2</v>
      </c>
      <c r="AH7463" s="10">
        <f t="shared" si="131"/>
        <v>-17</v>
      </c>
    </row>
    <row r="7464" spans="11:34" ht="14.5" x14ac:dyDescent="0.35">
      <c r="K7464" s="4"/>
      <c r="AC7464" s="7">
        <v>2022</v>
      </c>
      <c r="AD7464" s="7">
        <v>11</v>
      </c>
      <c r="AE7464" s="7">
        <v>7</v>
      </c>
      <c r="AF7464" s="8">
        <v>0.91666666666666663</v>
      </c>
      <c r="AG7464" s="7">
        <v>-18.7</v>
      </c>
      <c r="AH7464" s="10">
        <f t="shared" si="131"/>
        <v>-19</v>
      </c>
    </row>
    <row r="7465" spans="11:34" ht="14.5" x14ac:dyDescent="0.35">
      <c r="K7465" s="4"/>
      <c r="AC7465" s="7">
        <v>2022</v>
      </c>
      <c r="AD7465" s="7">
        <v>11</v>
      </c>
      <c r="AE7465" s="7">
        <v>7</v>
      </c>
      <c r="AF7465" s="8">
        <v>0.95833333333333337</v>
      </c>
      <c r="AG7465" s="7">
        <v>-20.3</v>
      </c>
      <c r="AH7465" s="10">
        <f t="shared" si="131"/>
        <v>-20</v>
      </c>
    </row>
    <row r="7466" spans="11:34" ht="14.5" x14ac:dyDescent="0.35">
      <c r="K7466" s="4"/>
      <c r="AC7466" s="7">
        <v>2022</v>
      </c>
      <c r="AD7466" s="7">
        <v>11</v>
      </c>
      <c r="AE7466" s="7">
        <v>8</v>
      </c>
      <c r="AF7466" s="8">
        <v>0</v>
      </c>
      <c r="AG7466" s="7">
        <v>-21.7</v>
      </c>
      <c r="AH7466" s="10">
        <f t="shared" si="131"/>
        <v>-22</v>
      </c>
    </row>
    <row r="7467" spans="11:34" ht="14.5" x14ac:dyDescent="0.35">
      <c r="K7467" s="4"/>
      <c r="AC7467" s="7">
        <v>2022</v>
      </c>
      <c r="AD7467" s="7">
        <v>11</v>
      </c>
      <c r="AE7467" s="7">
        <v>8</v>
      </c>
      <c r="AF7467" s="8">
        <v>4.1666666666666664E-2</v>
      </c>
      <c r="AG7467" s="7">
        <v>-22.7</v>
      </c>
      <c r="AH7467" s="10">
        <f t="shared" si="131"/>
        <v>-23</v>
      </c>
    </row>
    <row r="7468" spans="11:34" ht="14.5" x14ac:dyDescent="0.35">
      <c r="K7468" s="4"/>
      <c r="AC7468" s="7">
        <v>2022</v>
      </c>
      <c r="AD7468" s="7">
        <v>11</v>
      </c>
      <c r="AE7468" s="7">
        <v>8</v>
      </c>
      <c r="AF7468" s="8">
        <v>8.3333333333333329E-2</v>
      </c>
      <c r="AG7468" s="7">
        <v>-22.1</v>
      </c>
      <c r="AH7468" s="10">
        <f t="shared" si="131"/>
        <v>-22</v>
      </c>
    </row>
    <row r="7469" spans="11:34" ht="14.5" x14ac:dyDescent="0.35">
      <c r="K7469" s="4"/>
      <c r="AC7469" s="7">
        <v>2022</v>
      </c>
      <c r="AD7469" s="7">
        <v>11</v>
      </c>
      <c r="AE7469" s="7">
        <v>8</v>
      </c>
      <c r="AF7469" s="8">
        <v>0.125</v>
      </c>
      <c r="AG7469" s="7">
        <v>-21.4</v>
      </c>
      <c r="AH7469" s="10">
        <f t="shared" si="131"/>
        <v>-21</v>
      </c>
    </row>
    <row r="7470" spans="11:34" ht="14.5" x14ac:dyDescent="0.35">
      <c r="K7470" s="4"/>
      <c r="AC7470" s="7">
        <v>2022</v>
      </c>
      <c r="AD7470" s="7">
        <v>11</v>
      </c>
      <c r="AE7470" s="7">
        <v>8</v>
      </c>
      <c r="AF7470" s="8">
        <v>0.16666666666666666</v>
      </c>
      <c r="AG7470" s="7">
        <v>-20.2</v>
      </c>
      <c r="AH7470" s="10">
        <f t="shared" si="131"/>
        <v>-20</v>
      </c>
    </row>
    <row r="7471" spans="11:34" ht="14.5" x14ac:dyDescent="0.35">
      <c r="K7471" s="4"/>
      <c r="AC7471" s="7">
        <v>2022</v>
      </c>
      <c r="AD7471" s="7">
        <v>11</v>
      </c>
      <c r="AE7471" s="7">
        <v>8</v>
      </c>
      <c r="AF7471" s="8">
        <v>0.20833333333333334</v>
      </c>
      <c r="AG7471" s="7">
        <v>-23</v>
      </c>
      <c r="AH7471" s="10">
        <f t="shared" si="131"/>
        <v>-23</v>
      </c>
    </row>
    <row r="7472" spans="11:34" ht="14.5" x14ac:dyDescent="0.35">
      <c r="K7472" s="4"/>
      <c r="AC7472" s="7">
        <v>2022</v>
      </c>
      <c r="AD7472" s="7">
        <v>11</v>
      </c>
      <c r="AE7472" s="7">
        <v>8</v>
      </c>
      <c r="AF7472" s="8">
        <v>0.25</v>
      </c>
      <c r="AG7472" s="7">
        <v>-22.3</v>
      </c>
      <c r="AH7472" s="10">
        <f t="shared" si="131"/>
        <v>-22</v>
      </c>
    </row>
    <row r="7473" spans="11:34" ht="14.5" x14ac:dyDescent="0.35">
      <c r="K7473" s="4"/>
      <c r="AC7473" s="7">
        <v>2022</v>
      </c>
      <c r="AD7473" s="7">
        <v>11</v>
      </c>
      <c r="AE7473" s="7">
        <v>8</v>
      </c>
      <c r="AF7473" s="8">
        <v>0.29166666666666669</v>
      </c>
      <c r="AG7473" s="7">
        <v>-22.6</v>
      </c>
      <c r="AH7473" s="10">
        <f t="shared" si="131"/>
        <v>-23</v>
      </c>
    </row>
    <row r="7474" spans="11:34" ht="14.5" x14ac:dyDescent="0.35">
      <c r="K7474" s="4"/>
      <c r="AC7474" s="7">
        <v>2022</v>
      </c>
      <c r="AD7474" s="7">
        <v>11</v>
      </c>
      <c r="AE7474" s="7">
        <v>8</v>
      </c>
      <c r="AF7474" s="8">
        <v>0.33333333333333331</v>
      </c>
      <c r="AG7474" s="7">
        <v>-22.2</v>
      </c>
      <c r="AH7474" s="10">
        <f t="shared" si="131"/>
        <v>-22</v>
      </c>
    </row>
    <row r="7475" spans="11:34" ht="14.5" x14ac:dyDescent="0.35">
      <c r="K7475" s="4"/>
      <c r="AC7475" s="7">
        <v>2022</v>
      </c>
      <c r="AD7475" s="7">
        <v>11</v>
      </c>
      <c r="AE7475" s="7">
        <v>8</v>
      </c>
      <c r="AF7475" s="8">
        <v>0.375</v>
      </c>
      <c r="AG7475" s="7">
        <v>-19.899999999999999</v>
      </c>
      <c r="AH7475" s="10">
        <f t="shared" si="131"/>
        <v>-20</v>
      </c>
    </row>
    <row r="7476" spans="11:34" ht="14.5" x14ac:dyDescent="0.35">
      <c r="K7476" s="4"/>
      <c r="AC7476" s="7">
        <v>2022</v>
      </c>
      <c r="AD7476" s="7">
        <v>11</v>
      </c>
      <c r="AE7476" s="7">
        <v>8</v>
      </c>
      <c r="AF7476" s="8">
        <v>0.41666666666666669</v>
      </c>
      <c r="AG7476" s="7">
        <v>-18.8</v>
      </c>
      <c r="AH7476" s="10">
        <f t="shared" si="131"/>
        <v>-19</v>
      </c>
    </row>
    <row r="7477" spans="11:34" ht="14.5" x14ac:dyDescent="0.35">
      <c r="K7477" s="4"/>
      <c r="AC7477" s="7">
        <v>2022</v>
      </c>
      <c r="AD7477" s="7">
        <v>11</v>
      </c>
      <c r="AE7477" s="7">
        <v>8</v>
      </c>
      <c r="AF7477" s="8">
        <v>0.45833333333333331</v>
      </c>
      <c r="AG7477" s="7">
        <v>-17.5</v>
      </c>
      <c r="AH7477" s="10">
        <f t="shared" si="131"/>
        <v>-18</v>
      </c>
    </row>
    <row r="7478" spans="11:34" ht="14.5" x14ac:dyDescent="0.35">
      <c r="K7478" s="4"/>
      <c r="AC7478" s="7">
        <v>2022</v>
      </c>
      <c r="AD7478" s="7">
        <v>11</v>
      </c>
      <c r="AE7478" s="7">
        <v>8</v>
      </c>
      <c r="AF7478" s="8">
        <v>0.5</v>
      </c>
      <c r="AG7478" s="7">
        <v>-16.600000000000001</v>
      </c>
      <c r="AH7478" s="10">
        <f t="shared" si="131"/>
        <v>-17</v>
      </c>
    </row>
    <row r="7479" spans="11:34" ht="14.5" x14ac:dyDescent="0.35">
      <c r="K7479" s="4"/>
      <c r="AC7479" s="7">
        <v>2022</v>
      </c>
      <c r="AD7479" s="7">
        <v>11</v>
      </c>
      <c r="AE7479" s="7">
        <v>8</v>
      </c>
      <c r="AF7479" s="8">
        <v>0.54166666666666663</v>
      </c>
      <c r="AG7479" s="7">
        <v>-16.100000000000001</v>
      </c>
      <c r="AH7479" s="10">
        <f t="shared" si="131"/>
        <v>-16</v>
      </c>
    </row>
    <row r="7480" spans="11:34" ht="14.5" x14ac:dyDescent="0.35">
      <c r="K7480" s="4"/>
      <c r="AC7480" s="7">
        <v>2022</v>
      </c>
      <c r="AD7480" s="7">
        <v>11</v>
      </c>
      <c r="AE7480" s="7">
        <v>8</v>
      </c>
      <c r="AF7480" s="8">
        <v>0.58333333333333337</v>
      </c>
      <c r="AG7480" s="7">
        <v>-16.3</v>
      </c>
      <c r="AH7480" s="10">
        <f t="shared" si="131"/>
        <v>-16</v>
      </c>
    </row>
    <row r="7481" spans="11:34" ht="14.5" x14ac:dyDescent="0.35">
      <c r="K7481" s="4"/>
      <c r="AC7481" s="7">
        <v>2022</v>
      </c>
      <c r="AD7481" s="7">
        <v>11</v>
      </c>
      <c r="AE7481" s="7">
        <v>8</v>
      </c>
      <c r="AF7481" s="8">
        <v>0.625</v>
      </c>
      <c r="AG7481" s="7">
        <v>-16.100000000000001</v>
      </c>
      <c r="AH7481" s="10">
        <f t="shared" si="131"/>
        <v>-16</v>
      </c>
    </row>
    <row r="7482" spans="11:34" ht="14.5" x14ac:dyDescent="0.35">
      <c r="K7482" s="4"/>
      <c r="AC7482" s="7">
        <v>2022</v>
      </c>
      <c r="AD7482" s="7">
        <v>11</v>
      </c>
      <c r="AE7482" s="7">
        <v>8</v>
      </c>
      <c r="AF7482" s="8">
        <v>0.66666666666666663</v>
      </c>
      <c r="AG7482" s="7">
        <v>-17.399999999999999</v>
      </c>
      <c r="AH7482" s="10">
        <f t="shared" si="131"/>
        <v>-17</v>
      </c>
    </row>
    <row r="7483" spans="11:34" ht="14.5" x14ac:dyDescent="0.35">
      <c r="K7483" s="4"/>
      <c r="AC7483" s="7">
        <v>2022</v>
      </c>
      <c r="AD7483" s="7">
        <v>11</v>
      </c>
      <c r="AE7483" s="7">
        <v>8</v>
      </c>
      <c r="AF7483" s="8">
        <v>0.70833333333333337</v>
      </c>
      <c r="AG7483" s="7">
        <v>-19</v>
      </c>
      <c r="AH7483" s="10">
        <f t="shared" si="131"/>
        <v>-19</v>
      </c>
    </row>
    <row r="7484" spans="11:34" ht="14.5" x14ac:dyDescent="0.35">
      <c r="K7484" s="4"/>
      <c r="AC7484" s="7">
        <v>2022</v>
      </c>
      <c r="AD7484" s="7">
        <v>11</v>
      </c>
      <c r="AE7484" s="7">
        <v>8</v>
      </c>
      <c r="AF7484" s="8">
        <v>0.75</v>
      </c>
      <c r="AG7484" s="7">
        <v>-19.7</v>
      </c>
      <c r="AH7484" s="10">
        <f t="shared" si="131"/>
        <v>-20</v>
      </c>
    </row>
    <row r="7485" spans="11:34" ht="14.5" x14ac:dyDescent="0.35">
      <c r="K7485" s="4"/>
      <c r="AC7485" s="7">
        <v>2022</v>
      </c>
      <c r="AD7485" s="7">
        <v>11</v>
      </c>
      <c r="AE7485" s="7">
        <v>8</v>
      </c>
      <c r="AF7485" s="8">
        <v>0.79166666666666663</v>
      </c>
      <c r="AG7485" s="7">
        <v>-19.899999999999999</v>
      </c>
      <c r="AH7485" s="10">
        <f t="shared" si="131"/>
        <v>-20</v>
      </c>
    </row>
    <row r="7486" spans="11:34" ht="14.5" x14ac:dyDescent="0.35">
      <c r="K7486" s="4"/>
      <c r="AC7486" s="7">
        <v>2022</v>
      </c>
      <c r="AD7486" s="7">
        <v>11</v>
      </c>
      <c r="AE7486" s="7">
        <v>8</v>
      </c>
      <c r="AF7486" s="8">
        <v>0.83333333333333337</v>
      </c>
      <c r="AG7486" s="7">
        <v>-19.8</v>
      </c>
      <c r="AH7486" s="10">
        <f t="shared" si="131"/>
        <v>-20</v>
      </c>
    </row>
    <row r="7487" spans="11:34" ht="14.5" x14ac:dyDescent="0.35">
      <c r="K7487" s="4"/>
      <c r="AC7487" s="7">
        <v>2022</v>
      </c>
      <c r="AD7487" s="7">
        <v>11</v>
      </c>
      <c r="AE7487" s="7">
        <v>8</v>
      </c>
      <c r="AF7487" s="8">
        <v>0.875</v>
      </c>
      <c r="AG7487" s="7">
        <v>-20.5</v>
      </c>
      <c r="AH7487" s="10">
        <f t="shared" si="131"/>
        <v>-21</v>
      </c>
    </row>
    <row r="7488" spans="11:34" ht="14.5" x14ac:dyDescent="0.35">
      <c r="K7488" s="4"/>
      <c r="AC7488" s="7">
        <v>2022</v>
      </c>
      <c r="AD7488" s="7">
        <v>11</v>
      </c>
      <c r="AE7488" s="7">
        <v>8</v>
      </c>
      <c r="AF7488" s="8">
        <v>0.91666666666666663</v>
      </c>
      <c r="AG7488" s="7">
        <v>-20.399999999999999</v>
      </c>
      <c r="AH7488" s="10">
        <f t="shared" si="131"/>
        <v>-20</v>
      </c>
    </row>
    <row r="7489" spans="11:34" ht="14.5" x14ac:dyDescent="0.35">
      <c r="K7489" s="4"/>
      <c r="AC7489" s="7">
        <v>2022</v>
      </c>
      <c r="AD7489" s="7">
        <v>11</v>
      </c>
      <c r="AE7489" s="7">
        <v>8</v>
      </c>
      <c r="AF7489" s="8">
        <v>0.95833333333333337</v>
      </c>
      <c r="AG7489" s="7">
        <v>-21.2</v>
      </c>
      <c r="AH7489" s="10">
        <f t="shared" si="131"/>
        <v>-21</v>
      </c>
    </row>
    <row r="7490" spans="11:34" ht="14.5" x14ac:dyDescent="0.35">
      <c r="K7490" s="4"/>
      <c r="AC7490" s="7">
        <v>2022</v>
      </c>
      <c r="AD7490" s="7">
        <v>11</v>
      </c>
      <c r="AE7490" s="7">
        <v>9</v>
      </c>
      <c r="AF7490" s="8">
        <v>0</v>
      </c>
      <c r="AG7490" s="7">
        <v>-21.1</v>
      </c>
      <c r="AH7490" s="10">
        <f t="shared" si="131"/>
        <v>-21</v>
      </c>
    </row>
    <row r="7491" spans="11:34" ht="14.5" x14ac:dyDescent="0.35">
      <c r="K7491" s="4"/>
      <c r="AC7491" s="7">
        <v>2022</v>
      </c>
      <c r="AD7491" s="7">
        <v>11</v>
      </c>
      <c r="AE7491" s="7">
        <v>9</v>
      </c>
      <c r="AF7491" s="8">
        <v>4.1666666666666664E-2</v>
      </c>
      <c r="AG7491" s="7">
        <v>-21.1</v>
      </c>
      <c r="AH7491" s="10">
        <f t="shared" si="131"/>
        <v>-21</v>
      </c>
    </row>
    <row r="7492" spans="11:34" ht="14.5" x14ac:dyDescent="0.35">
      <c r="K7492" s="4"/>
      <c r="AC7492" s="7">
        <v>2022</v>
      </c>
      <c r="AD7492" s="7">
        <v>11</v>
      </c>
      <c r="AE7492" s="7">
        <v>9</v>
      </c>
      <c r="AF7492" s="8">
        <v>8.3333333333333329E-2</v>
      </c>
      <c r="AG7492" s="7">
        <v>-21.7</v>
      </c>
      <c r="AH7492" s="10">
        <f t="shared" si="131"/>
        <v>-22</v>
      </c>
    </row>
    <row r="7493" spans="11:34" ht="14.5" x14ac:dyDescent="0.35">
      <c r="K7493" s="4"/>
      <c r="AC7493" s="7">
        <v>2022</v>
      </c>
      <c r="AD7493" s="7">
        <v>11</v>
      </c>
      <c r="AE7493" s="7">
        <v>9</v>
      </c>
      <c r="AF7493" s="8">
        <v>0.125</v>
      </c>
      <c r="AG7493" s="7">
        <v>-22.5</v>
      </c>
      <c r="AH7493" s="10">
        <f t="shared" si="131"/>
        <v>-23</v>
      </c>
    </row>
    <row r="7494" spans="11:34" ht="14.5" x14ac:dyDescent="0.35">
      <c r="K7494" s="4"/>
      <c r="AC7494" s="7">
        <v>2022</v>
      </c>
      <c r="AD7494" s="7">
        <v>11</v>
      </c>
      <c r="AE7494" s="7">
        <v>9</v>
      </c>
      <c r="AF7494" s="8">
        <v>0.16666666666666666</v>
      </c>
      <c r="AG7494" s="7">
        <v>-21.3</v>
      </c>
      <c r="AH7494" s="10">
        <f t="shared" si="131"/>
        <v>-21</v>
      </c>
    </row>
    <row r="7495" spans="11:34" ht="14.5" x14ac:dyDescent="0.35">
      <c r="K7495" s="4"/>
      <c r="AC7495" s="7">
        <v>2022</v>
      </c>
      <c r="AD7495" s="7">
        <v>11</v>
      </c>
      <c r="AE7495" s="7">
        <v>9</v>
      </c>
      <c r="AF7495" s="8">
        <v>0.20833333333333334</v>
      </c>
      <c r="AG7495" s="7">
        <v>-22.4</v>
      </c>
      <c r="AH7495" s="10">
        <f t="shared" si="131"/>
        <v>-22</v>
      </c>
    </row>
    <row r="7496" spans="11:34" ht="14.5" x14ac:dyDescent="0.35">
      <c r="K7496" s="4"/>
      <c r="AC7496" s="7">
        <v>2022</v>
      </c>
      <c r="AD7496" s="7">
        <v>11</v>
      </c>
      <c r="AE7496" s="7">
        <v>9</v>
      </c>
      <c r="AF7496" s="8">
        <v>0.25</v>
      </c>
      <c r="AG7496" s="7">
        <v>-23.1</v>
      </c>
      <c r="AH7496" s="10">
        <f t="shared" si="131"/>
        <v>-23</v>
      </c>
    </row>
    <row r="7497" spans="11:34" ht="14.5" x14ac:dyDescent="0.35">
      <c r="K7497" s="4"/>
      <c r="AC7497" s="7">
        <v>2022</v>
      </c>
      <c r="AD7497" s="7">
        <v>11</v>
      </c>
      <c r="AE7497" s="7">
        <v>9</v>
      </c>
      <c r="AF7497" s="8">
        <v>0.29166666666666669</v>
      </c>
      <c r="AG7497" s="7">
        <v>-21.4</v>
      </c>
      <c r="AH7497" s="10">
        <f t="shared" si="131"/>
        <v>-21</v>
      </c>
    </row>
    <row r="7498" spans="11:34" ht="14.5" x14ac:dyDescent="0.35">
      <c r="K7498" s="4"/>
      <c r="AC7498" s="7">
        <v>2022</v>
      </c>
      <c r="AD7498" s="7">
        <v>11</v>
      </c>
      <c r="AE7498" s="7">
        <v>9</v>
      </c>
      <c r="AF7498" s="8">
        <v>0.33333333333333331</v>
      </c>
      <c r="AG7498" s="7">
        <v>-21.2</v>
      </c>
      <c r="AH7498" s="10">
        <f t="shared" si="131"/>
        <v>-21</v>
      </c>
    </row>
    <row r="7499" spans="11:34" ht="14.5" x14ac:dyDescent="0.35">
      <c r="K7499" s="4"/>
      <c r="AC7499" s="7">
        <v>2022</v>
      </c>
      <c r="AD7499" s="7">
        <v>11</v>
      </c>
      <c r="AE7499" s="7">
        <v>9</v>
      </c>
      <c r="AF7499" s="8">
        <v>0.375</v>
      </c>
      <c r="AG7499" s="7">
        <v>-20.399999999999999</v>
      </c>
      <c r="AH7499" s="10">
        <f t="shared" ref="AH7499:AH7562" si="132">ROUND(AG7499,0)</f>
        <v>-20</v>
      </c>
    </row>
    <row r="7500" spans="11:34" ht="14.5" x14ac:dyDescent="0.35">
      <c r="K7500" s="4"/>
      <c r="AC7500" s="7">
        <v>2022</v>
      </c>
      <c r="AD7500" s="7">
        <v>11</v>
      </c>
      <c r="AE7500" s="7">
        <v>9</v>
      </c>
      <c r="AF7500" s="8">
        <v>0.41666666666666669</v>
      </c>
      <c r="AG7500" s="7">
        <v>-18.600000000000001</v>
      </c>
      <c r="AH7500" s="10">
        <f t="shared" si="132"/>
        <v>-19</v>
      </c>
    </row>
    <row r="7501" spans="11:34" ht="14.5" x14ac:dyDescent="0.35">
      <c r="K7501" s="4"/>
      <c r="AC7501" s="7">
        <v>2022</v>
      </c>
      <c r="AD7501" s="7">
        <v>11</v>
      </c>
      <c r="AE7501" s="7">
        <v>9</v>
      </c>
      <c r="AF7501" s="8">
        <v>0.45833333333333331</v>
      </c>
      <c r="AG7501" s="7">
        <v>-18</v>
      </c>
      <c r="AH7501" s="10">
        <f t="shared" si="132"/>
        <v>-18</v>
      </c>
    </row>
    <row r="7502" spans="11:34" ht="14.5" x14ac:dyDescent="0.35">
      <c r="K7502" s="4"/>
      <c r="AC7502" s="7">
        <v>2022</v>
      </c>
      <c r="AD7502" s="7">
        <v>11</v>
      </c>
      <c r="AE7502" s="7">
        <v>9</v>
      </c>
      <c r="AF7502" s="8">
        <v>0.5</v>
      </c>
      <c r="AG7502" s="7">
        <v>-17.600000000000001</v>
      </c>
      <c r="AH7502" s="10">
        <f t="shared" si="132"/>
        <v>-18</v>
      </c>
    </row>
    <row r="7503" spans="11:34" ht="14.5" x14ac:dyDescent="0.35">
      <c r="K7503" s="4"/>
      <c r="AC7503" s="7">
        <v>2022</v>
      </c>
      <c r="AD7503" s="7">
        <v>11</v>
      </c>
      <c r="AE7503" s="7">
        <v>9</v>
      </c>
      <c r="AF7503" s="8">
        <v>0.54166666666666663</v>
      </c>
      <c r="AG7503" s="7">
        <v>-16.3</v>
      </c>
      <c r="AH7503" s="10">
        <f t="shared" si="132"/>
        <v>-16</v>
      </c>
    </row>
    <row r="7504" spans="11:34" ht="14.5" x14ac:dyDescent="0.35">
      <c r="K7504" s="4"/>
      <c r="AC7504" s="7">
        <v>2022</v>
      </c>
      <c r="AD7504" s="7">
        <v>11</v>
      </c>
      <c r="AE7504" s="7">
        <v>9</v>
      </c>
      <c r="AF7504" s="8">
        <v>0.58333333333333337</v>
      </c>
      <c r="AG7504" s="7">
        <v>-17.100000000000001</v>
      </c>
      <c r="AH7504" s="10">
        <f t="shared" si="132"/>
        <v>-17</v>
      </c>
    </row>
    <row r="7505" spans="11:34" ht="14.5" x14ac:dyDescent="0.35">
      <c r="K7505" s="4"/>
      <c r="AC7505" s="7">
        <v>2022</v>
      </c>
      <c r="AD7505" s="7">
        <v>11</v>
      </c>
      <c r="AE7505" s="7">
        <v>9</v>
      </c>
      <c r="AF7505" s="8">
        <v>0.625</v>
      </c>
      <c r="AG7505" s="7">
        <v>-16</v>
      </c>
      <c r="AH7505" s="10">
        <f t="shared" si="132"/>
        <v>-16</v>
      </c>
    </row>
    <row r="7506" spans="11:34" ht="14.5" x14ac:dyDescent="0.35">
      <c r="K7506" s="4"/>
      <c r="AC7506" s="7">
        <v>2022</v>
      </c>
      <c r="AD7506" s="7">
        <v>11</v>
      </c>
      <c r="AE7506" s="7">
        <v>9</v>
      </c>
      <c r="AF7506" s="8">
        <v>0.66666666666666663</v>
      </c>
      <c r="AG7506" s="7">
        <v>-16.399999999999999</v>
      </c>
      <c r="AH7506" s="10">
        <f t="shared" si="132"/>
        <v>-16</v>
      </c>
    </row>
    <row r="7507" spans="11:34" ht="14.5" x14ac:dyDescent="0.35">
      <c r="K7507" s="4"/>
      <c r="AC7507" s="7">
        <v>2022</v>
      </c>
      <c r="AD7507" s="7">
        <v>11</v>
      </c>
      <c r="AE7507" s="7">
        <v>9</v>
      </c>
      <c r="AF7507" s="8">
        <v>0.70833333333333337</v>
      </c>
      <c r="AG7507" s="7">
        <v>-18.3</v>
      </c>
      <c r="AH7507" s="10">
        <f t="shared" si="132"/>
        <v>-18</v>
      </c>
    </row>
    <row r="7508" spans="11:34" ht="14.5" x14ac:dyDescent="0.35">
      <c r="K7508" s="4"/>
      <c r="AC7508" s="7">
        <v>2022</v>
      </c>
      <c r="AD7508" s="7">
        <v>11</v>
      </c>
      <c r="AE7508" s="7">
        <v>9</v>
      </c>
      <c r="AF7508" s="8">
        <v>0.75</v>
      </c>
      <c r="AG7508" s="7">
        <v>-20.6</v>
      </c>
      <c r="AH7508" s="10">
        <f t="shared" si="132"/>
        <v>-21</v>
      </c>
    </row>
    <row r="7509" spans="11:34" ht="14.5" x14ac:dyDescent="0.35">
      <c r="K7509" s="4"/>
      <c r="AC7509" s="7">
        <v>2022</v>
      </c>
      <c r="AD7509" s="7">
        <v>11</v>
      </c>
      <c r="AE7509" s="7">
        <v>9</v>
      </c>
      <c r="AF7509" s="8">
        <v>0.79166666666666663</v>
      </c>
      <c r="AG7509" s="7">
        <v>-20.6</v>
      </c>
      <c r="AH7509" s="10">
        <f t="shared" si="132"/>
        <v>-21</v>
      </c>
    </row>
    <row r="7510" spans="11:34" ht="14.5" x14ac:dyDescent="0.35">
      <c r="K7510" s="4"/>
      <c r="AC7510" s="7">
        <v>2022</v>
      </c>
      <c r="AD7510" s="7">
        <v>11</v>
      </c>
      <c r="AE7510" s="7">
        <v>9</v>
      </c>
      <c r="AF7510" s="8">
        <v>0.83333333333333337</v>
      </c>
      <c r="AG7510" s="7">
        <v>-20</v>
      </c>
      <c r="AH7510" s="10">
        <f t="shared" si="132"/>
        <v>-20</v>
      </c>
    </row>
    <row r="7511" spans="11:34" ht="14.5" x14ac:dyDescent="0.35">
      <c r="K7511" s="4"/>
      <c r="AC7511" s="7">
        <v>2022</v>
      </c>
      <c r="AD7511" s="7">
        <v>11</v>
      </c>
      <c r="AE7511" s="7">
        <v>9</v>
      </c>
      <c r="AF7511" s="8">
        <v>0.875</v>
      </c>
      <c r="AG7511" s="7">
        <v>-20</v>
      </c>
      <c r="AH7511" s="10">
        <f t="shared" si="132"/>
        <v>-20</v>
      </c>
    </row>
    <row r="7512" spans="11:34" ht="14.5" x14ac:dyDescent="0.35">
      <c r="K7512" s="4"/>
      <c r="AC7512" s="7">
        <v>2022</v>
      </c>
      <c r="AD7512" s="7">
        <v>11</v>
      </c>
      <c r="AE7512" s="7">
        <v>9</v>
      </c>
      <c r="AF7512" s="8">
        <v>0.91666666666666663</v>
      </c>
      <c r="AG7512" s="7">
        <v>-19.899999999999999</v>
      </c>
      <c r="AH7512" s="10">
        <f t="shared" si="132"/>
        <v>-20</v>
      </c>
    </row>
    <row r="7513" spans="11:34" ht="14.5" x14ac:dyDescent="0.35">
      <c r="K7513" s="4"/>
      <c r="AC7513" s="7">
        <v>2022</v>
      </c>
      <c r="AD7513" s="7">
        <v>11</v>
      </c>
      <c r="AE7513" s="7">
        <v>9</v>
      </c>
      <c r="AF7513" s="8">
        <v>0.95833333333333337</v>
      </c>
      <c r="AG7513" s="7">
        <v>-19.899999999999999</v>
      </c>
      <c r="AH7513" s="10">
        <f t="shared" si="132"/>
        <v>-20</v>
      </c>
    </row>
    <row r="7514" spans="11:34" ht="14.5" x14ac:dyDescent="0.35">
      <c r="K7514" s="4"/>
      <c r="AC7514" s="7">
        <v>2022</v>
      </c>
      <c r="AD7514" s="7">
        <v>11</v>
      </c>
      <c r="AE7514" s="7">
        <v>10</v>
      </c>
      <c r="AF7514" s="8">
        <v>0</v>
      </c>
      <c r="AG7514" s="7">
        <v>-19.600000000000001</v>
      </c>
      <c r="AH7514" s="10">
        <f t="shared" si="132"/>
        <v>-20</v>
      </c>
    </row>
    <row r="7515" spans="11:34" ht="14.5" x14ac:dyDescent="0.35">
      <c r="K7515" s="4"/>
      <c r="AC7515" s="7">
        <v>2022</v>
      </c>
      <c r="AD7515" s="7">
        <v>11</v>
      </c>
      <c r="AE7515" s="7">
        <v>10</v>
      </c>
      <c r="AF7515" s="8">
        <v>4.1666666666666664E-2</v>
      </c>
      <c r="AG7515" s="7">
        <v>-18.3</v>
      </c>
      <c r="AH7515" s="10">
        <f t="shared" si="132"/>
        <v>-18</v>
      </c>
    </row>
    <row r="7516" spans="11:34" ht="14.5" x14ac:dyDescent="0.35">
      <c r="K7516" s="4"/>
      <c r="AC7516" s="7">
        <v>2022</v>
      </c>
      <c r="AD7516" s="7">
        <v>11</v>
      </c>
      <c r="AE7516" s="7">
        <v>10</v>
      </c>
      <c r="AF7516" s="8">
        <v>8.3333333333333329E-2</v>
      </c>
      <c r="AG7516" s="7">
        <v>-18.7</v>
      </c>
      <c r="AH7516" s="10">
        <f t="shared" si="132"/>
        <v>-19</v>
      </c>
    </row>
    <row r="7517" spans="11:34" ht="14.5" x14ac:dyDescent="0.35">
      <c r="K7517" s="4"/>
      <c r="AC7517" s="7">
        <v>2022</v>
      </c>
      <c r="AD7517" s="7">
        <v>11</v>
      </c>
      <c r="AE7517" s="7">
        <v>10</v>
      </c>
      <c r="AF7517" s="8">
        <v>0.125</v>
      </c>
      <c r="AG7517" s="7">
        <v>-18.100000000000001</v>
      </c>
      <c r="AH7517" s="10">
        <f t="shared" si="132"/>
        <v>-18</v>
      </c>
    </row>
    <row r="7518" spans="11:34" ht="14.5" x14ac:dyDescent="0.35">
      <c r="K7518" s="4"/>
      <c r="AC7518" s="7">
        <v>2022</v>
      </c>
      <c r="AD7518" s="7">
        <v>11</v>
      </c>
      <c r="AE7518" s="7">
        <v>10</v>
      </c>
      <c r="AF7518" s="8">
        <v>0.16666666666666666</v>
      </c>
      <c r="AG7518" s="7">
        <v>-19.100000000000001</v>
      </c>
      <c r="AH7518" s="10">
        <f t="shared" si="132"/>
        <v>-19</v>
      </c>
    </row>
    <row r="7519" spans="11:34" ht="14.5" x14ac:dyDescent="0.35">
      <c r="K7519" s="4"/>
      <c r="AC7519" s="7">
        <v>2022</v>
      </c>
      <c r="AD7519" s="7">
        <v>11</v>
      </c>
      <c r="AE7519" s="7">
        <v>10</v>
      </c>
      <c r="AF7519" s="8">
        <v>0.20833333333333334</v>
      </c>
      <c r="AG7519" s="7">
        <v>-18</v>
      </c>
      <c r="AH7519" s="10">
        <f t="shared" si="132"/>
        <v>-18</v>
      </c>
    </row>
    <row r="7520" spans="11:34" ht="14.5" x14ac:dyDescent="0.35">
      <c r="K7520" s="4"/>
      <c r="AC7520" s="7">
        <v>2022</v>
      </c>
      <c r="AD7520" s="7">
        <v>11</v>
      </c>
      <c r="AE7520" s="7">
        <v>10</v>
      </c>
      <c r="AF7520" s="8">
        <v>0.25</v>
      </c>
      <c r="AG7520" s="7">
        <v>-18.100000000000001</v>
      </c>
      <c r="AH7520" s="10">
        <f t="shared" si="132"/>
        <v>-18</v>
      </c>
    </row>
    <row r="7521" spans="11:34" ht="14.5" x14ac:dyDescent="0.35">
      <c r="K7521" s="4"/>
      <c r="AC7521" s="7">
        <v>2022</v>
      </c>
      <c r="AD7521" s="7">
        <v>11</v>
      </c>
      <c r="AE7521" s="7">
        <v>10</v>
      </c>
      <c r="AF7521" s="8">
        <v>0.29166666666666669</v>
      </c>
      <c r="AG7521" s="7">
        <v>-17.8</v>
      </c>
      <c r="AH7521" s="10">
        <f t="shared" si="132"/>
        <v>-18</v>
      </c>
    </row>
    <row r="7522" spans="11:34" ht="14.5" x14ac:dyDescent="0.35">
      <c r="K7522" s="4"/>
      <c r="AC7522" s="7">
        <v>2022</v>
      </c>
      <c r="AD7522" s="7">
        <v>11</v>
      </c>
      <c r="AE7522" s="7">
        <v>10</v>
      </c>
      <c r="AF7522" s="8">
        <v>0.33333333333333331</v>
      </c>
      <c r="AG7522" s="7">
        <v>-18.899999999999999</v>
      </c>
      <c r="AH7522" s="10">
        <f t="shared" si="132"/>
        <v>-19</v>
      </c>
    </row>
    <row r="7523" spans="11:34" ht="14.5" x14ac:dyDescent="0.35">
      <c r="K7523" s="4"/>
      <c r="AC7523" s="7">
        <v>2022</v>
      </c>
      <c r="AD7523" s="7">
        <v>11</v>
      </c>
      <c r="AE7523" s="7">
        <v>10</v>
      </c>
      <c r="AF7523" s="8">
        <v>0.375</v>
      </c>
      <c r="AG7523" s="7">
        <v>-15.7</v>
      </c>
      <c r="AH7523" s="10">
        <f t="shared" si="132"/>
        <v>-16</v>
      </c>
    </row>
    <row r="7524" spans="11:34" ht="14.5" x14ac:dyDescent="0.35">
      <c r="K7524" s="4"/>
      <c r="AC7524" s="7">
        <v>2022</v>
      </c>
      <c r="AD7524" s="7">
        <v>11</v>
      </c>
      <c r="AE7524" s="7">
        <v>10</v>
      </c>
      <c r="AF7524" s="8">
        <v>0.41666666666666669</v>
      </c>
      <c r="AG7524" s="7">
        <v>-12.5</v>
      </c>
      <c r="AH7524" s="10">
        <f t="shared" si="132"/>
        <v>-13</v>
      </c>
    </row>
    <row r="7525" spans="11:34" ht="14.5" x14ac:dyDescent="0.35">
      <c r="K7525" s="4"/>
      <c r="AC7525" s="7">
        <v>2022</v>
      </c>
      <c r="AD7525" s="7">
        <v>11</v>
      </c>
      <c r="AE7525" s="7">
        <v>10</v>
      </c>
      <c r="AF7525" s="8">
        <v>0.45833333333333331</v>
      </c>
      <c r="AG7525" s="7">
        <v>-10.1</v>
      </c>
      <c r="AH7525" s="10">
        <f t="shared" si="132"/>
        <v>-10</v>
      </c>
    </row>
    <row r="7526" spans="11:34" ht="14.5" x14ac:dyDescent="0.35">
      <c r="K7526" s="4"/>
      <c r="AC7526" s="7">
        <v>2022</v>
      </c>
      <c r="AD7526" s="7">
        <v>11</v>
      </c>
      <c r="AE7526" s="7">
        <v>10</v>
      </c>
      <c r="AF7526" s="8">
        <v>0.5</v>
      </c>
      <c r="AG7526" s="7">
        <v>-7.9</v>
      </c>
      <c r="AH7526" s="10">
        <f t="shared" si="132"/>
        <v>-8</v>
      </c>
    </row>
    <row r="7527" spans="11:34" ht="14.5" x14ac:dyDescent="0.35">
      <c r="K7527" s="4"/>
      <c r="AC7527" s="7">
        <v>2022</v>
      </c>
      <c r="AD7527" s="7">
        <v>11</v>
      </c>
      <c r="AE7527" s="7">
        <v>10</v>
      </c>
      <c r="AF7527" s="8">
        <v>0.54166666666666663</v>
      </c>
      <c r="AG7527" s="7">
        <v>-6.7</v>
      </c>
      <c r="AH7527" s="10">
        <f t="shared" si="132"/>
        <v>-7</v>
      </c>
    </row>
    <row r="7528" spans="11:34" ht="14.5" x14ac:dyDescent="0.35">
      <c r="K7528" s="4"/>
      <c r="AC7528" s="7">
        <v>2022</v>
      </c>
      <c r="AD7528" s="7">
        <v>11</v>
      </c>
      <c r="AE7528" s="7">
        <v>10</v>
      </c>
      <c r="AF7528" s="8">
        <v>0.58333333333333337</v>
      </c>
      <c r="AG7528" s="7">
        <v>-5.5</v>
      </c>
      <c r="AH7528" s="10">
        <f t="shared" si="132"/>
        <v>-6</v>
      </c>
    </row>
    <row r="7529" spans="11:34" ht="14.5" x14ac:dyDescent="0.35">
      <c r="K7529" s="4"/>
      <c r="AC7529" s="7">
        <v>2022</v>
      </c>
      <c r="AD7529" s="7">
        <v>11</v>
      </c>
      <c r="AE7529" s="7">
        <v>10</v>
      </c>
      <c r="AF7529" s="8">
        <v>0.625</v>
      </c>
      <c r="AG7529" s="7">
        <v>-5.9</v>
      </c>
      <c r="AH7529" s="10">
        <f t="shared" si="132"/>
        <v>-6</v>
      </c>
    </row>
    <row r="7530" spans="11:34" ht="14.5" x14ac:dyDescent="0.35">
      <c r="K7530" s="4"/>
      <c r="AC7530" s="7">
        <v>2022</v>
      </c>
      <c r="AD7530" s="7">
        <v>11</v>
      </c>
      <c r="AE7530" s="7">
        <v>10</v>
      </c>
      <c r="AF7530" s="8">
        <v>0.66666666666666663</v>
      </c>
      <c r="AG7530" s="7">
        <v>-5.9</v>
      </c>
      <c r="AH7530" s="10">
        <f t="shared" si="132"/>
        <v>-6</v>
      </c>
    </row>
    <row r="7531" spans="11:34" ht="14.5" x14ac:dyDescent="0.35">
      <c r="K7531" s="4"/>
      <c r="AC7531" s="7">
        <v>2022</v>
      </c>
      <c r="AD7531" s="7">
        <v>11</v>
      </c>
      <c r="AE7531" s="7">
        <v>10</v>
      </c>
      <c r="AF7531" s="8">
        <v>0.70833333333333337</v>
      </c>
      <c r="AG7531" s="7">
        <v>-9.1999999999999993</v>
      </c>
      <c r="AH7531" s="10">
        <f t="shared" si="132"/>
        <v>-9</v>
      </c>
    </row>
    <row r="7532" spans="11:34" ht="14.5" x14ac:dyDescent="0.35">
      <c r="K7532" s="4"/>
      <c r="AC7532" s="7">
        <v>2022</v>
      </c>
      <c r="AD7532" s="7">
        <v>11</v>
      </c>
      <c r="AE7532" s="7">
        <v>10</v>
      </c>
      <c r="AF7532" s="8">
        <v>0.75</v>
      </c>
      <c r="AG7532" s="7">
        <v>-11.2</v>
      </c>
      <c r="AH7532" s="10">
        <f t="shared" si="132"/>
        <v>-11</v>
      </c>
    </row>
    <row r="7533" spans="11:34" ht="14.5" x14ac:dyDescent="0.35">
      <c r="K7533" s="4"/>
      <c r="AC7533" s="7">
        <v>2022</v>
      </c>
      <c r="AD7533" s="7">
        <v>11</v>
      </c>
      <c r="AE7533" s="7">
        <v>10</v>
      </c>
      <c r="AF7533" s="8">
        <v>0.79166666666666663</v>
      </c>
      <c r="AG7533" s="7">
        <v>-13.3</v>
      </c>
      <c r="AH7533" s="10">
        <f t="shared" si="132"/>
        <v>-13</v>
      </c>
    </row>
    <row r="7534" spans="11:34" ht="14.5" x14ac:dyDescent="0.35">
      <c r="K7534" s="4"/>
      <c r="AC7534" s="7">
        <v>2022</v>
      </c>
      <c r="AD7534" s="7">
        <v>11</v>
      </c>
      <c r="AE7534" s="7">
        <v>10</v>
      </c>
      <c r="AF7534" s="8">
        <v>0.83333333333333337</v>
      </c>
      <c r="AG7534" s="7">
        <v>-14.1</v>
      </c>
      <c r="AH7534" s="10">
        <f t="shared" si="132"/>
        <v>-14</v>
      </c>
    </row>
    <row r="7535" spans="11:34" ht="14.5" x14ac:dyDescent="0.35">
      <c r="K7535" s="4"/>
      <c r="AC7535" s="7">
        <v>2022</v>
      </c>
      <c r="AD7535" s="7">
        <v>11</v>
      </c>
      <c r="AE7535" s="7">
        <v>10</v>
      </c>
      <c r="AF7535" s="8">
        <v>0.875</v>
      </c>
      <c r="AG7535" s="7">
        <v>-13.2</v>
      </c>
      <c r="AH7535" s="10">
        <f t="shared" si="132"/>
        <v>-13</v>
      </c>
    </row>
    <row r="7536" spans="11:34" ht="14.5" x14ac:dyDescent="0.35">
      <c r="K7536" s="4"/>
      <c r="AC7536" s="7">
        <v>2022</v>
      </c>
      <c r="AD7536" s="7">
        <v>11</v>
      </c>
      <c r="AE7536" s="7">
        <v>10</v>
      </c>
      <c r="AF7536" s="8">
        <v>0.91666666666666663</v>
      </c>
      <c r="AG7536" s="7">
        <v>-12.9</v>
      </c>
      <c r="AH7536" s="10">
        <f t="shared" si="132"/>
        <v>-13</v>
      </c>
    </row>
    <row r="7537" spans="11:34" ht="14.5" x14ac:dyDescent="0.35">
      <c r="K7537" s="4"/>
      <c r="AC7537" s="7">
        <v>2022</v>
      </c>
      <c r="AD7537" s="7">
        <v>11</v>
      </c>
      <c r="AE7537" s="7">
        <v>10</v>
      </c>
      <c r="AF7537" s="8">
        <v>0.95833333333333337</v>
      </c>
      <c r="AG7537" s="7">
        <v>-13.8</v>
      </c>
      <c r="AH7537" s="10">
        <f t="shared" si="132"/>
        <v>-14</v>
      </c>
    </row>
    <row r="7538" spans="11:34" ht="14.5" x14ac:dyDescent="0.35">
      <c r="K7538" s="4"/>
      <c r="AC7538" s="7">
        <v>2022</v>
      </c>
      <c r="AD7538" s="7">
        <v>11</v>
      </c>
      <c r="AE7538" s="7">
        <v>11</v>
      </c>
      <c r="AF7538" s="8">
        <v>0</v>
      </c>
      <c r="AG7538" s="7">
        <v>-11.7</v>
      </c>
      <c r="AH7538" s="10">
        <f t="shared" si="132"/>
        <v>-12</v>
      </c>
    </row>
    <row r="7539" spans="11:34" ht="14.5" x14ac:dyDescent="0.35">
      <c r="K7539" s="4"/>
      <c r="AC7539" s="7">
        <v>2022</v>
      </c>
      <c r="AD7539" s="7">
        <v>11</v>
      </c>
      <c r="AE7539" s="7">
        <v>11</v>
      </c>
      <c r="AF7539" s="8">
        <v>4.1666666666666664E-2</v>
      </c>
      <c r="AG7539" s="7">
        <v>-13.2</v>
      </c>
      <c r="AH7539" s="10">
        <f t="shared" si="132"/>
        <v>-13</v>
      </c>
    </row>
    <row r="7540" spans="11:34" ht="14.5" x14ac:dyDescent="0.35">
      <c r="K7540" s="4"/>
      <c r="AC7540" s="7">
        <v>2022</v>
      </c>
      <c r="AD7540" s="7">
        <v>11</v>
      </c>
      <c r="AE7540" s="7">
        <v>11</v>
      </c>
      <c r="AF7540" s="8">
        <v>8.3333333333333329E-2</v>
      </c>
      <c r="AG7540" s="7">
        <v>-13.4</v>
      </c>
      <c r="AH7540" s="10">
        <f t="shared" si="132"/>
        <v>-13</v>
      </c>
    </row>
    <row r="7541" spans="11:34" ht="14.5" x14ac:dyDescent="0.35">
      <c r="K7541" s="4"/>
      <c r="AC7541" s="7">
        <v>2022</v>
      </c>
      <c r="AD7541" s="7">
        <v>11</v>
      </c>
      <c r="AE7541" s="7">
        <v>11</v>
      </c>
      <c r="AF7541" s="8">
        <v>0.125</v>
      </c>
      <c r="AG7541" s="7">
        <v>-12.7</v>
      </c>
      <c r="AH7541" s="10">
        <f t="shared" si="132"/>
        <v>-13</v>
      </c>
    </row>
    <row r="7542" spans="11:34" ht="14.5" x14ac:dyDescent="0.35">
      <c r="K7542" s="4"/>
      <c r="AC7542" s="7">
        <v>2022</v>
      </c>
      <c r="AD7542" s="7">
        <v>11</v>
      </c>
      <c r="AE7542" s="7">
        <v>11</v>
      </c>
      <c r="AF7542" s="8">
        <v>0.16666666666666666</v>
      </c>
      <c r="AG7542" s="7">
        <v>-13.2</v>
      </c>
      <c r="AH7542" s="10">
        <f t="shared" si="132"/>
        <v>-13</v>
      </c>
    </row>
    <row r="7543" spans="11:34" ht="14.5" x14ac:dyDescent="0.35">
      <c r="K7543" s="4"/>
      <c r="AC7543" s="7">
        <v>2022</v>
      </c>
      <c r="AD7543" s="7">
        <v>11</v>
      </c>
      <c r="AE7543" s="7">
        <v>11</v>
      </c>
      <c r="AF7543" s="8">
        <v>0.20833333333333334</v>
      </c>
      <c r="AG7543" s="7">
        <v>-11.6</v>
      </c>
      <c r="AH7543" s="10">
        <f t="shared" si="132"/>
        <v>-12</v>
      </c>
    </row>
    <row r="7544" spans="11:34" ht="14.5" x14ac:dyDescent="0.35">
      <c r="K7544" s="4"/>
      <c r="AC7544" s="7">
        <v>2022</v>
      </c>
      <c r="AD7544" s="7">
        <v>11</v>
      </c>
      <c r="AE7544" s="7">
        <v>11</v>
      </c>
      <c r="AF7544" s="8">
        <v>0.25</v>
      </c>
      <c r="AG7544" s="7">
        <v>-11.8</v>
      </c>
      <c r="AH7544" s="10">
        <f t="shared" si="132"/>
        <v>-12</v>
      </c>
    </row>
    <row r="7545" spans="11:34" ht="14.5" x14ac:dyDescent="0.35">
      <c r="K7545" s="4"/>
      <c r="AC7545" s="7">
        <v>2022</v>
      </c>
      <c r="AD7545" s="7">
        <v>11</v>
      </c>
      <c r="AE7545" s="7">
        <v>11</v>
      </c>
      <c r="AF7545" s="8">
        <v>0.29166666666666669</v>
      </c>
      <c r="AG7545" s="7">
        <v>-10.199999999999999</v>
      </c>
      <c r="AH7545" s="10">
        <f t="shared" si="132"/>
        <v>-10</v>
      </c>
    </row>
    <row r="7546" spans="11:34" ht="14.5" x14ac:dyDescent="0.35">
      <c r="K7546" s="4"/>
      <c r="AC7546" s="7">
        <v>2022</v>
      </c>
      <c r="AD7546" s="7">
        <v>11</v>
      </c>
      <c r="AE7546" s="7">
        <v>11</v>
      </c>
      <c r="AF7546" s="8">
        <v>0.33333333333333331</v>
      </c>
      <c r="AG7546" s="7">
        <v>-10.6</v>
      </c>
      <c r="AH7546" s="10">
        <f t="shared" si="132"/>
        <v>-11</v>
      </c>
    </row>
    <row r="7547" spans="11:34" ht="14.5" x14ac:dyDescent="0.35">
      <c r="K7547" s="4"/>
      <c r="AC7547" s="7">
        <v>2022</v>
      </c>
      <c r="AD7547" s="7">
        <v>11</v>
      </c>
      <c r="AE7547" s="7">
        <v>11</v>
      </c>
      <c r="AF7547" s="8">
        <v>0.375</v>
      </c>
      <c r="AG7547" s="7">
        <v>-9.5</v>
      </c>
      <c r="AH7547" s="10">
        <f t="shared" si="132"/>
        <v>-10</v>
      </c>
    </row>
    <row r="7548" spans="11:34" ht="14.5" x14ac:dyDescent="0.35">
      <c r="K7548" s="4"/>
      <c r="AC7548" s="7">
        <v>2022</v>
      </c>
      <c r="AD7548" s="7">
        <v>11</v>
      </c>
      <c r="AE7548" s="7">
        <v>11</v>
      </c>
      <c r="AF7548" s="8">
        <v>0.41666666666666669</v>
      </c>
      <c r="AG7548" s="7">
        <v>-7</v>
      </c>
      <c r="AH7548" s="10">
        <f t="shared" si="132"/>
        <v>-7</v>
      </c>
    </row>
    <row r="7549" spans="11:34" ht="14.5" x14ac:dyDescent="0.35">
      <c r="K7549" s="4"/>
      <c r="AC7549" s="7">
        <v>2022</v>
      </c>
      <c r="AD7549" s="7">
        <v>11</v>
      </c>
      <c r="AE7549" s="7">
        <v>11</v>
      </c>
      <c r="AF7549" s="8">
        <v>0.45833333333333331</v>
      </c>
      <c r="AG7549" s="7">
        <v>-5.3</v>
      </c>
      <c r="AH7549" s="10">
        <f t="shared" si="132"/>
        <v>-5</v>
      </c>
    </row>
    <row r="7550" spans="11:34" ht="14.5" x14ac:dyDescent="0.35">
      <c r="K7550" s="4"/>
      <c r="AC7550" s="7">
        <v>2022</v>
      </c>
      <c r="AD7550" s="7">
        <v>11</v>
      </c>
      <c r="AE7550" s="7">
        <v>11</v>
      </c>
      <c r="AF7550" s="8">
        <v>0.5</v>
      </c>
      <c r="AG7550" s="7">
        <v>-3</v>
      </c>
      <c r="AH7550" s="10">
        <f t="shared" si="132"/>
        <v>-3</v>
      </c>
    </row>
    <row r="7551" spans="11:34" ht="14.5" x14ac:dyDescent="0.35">
      <c r="K7551" s="4"/>
      <c r="AC7551" s="7">
        <v>2022</v>
      </c>
      <c r="AD7551" s="7">
        <v>11</v>
      </c>
      <c r="AE7551" s="7">
        <v>11</v>
      </c>
      <c r="AF7551" s="8">
        <v>0.54166666666666663</v>
      </c>
      <c r="AG7551" s="7">
        <v>-0.8</v>
      </c>
      <c r="AH7551" s="10">
        <f t="shared" si="132"/>
        <v>-1</v>
      </c>
    </row>
    <row r="7552" spans="11:34" ht="14.5" x14ac:dyDescent="0.35">
      <c r="K7552" s="4"/>
      <c r="AC7552" s="7">
        <v>2022</v>
      </c>
      <c r="AD7552" s="7">
        <v>11</v>
      </c>
      <c r="AE7552" s="7">
        <v>11</v>
      </c>
      <c r="AF7552" s="8">
        <v>0.58333333333333337</v>
      </c>
      <c r="AG7552" s="7">
        <v>-0.3</v>
      </c>
      <c r="AH7552" s="10">
        <f t="shared" si="132"/>
        <v>0</v>
      </c>
    </row>
    <row r="7553" spans="11:34" ht="14.5" x14ac:dyDescent="0.35">
      <c r="K7553" s="4"/>
      <c r="AC7553" s="7">
        <v>2022</v>
      </c>
      <c r="AD7553" s="7">
        <v>11</v>
      </c>
      <c r="AE7553" s="7">
        <v>11</v>
      </c>
      <c r="AF7553" s="8">
        <v>0.625</v>
      </c>
      <c r="AG7553" s="7">
        <v>-0.3</v>
      </c>
      <c r="AH7553" s="10">
        <f t="shared" si="132"/>
        <v>0</v>
      </c>
    </row>
    <row r="7554" spans="11:34" ht="14.5" x14ac:dyDescent="0.35">
      <c r="K7554" s="4"/>
      <c r="AC7554" s="7">
        <v>2022</v>
      </c>
      <c r="AD7554" s="7">
        <v>11</v>
      </c>
      <c r="AE7554" s="7">
        <v>11</v>
      </c>
      <c r="AF7554" s="8">
        <v>0.66666666666666663</v>
      </c>
      <c r="AG7554" s="7">
        <v>-4</v>
      </c>
      <c r="AH7554" s="10">
        <f t="shared" si="132"/>
        <v>-4</v>
      </c>
    </row>
    <row r="7555" spans="11:34" ht="14.5" x14ac:dyDescent="0.35">
      <c r="K7555" s="4"/>
      <c r="AC7555" s="7">
        <v>2022</v>
      </c>
      <c r="AD7555" s="7">
        <v>11</v>
      </c>
      <c r="AE7555" s="7">
        <v>11</v>
      </c>
      <c r="AF7555" s="8">
        <v>0.70833333333333337</v>
      </c>
      <c r="AG7555" s="7">
        <v>-5.6</v>
      </c>
      <c r="AH7555" s="10">
        <f t="shared" si="132"/>
        <v>-6</v>
      </c>
    </row>
    <row r="7556" spans="11:34" ht="14.5" x14ac:dyDescent="0.35">
      <c r="K7556" s="4"/>
      <c r="AC7556" s="7">
        <v>2022</v>
      </c>
      <c r="AD7556" s="7">
        <v>11</v>
      </c>
      <c r="AE7556" s="7">
        <v>11</v>
      </c>
      <c r="AF7556" s="8">
        <v>0.75</v>
      </c>
      <c r="AG7556" s="7">
        <v>-8.4</v>
      </c>
      <c r="AH7556" s="10">
        <f t="shared" si="132"/>
        <v>-8</v>
      </c>
    </row>
    <row r="7557" spans="11:34" ht="14.5" x14ac:dyDescent="0.35">
      <c r="K7557" s="4"/>
      <c r="AC7557" s="7">
        <v>2022</v>
      </c>
      <c r="AD7557" s="7">
        <v>11</v>
      </c>
      <c r="AE7557" s="7">
        <v>11</v>
      </c>
      <c r="AF7557" s="8">
        <v>0.79166666666666663</v>
      </c>
      <c r="AG7557" s="7">
        <v>-8.6</v>
      </c>
      <c r="AH7557" s="10">
        <f t="shared" si="132"/>
        <v>-9</v>
      </c>
    </row>
    <row r="7558" spans="11:34" ht="14.5" x14ac:dyDescent="0.35">
      <c r="K7558" s="4"/>
      <c r="AC7558" s="7">
        <v>2022</v>
      </c>
      <c r="AD7558" s="7">
        <v>11</v>
      </c>
      <c r="AE7558" s="7">
        <v>11</v>
      </c>
      <c r="AF7558" s="8">
        <v>0.83333333333333337</v>
      </c>
      <c r="AG7558" s="7">
        <v>-11.3</v>
      </c>
      <c r="AH7558" s="10">
        <f t="shared" si="132"/>
        <v>-11</v>
      </c>
    </row>
    <row r="7559" spans="11:34" ht="14.5" x14ac:dyDescent="0.35">
      <c r="K7559" s="4"/>
      <c r="AC7559" s="7">
        <v>2022</v>
      </c>
      <c r="AD7559" s="7">
        <v>11</v>
      </c>
      <c r="AE7559" s="7">
        <v>11</v>
      </c>
      <c r="AF7559" s="8">
        <v>0.875</v>
      </c>
      <c r="AG7559" s="7">
        <v>-10.8</v>
      </c>
      <c r="AH7559" s="10">
        <f t="shared" si="132"/>
        <v>-11</v>
      </c>
    </row>
    <row r="7560" spans="11:34" ht="14.5" x14ac:dyDescent="0.35">
      <c r="K7560" s="4"/>
      <c r="AC7560" s="7">
        <v>2022</v>
      </c>
      <c r="AD7560" s="7">
        <v>11</v>
      </c>
      <c r="AE7560" s="7">
        <v>11</v>
      </c>
      <c r="AF7560" s="8">
        <v>0.91666666666666663</v>
      </c>
      <c r="AG7560" s="7">
        <v>-11.9</v>
      </c>
      <c r="AH7560" s="10">
        <f t="shared" si="132"/>
        <v>-12</v>
      </c>
    </row>
    <row r="7561" spans="11:34" ht="14.5" x14ac:dyDescent="0.35">
      <c r="K7561" s="4"/>
      <c r="AC7561" s="7">
        <v>2022</v>
      </c>
      <c r="AD7561" s="7">
        <v>11</v>
      </c>
      <c r="AE7561" s="7">
        <v>11</v>
      </c>
      <c r="AF7561" s="8">
        <v>0.95833333333333337</v>
      </c>
      <c r="AG7561" s="7">
        <v>-12.5</v>
      </c>
      <c r="AH7561" s="10">
        <f t="shared" si="132"/>
        <v>-13</v>
      </c>
    </row>
    <row r="7562" spans="11:34" ht="14.5" x14ac:dyDescent="0.35">
      <c r="K7562" s="4"/>
      <c r="AC7562" s="7">
        <v>2022</v>
      </c>
      <c r="AD7562" s="7">
        <v>11</v>
      </c>
      <c r="AE7562" s="7">
        <v>12</v>
      </c>
      <c r="AF7562" s="8">
        <v>0</v>
      </c>
      <c r="AG7562" s="7">
        <v>-11.6</v>
      </c>
      <c r="AH7562" s="10">
        <f t="shared" si="132"/>
        <v>-12</v>
      </c>
    </row>
    <row r="7563" spans="11:34" ht="14.5" x14ac:dyDescent="0.35">
      <c r="K7563" s="4"/>
      <c r="AC7563" s="7">
        <v>2022</v>
      </c>
      <c r="AD7563" s="7">
        <v>11</v>
      </c>
      <c r="AE7563" s="7">
        <v>12</v>
      </c>
      <c r="AF7563" s="8">
        <v>4.1666666666666664E-2</v>
      </c>
      <c r="AG7563" s="7">
        <v>-11</v>
      </c>
      <c r="AH7563" s="10">
        <f t="shared" ref="AH7563:AH7626" si="133">ROUND(AG7563,0)</f>
        <v>-11</v>
      </c>
    </row>
    <row r="7564" spans="11:34" ht="14.5" x14ac:dyDescent="0.35">
      <c r="K7564" s="4"/>
      <c r="AC7564" s="7">
        <v>2022</v>
      </c>
      <c r="AD7564" s="7">
        <v>11</v>
      </c>
      <c r="AE7564" s="7">
        <v>12</v>
      </c>
      <c r="AF7564" s="8">
        <v>8.3333333333333329E-2</v>
      </c>
      <c r="AG7564" s="7">
        <v>-10.199999999999999</v>
      </c>
      <c r="AH7564" s="10">
        <f t="shared" si="133"/>
        <v>-10</v>
      </c>
    </row>
    <row r="7565" spans="11:34" ht="14.5" x14ac:dyDescent="0.35">
      <c r="K7565" s="4"/>
      <c r="AC7565" s="7">
        <v>2022</v>
      </c>
      <c r="AD7565" s="7">
        <v>11</v>
      </c>
      <c r="AE7565" s="7">
        <v>12</v>
      </c>
      <c r="AF7565" s="8">
        <v>0.125</v>
      </c>
      <c r="AG7565" s="7">
        <v>-10.8</v>
      </c>
      <c r="AH7565" s="10">
        <f t="shared" si="133"/>
        <v>-11</v>
      </c>
    </row>
    <row r="7566" spans="11:34" ht="14.5" x14ac:dyDescent="0.35">
      <c r="K7566" s="4"/>
      <c r="AC7566" s="7">
        <v>2022</v>
      </c>
      <c r="AD7566" s="7">
        <v>11</v>
      </c>
      <c r="AE7566" s="7">
        <v>12</v>
      </c>
      <c r="AF7566" s="8">
        <v>0.16666666666666666</v>
      </c>
      <c r="AG7566" s="7">
        <v>-11.4</v>
      </c>
      <c r="AH7566" s="10">
        <f t="shared" si="133"/>
        <v>-11</v>
      </c>
    </row>
    <row r="7567" spans="11:34" ht="14.5" x14ac:dyDescent="0.35">
      <c r="K7567" s="4"/>
      <c r="AC7567" s="7">
        <v>2022</v>
      </c>
      <c r="AD7567" s="7">
        <v>11</v>
      </c>
      <c r="AE7567" s="7">
        <v>12</v>
      </c>
      <c r="AF7567" s="8">
        <v>0.20833333333333334</v>
      </c>
      <c r="AG7567" s="7">
        <v>-10.4</v>
      </c>
      <c r="AH7567" s="10">
        <f t="shared" si="133"/>
        <v>-10</v>
      </c>
    </row>
    <row r="7568" spans="11:34" ht="14.5" x14ac:dyDescent="0.35">
      <c r="K7568" s="4"/>
      <c r="AC7568" s="7">
        <v>2022</v>
      </c>
      <c r="AD7568" s="7">
        <v>11</v>
      </c>
      <c r="AE7568" s="7">
        <v>12</v>
      </c>
      <c r="AF7568" s="8">
        <v>0.25</v>
      </c>
      <c r="AG7568" s="7">
        <v>-7.1</v>
      </c>
      <c r="AH7568" s="10">
        <f t="shared" si="133"/>
        <v>-7</v>
      </c>
    </row>
    <row r="7569" spans="11:34" ht="14.5" x14ac:dyDescent="0.35">
      <c r="K7569" s="4"/>
      <c r="AC7569" s="7">
        <v>2022</v>
      </c>
      <c r="AD7569" s="7">
        <v>11</v>
      </c>
      <c r="AE7569" s="7">
        <v>12</v>
      </c>
      <c r="AF7569" s="8">
        <v>0.29166666666666669</v>
      </c>
      <c r="AG7569" s="7">
        <v>-3.3</v>
      </c>
      <c r="AH7569" s="10">
        <f t="shared" si="133"/>
        <v>-3</v>
      </c>
    </row>
    <row r="7570" spans="11:34" ht="14.5" x14ac:dyDescent="0.35">
      <c r="K7570" s="4"/>
      <c r="AC7570" s="7">
        <v>2022</v>
      </c>
      <c r="AD7570" s="7">
        <v>11</v>
      </c>
      <c r="AE7570" s="7">
        <v>12</v>
      </c>
      <c r="AF7570" s="8">
        <v>0.33333333333333331</v>
      </c>
      <c r="AG7570" s="7">
        <v>-3.4</v>
      </c>
      <c r="AH7570" s="10">
        <f t="shared" si="133"/>
        <v>-3</v>
      </c>
    </row>
    <row r="7571" spans="11:34" ht="14.5" x14ac:dyDescent="0.35">
      <c r="K7571" s="4"/>
      <c r="AC7571" s="7">
        <v>2022</v>
      </c>
      <c r="AD7571" s="7">
        <v>11</v>
      </c>
      <c r="AE7571" s="7">
        <v>12</v>
      </c>
      <c r="AF7571" s="8">
        <v>0.375</v>
      </c>
      <c r="AG7571" s="7">
        <v>-2.5</v>
      </c>
      <c r="AH7571" s="10">
        <f t="shared" si="133"/>
        <v>-3</v>
      </c>
    </row>
    <row r="7572" spans="11:34" ht="14.5" x14ac:dyDescent="0.35">
      <c r="K7572" s="4"/>
      <c r="AC7572" s="7">
        <v>2022</v>
      </c>
      <c r="AD7572" s="7">
        <v>11</v>
      </c>
      <c r="AE7572" s="7">
        <v>12</v>
      </c>
      <c r="AF7572" s="8">
        <v>0.41666666666666669</v>
      </c>
      <c r="AG7572" s="7">
        <v>-1.2</v>
      </c>
      <c r="AH7572" s="10">
        <f t="shared" si="133"/>
        <v>-1</v>
      </c>
    </row>
    <row r="7573" spans="11:34" ht="14.5" x14ac:dyDescent="0.35">
      <c r="K7573" s="4"/>
      <c r="AC7573" s="7">
        <v>2022</v>
      </c>
      <c r="AD7573" s="7">
        <v>11</v>
      </c>
      <c r="AE7573" s="7">
        <v>12</v>
      </c>
      <c r="AF7573" s="8">
        <v>0.45833333333333331</v>
      </c>
      <c r="AG7573" s="7">
        <v>-0.8</v>
      </c>
      <c r="AH7573" s="10">
        <f t="shared" si="133"/>
        <v>-1</v>
      </c>
    </row>
    <row r="7574" spans="11:34" ht="14.5" x14ac:dyDescent="0.35">
      <c r="K7574" s="4"/>
      <c r="AC7574" s="7">
        <v>2022</v>
      </c>
      <c r="AD7574" s="7">
        <v>11</v>
      </c>
      <c r="AE7574" s="7">
        <v>12</v>
      </c>
      <c r="AF7574" s="8">
        <v>0.5</v>
      </c>
      <c r="AG7574" s="7">
        <v>-1.2</v>
      </c>
      <c r="AH7574" s="10">
        <f t="shared" si="133"/>
        <v>-1</v>
      </c>
    </row>
    <row r="7575" spans="11:34" ht="14.5" x14ac:dyDescent="0.35">
      <c r="K7575" s="4"/>
      <c r="AC7575" s="7">
        <v>2022</v>
      </c>
      <c r="AD7575" s="7">
        <v>11</v>
      </c>
      <c r="AE7575" s="7">
        <v>12</v>
      </c>
      <c r="AF7575" s="8">
        <v>0.54166666666666663</v>
      </c>
      <c r="AG7575" s="7">
        <v>-1.5</v>
      </c>
      <c r="AH7575" s="10">
        <f t="shared" si="133"/>
        <v>-2</v>
      </c>
    </row>
    <row r="7576" spans="11:34" ht="14.5" x14ac:dyDescent="0.35">
      <c r="K7576" s="4"/>
      <c r="AC7576" s="7">
        <v>2022</v>
      </c>
      <c r="AD7576" s="7">
        <v>11</v>
      </c>
      <c r="AE7576" s="7">
        <v>12</v>
      </c>
      <c r="AF7576" s="8">
        <v>0.58333333333333337</v>
      </c>
      <c r="AG7576" s="7">
        <v>-1.2</v>
      </c>
      <c r="AH7576" s="10">
        <f t="shared" si="133"/>
        <v>-1</v>
      </c>
    </row>
    <row r="7577" spans="11:34" ht="14.5" x14ac:dyDescent="0.35">
      <c r="K7577" s="4"/>
      <c r="AC7577" s="7">
        <v>2022</v>
      </c>
      <c r="AD7577" s="7">
        <v>11</v>
      </c>
      <c r="AE7577" s="7">
        <v>12</v>
      </c>
      <c r="AF7577" s="8">
        <v>0.625</v>
      </c>
      <c r="AG7577" s="7">
        <v>-1.2</v>
      </c>
      <c r="AH7577" s="10">
        <f t="shared" si="133"/>
        <v>-1</v>
      </c>
    </row>
    <row r="7578" spans="11:34" ht="14.5" x14ac:dyDescent="0.35">
      <c r="K7578" s="4"/>
      <c r="AC7578" s="7">
        <v>2022</v>
      </c>
      <c r="AD7578" s="7">
        <v>11</v>
      </c>
      <c r="AE7578" s="7">
        <v>12</v>
      </c>
      <c r="AF7578" s="8">
        <v>0.66666666666666663</v>
      </c>
      <c r="AG7578" s="7">
        <v>-0.9</v>
      </c>
      <c r="AH7578" s="10">
        <f t="shared" si="133"/>
        <v>-1</v>
      </c>
    </row>
    <row r="7579" spans="11:34" ht="14.5" x14ac:dyDescent="0.35">
      <c r="K7579" s="4"/>
      <c r="AC7579" s="7">
        <v>2022</v>
      </c>
      <c r="AD7579" s="7">
        <v>11</v>
      </c>
      <c r="AE7579" s="7">
        <v>12</v>
      </c>
      <c r="AF7579" s="8">
        <v>0.70833333333333337</v>
      </c>
      <c r="AG7579" s="7">
        <v>-1.4</v>
      </c>
      <c r="AH7579" s="10">
        <f t="shared" si="133"/>
        <v>-1</v>
      </c>
    </row>
    <row r="7580" spans="11:34" ht="14.5" x14ac:dyDescent="0.35">
      <c r="K7580" s="4"/>
      <c r="AC7580" s="7">
        <v>2022</v>
      </c>
      <c r="AD7580" s="7">
        <v>11</v>
      </c>
      <c r="AE7580" s="7">
        <v>12</v>
      </c>
      <c r="AF7580" s="8">
        <v>0.75</v>
      </c>
      <c r="AG7580" s="7">
        <v>-1.6</v>
      </c>
      <c r="AH7580" s="10">
        <f t="shared" si="133"/>
        <v>-2</v>
      </c>
    </row>
    <row r="7581" spans="11:34" ht="14.5" x14ac:dyDescent="0.35">
      <c r="K7581" s="4"/>
      <c r="AC7581" s="7">
        <v>2022</v>
      </c>
      <c r="AD7581" s="7">
        <v>11</v>
      </c>
      <c r="AE7581" s="7">
        <v>12</v>
      </c>
      <c r="AF7581" s="8">
        <v>0.79166666666666663</v>
      </c>
      <c r="AG7581" s="7">
        <v>-1.5</v>
      </c>
      <c r="AH7581" s="10">
        <f t="shared" si="133"/>
        <v>-2</v>
      </c>
    </row>
    <row r="7582" spans="11:34" ht="14.5" x14ac:dyDescent="0.35">
      <c r="K7582" s="4"/>
      <c r="AC7582" s="7">
        <v>2022</v>
      </c>
      <c r="AD7582" s="7">
        <v>11</v>
      </c>
      <c r="AE7582" s="7">
        <v>12</v>
      </c>
      <c r="AF7582" s="8">
        <v>0.83333333333333337</v>
      </c>
      <c r="AG7582" s="7">
        <v>-2</v>
      </c>
      <c r="AH7582" s="10">
        <f t="shared" si="133"/>
        <v>-2</v>
      </c>
    </row>
    <row r="7583" spans="11:34" ht="14.5" x14ac:dyDescent="0.35">
      <c r="K7583" s="4"/>
      <c r="AC7583" s="7">
        <v>2022</v>
      </c>
      <c r="AD7583" s="7">
        <v>11</v>
      </c>
      <c r="AE7583" s="7">
        <v>12</v>
      </c>
      <c r="AF7583" s="8">
        <v>0.875</v>
      </c>
      <c r="AG7583" s="7">
        <v>-1.8</v>
      </c>
      <c r="AH7583" s="10">
        <f t="shared" si="133"/>
        <v>-2</v>
      </c>
    </row>
    <row r="7584" spans="11:34" ht="14.5" x14ac:dyDescent="0.35">
      <c r="K7584" s="4"/>
      <c r="AC7584" s="7">
        <v>2022</v>
      </c>
      <c r="AD7584" s="7">
        <v>11</v>
      </c>
      <c r="AE7584" s="7">
        <v>12</v>
      </c>
      <c r="AF7584" s="8">
        <v>0.91666666666666663</v>
      </c>
      <c r="AG7584" s="7">
        <v>-1.5</v>
      </c>
      <c r="AH7584" s="10">
        <f t="shared" si="133"/>
        <v>-2</v>
      </c>
    </row>
    <row r="7585" spans="11:34" ht="14.5" x14ac:dyDescent="0.35">
      <c r="K7585" s="4"/>
      <c r="AC7585" s="7">
        <v>2022</v>
      </c>
      <c r="AD7585" s="7">
        <v>11</v>
      </c>
      <c r="AE7585" s="7">
        <v>12</v>
      </c>
      <c r="AF7585" s="8">
        <v>0.95833333333333337</v>
      </c>
      <c r="AG7585" s="7">
        <v>-2</v>
      </c>
      <c r="AH7585" s="10">
        <f t="shared" si="133"/>
        <v>-2</v>
      </c>
    </row>
    <row r="7586" spans="11:34" ht="14.5" x14ac:dyDescent="0.35">
      <c r="K7586" s="4"/>
      <c r="AC7586" s="7">
        <v>2022</v>
      </c>
      <c r="AD7586" s="7">
        <v>11</v>
      </c>
      <c r="AE7586" s="7">
        <v>13</v>
      </c>
      <c r="AF7586" s="8">
        <v>0</v>
      </c>
      <c r="AG7586" s="7">
        <v>-3</v>
      </c>
      <c r="AH7586" s="10">
        <f t="shared" si="133"/>
        <v>-3</v>
      </c>
    </row>
    <row r="7587" spans="11:34" ht="14.5" x14ac:dyDescent="0.35">
      <c r="K7587" s="4"/>
      <c r="AC7587" s="7">
        <v>2022</v>
      </c>
      <c r="AD7587" s="7">
        <v>11</v>
      </c>
      <c r="AE7587" s="7">
        <v>13</v>
      </c>
      <c r="AF7587" s="8">
        <v>4.1666666666666664E-2</v>
      </c>
      <c r="AG7587" s="7">
        <v>-5.3</v>
      </c>
      <c r="AH7587" s="10">
        <f t="shared" si="133"/>
        <v>-5</v>
      </c>
    </row>
    <row r="7588" spans="11:34" ht="14.5" x14ac:dyDescent="0.35">
      <c r="K7588" s="4"/>
      <c r="AC7588" s="7">
        <v>2022</v>
      </c>
      <c r="AD7588" s="7">
        <v>11</v>
      </c>
      <c r="AE7588" s="7">
        <v>13</v>
      </c>
      <c r="AF7588" s="8">
        <v>8.3333333333333329E-2</v>
      </c>
      <c r="AG7588" s="7">
        <v>-7.1</v>
      </c>
      <c r="AH7588" s="10">
        <f t="shared" si="133"/>
        <v>-7</v>
      </c>
    </row>
    <row r="7589" spans="11:34" ht="14.5" x14ac:dyDescent="0.35">
      <c r="K7589" s="4"/>
      <c r="AC7589" s="7">
        <v>2022</v>
      </c>
      <c r="AD7589" s="7">
        <v>11</v>
      </c>
      <c r="AE7589" s="7">
        <v>13</v>
      </c>
      <c r="AF7589" s="8">
        <v>0.125</v>
      </c>
      <c r="AG7589" s="7">
        <v>-8.3000000000000007</v>
      </c>
      <c r="AH7589" s="10">
        <f t="shared" si="133"/>
        <v>-8</v>
      </c>
    </row>
    <row r="7590" spans="11:34" ht="14.5" x14ac:dyDescent="0.35">
      <c r="K7590" s="4"/>
      <c r="AC7590" s="7">
        <v>2022</v>
      </c>
      <c r="AD7590" s="7">
        <v>11</v>
      </c>
      <c r="AE7590" s="7">
        <v>13</v>
      </c>
      <c r="AF7590" s="8">
        <v>0.16666666666666666</v>
      </c>
      <c r="AG7590" s="7">
        <v>-8.6</v>
      </c>
      <c r="AH7590" s="10">
        <f t="shared" si="133"/>
        <v>-9</v>
      </c>
    </row>
    <row r="7591" spans="11:34" ht="14.5" x14ac:dyDescent="0.35">
      <c r="K7591" s="4"/>
      <c r="AC7591" s="7">
        <v>2022</v>
      </c>
      <c r="AD7591" s="7">
        <v>11</v>
      </c>
      <c r="AE7591" s="7">
        <v>13</v>
      </c>
      <c r="AF7591" s="8">
        <v>0.20833333333333334</v>
      </c>
      <c r="AG7591" s="7">
        <v>-10.5</v>
      </c>
      <c r="AH7591" s="10">
        <f t="shared" si="133"/>
        <v>-11</v>
      </c>
    </row>
    <row r="7592" spans="11:34" ht="14.5" x14ac:dyDescent="0.35">
      <c r="K7592" s="4"/>
      <c r="AC7592" s="7">
        <v>2022</v>
      </c>
      <c r="AD7592" s="7">
        <v>11</v>
      </c>
      <c r="AE7592" s="7">
        <v>13</v>
      </c>
      <c r="AF7592" s="8">
        <v>0.25</v>
      </c>
      <c r="AG7592" s="7">
        <v>-11.6</v>
      </c>
      <c r="AH7592" s="10">
        <f t="shared" si="133"/>
        <v>-12</v>
      </c>
    </row>
    <row r="7593" spans="11:34" ht="14.5" x14ac:dyDescent="0.35">
      <c r="K7593" s="4"/>
      <c r="AC7593" s="7">
        <v>2022</v>
      </c>
      <c r="AD7593" s="7">
        <v>11</v>
      </c>
      <c r="AE7593" s="7">
        <v>13</v>
      </c>
      <c r="AF7593" s="8">
        <v>0.29166666666666669</v>
      </c>
      <c r="AG7593" s="7">
        <v>-10.1</v>
      </c>
      <c r="AH7593" s="10">
        <f t="shared" si="133"/>
        <v>-10</v>
      </c>
    </row>
    <row r="7594" spans="11:34" ht="14.5" x14ac:dyDescent="0.35">
      <c r="K7594" s="4"/>
      <c r="AC7594" s="7">
        <v>2022</v>
      </c>
      <c r="AD7594" s="7">
        <v>11</v>
      </c>
      <c r="AE7594" s="7">
        <v>13</v>
      </c>
      <c r="AF7594" s="8">
        <v>0.33333333333333331</v>
      </c>
      <c r="AG7594" s="7">
        <v>-11</v>
      </c>
      <c r="AH7594" s="10">
        <f t="shared" si="133"/>
        <v>-11</v>
      </c>
    </row>
    <row r="7595" spans="11:34" ht="14.5" x14ac:dyDescent="0.35">
      <c r="K7595" s="4"/>
      <c r="AC7595" s="7">
        <v>2022</v>
      </c>
      <c r="AD7595" s="7">
        <v>11</v>
      </c>
      <c r="AE7595" s="7">
        <v>13</v>
      </c>
      <c r="AF7595" s="8">
        <v>0.375</v>
      </c>
      <c r="AG7595" s="7">
        <v>-8</v>
      </c>
      <c r="AH7595" s="10">
        <f t="shared" si="133"/>
        <v>-8</v>
      </c>
    </row>
    <row r="7596" spans="11:34" ht="14.5" x14ac:dyDescent="0.35">
      <c r="K7596" s="4"/>
      <c r="AC7596" s="7">
        <v>2022</v>
      </c>
      <c r="AD7596" s="7">
        <v>11</v>
      </c>
      <c r="AE7596" s="7">
        <v>13</v>
      </c>
      <c r="AF7596" s="8">
        <v>0.41666666666666669</v>
      </c>
      <c r="AG7596" s="7">
        <v>-6.4</v>
      </c>
      <c r="AH7596" s="10">
        <f t="shared" si="133"/>
        <v>-6</v>
      </c>
    </row>
    <row r="7597" spans="11:34" ht="14.5" x14ac:dyDescent="0.35">
      <c r="K7597" s="4"/>
      <c r="AC7597" s="7">
        <v>2022</v>
      </c>
      <c r="AD7597" s="7">
        <v>11</v>
      </c>
      <c r="AE7597" s="7">
        <v>13</v>
      </c>
      <c r="AF7597" s="8">
        <v>0.45833333333333331</v>
      </c>
      <c r="AG7597" s="7">
        <v>-3</v>
      </c>
      <c r="AH7597" s="10">
        <f t="shared" si="133"/>
        <v>-3</v>
      </c>
    </row>
    <row r="7598" spans="11:34" ht="14.5" x14ac:dyDescent="0.35">
      <c r="K7598" s="4"/>
      <c r="AC7598" s="7">
        <v>2022</v>
      </c>
      <c r="AD7598" s="7">
        <v>11</v>
      </c>
      <c r="AE7598" s="7">
        <v>13</v>
      </c>
      <c r="AF7598" s="8">
        <v>0.5</v>
      </c>
      <c r="AG7598" s="7">
        <v>-1.9</v>
      </c>
      <c r="AH7598" s="10">
        <f t="shared" si="133"/>
        <v>-2</v>
      </c>
    </row>
    <row r="7599" spans="11:34" ht="14.5" x14ac:dyDescent="0.35">
      <c r="K7599" s="4"/>
      <c r="AC7599" s="7">
        <v>2022</v>
      </c>
      <c r="AD7599" s="7">
        <v>11</v>
      </c>
      <c r="AE7599" s="7">
        <v>13</v>
      </c>
      <c r="AF7599" s="8">
        <v>0.54166666666666663</v>
      </c>
      <c r="AG7599" s="7">
        <v>0.2</v>
      </c>
      <c r="AH7599" s="10">
        <f t="shared" si="133"/>
        <v>0</v>
      </c>
    </row>
    <row r="7600" spans="11:34" ht="14.5" x14ac:dyDescent="0.35">
      <c r="K7600" s="4"/>
      <c r="AC7600" s="7">
        <v>2022</v>
      </c>
      <c r="AD7600" s="7">
        <v>11</v>
      </c>
      <c r="AE7600" s="7">
        <v>13</v>
      </c>
      <c r="AF7600" s="8">
        <v>0.58333333333333337</v>
      </c>
      <c r="AG7600" s="7">
        <v>0.2</v>
      </c>
      <c r="AH7600" s="10">
        <f t="shared" si="133"/>
        <v>0</v>
      </c>
    </row>
    <row r="7601" spans="11:34" ht="14.5" x14ac:dyDescent="0.35">
      <c r="K7601" s="4"/>
      <c r="AC7601" s="7">
        <v>2022</v>
      </c>
      <c r="AD7601" s="7">
        <v>11</v>
      </c>
      <c r="AE7601" s="7">
        <v>13</v>
      </c>
      <c r="AF7601" s="8">
        <v>0.625</v>
      </c>
      <c r="AG7601" s="7">
        <v>1.8</v>
      </c>
      <c r="AH7601" s="10">
        <f t="shared" si="133"/>
        <v>2</v>
      </c>
    </row>
    <row r="7602" spans="11:34" ht="14.5" x14ac:dyDescent="0.35">
      <c r="K7602" s="4"/>
      <c r="AC7602" s="7">
        <v>2022</v>
      </c>
      <c r="AD7602" s="7">
        <v>11</v>
      </c>
      <c r="AE7602" s="7">
        <v>13</v>
      </c>
      <c r="AF7602" s="8">
        <v>0.66666666666666663</v>
      </c>
      <c r="AG7602" s="7">
        <v>1</v>
      </c>
      <c r="AH7602" s="10">
        <f t="shared" si="133"/>
        <v>1</v>
      </c>
    </row>
    <row r="7603" spans="11:34" ht="14.5" x14ac:dyDescent="0.35">
      <c r="K7603" s="4"/>
      <c r="AC7603" s="7">
        <v>2022</v>
      </c>
      <c r="AD7603" s="7">
        <v>11</v>
      </c>
      <c r="AE7603" s="7">
        <v>13</v>
      </c>
      <c r="AF7603" s="8">
        <v>0.70833333333333337</v>
      </c>
      <c r="AG7603" s="7">
        <v>-1.4</v>
      </c>
      <c r="AH7603" s="10">
        <f t="shared" si="133"/>
        <v>-1</v>
      </c>
    </row>
    <row r="7604" spans="11:34" ht="14.5" x14ac:dyDescent="0.35">
      <c r="K7604" s="4"/>
      <c r="AC7604" s="7">
        <v>2022</v>
      </c>
      <c r="AD7604" s="7">
        <v>11</v>
      </c>
      <c r="AE7604" s="7">
        <v>13</v>
      </c>
      <c r="AF7604" s="8">
        <v>0.75</v>
      </c>
      <c r="AG7604" s="7">
        <v>-3.1</v>
      </c>
      <c r="AH7604" s="10">
        <f t="shared" si="133"/>
        <v>-3</v>
      </c>
    </row>
    <row r="7605" spans="11:34" ht="14.5" x14ac:dyDescent="0.35">
      <c r="K7605" s="4"/>
      <c r="AC7605" s="7">
        <v>2022</v>
      </c>
      <c r="AD7605" s="7">
        <v>11</v>
      </c>
      <c r="AE7605" s="7">
        <v>13</v>
      </c>
      <c r="AF7605" s="8">
        <v>0.79166666666666663</v>
      </c>
      <c r="AG7605" s="7">
        <v>-4.3</v>
      </c>
      <c r="AH7605" s="10">
        <f t="shared" si="133"/>
        <v>-4</v>
      </c>
    </row>
    <row r="7606" spans="11:34" ht="14.5" x14ac:dyDescent="0.35">
      <c r="K7606" s="4"/>
      <c r="AC7606" s="7">
        <v>2022</v>
      </c>
      <c r="AD7606" s="7">
        <v>11</v>
      </c>
      <c r="AE7606" s="7">
        <v>13</v>
      </c>
      <c r="AF7606" s="8">
        <v>0.83333333333333337</v>
      </c>
      <c r="AG7606" s="7">
        <v>-3.9</v>
      </c>
      <c r="AH7606" s="10">
        <f t="shared" si="133"/>
        <v>-4</v>
      </c>
    </row>
    <row r="7607" spans="11:34" ht="14.5" x14ac:dyDescent="0.35">
      <c r="K7607" s="4"/>
      <c r="AC7607" s="7">
        <v>2022</v>
      </c>
      <c r="AD7607" s="7">
        <v>11</v>
      </c>
      <c r="AE7607" s="7">
        <v>13</v>
      </c>
      <c r="AF7607" s="8">
        <v>0.875</v>
      </c>
      <c r="AG7607" s="7">
        <v>-4</v>
      </c>
      <c r="AH7607" s="10">
        <f t="shared" si="133"/>
        <v>-4</v>
      </c>
    </row>
    <row r="7608" spans="11:34" ht="14.5" x14ac:dyDescent="0.35">
      <c r="K7608" s="4"/>
      <c r="AC7608" s="7">
        <v>2022</v>
      </c>
      <c r="AD7608" s="7">
        <v>11</v>
      </c>
      <c r="AE7608" s="7">
        <v>13</v>
      </c>
      <c r="AF7608" s="8">
        <v>0.91666666666666663</v>
      </c>
      <c r="AG7608" s="7">
        <v>-0.4</v>
      </c>
      <c r="AH7608" s="10">
        <f t="shared" si="133"/>
        <v>0</v>
      </c>
    </row>
    <row r="7609" spans="11:34" ht="14.5" x14ac:dyDescent="0.35">
      <c r="K7609" s="4"/>
      <c r="AC7609" s="7">
        <v>2022</v>
      </c>
      <c r="AD7609" s="7">
        <v>11</v>
      </c>
      <c r="AE7609" s="7">
        <v>13</v>
      </c>
      <c r="AF7609" s="8">
        <v>0.95833333333333337</v>
      </c>
      <c r="AG7609" s="7">
        <v>1</v>
      </c>
      <c r="AH7609" s="10">
        <f t="shared" si="133"/>
        <v>1</v>
      </c>
    </row>
    <row r="7610" spans="11:34" ht="14.5" x14ac:dyDescent="0.35">
      <c r="K7610" s="4"/>
      <c r="AC7610" s="7">
        <v>2022</v>
      </c>
      <c r="AD7610" s="7">
        <v>11</v>
      </c>
      <c r="AE7610" s="7">
        <v>14</v>
      </c>
      <c r="AF7610" s="8">
        <v>0</v>
      </c>
      <c r="AG7610" s="7">
        <v>0.8</v>
      </c>
      <c r="AH7610" s="10">
        <f t="shared" si="133"/>
        <v>1</v>
      </c>
    </row>
    <row r="7611" spans="11:34" ht="14.5" x14ac:dyDescent="0.35">
      <c r="K7611" s="4"/>
      <c r="AC7611" s="7">
        <v>2022</v>
      </c>
      <c r="AD7611" s="7">
        <v>11</v>
      </c>
      <c r="AE7611" s="7">
        <v>14</v>
      </c>
      <c r="AF7611" s="8">
        <v>4.1666666666666664E-2</v>
      </c>
      <c r="AG7611" s="7">
        <v>0.1</v>
      </c>
      <c r="AH7611" s="10">
        <f t="shared" si="133"/>
        <v>0</v>
      </c>
    </row>
    <row r="7612" spans="11:34" ht="14.5" x14ac:dyDescent="0.35">
      <c r="K7612" s="4"/>
      <c r="AC7612" s="7">
        <v>2022</v>
      </c>
      <c r="AD7612" s="7">
        <v>11</v>
      </c>
      <c r="AE7612" s="7">
        <v>14</v>
      </c>
      <c r="AF7612" s="8">
        <v>8.3333333333333329E-2</v>
      </c>
      <c r="AG7612" s="7">
        <v>0.1</v>
      </c>
      <c r="AH7612" s="10">
        <f t="shared" si="133"/>
        <v>0</v>
      </c>
    </row>
    <row r="7613" spans="11:34" ht="14.5" x14ac:dyDescent="0.35">
      <c r="K7613" s="4"/>
      <c r="AC7613" s="7">
        <v>2022</v>
      </c>
      <c r="AD7613" s="7">
        <v>11</v>
      </c>
      <c r="AE7613" s="7">
        <v>14</v>
      </c>
      <c r="AF7613" s="8">
        <v>0.125</v>
      </c>
      <c r="AG7613" s="7">
        <v>0.1</v>
      </c>
      <c r="AH7613" s="10">
        <f t="shared" si="133"/>
        <v>0</v>
      </c>
    </row>
    <row r="7614" spans="11:34" ht="14.5" x14ac:dyDescent="0.35">
      <c r="K7614" s="4"/>
      <c r="AC7614" s="7">
        <v>2022</v>
      </c>
      <c r="AD7614" s="7">
        <v>11</v>
      </c>
      <c r="AE7614" s="7">
        <v>14</v>
      </c>
      <c r="AF7614" s="8">
        <v>0.16666666666666666</v>
      </c>
      <c r="AG7614" s="7">
        <v>-0.8</v>
      </c>
      <c r="AH7614" s="10">
        <f t="shared" si="133"/>
        <v>-1</v>
      </c>
    </row>
    <row r="7615" spans="11:34" ht="14.5" x14ac:dyDescent="0.35">
      <c r="K7615" s="4"/>
      <c r="AC7615" s="7">
        <v>2022</v>
      </c>
      <c r="AD7615" s="7">
        <v>11</v>
      </c>
      <c r="AE7615" s="7">
        <v>14</v>
      </c>
      <c r="AF7615" s="8">
        <v>0.20833333333333334</v>
      </c>
      <c r="AG7615" s="7">
        <v>0.6</v>
      </c>
      <c r="AH7615" s="10">
        <f t="shared" si="133"/>
        <v>1</v>
      </c>
    </row>
    <row r="7616" spans="11:34" ht="14.5" x14ac:dyDescent="0.35">
      <c r="K7616" s="4"/>
      <c r="AC7616" s="7">
        <v>2022</v>
      </c>
      <c r="AD7616" s="7">
        <v>11</v>
      </c>
      <c r="AE7616" s="7">
        <v>14</v>
      </c>
      <c r="AF7616" s="8">
        <v>0.25</v>
      </c>
      <c r="AG7616" s="7">
        <v>0.8</v>
      </c>
      <c r="AH7616" s="10">
        <f t="shared" si="133"/>
        <v>1</v>
      </c>
    </row>
    <row r="7617" spans="11:34" ht="14.5" x14ac:dyDescent="0.35">
      <c r="K7617" s="4"/>
      <c r="AC7617" s="7">
        <v>2022</v>
      </c>
      <c r="AD7617" s="7">
        <v>11</v>
      </c>
      <c r="AE7617" s="7">
        <v>14</v>
      </c>
      <c r="AF7617" s="8">
        <v>0.29166666666666669</v>
      </c>
      <c r="AG7617" s="7">
        <v>1.4</v>
      </c>
      <c r="AH7617" s="10">
        <f t="shared" si="133"/>
        <v>1</v>
      </c>
    </row>
    <row r="7618" spans="11:34" ht="14.5" x14ac:dyDescent="0.35">
      <c r="K7618" s="4"/>
      <c r="AC7618" s="7">
        <v>2022</v>
      </c>
      <c r="AD7618" s="7">
        <v>11</v>
      </c>
      <c r="AE7618" s="7">
        <v>14</v>
      </c>
      <c r="AF7618" s="8">
        <v>0.33333333333333331</v>
      </c>
      <c r="AG7618" s="7">
        <v>1.3</v>
      </c>
      <c r="AH7618" s="10">
        <f t="shared" si="133"/>
        <v>1</v>
      </c>
    </row>
    <row r="7619" spans="11:34" ht="14.5" x14ac:dyDescent="0.35">
      <c r="K7619" s="4"/>
      <c r="AC7619" s="7">
        <v>2022</v>
      </c>
      <c r="AD7619" s="7">
        <v>11</v>
      </c>
      <c r="AE7619" s="7">
        <v>14</v>
      </c>
      <c r="AF7619" s="8">
        <v>0.375</v>
      </c>
      <c r="AG7619" s="7">
        <v>1</v>
      </c>
      <c r="AH7619" s="10">
        <f t="shared" si="133"/>
        <v>1</v>
      </c>
    </row>
    <row r="7620" spans="11:34" ht="14.5" x14ac:dyDescent="0.35">
      <c r="K7620" s="4"/>
      <c r="AC7620" s="7">
        <v>2022</v>
      </c>
      <c r="AD7620" s="7">
        <v>11</v>
      </c>
      <c r="AE7620" s="7">
        <v>14</v>
      </c>
      <c r="AF7620" s="8">
        <v>0.41666666666666669</v>
      </c>
      <c r="AG7620" s="7">
        <v>1</v>
      </c>
      <c r="AH7620" s="10">
        <f t="shared" si="133"/>
        <v>1</v>
      </c>
    </row>
    <row r="7621" spans="11:34" ht="14.5" x14ac:dyDescent="0.35">
      <c r="K7621" s="4"/>
      <c r="AC7621" s="7">
        <v>2022</v>
      </c>
      <c r="AD7621" s="7">
        <v>11</v>
      </c>
      <c r="AE7621" s="7">
        <v>14</v>
      </c>
      <c r="AF7621" s="8">
        <v>0.45833333333333331</v>
      </c>
      <c r="AG7621" s="7">
        <v>1.7</v>
      </c>
      <c r="AH7621" s="10">
        <f t="shared" si="133"/>
        <v>2</v>
      </c>
    </row>
    <row r="7622" spans="11:34" ht="14.5" x14ac:dyDescent="0.35">
      <c r="K7622" s="4"/>
      <c r="AC7622" s="7">
        <v>2022</v>
      </c>
      <c r="AD7622" s="7">
        <v>11</v>
      </c>
      <c r="AE7622" s="7">
        <v>14</v>
      </c>
      <c r="AF7622" s="8">
        <v>0.5</v>
      </c>
      <c r="AG7622" s="7">
        <v>1.6</v>
      </c>
      <c r="AH7622" s="10">
        <f t="shared" si="133"/>
        <v>2</v>
      </c>
    </row>
    <row r="7623" spans="11:34" ht="14.5" x14ac:dyDescent="0.35">
      <c r="K7623" s="4"/>
      <c r="AC7623" s="7">
        <v>2022</v>
      </c>
      <c r="AD7623" s="7">
        <v>11</v>
      </c>
      <c r="AE7623" s="7">
        <v>14</v>
      </c>
      <c r="AF7623" s="8">
        <v>0.54166666666666663</v>
      </c>
      <c r="AG7623" s="7">
        <v>1.8</v>
      </c>
      <c r="AH7623" s="10">
        <f t="shared" si="133"/>
        <v>2</v>
      </c>
    </row>
    <row r="7624" spans="11:34" ht="14.5" x14ac:dyDescent="0.35">
      <c r="K7624" s="4"/>
      <c r="AC7624" s="7">
        <v>2022</v>
      </c>
      <c r="AD7624" s="7">
        <v>11</v>
      </c>
      <c r="AE7624" s="7">
        <v>14</v>
      </c>
      <c r="AF7624" s="8">
        <v>0.58333333333333337</v>
      </c>
      <c r="AG7624" s="7">
        <v>1.6</v>
      </c>
      <c r="AH7624" s="10">
        <f t="shared" si="133"/>
        <v>2</v>
      </c>
    </row>
    <row r="7625" spans="11:34" ht="14.5" x14ac:dyDescent="0.35">
      <c r="K7625" s="4"/>
      <c r="AC7625" s="7">
        <v>2022</v>
      </c>
      <c r="AD7625" s="7">
        <v>11</v>
      </c>
      <c r="AE7625" s="7">
        <v>14</v>
      </c>
      <c r="AF7625" s="8">
        <v>0.625</v>
      </c>
      <c r="AG7625" s="7">
        <v>1.1000000000000001</v>
      </c>
      <c r="AH7625" s="10">
        <f t="shared" si="133"/>
        <v>1</v>
      </c>
    </row>
    <row r="7626" spans="11:34" ht="14.5" x14ac:dyDescent="0.35">
      <c r="K7626" s="4"/>
      <c r="AC7626" s="7">
        <v>2022</v>
      </c>
      <c r="AD7626" s="7">
        <v>11</v>
      </c>
      <c r="AE7626" s="7">
        <v>14</v>
      </c>
      <c r="AF7626" s="8">
        <v>0.66666666666666663</v>
      </c>
      <c r="AG7626" s="7">
        <v>0.1</v>
      </c>
      <c r="AH7626" s="10">
        <f t="shared" si="133"/>
        <v>0</v>
      </c>
    </row>
    <row r="7627" spans="11:34" ht="14.5" x14ac:dyDescent="0.35">
      <c r="K7627" s="4"/>
      <c r="AC7627" s="7">
        <v>2022</v>
      </c>
      <c r="AD7627" s="7">
        <v>11</v>
      </c>
      <c r="AE7627" s="7">
        <v>14</v>
      </c>
      <c r="AF7627" s="8">
        <v>0.70833333333333337</v>
      </c>
      <c r="AG7627" s="7">
        <v>-1.2</v>
      </c>
      <c r="AH7627" s="10">
        <f t="shared" ref="AH7627:AH7690" si="134">ROUND(AG7627,0)</f>
        <v>-1</v>
      </c>
    </row>
    <row r="7628" spans="11:34" ht="14.5" x14ac:dyDescent="0.35">
      <c r="K7628" s="4"/>
      <c r="AC7628" s="7">
        <v>2022</v>
      </c>
      <c r="AD7628" s="7">
        <v>11</v>
      </c>
      <c r="AE7628" s="7">
        <v>14</v>
      </c>
      <c r="AF7628" s="8">
        <v>0.75</v>
      </c>
      <c r="AG7628" s="7">
        <v>-3.5</v>
      </c>
      <c r="AH7628" s="10">
        <f t="shared" si="134"/>
        <v>-4</v>
      </c>
    </row>
    <row r="7629" spans="11:34" ht="14.5" x14ac:dyDescent="0.35">
      <c r="K7629" s="4"/>
      <c r="AC7629" s="7">
        <v>2022</v>
      </c>
      <c r="AD7629" s="7">
        <v>11</v>
      </c>
      <c r="AE7629" s="7">
        <v>14</v>
      </c>
      <c r="AF7629" s="8">
        <v>0.79166666666666663</v>
      </c>
      <c r="AG7629" s="7">
        <v>-3.9</v>
      </c>
      <c r="AH7629" s="10">
        <f t="shared" si="134"/>
        <v>-4</v>
      </c>
    </row>
    <row r="7630" spans="11:34" ht="14.5" x14ac:dyDescent="0.35">
      <c r="K7630" s="4"/>
      <c r="AC7630" s="7">
        <v>2022</v>
      </c>
      <c r="AD7630" s="7">
        <v>11</v>
      </c>
      <c r="AE7630" s="7">
        <v>14</v>
      </c>
      <c r="AF7630" s="8">
        <v>0.83333333333333337</v>
      </c>
      <c r="AG7630" s="7">
        <v>-5.7</v>
      </c>
      <c r="AH7630" s="10">
        <f t="shared" si="134"/>
        <v>-6</v>
      </c>
    </row>
    <row r="7631" spans="11:34" ht="14.5" x14ac:dyDescent="0.35">
      <c r="K7631" s="4"/>
      <c r="AC7631" s="7">
        <v>2022</v>
      </c>
      <c r="AD7631" s="7">
        <v>11</v>
      </c>
      <c r="AE7631" s="7">
        <v>14</v>
      </c>
      <c r="AF7631" s="8">
        <v>0.875</v>
      </c>
      <c r="AG7631" s="7">
        <v>-7.4</v>
      </c>
      <c r="AH7631" s="10">
        <f t="shared" si="134"/>
        <v>-7</v>
      </c>
    </row>
    <row r="7632" spans="11:34" ht="14.5" x14ac:dyDescent="0.35">
      <c r="K7632" s="4"/>
      <c r="AC7632" s="7">
        <v>2022</v>
      </c>
      <c r="AD7632" s="7">
        <v>11</v>
      </c>
      <c r="AE7632" s="7">
        <v>14</v>
      </c>
      <c r="AF7632" s="8">
        <v>0.91666666666666663</v>
      </c>
      <c r="AG7632" s="7">
        <v>-7.8</v>
      </c>
      <c r="AH7632" s="10">
        <f t="shared" si="134"/>
        <v>-8</v>
      </c>
    </row>
    <row r="7633" spans="11:34" ht="14.5" x14ac:dyDescent="0.35">
      <c r="K7633" s="4"/>
      <c r="AC7633" s="7">
        <v>2022</v>
      </c>
      <c r="AD7633" s="7">
        <v>11</v>
      </c>
      <c r="AE7633" s="7">
        <v>14</v>
      </c>
      <c r="AF7633" s="8">
        <v>0.95833333333333337</v>
      </c>
      <c r="AG7633" s="7">
        <v>-8.5</v>
      </c>
      <c r="AH7633" s="10">
        <f t="shared" si="134"/>
        <v>-9</v>
      </c>
    </row>
    <row r="7634" spans="11:34" ht="14.5" x14ac:dyDescent="0.35">
      <c r="K7634" s="4"/>
      <c r="AC7634" s="7">
        <v>2022</v>
      </c>
      <c r="AD7634" s="7">
        <v>11</v>
      </c>
      <c r="AE7634" s="7">
        <v>15</v>
      </c>
      <c r="AF7634" s="8">
        <v>0</v>
      </c>
      <c r="AG7634" s="7">
        <v>-7.4</v>
      </c>
      <c r="AH7634" s="10">
        <f t="shared" si="134"/>
        <v>-7</v>
      </c>
    </row>
    <row r="7635" spans="11:34" ht="14.5" x14ac:dyDescent="0.35">
      <c r="K7635" s="4"/>
      <c r="AC7635" s="7">
        <v>2022</v>
      </c>
      <c r="AD7635" s="7">
        <v>11</v>
      </c>
      <c r="AE7635" s="7">
        <v>15</v>
      </c>
      <c r="AF7635" s="8">
        <v>4.1666666666666664E-2</v>
      </c>
      <c r="AG7635" s="7">
        <v>-7.3</v>
      </c>
      <c r="AH7635" s="10">
        <f t="shared" si="134"/>
        <v>-7</v>
      </c>
    </row>
    <row r="7636" spans="11:34" ht="14.5" x14ac:dyDescent="0.35">
      <c r="K7636" s="4"/>
      <c r="AC7636" s="7">
        <v>2022</v>
      </c>
      <c r="AD7636" s="7">
        <v>11</v>
      </c>
      <c r="AE7636" s="7">
        <v>15</v>
      </c>
      <c r="AF7636" s="8">
        <v>8.3333333333333329E-2</v>
      </c>
      <c r="AG7636" s="7">
        <v>-6.3</v>
      </c>
      <c r="AH7636" s="10">
        <f t="shared" si="134"/>
        <v>-6</v>
      </c>
    </row>
    <row r="7637" spans="11:34" ht="14.5" x14ac:dyDescent="0.35">
      <c r="K7637" s="4"/>
      <c r="AC7637" s="7">
        <v>2022</v>
      </c>
      <c r="AD7637" s="7">
        <v>11</v>
      </c>
      <c r="AE7637" s="7">
        <v>15</v>
      </c>
      <c r="AF7637" s="8">
        <v>0.125</v>
      </c>
      <c r="AG7637" s="7">
        <v>-5.6</v>
      </c>
      <c r="AH7637" s="10">
        <f t="shared" si="134"/>
        <v>-6</v>
      </c>
    </row>
    <row r="7638" spans="11:34" ht="14.5" x14ac:dyDescent="0.35">
      <c r="K7638" s="4"/>
      <c r="AC7638" s="7">
        <v>2022</v>
      </c>
      <c r="AD7638" s="7">
        <v>11</v>
      </c>
      <c r="AE7638" s="7">
        <v>15</v>
      </c>
      <c r="AF7638" s="8">
        <v>0.16666666666666666</v>
      </c>
      <c r="AG7638" s="7">
        <v>-4.8</v>
      </c>
      <c r="AH7638" s="10">
        <f t="shared" si="134"/>
        <v>-5</v>
      </c>
    </row>
    <row r="7639" spans="11:34" ht="14.5" x14ac:dyDescent="0.35">
      <c r="K7639" s="4"/>
      <c r="AC7639" s="7">
        <v>2022</v>
      </c>
      <c r="AD7639" s="7">
        <v>11</v>
      </c>
      <c r="AE7639" s="7">
        <v>15</v>
      </c>
      <c r="AF7639" s="8">
        <v>0.20833333333333334</v>
      </c>
      <c r="AG7639" s="7">
        <v>-5</v>
      </c>
      <c r="AH7639" s="10">
        <f t="shared" si="134"/>
        <v>-5</v>
      </c>
    </row>
    <row r="7640" spans="11:34" ht="14.5" x14ac:dyDescent="0.35">
      <c r="K7640" s="4"/>
      <c r="AC7640" s="7">
        <v>2022</v>
      </c>
      <c r="AD7640" s="7">
        <v>11</v>
      </c>
      <c r="AE7640" s="7">
        <v>15</v>
      </c>
      <c r="AF7640" s="8">
        <v>0.25</v>
      </c>
      <c r="AG7640" s="7">
        <v>-4.8</v>
      </c>
      <c r="AH7640" s="10">
        <f t="shared" si="134"/>
        <v>-5</v>
      </c>
    </row>
    <row r="7641" spans="11:34" ht="14.5" x14ac:dyDescent="0.35">
      <c r="K7641" s="4"/>
      <c r="AC7641" s="7">
        <v>2022</v>
      </c>
      <c r="AD7641" s="7">
        <v>11</v>
      </c>
      <c r="AE7641" s="7">
        <v>15</v>
      </c>
      <c r="AF7641" s="8">
        <v>0.29166666666666669</v>
      </c>
      <c r="AG7641" s="7">
        <v>-4.7</v>
      </c>
      <c r="AH7641" s="10">
        <f t="shared" si="134"/>
        <v>-5</v>
      </c>
    </row>
    <row r="7642" spans="11:34" ht="14.5" x14ac:dyDescent="0.35">
      <c r="K7642" s="4"/>
      <c r="AC7642" s="7">
        <v>2022</v>
      </c>
      <c r="AD7642" s="7">
        <v>11</v>
      </c>
      <c r="AE7642" s="7">
        <v>15</v>
      </c>
      <c r="AF7642" s="8">
        <v>0.33333333333333331</v>
      </c>
      <c r="AG7642" s="7">
        <v>-2.1</v>
      </c>
      <c r="AH7642" s="10">
        <f t="shared" si="134"/>
        <v>-2</v>
      </c>
    </row>
    <row r="7643" spans="11:34" ht="14.5" x14ac:dyDescent="0.35">
      <c r="K7643" s="4"/>
      <c r="AC7643" s="7">
        <v>2022</v>
      </c>
      <c r="AD7643" s="7">
        <v>11</v>
      </c>
      <c r="AE7643" s="7">
        <v>15</v>
      </c>
      <c r="AF7643" s="8">
        <v>0.375</v>
      </c>
      <c r="AG7643" s="7">
        <v>-0.2</v>
      </c>
      <c r="AH7643" s="10">
        <f t="shared" si="134"/>
        <v>0</v>
      </c>
    </row>
    <row r="7644" spans="11:34" ht="14.5" x14ac:dyDescent="0.35">
      <c r="K7644" s="4"/>
      <c r="AC7644" s="7">
        <v>2022</v>
      </c>
      <c r="AD7644" s="7">
        <v>11</v>
      </c>
      <c r="AE7644" s="7">
        <v>15</v>
      </c>
      <c r="AF7644" s="8">
        <v>0.41666666666666669</v>
      </c>
      <c r="AG7644" s="7">
        <v>2</v>
      </c>
      <c r="AH7644" s="10">
        <f t="shared" si="134"/>
        <v>2</v>
      </c>
    </row>
    <row r="7645" spans="11:34" ht="14.5" x14ac:dyDescent="0.35">
      <c r="K7645" s="4"/>
      <c r="AC7645" s="7">
        <v>2022</v>
      </c>
      <c r="AD7645" s="7">
        <v>11</v>
      </c>
      <c r="AE7645" s="7">
        <v>15</v>
      </c>
      <c r="AF7645" s="8">
        <v>0.45833333333333331</v>
      </c>
      <c r="AG7645" s="7">
        <v>4.3</v>
      </c>
      <c r="AH7645" s="10">
        <f t="shared" si="134"/>
        <v>4</v>
      </c>
    </row>
    <row r="7646" spans="11:34" ht="14.5" x14ac:dyDescent="0.35">
      <c r="K7646" s="4"/>
      <c r="AC7646" s="7">
        <v>2022</v>
      </c>
      <c r="AD7646" s="7">
        <v>11</v>
      </c>
      <c r="AE7646" s="7">
        <v>15</v>
      </c>
      <c r="AF7646" s="8">
        <v>0.5</v>
      </c>
      <c r="AG7646" s="7">
        <v>4.5</v>
      </c>
      <c r="AH7646" s="10">
        <f t="shared" si="134"/>
        <v>5</v>
      </c>
    </row>
    <row r="7647" spans="11:34" ht="14.5" x14ac:dyDescent="0.35">
      <c r="K7647" s="4"/>
      <c r="AC7647" s="7">
        <v>2022</v>
      </c>
      <c r="AD7647" s="7">
        <v>11</v>
      </c>
      <c r="AE7647" s="7">
        <v>15</v>
      </c>
      <c r="AF7647" s="8">
        <v>0.54166666666666663</v>
      </c>
      <c r="AG7647" s="7">
        <v>4.4000000000000004</v>
      </c>
      <c r="AH7647" s="10">
        <f t="shared" si="134"/>
        <v>4</v>
      </c>
    </row>
    <row r="7648" spans="11:34" ht="14.5" x14ac:dyDescent="0.35">
      <c r="K7648" s="4"/>
      <c r="AC7648" s="7">
        <v>2022</v>
      </c>
      <c r="AD7648" s="7">
        <v>11</v>
      </c>
      <c r="AE7648" s="7">
        <v>15</v>
      </c>
      <c r="AF7648" s="8">
        <v>0.58333333333333337</v>
      </c>
      <c r="AG7648" s="7">
        <v>5</v>
      </c>
      <c r="AH7648" s="10">
        <f t="shared" si="134"/>
        <v>5</v>
      </c>
    </row>
    <row r="7649" spans="11:34" ht="14.5" x14ac:dyDescent="0.35">
      <c r="K7649" s="4"/>
      <c r="AC7649" s="7">
        <v>2022</v>
      </c>
      <c r="AD7649" s="7">
        <v>11</v>
      </c>
      <c r="AE7649" s="7">
        <v>15</v>
      </c>
      <c r="AF7649" s="8">
        <v>0.625</v>
      </c>
      <c r="AG7649" s="7">
        <v>5</v>
      </c>
      <c r="AH7649" s="10">
        <f t="shared" si="134"/>
        <v>5</v>
      </c>
    </row>
    <row r="7650" spans="11:34" ht="14.5" x14ac:dyDescent="0.35">
      <c r="K7650" s="4"/>
      <c r="AC7650" s="7">
        <v>2022</v>
      </c>
      <c r="AD7650" s="7">
        <v>11</v>
      </c>
      <c r="AE7650" s="7">
        <v>15</v>
      </c>
      <c r="AF7650" s="8">
        <v>0.66666666666666663</v>
      </c>
      <c r="AG7650" s="7">
        <v>4.2</v>
      </c>
      <c r="AH7650" s="10">
        <f t="shared" si="134"/>
        <v>4</v>
      </c>
    </row>
    <row r="7651" spans="11:34" ht="14.5" x14ac:dyDescent="0.35">
      <c r="K7651" s="4"/>
      <c r="AC7651" s="7">
        <v>2022</v>
      </c>
      <c r="AD7651" s="7">
        <v>11</v>
      </c>
      <c r="AE7651" s="7">
        <v>15</v>
      </c>
      <c r="AF7651" s="8">
        <v>0.70833333333333337</v>
      </c>
      <c r="AG7651" s="7">
        <v>3.3</v>
      </c>
      <c r="AH7651" s="10">
        <f t="shared" si="134"/>
        <v>3</v>
      </c>
    </row>
    <row r="7652" spans="11:34" ht="14.5" x14ac:dyDescent="0.35">
      <c r="K7652" s="4"/>
      <c r="AC7652" s="7">
        <v>2022</v>
      </c>
      <c r="AD7652" s="7">
        <v>11</v>
      </c>
      <c r="AE7652" s="7">
        <v>15</v>
      </c>
      <c r="AF7652" s="8">
        <v>0.75</v>
      </c>
      <c r="AG7652" s="7">
        <v>1.6</v>
      </c>
      <c r="AH7652" s="10">
        <f t="shared" si="134"/>
        <v>2</v>
      </c>
    </row>
    <row r="7653" spans="11:34" ht="14.5" x14ac:dyDescent="0.35">
      <c r="K7653" s="4"/>
      <c r="AC7653" s="7">
        <v>2022</v>
      </c>
      <c r="AD7653" s="7">
        <v>11</v>
      </c>
      <c r="AE7653" s="7">
        <v>15</v>
      </c>
      <c r="AF7653" s="8">
        <v>0.79166666666666663</v>
      </c>
      <c r="AG7653" s="7">
        <v>0.2</v>
      </c>
      <c r="AH7653" s="10">
        <f t="shared" si="134"/>
        <v>0</v>
      </c>
    </row>
    <row r="7654" spans="11:34" ht="14.5" x14ac:dyDescent="0.35">
      <c r="K7654" s="4"/>
      <c r="AC7654" s="7">
        <v>2022</v>
      </c>
      <c r="AD7654" s="7">
        <v>11</v>
      </c>
      <c r="AE7654" s="7">
        <v>15</v>
      </c>
      <c r="AF7654" s="8">
        <v>0.83333333333333337</v>
      </c>
      <c r="AG7654" s="7">
        <v>1</v>
      </c>
      <c r="AH7654" s="10">
        <f t="shared" si="134"/>
        <v>1</v>
      </c>
    </row>
    <row r="7655" spans="11:34" ht="14.5" x14ac:dyDescent="0.35">
      <c r="K7655" s="4"/>
      <c r="AC7655" s="7">
        <v>2022</v>
      </c>
      <c r="AD7655" s="7">
        <v>11</v>
      </c>
      <c r="AE7655" s="7">
        <v>15</v>
      </c>
      <c r="AF7655" s="8">
        <v>0.875</v>
      </c>
      <c r="AG7655" s="7">
        <v>0.1</v>
      </c>
      <c r="AH7655" s="10">
        <f t="shared" si="134"/>
        <v>0</v>
      </c>
    </row>
    <row r="7656" spans="11:34" ht="14.5" x14ac:dyDescent="0.35">
      <c r="K7656" s="4"/>
      <c r="AC7656" s="7">
        <v>2022</v>
      </c>
      <c r="AD7656" s="7">
        <v>11</v>
      </c>
      <c r="AE7656" s="7">
        <v>15</v>
      </c>
      <c r="AF7656" s="8">
        <v>0.91666666666666663</v>
      </c>
      <c r="AG7656" s="7">
        <v>-1.8</v>
      </c>
      <c r="AH7656" s="10">
        <f t="shared" si="134"/>
        <v>-2</v>
      </c>
    </row>
    <row r="7657" spans="11:34" ht="14.5" x14ac:dyDescent="0.35">
      <c r="K7657" s="4"/>
      <c r="AC7657" s="7">
        <v>2022</v>
      </c>
      <c r="AD7657" s="7">
        <v>11</v>
      </c>
      <c r="AE7657" s="7">
        <v>15</v>
      </c>
      <c r="AF7657" s="8">
        <v>0.95833333333333337</v>
      </c>
      <c r="AG7657" s="7">
        <v>-1.6</v>
      </c>
      <c r="AH7657" s="10">
        <f t="shared" si="134"/>
        <v>-2</v>
      </c>
    </row>
    <row r="7658" spans="11:34" ht="14.5" x14ac:dyDescent="0.35">
      <c r="K7658" s="4"/>
      <c r="AC7658" s="7">
        <v>2022</v>
      </c>
      <c r="AD7658" s="7">
        <v>11</v>
      </c>
      <c r="AE7658" s="7">
        <v>16</v>
      </c>
      <c r="AF7658" s="8">
        <v>0</v>
      </c>
      <c r="AG7658" s="7">
        <v>-2.6</v>
      </c>
      <c r="AH7658" s="10">
        <f t="shared" si="134"/>
        <v>-3</v>
      </c>
    </row>
    <row r="7659" spans="11:34" ht="14.5" x14ac:dyDescent="0.35">
      <c r="K7659" s="4"/>
      <c r="AC7659" s="7">
        <v>2022</v>
      </c>
      <c r="AD7659" s="7">
        <v>11</v>
      </c>
      <c r="AE7659" s="7">
        <v>16</v>
      </c>
      <c r="AF7659" s="8">
        <v>4.1666666666666664E-2</v>
      </c>
      <c r="AG7659" s="7">
        <v>-3.3</v>
      </c>
      <c r="AH7659" s="10">
        <f t="shared" si="134"/>
        <v>-3</v>
      </c>
    </row>
    <row r="7660" spans="11:34" ht="14.5" x14ac:dyDescent="0.35">
      <c r="K7660" s="4"/>
      <c r="AC7660" s="7">
        <v>2022</v>
      </c>
      <c r="AD7660" s="7">
        <v>11</v>
      </c>
      <c r="AE7660" s="7">
        <v>16</v>
      </c>
      <c r="AF7660" s="8">
        <v>8.3333333333333329E-2</v>
      </c>
      <c r="AG7660" s="7">
        <v>-5.6</v>
      </c>
      <c r="AH7660" s="10">
        <f t="shared" si="134"/>
        <v>-6</v>
      </c>
    </row>
    <row r="7661" spans="11:34" ht="14.5" x14ac:dyDescent="0.35">
      <c r="K7661" s="4"/>
      <c r="AC7661" s="7">
        <v>2022</v>
      </c>
      <c r="AD7661" s="7">
        <v>11</v>
      </c>
      <c r="AE7661" s="7">
        <v>16</v>
      </c>
      <c r="AF7661" s="8">
        <v>0.125</v>
      </c>
      <c r="AG7661" s="7">
        <v>-4.8</v>
      </c>
      <c r="AH7661" s="10">
        <f t="shared" si="134"/>
        <v>-5</v>
      </c>
    </row>
    <row r="7662" spans="11:34" ht="14.5" x14ac:dyDescent="0.35">
      <c r="K7662" s="4"/>
      <c r="AC7662" s="7">
        <v>2022</v>
      </c>
      <c r="AD7662" s="7">
        <v>11</v>
      </c>
      <c r="AE7662" s="7">
        <v>16</v>
      </c>
      <c r="AF7662" s="8">
        <v>0.16666666666666666</v>
      </c>
      <c r="AG7662" s="7">
        <v>-5</v>
      </c>
      <c r="AH7662" s="10">
        <f t="shared" si="134"/>
        <v>-5</v>
      </c>
    </row>
    <row r="7663" spans="11:34" ht="14.5" x14ac:dyDescent="0.35">
      <c r="K7663" s="4"/>
      <c r="AC7663" s="7">
        <v>2022</v>
      </c>
      <c r="AD7663" s="7">
        <v>11</v>
      </c>
      <c r="AE7663" s="7">
        <v>16</v>
      </c>
      <c r="AF7663" s="8">
        <v>0.20833333333333334</v>
      </c>
      <c r="AG7663" s="7">
        <v>-3.5</v>
      </c>
      <c r="AH7663" s="10">
        <f t="shared" si="134"/>
        <v>-4</v>
      </c>
    </row>
    <row r="7664" spans="11:34" ht="14.5" x14ac:dyDescent="0.35">
      <c r="K7664" s="4"/>
      <c r="AC7664" s="7">
        <v>2022</v>
      </c>
      <c r="AD7664" s="7">
        <v>11</v>
      </c>
      <c r="AE7664" s="7">
        <v>16</v>
      </c>
      <c r="AF7664" s="8">
        <v>0.25</v>
      </c>
      <c r="AG7664" s="7">
        <v>-0.9</v>
      </c>
      <c r="AH7664" s="10">
        <f t="shared" si="134"/>
        <v>-1</v>
      </c>
    </row>
    <row r="7665" spans="11:34" ht="14.5" x14ac:dyDescent="0.35">
      <c r="K7665" s="4"/>
      <c r="AC7665" s="7">
        <v>2022</v>
      </c>
      <c r="AD7665" s="7">
        <v>11</v>
      </c>
      <c r="AE7665" s="7">
        <v>16</v>
      </c>
      <c r="AF7665" s="8">
        <v>0.29166666666666669</v>
      </c>
      <c r="AG7665" s="7">
        <v>0.2</v>
      </c>
      <c r="AH7665" s="10">
        <f t="shared" si="134"/>
        <v>0</v>
      </c>
    </row>
    <row r="7666" spans="11:34" ht="14.5" x14ac:dyDescent="0.35">
      <c r="K7666" s="4"/>
      <c r="AC7666" s="7">
        <v>2022</v>
      </c>
      <c r="AD7666" s="7">
        <v>11</v>
      </c>
      <c r="AE7666" s="7">
        <v>16</v>
      </c>
      <c r="AF7666" s="8">
        <v>0.33333333333333331</v>
      </c>
      <c r="AG7666" s="7">
        <v>-0.9</v>
      </c>
      <c r="AH7666" s="10">
        <f t="shared" si="134"/>
        <v>-1</v>
      </c>
    </row>
    <row r="7667" spans="11:34" ht="14.5" x14ac:dyDescent="0.35">
      <c r="K7667" s="4"/>
      <c r="AC7667" s="7">
        <v>2022</v>
      </c>
      <c r="AD7667" s="7">
        <v>11</v>
      </c>
      <c r="AE7667" s="7">
        <v>16</v>
      </c>
      <c r="AF7667" s="8">
        <v>0.375</v>
      </c>
      <c r="AG7667" s="7">
        <v>-1.1000000000000001</v>
      </c>
      <c r="AH7667" s="10">
        <f t="shared" si="134"/>
        <v>-1</v>
      </c>
    </row>
    <row r="7668" spans="11:34" ht="14.5" x14ac:dyDescent="0.35">
      <c r="K7668" s="4"/>
      <c r="AC7668" s="7">
        <v>2022</v>
      </c>
      <c r="AD7668" s="7">
        <v>11</v>
      </c>
      <c r="AE7668" s="7">
        <v>16</v>
      </c>
      <c r="AF7668" s="8">
        <v>0.41666666666666669</v>
      </c>
      <c r="AG7668" s="7">
        <v>-0.9</v>
      </c>
      <c r="AH7668" s="10">
        <f t="shared" si="134"/>
        <v>-1</v>
      </c>
    </row>
    <row r="7669" spans="11:34" ht="14.5" x14ac:dyDescent="0.35">
      <c r="K7669" s="4"/>
      <c r="AC7669" s="7">
        <v>2022</v>
      </c>
      <c r="AD7669" s="7">
        <v>11</v>
      </c>
      <c r="AE7669" s="7">
        <v>16</v>
      </c>
      <c r="AF7669" s="8">
        <v>0.45833333333333331</v>
      </c>
      <c r="AG7669" s="7">
        <v>-1</v>
      </c>
      <c r="AH7669" s="10">
        <f t="shared" si="134"/>
        <v>-1</v>
      </c>
    </row>
    <row r="7670" spans="11:34" ht="14.5" x14ac:dyDescent="0.35">
      <c r="K7670" s="4"/>
      <c r="AC7670" s="7">
        <v>2022</v>
      </c>
      <c r="AD7670" s="7">
        <v>11</v>
      </c>
      <c r="AE7670" s="7">
        <v>16</v>
      </c>
      <c r="AF7670" s="8">
        <v>0.5</v>
      </c>
      <c r="AG7670" s="7">
        <v>-1.7</v>
      </c>
      <c r="AH7670" s="10">
        <f t="shared" si="134"/>
        <v>-2</v>
      </c>
    </row>
    <row r="7671" spans="11:34" ht="14.5" x14ac:dyDescent="0.35">
      <c r="K7671" s="4"/>
      <c r="AC7671" s="7">
        <v>2022</v>
      </c>
      <c r="AD7671" s="7">
        <v>11</v>
      </c>
      <c r="AE7671" s="7">
        <v>16</v>
      </c>
      <c r="AF7671" s="8">
        <v>0.54166666666666663</v>
      </c>
      <c r="AG7671" s="7">
        <v>-1.7</v>
      </c>
      <c r="AH7671" s="10">
        <f t="shared" si="134"/>
        <v>-2</v>
      </c>
    </row>
    <row r="7672" spans="11:34" ht="14.5" x14ac:dyDescent="0.35">
      <c r="K7672" s="4"/>
      <c r="AC7672" s="7">
        <v>2022</v>
      </c>
      <c r="AD7672" s="7">
        <v>11</v>
      </c>
      <c r="AE7672" s="7">
        <v>16</v>
      </c>
      <c r="AF7672" s="8">
        <v>0.58333333333333337</v>
      </c>
      <c r="AG7672" s="7">
        <v>-1.8</v>
      </c>
      <c r="AH7672" s="10">
        <f t="shared" si="134"/>
        <v>-2</v>
      </c>
    </row>
    <row r="7673" spans="11:34" ht="14.5" x14ac:dyDescent="0.35">
      <c r="K7673" s="4"/>
      <c r="AC7673" s="7">
        <v>2022</v>
      </c>
      <c r="AD7673" s="7">
        <v>11</v>
      </c>
      <c r="AE7673" s="7">
        <v>16</v>
      </c>
      <c r="AF7673" s="8">
        <v>0.625</v>
      </c>
      <c r="AG7673" s="7">
        <v>-2.2999999999999998</v>
      </c>
      <c r="AH7673" s="10">
        <f t="shared" si="134"/>
        <v>-2</v>
      </c>
    </row>
    <row r="7674" spans="11:34" ht="14.5" x14ac:dyDescent="0.35">
      <c r="K7674" s="4"/>
      <c r="AC7674" s="7">
        <v>2022</v>
      </c>
      <c r="AD7674" s="7">
        <v>11</v>
      </c>
      <c r="AE7674" s="7">
        <v>16</v>
      </c>
      <c r="AF7674" s="8">
        <v>0.66666666666666663</v>
      </c>
      <c r="AG7674" s="7">
        <v>-2.5</v>
      </c>
      <c r="AH7674" s="10">
        <f t="shared" si="134"/>
        <v>-3</v>
      </c>
    </row>
    <row r="7675" spans="11:34" ht="14.5" x14ac:dyDescent="0.35">
      <c r="K7675" s="4"/>
      <c r="AC7675" s="7">
        <v>2022</v>
      </c>
      <c r="AD7675" s="7">
        <v>11</v>
      </c>
      <c r="AE7675" s="7">
        <v>16</v>
      </c>
      <c r="AF7675" s="8">
        <v>0.70833333333333337</v>
      </c>
      <c r="AG7675" s="7">
        <v>-4.0999999999999996</v>
      </c>
      <c r="AH7675" s="10">
        <f t="shared" si="134"/>
        <v>-4</v>
      </c>
    </row>
    <row r="7676" spans="11:34" ht="14.5" x14ac:dyDescent="0.35">
      <c r="K7676" s="4"/>
      <c r="AC7676" s="7">
        <v>2022</v>
      </c>
      <c r="AD7676" s="7">
        <v>11</v>
      </c>
      <c r="AE7676" s="7">
        <v>16</v>
      </c>
      <c r="AF7676" s="8">
        <v>0.75</v>
      </c>
      <c r="AG7676" s="7">
        <v>-5.2</v>
      </c>
      <c r="AH7676" s="10">
        <f t="shared" si="134"/>
        <v>-5</v>
      </c>
    </row>
    <row r="7677" spans="11:34" ht="14.5" x14ac:dyDescent="0.35">
      <c r="K7677" s="4"/>
      <c r="AC7677" s="7">
        <v>2022</v>
      </c>
      <c r="AD7677" s="7">
        <v>11</v>
      </c>
      <c r="AE7677" s="7">
        <v>16</v>
      </c>
      <c r="AF7677" s="8">
        <v>0.79166666666666663</v>
      </c>
      <c r="AG7677" s="7">
        <v>-5.0999999999999996</v>
      </c>
      <c r="AH7677" s="10">
        <f t="shared" si="134"/>
        <v>-5</v>
      </c>
    </row>
    <row r="7678" spans="11:34" ht="14.5" x14ac:dyDescent="0.35">
      <c r="K7678" s="4"/>
      <c r="AC7678" s="7">
        <v>2022</v>
      </c>
      <c r="AD7678" s="7">
        <v>11</v>
      </c>
      <c r="AE7678" s="7">
        <v>16</v>
      </c>
      <c r="AF7678" s="8">
        <v>0.83333333333333337</v>
      </c>
      <c r="AG7678" s="7">
        <v>-6</v>
      </c>
      <c r="AH7678" s="10">
        <f t="shared" si="134"/>
        <v>-6</v>
      </c>
    </row>
    <row r="7679" spans="11:34" ht="14.5" x14ac:dyDescent="0.35">
      <c r="K7679" s="4"/>
      <c r="AC7679" s="7">
        <v>2022</v>
      </c>
      <c r="AD7679" s="7">
        <v>11</v>
      </c>
      <c r="AE7679" s="7">
        <v>16</v>
      </c>
      <c r="AF7679" s="8">
        <v>0.875</v>
      </c>
      <c r="AG7679" s="7">
        <v>-6.6</v>
      </c>
      <c r="AH7679" s="10">
        <f t="shared" si="134"/>
        <v>-7</v>
      </c>
    </row>
    <row r="7680" spans="11:34" ht="14.5" x14ac:dyDescent="0.35">
      <c r="K7680" s="4"/>
      <c r="AC7680" s="7">
        <v>2022</v>
      </c>
      <c r="AD7680" s="7">
        <v>11</v>
      </c>
      <c r="AE7680" s="7">
        <v>16</v>
      </c>
      <c r="AF7680" s="8">
        <v>0.91666666666666663</v>
      </c>
      <c r="AG7680" s="7">
        <v>-6.4</v>
      </c>
      <c r="AH7680" s="10">
        <f t="shared" si="134"/>
        <v>-6</v>
      </c>
    </row>
    <row r="7681" spans="11:34" ht="14.5" x14ac:dyDescent="0.35">
      <c r="K7681" s="4"/>
      <c r="AC7681" s="7">
        <v>2022</v>
      </c>
      <c r="AD7681" s="7">
        <v>11</v>
      </c>
      <c r="AE7681" s="7">
        <v>16</v>
      </c>
      <c r="AF7681" s="8">
        <v>0.95833333333333337</v>
      </c>
      <c r="AG7681" s="7">
        <v>-7.3</v>
      </c>
      <c r="AH7681" s="10">
        <f t="shared" si="134"/>
        <v>-7</v>
      </c>
    </row>
    <row r="7682" spans="11:34" ht="14.5" x14ac:dyDescent="0.35">
      <c r="K7682" s="4"/>
      <c r="AC7682" s="7">
        <v>2022</v>
      </c>
      <c r="AD7682" s="7">
        <v>11</v>
      </c>
      <c r="AE7682" s="7">
        <v>17</v>
      </c>
      <c r="AF7682" s="8">
        <v>0</v>
      </c>
      <c r="AG7682" s="7">
        <v>-7.7</v>
      </c>
      <c r="AH7682" s="10">
        <f t="shared" si="134"/>
        <v>-8</v>
      </c>
    </row>
    <row r="7683" spans="11:34" ht="14.5" x14ac:dyDescent="0.35">
      <c r="K7683" s="4"/>
      <c r="AC7683" s="7">
        <v>2022</v>
      </c>
      <c r="AD7683" s="7">
        <v>11</v>
      </c>
      <c r="AE7683" s="7">
        <v>17</v>
      </c>
      <c r="AF7683" s="8">
        <v>4.1666666666666664E-2</v>
      </c>
      <c r="AG7683" s="7">
        <v>-9</v>
      </c>
      <c r="AH7683" s="10">
        <f t="shared" si="134"/>
        <v>-9</v>
      </c>
    </row>
    <row r="7684" spans="11:34" ht="14.5" x14ac:dyDescent="0.35">
      <c r="K7684" s="4"/>
      <c r="AC7684" s="7">
        <v>2022</v>
      </c>
      <c r="AD7684" s="7">
        <v>11</v>
      </c>
      <c r="AE7684" s="7">
        <v>17</v>
      </c>
      <c r="AF7684" s="8">
        <v>8.3333333333333329E-2</v>
      </c>
      <c r="AG7684" s="7">
        <v>-9.6999999999999993</v>
      </c>
      <c r="AH7684" s="10">
        <f t="shared" si="134"/>
        <v>-10</v>
      </c>
    </row>
    <row r="7685" spans="11:34" ht="14.5" x14ac:dyDescent="0.35">
      <c r="K7685" s="4"/>
      <c r="AC7685" s="7">
        <v>2022</v>
      </c>
      <c r="AD7685" s="7">
        <v>11</v>
      </c>
      <c r="AE7685" s="7">
        <v>17</v>
      </c>
      <c r="AF7685" s="8">
        <v>0.125</v>
      </c>
      <c r="AG7685" s="7">
        <v>-10.3</v>
      </c>
      <c r="AH7685" s="10">
        <f t="shared" si="134"/>
        <v>-10</v>
      </c>
    </row>
    <row r="7686" spans="11:34" ht="14.5" x14ac:dyDescent="0.35">
      <c r="K7686" s="4"/>
      <c r="AC7686" s="7">
        <v>2022</v>
      </c>
      <c r="AD7686" s="7">
        <v>11</v>
      </c>
      <c r="AE7686" s="7">
        <v>17</v>
      </c>
      <c r="AF7686" s="8">
        <v>0.16666666666666666</v>
      </c>
      <c r="AG7686" s="7">
        <v>-11.4</v>
      </c>
      <c r="AH7686" s="10">
        <f t="shared" si="134"/>
        <v>-11</v>
      </c>
    </row>
    <row r="7687" spans="11:34" ht="14.5" x14ac:dyDescent="0.35">
      <c r="K7687" s="4"/>
      <c r="AC7687" s="7">
        <v>2022</v>
      </c>
      <c r="AD7687" s="7">
        <v>11</v>
      </c>
      <c r="AE7687" s="7">
        <v>17</v>
      </c>
      <c r="AF7687" s="8">
        <v>0.20833333333333334</v>
      </c>
      <c r="AG7687" s="7">
        <v>-12</v>
      </c>
      <c r="AH7687" s="10">
        <f t="shared" si="134"/>
        <v>-12</v>
      </c>
    </row>
    <row r="7688" spans="11:34" ht="14.5" x14ac:dyDescent="0.35">
      <c r="K7688" s="4"/>
      <c r="AC7688" s="7">
        <v>2022</v>
      </c>
      <c r="AD7688" s="7">
        <v>11</v>
      </c>
      <c r="AE7688" s="7">
        <v>17</v>
      </c>
      <c r="AF7688" s="8">
        <v>0.25</v>
      </c>
      <c r="AG7688" s="7">
        <v>-12.3</v>
      </c>
      <c r="AH7688" s="10">
        <f t="shared" si="134"/>
        <v>-12</v>
      </c>
    </row>
    <row r="7689" spans="11:34" ht="14.5" x14ac:dyDescent="0.35">
      <c r="K7689" s="4"/>
      <c r="AC7689" s="7">
        <v>2022</v>
      </c>
      <c r="AD7689" s="7">
        <v>11</v>
      </c>
      <c r="AE7689" s="7">
        <v>17</v>
      </c>
      <c r="AF7689" s="8">
        <v>0.29166666666666669</v>
      </c>
      <c r="AG7689" s="7">
        <v>-12.6</v>
      </c>
      <c r="AH7689" s="10">
        <f t="shared" si="134"/>
        <v>-13</v>
      </c>
    </row>
    <row r="7690" spans="11:34" ht="14.5" x14ac:dyDescent="0.35">
      <c r="K7690" s="4"/>
      <c r="AC7690" s="7">
        <v>2022</v>
      </c>
      <c r="AD7690" s="7">
        <v>11</v>
      </c>
      <c r="AE7690" s="7">
        <v>17</v>
      </c>
      <c r="AF7690" s="8">
        <v>0.33333333333333331</v>
      </c>
      <c r="AG7690" s="7">
        <v>-13.7</v>
      </c>
      <c r="AH7690" s="10">
        <f t="shared" si="134"/>
        <v>-14</v>
      </c>
    </row>
    <row r="7691" spans="11:34" ht="14.5" x14ac:dyDescent="0.35">
      <c r="K7691" s="4"/>
      <c r="AC7691" s="7">
        <v>2022</v>
      </c>
      <c r="AD7691" s="7">
        <v>11</v>
      </c>
      <c r="AE7691" s="7">
        <v>17</v>
      </c>
      <c r="AF7691" s="8">
        <v>0.375</v>
      </c>
      <c r="AG7691" s="7">
        <v>-12.9</v>
      </c>
      <c r="AH7691" s="10">
        <f t="shared" ref="AH7691:AH7754" si="135">ROUND(AG7691,0)</f>
        <v>-13</v>
      </c>
    </row>
    <row r="7692" spans="11:34" ht="14.5" x14ac:dyDescent="0.35">
      <c r="K7692" s="4"/>
      <c r="AC7692" s="7">
        <v>2022</v>
      </c>
      <c r="AD7692" s="7">
        <v>11</v>
      </c>
      <c r="AE7692" s="7">
        <v>17</v>
      </c>
      <c r="AF7692" s="8">
        <v>0.41666666666666669</v>
      </c>
      <c r="AG7692" s="7">
        <v>-11.2</v>
      </c>
      <c r="AH7692" s="10">
        <f t="shared" si="135"/>
        <v>-11</v>
      </c>
    </row>
    <row r="7693" spans="11:34" ht="14.5" x14ac:dyDescent="0.35">
      <c r="K7693" s="4"/>
      <c r="AC7693" s="7">
        <v>2022</v>
      </c>
      <c r="AD7693" s="7">
        <v>11</v>
      </c>
      <c r="AE7693" s="7">
        <v>17</v>
      </c>
      <c r="AF7693" s="8">
        <v>0.45833333333333331</v>
      </c>
      <c r="AG7693" s="7">
        <v>-10.199999999999999</v>
      </c>
      <c r="AH7693" s="10">
        <f t="shared" si="135"/>
        <v>-10</v>
      </c>
    </row>
    <row r="7694" spans="11:34" ht="14.5" x14ac:dyDescent="0.35">
      <c r="K7694" s="4"/>
      <c r="AC7694" s="7">
        <v>2022</v>
      </c>
      <c r="AD7694" s="7">
        <v>11</v>
      </c>
      <c r="AE7694" s="7">
        <v>17</v>
      </c>
      <c r="AF7694" s="8">
        <v>0.5</v>
      </c>
      <c r="AG7694" s="7">
        <v>-8.6999999999999993</v>
      </c>
      <c r="AH7694" s="10">
        <f t="shared" si="135"/>
        <v>-9</v>
      </c>
    </row>
    <row r="7695" spans="11:34" ht="14.5" x14ac:dyDescent="0.35">
      <c r="K7695" s="4"/>
      <c r="AC7695" s="7">
        <v>2022</v>
      </c>
      <c r="AD7695" s="7">
        <v>11</v>
      </c>
      <c r="AE7695" s="7">
        <v>17</v>
      </c>
      <c r="AF7695" s="8">
        <v>0.54166666666666663</v>
      </c>
      <c r="AG7695" s="7">
        <v>-7.3</v>
      </c>
      <c r="AH7695" s="10">
        <f t="shared" si="135"/>
        <v>-7</v>
      </c>
    </row>
    <row r="7696" spans="11:34" ht="14.5" x14ac:dyDescent="0.35">
      <c r="K7696" s="4"/>
      <c r="AC7696" s="7">
        <v>2022</v>
      </c>
      <c r="AD7696" s="7">
        <v>11</v>
      </c>
      <c r="AE7696" s="7">
        <v>17</v>
      </c>
      <c r="AF7696" s="8">
        <v>0.58333333333333337</v>
      </c>
      <c r="AG7696" s="7">
        <v>-6.4</v>
      </c>
      <c r="AH7696" s="10">
        <f t="shared" si="135"/>
        <v>-6</v>
      </c>
    </row>
    <row r="7697" spans="11:34" ht="14.5" x14ac:dyDescent="0.35">
      <c r="K7697" s="4"/>
      <c r="AC7697" s="7">
        <v>2022</v>
      </c>
      <c r="AD7697" s="7">
        <v>11</v>
      </c>
      <c r="AE7697" s="7">
        <v>17</v>
      </c>
      <c r="AF7697" s="8">
        <v>0.625</v>
      </c>
      <c r="AG7697" s="7">
        <v>-7.6</v>
      </c>
      <c r="AH7697" s="10">
        <f t="shared" si="135"/>
        <v>-8</v>
      </c>
    </row>
    <row r="7698" spans="11:34" ht="14.5" x14ac:dyDescent="0.35">
      <c r="K7698" s="4"/>
      <c r="AC7698" s="7">
        <v>2022</v>
      </c>
      <c r="AD7698" s="7">
        <v>11</v>
      </c>
      <c r="AE7698" s="7">
        <v>17</v>
      </c>
      <c r="AF7698" s="8">
        <v>0.66666666666666663</v>
      </c>
      <c r="AG7698" s="7">
        <v>-8.1999999999999993</v>
      </c>
      <c r="AH7698" s="10">
        <f t="shared" si="135"/>
        <v>-8</v>
      </c>
    </row>
    <row r="7699" spans="11:34" ht="14.5" x14ac:dyDescent="0.35">
      <c r="K7699" s="4"/>
      <c r="AC7699" s="7">
        <v>2022</v>
      </c>
      <c r="AD7699" s="7">
        <v>11</v>
      </c>
      <c r="AE7699" s="7">
        <v>17</v>
      </c>
      <c r="AF7699" s="8">
        <v>0.70833333333333337</v>
      </c>
      <c r="AG7699" s="7">
        <v>-8.9</v>
      </c>
      <c r="AH7699" s="10">
        <f t="shared" si="135"/>
        <v>-9</v>
      </c>
    </row>
    <row r="7700" spans="11:34" ht="14.5" x14ac:dyDescent="0.35">
      <c r="K7700" s="4"/>
      <c r="AC7700" s="7">
        <v>2022</v>
      </c>
      <c r="AD7700" s="7">
        <v>11</v>
      </c>
      <c r="AE7700" s="7">
        <v>17</v>
      </c>
      <c r="AF7700" s="8">
        <v>0.75</v>
      </c>
      <c r="AG7700" s="7">
        <v>-9.5</v>
      </c>
      <c r="AH7700" s="10">
        <f t="shared" si="135"/>
        <v>-10</v>
      </c>
    </row>
    <row r="7701" spans="11:34" ht="14.5" x14ac:dyDescent="0.35">
      <c r="K7701" s="4"/>
      <c r="AC7701" s="7">
        <v>2022</v>
      </c>
      <c r="AD7701" s="7">
        <v>11</v>
      </c>
      <c r="AE7701" s="7">
        <v>17</v>
      </c>
      <c r="AF7701" s="8">
        <v>0.79166666666666663</v>
      </c>
      <c r="AG7701" s="7">
        <v>-10.4</v>
      </c>
      <c r="AH7701" s="10">
        <f t="shared" si="135"/>
        <v>-10</v>
      </c>
    </row>
    <row r="7702" spans="11:34" ht="14.5" x14ac:dyDescent="0.35">
      <c r="K7702" s="4"/>
      <c r="AC7702" s="7">
        <v>2022</v>
      </c>
      <c r="AD7702" s="7">
        <v>11</v>
      </c>
      <c r="AE7702" s="7">
        <v>17</v>
      </c>
      <c r="AF7702" s="8">
        <v>0.83333333333333337</v>
      </c>
      <c r="AG7702" s="7">
        <v>-9.6</v>
      </c>
      <c r="AH7702" s="10">
        <f t="shared" si="135"/>
        <v>-10</v>
      </c>
    </row>
    <row r="7703" spans="11:34" ht="14.5" x14ac:dyDescent="0.35">
      <c r="K7703" s="4"/>
      <c r="AC7703" s="7">
        <v>2022</v>
      </c>
      <c r="AD7703" s="7">
        <v>11</v>
      </c>
      <c r="AE7703" s="7">
        <v>17</v>
      </c>
      <c r="AF7703" s="8">
        <v>0.875</v>
      </c>
      <c r="AG7703" s="7">
        <v>-9.3000000000000007</v>
      </c>
      <c r="AH7703" s="10">
        <f t="shared" si="135"/>
        <v>-9</v>
      </c>
    </row>
    <row r="7704" spans="11:34" ht="14.5" x14ac:dyDescent="0.35">
      <c r="K7704" s="4"/>
      <c r="AC7704" s="7">
        <v>2022</v>
      </c>
      <c r="AD7704" s="7">
        <v>11</v>
      </c>
      <c r="AE7704" s="7">
        <v>17</v>
      </c>
      <c r="AF7704" s="8">
        <v>0.91666666666666663</v>
      </c>
      <c r="AG7704" s="7">
        <v>-10.5</v>
      </c>
      <c r="AH7704" s="10">
        <f t="shared" si="135"/>
        <v>-11</v>
      </c>
    </row>
    <row r="7705" spans="11:34" ht="14.5" x14ac:dyDescent="0.35">
      <c r="K7705" s="4"/>
      <c r="AC7705" s="7">
        <v>2022</v>
      </c>
      <c r="AD7705" s="7">
        <v>11</v>
      </c>
      <c r="AE7705" s="7">
        <v>17</v>
      </c>
      <c r="AF7705" s="8">
        <v>0.95833333333333337</v>
      </c>
      <c r="AG7705" s="7">
        <v>-10</v>
      </c>
      <c r="AH7705" s="10">
        <f t="shared" si="135"/>
        <v>-10</v>
      </c>
    </row>
    <row r="7706" spans="11:34" ht="14.5" x14ac:dyDescent="0.35">
      <c r="K7706" s="4"/>
      <c r="AC7706" s="7">
        <v>2022</v>
      </c>
      <c r="AD7706" s="7">
        <v>11</v>
      </c>
      <c r="AE7706" s="7">
        <v>18</v>
      </c>
      <c r="AF7706" s="8">
        <v>0</v>
      </c>
      <c r="AG7706" s="7">
        <v>-9.1</v>
      </c>
      <c r="AH7706" s="10">
        <f t="shared" si="135"/>
        <v>-9</v>
      </c>
    </row>
    <row r="7707" spans="11:34" ht="14.5" x14ac:dyDescent="0.35">
      <c r="K7707" s="4"/>
      <c r="AC7707" s="7">
        <v>2022</v>
      </c>
      <c r="AD7707" s="7">
        <v>11</v>
      </c>
      <c r="AE7707" s="7">
        <v>18</v>
      </c>
      <c r="AF7707" s="8">
        <v>4.1666666666666664E-2</v>
      </c>
      <c r="AG7707" s="7">
        <v>-9.6</v>
      </c>
      <c r="AH7707" s="10">
        <f t="shared" si="135"/>
        <v>-10</v>
      </c>
    </row>
    <row r="7708" spans="11:34" ht="14.5" x14ac:dyDescent="0.35">
      <c r="K7708" s="4"/>
      <c r="AC7708" s="7">
        <v>2022</v>
      </c>
      <c r="AD7708" s="7">
        <v>11</v>
      </c>
      <c r="AE7708" s="7">
        <v>18</v>
      </c>
      <c r="AF7708" s="8">
        <v>8.3333333333333329E-2</v>
      </c>
      <c r="AG7708" s="7">
        <v>-10.199999999999999</v>
      </c>
      <c r="AH7708" s="10">
        <f t="shared" si="135"/>
        <v>-10</v>
      </c>
    </row>
    <row r="7709" spans="11:34" ht="14.5" x14ac:dyDescent="0.35">
      <c r="K7709" s="4"/>
      <c r="AC7709" s="7">
        <v>2022</v>
      </c>
      <c r="AD7709" s="7">
        <v>11</v>
      </c>
      <c r="AE7709" s="7">
        <v>18</v>
      </c>
      <c r="AF7709" s="8">
        <v>0.125</v>
      </c>
      <c r="AG7709" s="7">
        <v>-9.8000000000000007</v>
      </c>
      <c r="AH7709" s="10">
        <f t="shared" si="135"/>
        <v>-10</v>
      </c>
    </row>
    <row r="7710" spans="11:34" ht="14.5" x14ac:dyDescent="0.35">
      <c r="K7710" s="4"/>
      <c r="AC7710" s="7">
        <v>2022</v>
      </c>
      <c r="AD7710" s="7">
        <v>11</v>
      </c>
      <c r="AE7710" s="7">
        <v>18</v>
      </c>
      <c r="AF7710" s="8">
        <v>0.16666666666666666</v>
      </c>
      <c r="AG7710" s="7">
        <v>-9.1</v>
      </c>
      <c r="AH7710" s="10">
        <f t="shared" si="135"/>
        <v>-9</v>
      </c>
    </row>
    <row r="7711" spans="11:34" ht="14.5" x14ac:dyDescent="0.35">
      <c r="K7711" s="4"/>
      <c r="AC7711" s="7">
        <v>2022</v>
      </c>
      <c r="AD7711" s="7">
        <v>11</v>
      </c>
      <c r="AE7711" s="7">
        <v>18</v>
      </c>
      <c r="AF7711" s="8">
        <v>0.20833333333333334</v>
      </c>
      <c r="AG7711" s="7">
        <v>-9.1</v>
      </c>
      <c r="AH7711" s="10">
        <f t="shared" si="135"/>
        <v>-9</v>
      </c>
    </row>
    <row r="7712" spans="11:34" ht="14.5" x14ac:dyDescent="0.35">
      <c r="K7712" s="4"/>
      <c r="AC7712" s="7">
        <v>2022</v>
      </c>
      <c r="AD7712" s="7">
        <v>11</v>
      </c>
      <c r="AE7712" s="7">
        <v>18</v>
      </c>
      <c r="AF7712" s="8">
        <v>0.25</v>
      </c>
      <c r="AG7712" s="7">
        <v>-7.3</v>
      </c>
      <c r="AH7712" s="10">
        <f t="shared" si="135"/>
        <v>-7</v>
      </c>
    </row>
    <row r="7713" spans="11:34" ht="14.5" x14ac:dyDescent="0.35">
      <c r="K7713" s="4"/>
      <c r="AC7713" s="7">
        <v>2022</v>
      </c>
      <c r="AD7713" s="7">
        <v>11</v>
      </c>
      <c r="AE7713" s="7">
        <v>18</v>
      </c>
      <c r="AF7713" s="8">
        <v>0.29166666666666669</v>
      </c>
      <c r="AG7713" s="7">
        <v>-5</v>
      </c>
      <c r="AH7713" s="10">
        <f t="shared" si="135"/>
        <v>-5</v>
      </c>
    </row>
    <row r="7714" spans="11:34" ht="14.5" x14ac:dyDescent="0.35">
      <c r="K7714" s="4"/>
      <c r="AC7714" s="7">
        <v>2022</v>
      </c>
      <c r="AD7714" s="7">
        <v>11</v>
      </c>
      <c r="AE7714" s="7">
        <v>18</v>
      </c>
      <c r="AF7714" s="8">
        <v>0.33333333333333331</v>
      </c>
      <c r="AG7714" s="7">
        <v>-7.6</v>
      </c>
      <c r="AH7714" s="10">
        <f t="shared" si="135"/>
        <v>-8</v>
      </c>
    </row>
    <row r="7715" spans="11:34" ht="14.5" x14ac:dyDescent="0.35">
      <c r="K7715" s="4"/>
      <c r="AC7715" s="7">
        <v>2022</v>
      </c>
      <c r="AD7715" s="7">
        <v>11</v>
      </c>
      <c r="AE7715" s="7">
        <v>18</v>
      </c>
      <c r="AF7715" s="8">
        <v>0.375</v>
      </c>
      <c r="AG7715" s="7">
        <v>-6.5</v>
      </c>
      <c r="AH7715" s="10">
        <f t="shared" si="135"/>
        <v>-7</v>
      </c>
    </row>
    <row r="7716" spans="11:34" ht="14.5" x14ac:dyDescent="0.35">
      <c r="K7716" s="4"/>
      <c r="AC7716" s="7">
        <v>2022</v>
      </c>
      <c r="AD7716" s="7">
        <v>11</v>
      </c>
      <c r="AE7716" s="7">
        <v>18</v>
      </c>
      <c r="AF7716" s="8">
        <v>0.41666666666666669</v>
      </c>
      <c r="AG7716" s="7">
        <v>-4.4000000000000004</v>
      </c>
      <c r="AH7716" s="10">
        <f t="shared" si="135"/>
        <v>-4</v>
      </c>
    </row>
    <row r="7717" spans="11:34" ht="14.5" x14ac:dyDescent="0.35">
      <c r="K7717" s="4"/>
      <c r="AC7717" s="7">
        <v>2022</v>
      </c>
      <c r="AD7717" s="7">
        <v>11</v>
      </c>
      <c r="AE7717" s="7">
        <v>18</v>
      </c>
      <c r="AF7717" s="8">
        <v>0.45833333333333331</v>
      </c>
      <c r="AG7717" s="7">
        <v>-2.2999999999999998</v>
      </c>
      <c r="AH7717" s="10">
        <f t="shared" si="135"/>
        <v>-2</v>
      </c>
    </row>
    <row r="7718" spans="11:34" ht="14.5" x14ac:dyDescent="0.35">
      <c r="K7718" s="4"/>
      <c r="AC7718" s="7">
        <v>2022</v>
      </c>
      <c r="AD7718" s="7">
        <v>11</v>
      </c>
      <c r="AE7718" s="7">
        <v>18</v>
      </c>
      <c r="AF7718" s="8">
        <v>0.5</v>
      </c>
      <c r="AG7718" s="7">
        <v>-1.4</v>
      </c>
      <c r="AH7718" s="10">
        <f t="shared" si="135"/>
        <v>-1</v>
      </c>
    </row>
    <row r="7719" spans="11:34" ht="14.5" x14ac:dyDescent="0.35">
      <c r="K7719" s="4"/>
      <c r="AC7719" s="7">
        <v>2022</v>
      </c>
      <c r="AD7719" s="7">
        <v>11</v>
      </c>
      <c r="AE7719" s="7">
        <v>18</v>
      </c>
      <c r="AF7719" s="8">
        <v>0.54166666666666663</v>
      </c>
      <c r="AG7719" s="7">
        <v>-0.4</v>
      </c>
      <c r="AH7719" s="10">
        <f t="shared" si="135"/>
        <v>0</v>
      </c>
    </row>
    <row r="7720" spans="11:34" ht="14.5" x14ac:dyDescent="0.35">
      <c r="K7720" s="4"/>
      <c r="AC7720" s="7">
        <v>2022</v>
      </c>
      <c r="AD7720" s="7">
        <v>11</v>
      </c>
      <c r="AE7720" s="7">
        <v>18</v>
      </c>
      <c r="AF7720" s="8">
        <v>0.58333333333333337</v>
      </c>
      <c r="AG7720" s="7">
        <v>-0.2</v>
      </c>
      <c r="AH7720" s="10">
        <f t="shared" si="135"/>
        <v>0</v>
      </c>
    </row>
    <row r="7721" spans="11:34" ht="14.5" x14ac:dyDescent="0.35">
      <c r="K7721" s="4"/>
      <c r="AC7721" s="7">
        <v>2022</v>
      </c>
      <c r="AD7721" s="7">
        <v>11</v>
      </c>
      <c r="AE7721" s="7">
        <v>18</v>
      </c>
      <c r="AF7721" s="8">
        <v>0.625</v>
      </c>
      <c r="AG7721" s="7">
        <v>-0.6</v>
      </c>
      <c r="AH7721" s="10">
        <f t="shared" si="135"/>
        <v>-1</v>
      </c>
    </row>
    <row r="7722" spans="11:34" ht="14.5" x14ac:dyDescent="0.35">
      <c r="K7722" s="4"/>
      <c r="AC7722" s="7">
        <v>2022</v>
      </c>
      <c r="AD7722" s="7">
        <v>11</v>
      </c>
      <c r="AE7722" s="7">
        <v>18</v>
      </c>
      <c r="AF7722" s="8">
        <v>0.66666666666666663</v>
      </c>
      <c r="AG7722" s="7">
        <v>-1.6</v>
      </c>
      <c r="AH7722" s="10">
        <f t="shared" si="135"/>
        <v>-2</v>
      </c>
    </row>
    <row r="7723" spans="11:34" ht="14.5" x14ac:dyDescent="0.35">
      <c r="K7723" s="4"/>
      <c r="AC7723" s="7">
        <v>2022</v>
      </c>
      <c r="AD7723" s="7">
        <v>11</v>
      </c>
      <c r="AE7723" s="7">
        <v>18</v>
      </c>
      <c r="AF7723" s="8">
        <v>0.70833333333333337</v>
      </c>
      <c r="AG7723" s="7">
        <v>-5.6</v>
      </c>
      <c r="AH7723" s="10">
        <f t="shared" si="135"/>
        <v>-6</v>
      </c>
    </row>
    <row r="7724" spans="11:34" ht="14.5" x14ac:dyDescent="0.35">
      <c r="K7724" s="4"/>
      <c r="AC7724" s="7">
        <v>2022</v>
      </c>
      <c r="AD7724" s="7">
        <v>11</v>
      </c>
      <c r="AE7724" s="7">
        <v>18</v>
      </c>
      <c r="AF7724" s="8">
        <v>0.75</v>
      </c>
      <c r="AG7724" s="7">
        <v>-7.2</v>
      </c>
      <c r="AH7724" s="10">
        <f t="shared" si="135"/>
        <v>-7</v>
      </c>
    </row>
    <row r="7725" spans="11:34" ht="14.5" x14ac:dyDescent="0.35">
      <c r="K7725" s="4"/>
      <c r="AC7725" s="7">
        <v>2022</v>
      </c>
      <c r="AD7725" s="7">
        <v>11</v>
      </c>
      <c r="AE7725" s="7">
        <v>18</v>
      </c>
      <c r="AF7725" s="8">
        <v>0.79166666666666663</v>
      </c>
      <c r="AG7725" s="7">
        <v>-8.4</v>
      </c>
      <c r="AH7725" s="10">
        <f t="shared" si="135"/>
        <v>-8</v>
      </c>
    </row>
    <row r="7726" spans="11:34" ht="14.5" x14ac:dyDescent="0.35">
      <c r="K7726" s="4"/>
      <c r="AC7726" s="7">
        <v>2022</v>
      </c>
      <c r="AD7726" s="7">
        <v>11</v>
      </c>
      <c r="AE7726" s="7">
        <v>18</v>
      </c>
      <c r="AF7726" s="8">
        <v>0.83333333333333337</v>
      </c>
      <c r="AG7726" s="7">
        <v>-11.3</v>
      </c>
      <c r="AH7726" s="10">
        <f t="shared" si="135"/>
        <v>-11</v>
      </c>
    </row>
    <row r="7727" spans="11:34" ht="14.5" x14ac:dyDescent="0.35">
      <c r="K7727" s="4"/>
      <c r="AC7727" s="7">
        <v>2022</v>
      </c>
      <c r="AD7727" s="7">
        <v>11</v>
      </c>
      <c r="AE7727" s="7">
        <v>18</v>
      </c>
      <c r="AF7727" s="8">
        <v>0.875</v>
      </c>
      <c r="AG7727" s="7">
        <v>-11.2</v>
      </c>
      <c r="AH7727" s="10">
        <f t="shared" si="135"/>
        <v>-11</v>
      </c>
    </row>
    <row r="7728" spans="11:34" ht="14.5" x14ac:dyDescent="0.35">
      <c r="K7728" s="4"/>
      <c r="AC7728" s="7">
        <v>2022</v>
      </c>
      <c r="AD7728" s="7">
        <v>11</v>
      </c>
      <c r="AE7728" s="7">
        <v>18</v>
      </c>
      <c r="AF7728" s="8">
        <v>0.91666666666666663</v>
      </c>
      <c r="AG7728" s="7">
        <v>-10.7</v>
      </c>
      <c r="AH7728" s="10">
        <f t="shared" si="135"/>
        <v>-11</v>
      </c>
    </row>
    <row r="7729" spans="11:34" ht="14.5" x14ac:dyDescent="0.35">
      <c r="K7729" s="4"/>
      <c r="AC7729" s="7">
        <v>2022</v>
      </c>
      <c r="AD7729" s="7">
        <v>11</v>
      </c>
      <c r="AE7729" s="7">
        <v>18</v>
      </c>
      <c r="AF7729" s="8">
        <v>0.95833333333333337</v>
      </c>
      <c r="AG7729" s="7">
        <v>-11.4</v>
      </c>
      <c r="AH7729" s="10">
        <f t="shared" si="135"/>
        <v>-11</v>
      </c>
    </row>
    <row r="7730" spans="11:34" ht="14.5" x14ac:dyDescent="0.35">
      <c r="K7730" s="4"/>
      <c r="AC7730" s="7">
        <v>2022</v>
      </c>
      <c r="AD7730" s="7">
        <v>11</v>
      </c>
      <c r="AE7730" s="7">
        <v>19</v>
      </c>
      <c r="AF7730" s="8">
        <v>0</v>
      </c>
      <c r="AG7730" s="7">
        <v>-11.4</v>
      </c>
      <c r="AH7730" s="10">
        <f t="shared" si="135"/>
        <v>-11</v>
      </c>
    </row>
    <row r="7731" spans="11:34" ht="14.5" x14ac:dyDescent="0.35">
      <c r="K7731" s="4"/>
      <c r="AC7731" s="7">
        <v>2022</v>
      </c>
      <c r="AD7731" s="7">
        <v>11</v>
      </c>
      <c r="AE7731" s="7">
        <v>19</v>
      </c>
      <c r="AF7731" s="8">
        <v>4.1666666666666664E-2</v>
      </c>
      <c r="AG7731" s="7">
        <v>-13.3</v>
      </c>
      <c r="AH7731" s="10">
        <f t="shared" si="135"/>
        <v>-13</v>
      </c>
    </row>
    <row r="7732" spans="11:34" ht="14.5" x14ac:dyDescent="0.35">
      <c r="K7732" s="4"/>
      <c r="AC7732" s="7">
        <v>2022</v>
      </c>
      <c r="AD7732" s="7">
        <v>11</v>
      </c>
      <c r="AE7732" s="7">
        <v>19</v>
      </c>
      <c r="AF7732" s="8">
        <v>8.3333333333333329E-2</v>
      </c>
      <c r="AG7732" s="7">
        <v>-13.2</v>
      </c>
      <c r="AH7732" s="10">
        <f t="shared" si="135"/>
        <v>-13</v>
      </c>
    </row>
    <row r="7733" spans="11:34" ht="14.5" x14ac:dyDescent="0.35">
      <c r="K7733" s="4"/>
      <c r="AC7733" s="7">
        <v>2022</v>
      </c>
      <c r="AD7733" s="7">
        <v>11</v>
      </c>
      <c r="AE7733" s="7">
        <v>19</v>
      </c>
      <c r="AF7733" s="8">
        <v>0.125</v>
      </c>
      <c r="AG7733" s="7">
        <v>-12.8</v>
      </c>
      <c r="AH7733" s="10">
        <f t="shared" si="135"/>
        <v>-13</v>
      </c>
    </row>
    <row r="7734" spans="11:34" ht="14.5" x14ac:dyDescent="0.35">
      <c r="K7734" s="4"/>
      <c r="AC7734" s="7">
        <v>2022</v>
      </c>
      <c r="AD7734" s="7">
        <v>11</v>
      </c>
      <c r="AE7734" s="7">
        <v>19</v>
      </c>
      <c r="AF7734" s="8">
        <v>0.16666666666666666</v>
      </c>
      <c r="AG7734" s="7">
        <v>-13.4</v>
      </c>
      <c r="AH7734" s="10">
        <f t="shared" si="135"/>
        <v>-13</v>
      </c>
    </row>
    <row r="7735" spans="11:34" ht="14.5" x14ac:dyDescent="0.35">
      <c r="K7735" s="4"/>
      <c r="AC7735" s="7">
        <v>2022</v>
      </c>
      <c r="AD7735" s="7">
        <v>11</v>
      </c>
      <c r="AE7735" s="7">
        <v>19</v>
      </c>
      <c r="AF7735" s="8">
        <v>0.20833333333333334</v>
      </c>
      <c r="AG7735" s="7">
        <v>-11.1</v>
      </c>
      <c r="AH7735" s="10">
        <f t="shared" si="135"/>
        <v>-11</v>
      </c>
    </row>
    <row r="7736" spans="11:34" ht="14.5" x14ac:dyDescent="0.35">
      <c r="K7736" s="4"/>
      <c r="AC7736" s="7">
        <v>2022</v>
      </c>
      <c r="AD7736" s="7">
        <v>11</v>
      </c>
      <c r="AE7736" s="7">
        <v>19</v>
      </c>
      <c r="AF7736" s="8">
        <v>0.25</v>
      </c>
      <c r="AG7736" s="7">
        <v>-11.5</v>
      </c>
      <c r="AH7736" s="10">
        <f t="shared" si="135"/>
        <v>-12</v>
      </c>
    </row>
    <row r="7737" spans="11:34" ht="14.5" x14ac:dyDescent="0.35">
      <c r="K7737" s="4"/>
      <c r="AC7737" s="7">
        <v>2022</v>
      </c>
      <c r="AD7737" s="7">
        <v>11</v>
      </c>
      <c r="AE7737" s="7">
        <v>19</v>
      </c>
      <c r="AF7737" s="8">
        <v>0.29166666666666669</v>
      </c>
      <c r="AG7737" s="7">
        <v>-9.6</v>
      </c>
      <c r="AH7737" s="10">
        <f t="shared" si="135"/>
        <v>-10</v>
      </c>
    </row>
    <row r="7738" spans="11:34" ht="14.5" x14ac:dyDescent="0.35">
      <c r="K7738" s="4"/>
      <c r="AC7738" s="7">
        <v>2022</v>
      </c>
      <c r="AD7738" s="7">
        <v>11</v>
      </c>
      <c r="AE7738" s="7">
        <v>19</v>
      </c>
      <c r="AF7738" s="8">
        <v>0.33333333333333331</v>
      </c>
      <c r="AG7738" s="7">
        <v>-9.4</v>
      </c>
      <c r="AH7738" s="10">
        <f t="shared" si="135"/>
        <v>-9</v>
      </c>
    </row>
    <row r="7739" spans="11:34" ht="14.5" x14ac:dyDescent="0.35">
      <c r="K7739" s="4"/>
      <c r="AC7739" s="7">
        <v>2022</v>
      </c>
      <c r="AD7739" s="7">
        <v>11</v>
      </c>
      <c r="AE7739" s="7">
        <v>19</v>
      </c>
      <c r="AF7739" s="8">
        <v>0.375</v>
      </c>
      <c r="AG7739" s="7">
        <v>-4.8</v>
      </c>
      <c r="AH7739" s="10">
        <f t="shared" si="135"/>
        <v>-5</v>
      </c>
    </row>
    <row r="7740" spans="11:34" ht="14.5" x14ac:dyDescent="0.35">
      <c r="K7740" s="4"/>
      <c r="AC7740" s="7">
        <v>2022</v>
      </c>
      <c r="AD7740" s="7">
        <v>11</v>
      </c>
      <c r="AE7740" s="7">
        <v>19</v>
      </c>
      <c r="AF7740" s="8">
        <v>0.41666666666666669</v>
      </c>
      <c r="AG7740" s="7">
        <v>1</v>
      </c>
      <c r="AH7740" s="10">
        <f t="shared" si="135"/>
        <v>1</v>
      </c>
    </row>
    <row r="7741" spans="11:34" ht="14.5" x14ac:dyDescent="0.35">
      <c r="K7741" s="4"/>
      <c r="AC7741" s="7">
        <v>2022</v>
      </c>
      <c r="AD7741" s="7">
        <v>11</v>
      </c>
      <c r="AE7741" s="7">
        <v>19</v>
      </c>
      <c r="AF7741" s="8">
        <v>0.45833333333333331</v>
      </c>
      <c r="AG7741" s="7">
        <v>4</v>
      </c>
      <c r="AH7741" s="10">
        <f t="shared" si="135"/>
        <v>4</v>
      </c>
    </row>
    <row r="7742" spans="11:34" ht="14.5" x14ac:dyDescent="0.35">
      <c r="K7742" s="4"/>
      <c r="AC7742" s="7">
        <v>2022</v>
      </c>
      <c r="AD7742" s="7">
        <v>11</v>
      </c>
      <c r="AE7742" s="7">
        <v>19</v>
      </c>
      <c r="AF7742" s="8">
        <v>0.5</v>
      </c>
      <c r="AG7742" s="7">
        <v>4.9000000000000004</v>
      </c>
      <c r="AH7742" s="10">
        <f t="shared" si="135"/>
        <v>5</v>
      </c>
    </row>
    <row r="7743" spans="11:34" ht="14.5" x14ac:dyDescent="0.35">
      <c r="K7743" s="4"/>
      <c r="AC7743" s="7">
        <v>2022</v>
      </c>
      <c r="AD7743" s="7">
        <v>11</v>
      </c>
      <c r="AE7743" s="7">
        <v>19</v>
      </c>
      <c r="AF7743" s="8">
        <v>0.54166666666666663</v>
      </c>
      <c r="AG7743" s="7">
        <v>5.4</v>
      </c>
      <c r="AH7743" s="10">
        <f t="shared" si="135"/>
        <v>5</v>
      </c>
    </row>
    <row r="7744" spans="11:34" ht="14.5" x14ac:dyDescent="0.35">
      <c r="K7744" s="4"/>
      <c r="AC7744" s="7">
        <v>2022</v>
      </c>
      <c r="AD7744" s="7">
        <v>11</v>
      </c>
      <c r="AE7744" s="7">
        <v>19</v>
      </c>
      <c r="AF7744" s="8">
        <v>0.58333333333333337</v>
      </c>
      <c r="AG7744" s="7">
        <v>6.7</v>
      </c>
      <c r="AH7744" s="10">
        <f t="shared" si="135"/>
        <v>7</v>
      </c>
    </row>
    <row r="7745" spans="11:34" ht="14.5" x14ac:dyDescent="0.35">
      <c r="K7745" s="4"/>
      <c r="AC7745" s="7">
        <v>2022</v>
      </c>
      <c r="AD7745" s="7">
        <v>11</v>
      </c>
      <c r="AE7745" s="7">
        <v>19</v>
      </c>
      <c r="AF7745" s="8">
        <v>0.625</v>
      </c>
      <c r="AG7745" s="7">
        <v>6.9</v>
      </c>
      <c r="AH7745" s="10">
        <f t="shared" si="135"/>
        <v>7</v>
      </c>
    </row>
    <row r="7746" spans="11:34" ht="14.5" x14ac:dyDescent="0.35">
      <c r="K7746" s="4"/>
      <c r="AC7746" s="7">
        <v>2022</v>
      </c>
      <c r="AD7746" s="7">
        <v>11</v>
      </c>
      <c r="AE7746" s="7">
        <v>19</v>
      </c>
      <c r="AF7746" s="8">
        <v>0.66666666666666663</v>
      </c>
      <c r="AG7746" s="7">
        <v>6.3</v>
      </c>
      <c r="AH7746" s="10">
        <f t="shared" si="135"/>
        <v>6</v>
      </c>
    </row>
    <row r="7747" spans="11:34" ht="14.5" x14ac:dyDescent="0.35">
      <c r="K7747" s="4"/>
      <c r="AC7747" s="7">
        <v>2022</v>
      </c>
      <c r="AD7747" s="7">
        <v>11</v>
      </c>
      <c r="AE7747" s="7">
        <v>19</v>
      </c>
      <c r="AF7747" s="8">
        <v>0.70833333333333337</v>
      </c>
      <c r="AG7747" s="7">
        <v>4.8</v>
      </c>
      <c r="AH7747" s="10">
        <f t="shared" si="135"/>
        <v>5</v>
      </c>
    </row>
    <row r="7748" spans="11:34" ht="14.5" x14ac:dyDescent="0.35">
      <c r="K7748" s="4"/>
      <c r="AC7748" s="7">
        <v>2022</v>
      </c>
      <c r="AD7748" s="7">
        <v>11</v>
      </c>
      <c r="AE7748" s="7">
        <v>19</v>
      </c>
      <c r="AF7748" s="8">
        <v>0.75</v>
      </c>
      <c r="AG7748" s="7">
        <v>3.7</v>
      </c>
      <c r="AH7748" s="10">
        <f t="shared" si="135"/>
        <v>4</v>
      </c>
    </row>
    <row r="7749" spans="11:34" ht="14.5" x14ac:dyDescent="0.35">
      <c r="K7749" s="4"/>
      <c r="AC7749" s="7">
        <v>2022</v>
      </c>
      <c r="AD7749" s="7">
        <v>11</v>
      </c>
      <c r="AE7749" s="7">
        <v>19</v>
      </c>
      <c r="AF7749" s="8">
        <v>0.79166666666666663</v>
      </c>
      <c r="AG7749" s="7">
        <v>-0.9</v>
      </c>
      <c r="AH7749" s="10">
        <f t="shared" si="135"/>
        <v>-1</v>
      </c>
    </row>
    <row r="7750" spans="11:34" ht="14.5" x14ac:dyDescent="0.35">
      <c r="K7750" s="4"/>
      <c r="AC7750" s="7">
        <v>2022</v>
      </c>
      <c r="AD7750" s="7">
        <v>11</v>
      </c>
      <c r="AE7750" s="7">
        <v>19</v>
      </c>
      <c r="AF7750" s="8">
        <v>0.83333333333333337</v>
      </c>
      <c r="AG7750" s="7">
        <v>-1.8</v>
      </c>
      <c r="AH7750" s="10">
        <f t="shared" si="135"/>
        <v>-2</v>
      </c>
    </row>
    <row r="7751" spans="11:34" ht="14.5" x14ac:dyDescent="0.35">
      <c r="K7751" s="4"/>
      <c r="AC7751" s="7">
        <v>2022</v>
      </c>
      <c r="AD7751" s="7">
        <v>11</v>
      </c>
      <c r="AE7751" s="7">
        <v>19</v>
      </c>
      <c r="AF7751" s="8">
        <v>0.875</v>
      </c>
      <c r="AG7751" s="7">
        <v>-3.7</v>
      </c>
      <c r="AH7751" s="10">
        <f t="shared" si="135"/>
        <v>-4</v>
      </c>
    </row>
    <row r="7752" spans="11:34" ht="14.5" x14ac:dyDescent="0.35">
      <c r="K7752" s="4"/>
      <c r="AC7752" s="7">
        <v>2022</v>
      </c>
      <c r="AD7752" s="7">
        <v>11</v>
      </c>
      <c r="AE7752" s="7">
        <v>19</v>
      </c>
      <c r="AF7752" s="8">
        <v>0.91666666666666663</v>
      </c>
      <c r="AG7752" s="7">
        <v>-4.9000000000000004</v>
      </c>
      <c r="AH7752" s="10">
        <f t="shared" si="135"/>
        <v>-5</v>
      </c>
    </row>
    <row r="7753" spans="11:34" ht="14.5" x14ac:dyDescent="0.35">
      <c r="K7753" s="4"/>
      <c r="AC7753" s="7">
        <v>2022</v>
      </c>
      <c r="AD7753" s="7">
        <v>11</v>
      </c>
      <c r="AE7753" s="7">
        <v>19</v>
      </c>
      <c r="AF7753" s="8">
        <v>0.95833333333333337</v>
      </c>
      <c r="AG7753" s="7">
        <v>-2.1</v>
      </c>
      <c r="AH7753" s="10">
        <f t="shared" si="135"/>
        <v>-2</v>
      </c>
    </row>
    <row r="7754" spans="11:34" ht="14.5" x14ac:dyDescent="0.35">
      <c r="K7754" s="4"/>
      <c r="AC7754" s="7">
        <v>2022</v>
      </c>
      <c r="AD7754" s="7">
        <v>11</v>
      </c>
      <c r="AE7754" s="7">
        <v>20</v>
      </c>
      <c r="AF7754" s="8">
        <v>0</v>
      </c>
      <c r="AG7754" s="7">
        <v>-4.0999999999999996</v>
      </c>
      <c r="AH7754" s="10">
        <f t="shared" si="135"/>
        <v>-4</v>
      </c>
    </row>
    <row r="7755" spans="11:34" ht="14.5" x14ac:dyDescent="0.35">
      <c r="K7755" s="4"/>
      <c r="AC7755" s="7">
        <v>2022</v>
      </c>
      <c r="AD7755" s="7">
        <v>11</v>
      </c>
      <c r="AE7755" s="7">
        <v>20</v>
      </c>
      <c r="AF7755" s="8">
        <v>4.1666666666666664E-2</v>
      </c>
      <c r="AG7755" s="7">
        <v>-5.6</v>
      </c>
      <c r="AH7755" s="10">
        <f t="shared" ref="AH7755:AH7818" si="136">ROUND(AG7755,0)</f>
        <v>-6</v>
      </c>
    </row>
    <row r="7756" spans="11:34" ht="14.5" x14ac:dyDescent="0.35">
      <c r="K7756" s="4"/>
      <c r="AC7756" s="7">
        <v>2022</v>
      </c>
      <c r="AD7756" s="7">
        <v>11</v>
      </c>
      <c r="AE7756" s="7">
        <v>20</v>
      </c>
      <c r="AF7756" s="8">
        <v>8.3333333333333329E-2</v>
      </c>
      <c r="AG7756" s="7">
        <v>-3</v>
      </c>
      <c r="AH7756" s="10">
        <f t="shared" si="136"/>
        <v>-3</v>
      </c>
    </row>
    <row r="7757" spans="11:34" ht="14.5" x14ac:dyDescent="0.35">
      <c r="K7757" s="4"/>
      <c r="AC7757" s="7">
        <v>2022</v>
      </c>
      <c r="AD7757" s="7">
        <v>11</v>
      </c>
      <c r="AE7757" s="7">
        <v>20</v>
      </c>
      <c r="AF7757" s="8">
        <v>0.125</v>
      </c>
      <c r="AG7757" s="7">
        <v>-5.4</v>
      </c>
      <c r="AH7757" s="10">
        <f t="shared" si="136"/>
        <v>-5</v>
      </c>
    </row>
    <row r="7758" spans="11:34" ht="14.5" x14ac:dyDescent="0.35">
      <c r="K7758" s="4"/>
      <c r="AC7758" s="7">
        <v>2022</v>
      </c>
      <c r="AD7758" s="7">
        <v>11</v>
      </c>
      <c r="AE7758" s="7">
        <v>20</v>
      </c>
      <c r="AF7758" s="8">
        <v>0.16666666666666666</v>
      </c>
      <c r="AG7758" s="7">
        <v>-4.2</v>
      </c>
      <c r="AH7758" s="10">
        <f t="shared" si="136"/>
        <v>-4</v>
      </c>
    </row>
    <row r="7759" spans="11:34" ht="14.5" x14ac:dyDescent="0.35">
      <c r="K7759" s="4"/>
      <c r="AC7759" s="7">
        <v>2022</v>
      </c>
      <c r="AD7759" s="7">
        <v>11</v>
      </c>
      <c r="AE7759" s="7">
        <v>20</v>
      </c>
      <c r="AF7759" s="8">
        <v>0.20833333333333334</v>
      </c>
      <c r="AG7759" s="7">
        <v>1.5</v>
      </c>
      <c r="AH7759" s="10">
        <f t="shared" si="136"/>
        <v>2</v>
      </c>
    </row>
    <row r="7760" spans="11:34" ht="14.5" x14ac:dyDescent="0.35">
      <c r="K7760" s="4"/>
      <c r="AC7760" s="7">
        <v>2022</v>
      </c>
      <c r="AD7760" s="7">
        <v>11</v>
      </c>
      <c r="AE7760" s="7">
        <v>20</v>
      </c>
      <c r="AF7760" s="8">
        <v>0.25</v>
      </c>
      <c r="AG7760" s="7">
        <v>2.2000000000000002</v>
      </c>
      <c r="AH7760" s="10">
        <f t="shared" si="136"/>
        <v>2</v>
      </c>
    </row>
    <row r="7761" spans="11:34" ht="14.5" x14ac:dyDescent="0.35">
      <c r="K7761" s="4"/>
      <c r="AC7761" s="7">
        <v>2022</v>
      </c>
      <c r="AD7761" s="7">
        <v>11</v>
      </c>
      <c r="AE7761" s="7">
        <v>20</v>
      </c>
      <c r="AF7761" s="8">
        <v>0.29166666666666669</v>
      </c>
      <c r="AG7761" s="7">
        <v>3.3</v>
      </c>
      <c r="AH7761" s="10">
        <f t="shared" si="136"/>
        <v>3</v>
      </c>
    </row>
    <row r="7762" spans="11:34" ht="14.5" x14ac:dyDescent="0.35">
      <c r="K7762" s="4"/>
      <c r="AC7762" s="7">
        <v>2022</v>
      </c>
      <c r="AD7762" s="7">
        <v>11</v>
      </c>
      <c r="AE7762" s="7">
        <v>20</v>
      </c>
      <c r="AF7762" s="8">
        <v>0.33333333333333331</v>
      </c>
      <c r="AG7762" s="7">
        <v>2.9</v>
      </c>
      <c r="AH7762" s="10">
        <f t="shared" si="136"/>
        <v>3</v>
      </c>
    </row>
    <row r="7763" spans="11:34" ht="14.5" x14ac:dyDescent="0.35">
      <c r="K7763" s="4"/>
      <c r="AC7763" s="7">
        <v>2022</v>
      </c>
      <c r="AD7763" s="7">
        <v>11</v>
      </c>
      <c r="AE7763" s="7">
        <v>20</v>
      </c>
      <c r="AF7763" s="8">
        <v>0.375</v>
      </c>
      <c r="AG7763" s="7">
        <v>2.2999999999999998</v>
      </c>
      <c r="AH7763" s="10">
        <f t="shared" si="136"/>
        <v>2</v>
      </c>
    </row>
    <row r="7764" spans="11:34" ht="14.5" x14ac:dyDescent="0.35">
      <c r="K7764" s="4"/>
      <c r="AC7764" s="7">
        <v>2022</v>
      </c>
      <c r="AD7764" s="7">
        <v>11</v>
      </c>
      <c r="AE7764" s="7">
        <v>20</v>
      </c>
      <c r="AF7764" s="8">
        <v>0.41666666666666669</v>
      </c>
      <c r="AG7764" s="7">
        <v>2.1</v>
      </c>
      <c r="AH7764" s="10">
        <f t="shared" si="136"/>
        <v>2</v>
      </c>
    </row>
    <row r="7765" spans="11:34" ht="14.5" x14ac:dyDescent="0.35">
      <c r="K7765" s="4"/>
      <c r="AC7765" s="7">
        <v>2022</v>
      </c>
      <c r="AD7765" s="7">
        <v>11</v>
      </c>
      <c r="AE7765" s="7">
        <v>20</v>
      </c>
      <c r="AF7765" s="8">
        <v>0.45833333333333331</v>
      </c>
      <c r="AG7765" s="7">
        <v>3</v>
      </c>
      <c r="AH7765" s="10">
        <f t="shared" si="136"/>
        <v>3</v>
      </c>
    </row>
    <row r="7766" spans="11:34" ht="14.5" x14ac:dyDescent="0.35">
      <c r="K7766" s="4"/>
      <c r="AC7766" s="7">
        <v>2022</v>
      </c>
      <c r="AD7766" s="7">
        <v>11</v>
      </c>
      <c r="AE7766" s="7">
        <v>20</v>
      </c>
      <c r="AF7766" s="8">
        <v>0.5</v>
      </c>
      <c r="AG7766" s="7">
        <v>3</v>
      </c>
      <c r="AH7766" s="10">
        <f t="shared" si="136"/>
        <v>3</v>
      </c>
    </row>
    <row r="7767" spans="11:34" ht="14.5" x14ac:dyDescent="0.35">
      <c r="K7767" s="4"/>
      <c r="AC7767" s="7">
        <v>2022</v>
      </c>
      <c r="AD7767" s="7">
        <v>11</v>
      </c>
      <c r="AE7767" s="7">
        <v>20</v>
      </c>
      <c r="AF7767" s="8">
        <v>0.54166666666666663</v>
      </c>
      <c r="AG7767" s="7">
        <v>3.4</v>
      </c>
      <c r="AH7767" s="10">
        <f t="shared" si="136"/>
        <v>3</v>
      </c>
    </row>
    <row r="7768" spans="11:34" ht="14.5" x14ac:dyDescent="0.35">
      <c r="K7768" s="4"/>
      <c r="AC7768" s="7">
        <v>2022</v>
      </c>
      <c r="AD7768" s="7">
        <v>11</v>
      </c>
      <c r="AE7768" s="7">
        <v>20</v>
      </c>
      <c r="AF7768" s="8">
        <v>0.58333333333333337</v>
      </c>
      <c r="AG7768" s="7">
        <v>4.4000000000000004</v>
      </c>
      <c r="AH7768" s="10">
        <f t="shared" si="136"/>
        <v>4</v>
      </c>
    </row>
    <row r="7769" spans="11:34" ht="14.5" x14ac:dyDescent="0.35">
      <c r="K7769" s="4"/>
      <c r="AC7769" s="7">
        <v>2022</v>
      </c>
      <c r="AD7769" s="7">
        <v>11</v>
      </c>
      <c r="AE7769" s="7">
        <v>20</v>
      </c>
      <c r="AF7769" s="8">
        <v>0.625</v>
      </c>
      <c r="AG7769" s="7">
        <v>4.4000000000000004</v>
      </c>
      <c r="AH7769" s="10">
        <f t="shared" si="136"/>
        <v>4</v>
      </c>
    </row>
    <row r="7770" spans="11:34" ht="14.5" x14ac:dyDescent="0.35">
      <c r="K7770" s="4"/>
      <c r="AC7770" s="7">
        <v>2022</v>
      </c>
      <c r="AD7770" s="7">
        <v>11</v>
      </c>
      <c r="AE7770" s="7">
        <v>20</v>
      </c>
      <c r="AF7770" s="8">
        <v>0.66666666666666663</v>
      </c>
      <c r="AG7770" s="7">
        <v>0.8</v>
      </c>
      <c r="AH7770" s="10">
        <f t="shared" si="136"/>
        <v>1</v>
      </c>
    </row>
    <row r="7771" spans="11:34" ht="14.5" x14ac:dyDescent="0.35">
      <c r="K7771" s="4"/>
      <c r="AC7771" s="7">
        <v>2022</v>
      </c>
      <c r="AD7771" s="7">
        <v>11</v>
      </c>
      <c r="AE7771" s="7">
        <v>20</v>
      </c>
      <c r="AF7771" s="8">
        <v>0.70833333333333337</v>
      </c>
      <c r="AG7771" s="7">
        <v>0.1</v>
      </c>
      <c r="AH7771" s="10">
        <f t="shared" si="136"/>
        <v>0</v>
      </c>
    </row>
    <row r="7772" spans="11:34" ht="14.5" x14ac:dyDescent="0.35">
      <c r="K7772" s="4"/>
      <c r="AC7772" s="7">
        <v>2022</v>
      </c>
      <c r="AD7772" s="7">
        <v>11</v>
      </c>
      <c r="AE7772" s="7">
        <v>20</v>
      </c>
      <c r="AF7772" s="8">
        <v>0.75</v>
      </c>
      <c r="AG7772" s="7">
        <v>0</v>
      </c>
      <c r="AH7772" s="10">
        <f t="shared" si="136"/>
        <v>0</v>
      </c>
    </row>
    <row r="7773" spans="11:34" ht="14.5" x14ac:dyDescent="0.35">
      <c r="K7773" s="4"/>
      <c r="AC7773" s="7">
        <v>2022</v>
      </c>
      <c r="AD7773" s="7">
        <v>11</v>
      </c>
      <c r="AE7773" s="7">
        <v>20</v>
      </c>
      <c r="AF7773" s="8">
        <v>0.79166666666666663</v>
      </c>
      <c r="AG7773" s="7">
        <v>-1.5</v>
      </c>
      <c r="AH7773" s="10">
        <f t="shared" si="136"/>
        <v>-2</v>
      </c>
    </row>
    <row r="7774" spans="11:34" ht="14.5" x14ac:dyDescent="0.35">
      <c r="K7774" s="4"/>
      <c r="AC7774" s="7">
        <v>2022</v>
      </c>
      <c r="AD7774" s="7">
        <v>11</v>
      </c>
      <c r="AE7774" s="7">
        <v>20</v>
      </c>
      <c r="AF7774" s="8">
        <v>0.83333333333333337</v>
      </c>
      <c r="AG7774" s="7">
        <v>-1.3</v>
      </c>
      <c r="AH7774" s="10">
        <f t="shared" si="136"/>
        <v>-1</v>
      </c>
    </row>
    <row r="7775" spans="11:34" ht="14.5" x14ac:dyDescent="0.35">
      <c r="K7775" s="4"/>
      <c r="AC7775" s="7">
        <v>2022</v>
      </c>
      <c r="AD7775" s="7">
        <v>11</v>
      </c>
      <c r="AE7775" s="7">
        <v>20</v>
      </c>
      <c r="AF7775" s="8">
        <v>0.875</v>
      </c>
      <c r="AG7775" s="7">
        <v>-4.7</v>
      </c>
      <c r="AH7775" s="10">
        <f t="shared" si="136"/>
        <v>-5</v>
      </c>
    </row>
    <row r="7776" spans="11:34" ht="14.5" x14ac:dyDescent="0.35">
      <c r="K7776" s="4"/>
      <c r="AC7776" s="7">
        <v>2022</v>
      </c>
      <c r="AD7776" s="7">
        <v>11</v>
      </c>
      <c r="AE7776" s="7">
        <v>20</v>
      </c>
      <c r="AF7776" s="8">
        <v>0.91666666666666663</v>
      </c>
      <c r="AG7776" s="7">
        <v>-5.0999999999999996</v>
      </c>
      <c r="AH7776" s="10">
        <f t="shared" si="136"/>
        <v>-5</v>
      </c>
    </row>
    <row r="7777" spans="11:34" ht="14.5" x14ac:dyDescent="0.35">
      <c r="K7777" s="4"/>
      <c r="AC7777" s="7">
        <v>2022</v>
      </c>
      <c r="AD7777" s="7">
        <v>11</v>
      </c>
      <c r="AE7777" s="7">
        <v>20</v>
      </c>
      <c r="AF7777" s="8">
        <v>0.95833333333333337</v>
      </c>
      <c r="AG7777" s="7">
        <v>-5.4</v>
      </c>
      <c r="AH7777" s="10">
        <f t="shared" si="136"/>
        <v>-5</v>
      </c>
    </row>
    <row r="7778" spans="11:34" ht="14.5" x14ac:dyDescent="0.35">
      <c r="K7778" s="4"/>
      <c r="AC7778" s="7">
        <v>2022</v>
      </c>
      <c r="AD7778" s="7">
        <v>11</v>
      </c>
      <c r="AE7778" s="7">
        <v>21</v>
      </c>
      <c r="AF7778" s="8">
        <v>0</v>
      </c>
      <c r="AG7778" s="7">
        <v>-6.1</v>
      </c>
      <c r="AH7778" s="10">
        <f t="shared" si="136"/>
        <v>-6</v>
      </c>
    </row>
    <row r="7779" spans="11:34" ht="14.5" x14ac:dyDescent="0.35">
      <c r="K7779" s="4"/>
      <c r="AC7779" s="7">
        <v>2022</v>
      </c>
      <c r="AD7779" s="7">
        <v>11</v>
      </c>
      <c r="AE7779" s="7">
        <v>21</v>
      </c>
      <c r="AF7779" s="8">
        <v>4.1666666666666664E-2</v>
      </c>
      <c r="AG7779" s="7">
        <v>-6</v>
      </c>
      <c r="AH7779" s="10">
        <f t="shared" si="136"/>
        <v>-6</v>
      </c>
    </row>
    <row r="7780" spans="11:34" ht="14.5" x14ac:dyDescent="0.35">
      <c r="K7780" s="4"/>
      <c r="AC7780" s="7">
        <v>2022</v>
      </c>
      <c r="AD7780" s="7">
        <v>11</v>
      </c>
      <c r="AE7780" s="7">
        <v>21</v>
      </c>
      <c r="AF7780" s="8">
        <v>8.3333333333333329E-2</v>
      </c>
      <c r="AG7780" s="7">
        <v>-4.9000000000000004</v>
      </c>
      <c r="AH7780" s="10">
        <f t="shared" si="136"/>
        <v>-5</v>
      </c>
    </row>
    <row r="7781" spans="11:34" ht="14.5" x14ac:dyDescent="0.35">
      <c r="K7781" s="4"/>
      <c r="AC7781" s="7">
        <v>2022</v>
      </c>
      <c r="AD7781" s="7">
        <v>11</v>
      </c>
      <c r="AE7781" s="7">
        <v>21</v>
      </c>
      <c r="AF7781" s="8">
        <v>0.125</v>
      </c>
      <c r="AG7781" s="7">
        <v>-6.2</v>
      </c>
      <c r="AH7781" s="10">
        <f t="shared" si="136"/>
        <v>-6</v>
      </c>
    </row>
    <row r="7782" spans="11:34" ht="14.5" x14ac:dyDescent="0.35">
      <c r="K7782" s="4"/>
      <c r="AC7782" s="7">
        <v>2022</v>
      </c>
      <c r="AD7782" s="7">
        <v>11</v>
      </c>
      <c r="AE7782" s="7">
        <v>21</v>
      </c>
      <c r="AF7782" s="8">
        <v>0.16666666666666666</v>
      </c>
      <c r="AG7782" s="7">
        <v>-4.2</v>
      </c>
      <c r="AH7782" s="10">
        <f t="shared" si="136"/>
        <v>-4</v>
      </c>
    </row>
    <row r="7783" spans="11:34" ht="14.5" x14ac:dyDescent="0.35">
      <c r="K7783" s="4"/>
      <c r="AC7783" s="7">
        <v>2022</v>
      </c>
      <c r="AD7783" s="7">
        <v>11</v>
      </c>
      <c r="AE7783" s="7">
        <v>21</v>
      </c>
      <c r="AF7783" s="8">
        <v>0.20833333333333334</v>
      </c>
      <c r="AG7783" s="7">
        <v>-1.8</v>
      </c>
      <c r="AH7783" s="10">
        <f t="shared" si="136"/>
        <v>-2</v>
      </c>
    </row>
    <row r="7784" spans="11:34" ht="14.5" x14ac:dyDescent="0.35">
      <c r="K7784" s="4"/>
      <c r="AC7784" s="7">
        <v>2022</v>
      </c>
      <c r="AD7784" s="7">
        <v>11</v>
      </c>
      <c r="AE7784" s="7">
        <v>21</v>
      </c>
      <c r="AF7784" s="8">
        <v>0.25</v>
      </c>
      <c r="AG7784" s="7">
        <v>-1</v>
      </c>
      <c r="AH7784" s="10">
        <f t="shared" si="136"/>
        <v>-1</v>
      </c>
    </row>
    <row r="7785" spans="11:34" ht="14.5" x14ac:dyDescent="0.35">
      <c r="K7785" s="4"/>
      <c r="AC7785" s="7">
        <v>2022</v>
      </c>
      <c r="AD7785" s="7">
        <v>11</v>
      </c>
      <c r="AE7785" s="7">
        <v>21</v>
      </c>
      <c r="AF7785" s="8">
        <v>0.29166666666666669</v>
      </c>
      <c r="AG7785" s="7">
        <v>1.3</v>
      </c>
      <c r="AH7785" s="10">
        <f t="shared" si="136"/>
        <v>1</v>
      </c>
    </row>
    <row r="7786" spans="11:34" ht="14.5" x14ac:dyDescent="0.35">
      <c r="K7786" s="4"/>
      <c r="AC7786" s="7">
        <v>2022</v>
      </c>
      <c r="AD7786" s="7">
        <v>11</v>
      </c>
      <c r="AE7786" s="7">
        <v>21</v>
      </c>
      <c r="AF7786" s="8">
        <v>0.33333333333333331</v>
      </c>
      <c r="AG7786" s="7">
        <v>0.3</v>
      </c>
      <c r="AH7786" s="10">
        <f t="shared" si="136"/>
        <v>0</v>
      </c>
    </row>
    <row r="7787" spans="11:34" ht="14.5" x14ac:dyDescent="0.35">
      <c r="K7787" s="4"/>
      <c r="AC7787" s="7">
        <v>2022</v>
      </c>
      <c r="AD7787" s="7">
        <v>11</v>
      </c>
      <c r="AE7787" s="7">
        <v>21</v>
      </c>
      <c r="AF7787" s="8">
        <v>0.375</v>
      </c>
      <c r="AG7787" s="7">
        <v>0.2</v>
      </c>
      <c r="AH7787" s="10">
        <f t="shared" si="136"/>
        <v>0</v>
      </c>
    </row>
    <row r="7788" spans="11:34" ht="14.5" x14ac:dyDescent="0.35">
      <c r="K7788" s="4"/>
      <c r="AC7788" s="7">
        <v>2022</v>
      </c>
      <c r="AD7788" s="7">
        <v>11</v>
      </c>
      <c r="AE7788" s="7">
        <v>21</v>
      </c>
      <c r="AF7788" s="8">
        <v>0.41666666666666669</v>
      </c>
      <c r="AG7788" s="7">
        <v>2.9</v>
      </c>
      <c r="AH7788" s="10">
        <f t="shared" si="136"/>
        <v>3</v>
      </c>
    </row>
    <row r="7789" spans="11:34" ht="14.5" x14ac:dyDescent="0.35">
      <c r="K7789" s="4"/>
      <c r="AC7789" s="7">
        <v>2022</v>
      </c>
      <c r="AD7789" s="7">
        <v>11</v>
      </c>
      <c r="AE7789" s="7">
        <v>21</v>
      </c>
      <c r="AF7789" s="8">
        <v>0.45833333333333331</v>
      </c>
      <c r="AG7789" s="7">
        <v>4.4000000000000004</v>
      </c>
      <c r="AH7789" s="10">
        <f t="shared" si="136"/>
        <v>4</v>
      </c>
    </row>
    <row r="7790" spans="11:34" ht="14.5" x14ac:dyDescent="0.35">
      <c r="K7790" s="4"/>
      <c r="AC7790" s="7">
        <v>2022</v>
      </c>
      <c r="AD7790" s="7">
        <v>11</v>
      </c>
      <c r="AE7790" s="7">
        <v>21</v>
      </c>
      <c r="AF7790" s="8">
        <v>0.5</v>
      </c>
      <c r="AG7790" s="7">
        <v>6.5</v>
      </c>
      <c r="AH7790" s="10">
        <f t="shared" si="136"/>
        <v>7</v>
      </c>
    </row>
    <row r="7791" spans="11:34" ht="14.5" x14ac:dyDescent="0.35">
      <c r="K7791" s="4"/>
      <c r="AC7791" s="7">
        <v>2022</v>
      </c>
      <c r="AD7791" s="7">
        <v>11</v>
      </c>
      <c r="AE7791" s="7">
        <v>21</v>
      </c>
      <c r="AF7791" s="8">
        <v>0.54166666666666663</v>
      </c>
      <c r="AG7791" s="7">
        <v>7.3</v>
      </c>
      <c r="AH7791" s="10">
        <f t="shared" si="136"/>
        <v>7</v>
      </c>
    </row>
    <row r="7792" spans="11:34" ht="14.5" x14ac:dyDescent="0.35">
      <c r="K7792" s="4"/>
      <c r="AC7792" s="7">
        <v>2022</v>
      </c>
      <c r="AD7792" s="7">
        <v>11</v>
      </c>
      <c r="AE7792" s="7">
        <v>21</v>
      </c>
      <c r="AF7792" s="8">
        <v>0.58333333333333337</v>
      </c>
      <c r="AG7792" s="7">
        <v>7.5</v>
      </c>
      <c r="AH7792" s="10">
        <f t="shared" si="136"/>
        <v>8</v>
      </c>
    </row>
    <row r="7793" spans="11:34" ht="14.5" x14ac:dyDescent="0.35">
      <c r="K7793" s="4"/>
      <c r="AC7793" s="7">
        <v>2022</v>
      </c>
      <c r="AD7793" s="7">
        <v>11</v>
      </c>
      <c r="AE7793" s="7">
        <v>21</v>
      </c>
      <c r="AF7793" s="8">
        <v>0.625</v>
      </c>
      <c r="AG7793" s="7">
        <v>7.4</v>
      </c>
      <c r="AH7793" s="10">
        <f t="shared" si="136"/>
        <v>7</v>
      </c>
    </row>
    <row r="7794" spans="11:34" ht="14.5" x14ac:dyDescent="0.35">
      <c r="K7794" s="4"/>
      <c r="AC7794" s="7">
        <v>2022</v>
      </c>
      <c r="AD7794" s="7">
        <v>11</v>
      </c>
      <c r="AE7794" s="7">
        <v>21</v>
      </c>
      <c r="AF7794" s="8">
        <v>0.66666666666666663</v>
      </c>
      <c r="AG7794" s="7">
        <v>7</v>
      </c>
      <c r="AH7794" s="10">
        <f t="shared" si="136"/>
        <v>7</v>
      </c>
    </row>
    <row r="7795" spans="11:34" ht="14.5" x14ac:dyDescent="0.35">
      <c r="K7795" s="4"/>
      <c r="AC7795" s="7">
        <v>2022</v>
      </c>
      <c r="AD7795" s="7">
        <v>11</v>
      </c>
      <c r="AE7795" s="7">
        <v>21</v>
      </c>
      <c r="AF7795" s="8">
        <v>0.70833333333333337</v>
      </c>
      <c r="AG7795" s="7">
        <v>5.7</v>
      </c>
      <c r="AH7795" s="10">
        <f t="shared" si="136"/>
        <v>6</v>
      </c>
    </row>
    <row r="7796" spans="11:34" ht="14.5" x14ac:dyDescent="0.35">
      <c r="K7796" s="4"/>
      <c r="AC7796" s="7">
        <v>2022</v>
      </c>
      <c r="AD7796" s="7">
        <v>11</v>
      </c>
      <c r="AE7796" s="7">
        <v>21</v>
      </c>
      <c r="AF7796" s="8">
        <v>0.75</v>
      </c>
      <c r="AG7796" s="7">
        <v>5.3</v>
      </c>
      <c r="AH7796" s="10">
        <f t="shared" si="136"/>
        <v>5</v>
      </c>
    </row>
    <row r="7797" spans="11:34" ht="14.5" x14ac:dyDescent="0.35">
      <c r="K7797" s="4"/>
      <c r="AC7797" s="7">
        <v>2022</v>
      </c>
      <c r="AD7797" s="7">
        <v>11</v>
      </c>
      <c r="AE7797" s="7">
        <v>21</v>
      </c>
      <c r="AF7797" s="8">
        <v>0.79166666666666663</v>
      </c>
      <c r="AG7797" s="7">
        <v>5.3</v>
      </c>
      <c r="AH7797" s="10">
        <f t="shared" si="136"/>
        <v>5</v>
      </c>
    </row>
    <row r="7798" spans="11:34" ht="14.5" x14ac:dyDescent="0.35">
      <c r="K7798" s="4"/>
      <c r="AC7798" s="7">
        <v>2022</v>
      </c>
      <c r="AD7798" s="7">
        <v>11</v>
      </c>
      <c r="AE7798" s="7">
        <v>21</v>
      </c>
      <c r="AF7798" s="8">
        <v>0.83333333333333337</v>
      </c>
      <c r="AG7798" s="7">
        <v>5.6</v>
      </c>
      <c r="AH7798" s="10">
        <f t="shared" si="136"/>
        <v>6</v>
      </c>
    </row>
    <row r="7799" spans="11:34" ht="14.5" x14ac:dyDescent="0.35">
      <c r="K7799" s="4"/>
      <c r="AC7799" s="7">
        <v>2022</v>
      </c>
      <c r="AD7799" s="7">
        <v>11</v>
      </c>
      <c r="AE7799" s="7">
        <v>21</v>
      </c>
      <c r="AF7799" s="8">
        <v>0.875</v>
      </c>
      <c r="AG7799" s="7">
        <v>5.5</v>
      </c>
      <c r="AH7799" s="10">
        <f t="shared" si="136"/>
        <v>6</v>
      </c>
    </row>
    <row r="7800" spans="11:34" ht="14.5" x14ac:dyDescent="0.35">
      <c r="K7800" s="4"/>
      <c r="AC7800" s="7">
        <v>2022</v>
      </c>
      <c r="AD7800" s="7">
        <v>11</v>
      </c>
      <c r="AE7800" s="7">
        <v>21</v>
      </c>
      <c r="AF7800" s="8">
        <v>0.91666666666666663</v>
      </c>
      <c r="AG7800" s="7">
        <v>5.4</v>
      </c>
      <c r="AH7800" s="10">
        <f t="shared" si="136"/>
        <v>5</v>
      </c>
    </row>
    <row r="7801" spans="11:34" ht="14.5" x14ac:dyDescent="0.35">
      <c r="K7801" s="4"/>
      <c r="AC7801" s="7">
        <v>2022</v>
      </c>
      <c r="AD7801" s="7">
        <v>11</v>
      </c>
      <c r="AE7801" s="7">
        <v>21</v>
      </c>
      <c r="AF7801" s="8">
        <v>0.95833333333333337</v>
      </c>
      <c r="AG7801" s="7">
        <v>5.5</v>
      </c>
      <c r="AH7801" s="10">
        <f t="shared" si="136"/>
        <v>6</v>
      </c>
    </row>
    <row r="7802" spans="11:34" ht="14.5" x14ac:dyDescent="0.35">
      <c r="K7802" s="4"/>
      <c r="AC7802" s="7">
        <v>2022</v>
      </c>
      <c r="AD7802" s="7">
        <v>11</v>
      </c>
      <c r="AE7802" s="7">
        <v>22</v>
      </c>
      <c r="AF7802" s="8">
        <v>0</v>
      </c>
      <c r="AG7802" s="7">
        <v>5.7</v>
      </c>
      <c r="AH7802" s="10">
        <f t="shared" si="136"/>
        <v>6</v>
      </c>
    </row>
    <row r="7803" spans="11:34" ht="14.5" x14ac:dyDescent="0.35">
      <c r="K7803" s="4"/>
      <c r="AC7803" s="7">
        <v>2022</v>
      </c>
      <c r="AD7803" s="7">
        <v>11</v>
      </c>
      <c r="AE7803" s="7">
        <v>22</v>
      </c>
      <c r="AF7803" s="8">
        <v>4.1666666666666664E-2</v>
      </c>
      <c r="AG7803" s="7">
        <v>4.5</v>
      </c>
      <c r="AH7803" s="10">
        <f t="shared" si="136"/>
        <v>5</v>
      </c>
    </row>
    <row r="7804" spans="11:34" ht="14.5" x14ac:dyDescent="0.35">
      <c r="K7804" s="4"/>
      <c r="AC7804" s="7">
        <v>2022</v>
      </c>
      <c r="AD7804" s="7">
        <v>11</v>
      </c>
      <c r="AE7804" s="7">
        <v>22</v>
      </c>
      <c r="AF7804" s="8">
        <v>8.3333333333333329E-2</v>
      </c>
      <c r="AG7804" s="7">
        <v>5</v>
      </c>
      <c r="AH7804" s="10">
        <f t="shared" si="136"/>
        <v>5</v>
      </c>
    </row>
    <row r="7805" spans="11:34" ht="14.5" x14ac:dyDescent="0.35">
      <c r="K7805" s="4"/>
      <c r="AC7805" s="7">
        <v>2022</v>
      </c>
      <c r="AD7805" s="7">
        <v>11</v>
      </c>
      <c r="AE7805" s="7">
        <v>22</v>
      </c>
      <c r="AF7805" s="8">
        <v>0.125</v>
      </c>
      <c r="AG7805" s="7">
        <v>5</v>
      </c>
      <c r="AH7805" s="10">
        <f t="shared" si="136"/>
        <v>5</v>
      </c>
    </row>
    <row r="7806" spans="11:34" ht="14.5" x14ac:dyDescent="0.35">
      <c r="K7806" s="4"/>
      <c r="AC7806" s="7">
        <v>2022</v>
      </c>
      <c r="AD7806" s="7">
        <v>11</v>
      </c>
      <c r="AE7806" s="7">
        <v>22</v>
      </c>
      <c r="AF7806" s="8">
        <v>0.16666666666666666</v>
      </c>
      <c r="AG7806" s="7">
        <v>4.2</v>
      </c>
      <c r="AH7806" s="10">
        <f t="shared" si="136"/>
        <v>4</v>
      </c>
    </row>
    <row r="7807" spans="11:34" ht="14.5" x14ac:dyDescent="0.35">
      <c r="K7807" s="4"/>
      <c r="AC7807" s="7">
        <v>2022</v>
      </c>
      <c r="AD7807" s="7">
        <v>11</v>
      </c>
      <c r="AE7807" s="7">
        <v>22</v>
      </c>
      <c r="AF7807" s="8">
        <v>0.20833333333333334</v>
      </c>
      <c r="AG7807" s="7">
        <v>5.9</v>
      </c>
      <c r="AH7807" s="10">
        <f t="shared" si="136"/>
        <v>6</v>
      </c>
    </row>
    <row r="7808" spans="11:34" ht="14.5" x14ac:dyDescent="0.35">
      <c r="K7808" s="4"/>
      <c r="AC7808" s="7">
        <v>2022</v>
      </c>
      <c r="AD7808" s="7">
        <v>11</v>
      </c>
      <c r="AE7808" s="7">
        <v>22</v>
      </c>
      <c r="AF7808" s="8">
        <v>0.25</v>
      </c>
      <c r="AG7808" s="7">
        <v>4.2</v>
      </c>
      <c r="AH7808" s="10">
        <f t="shared" si="136"/>
        <v>4</v>
      </c>
    </row>
    <row r="7809" spans="11:34" ht="14.5" x14ac:dyDescent="0.35">
      <c r="K7809" s="4"/>
      <c r="AC7809" s="7">
        <v>2022</v>
      </c>
      <c r="AD7809" s="7">
        <v>11</v>
      </c>
      <c r="AE7809" s="7">
        <v>22</v>
      </c>
      <c r="AF7809" s="8">
        <v>0.29166666666666669</v>
      </c>
      <c r="AG7809" s="7">
        <v>5.0999999999999996</v>
      </c>
      <c r="AH7809" s="10">
        <f t="shared" si="136"/>
        <v>5</v>
      </c>
    </row>
    <row r="7810" spans="11:34" ht="14.5" x14ac:dyDescent="0.35">
      <c r="K7810" s="4"/>
      <c r="AC7810" s="7">
        <v>2022</v>
      </c>
      <c r="AD7810" s="7">
        <v>11</v>
      </c>
      <c r="AE7810" s="7">
        <v>22</v>
      </c>
      <c r="AF7810" s="8">
        <v>0.33333333333333331</v>
      </c>
      <c r="AG7810" s="7">
        <v>6</v>
      </c>
      <c r="AH7810" s="10">
        <f t="shared" si="136"/>
        <v>6</v>
      </c>
    </row>
    <row r="7811" spans="11:34" ht="14.5" x14ac:dyDescent="0.35">
      <c r="K7811" s="4"/>
      <c r="AC7811" s="7">
        <v>2022</v>
      </c>
      <c r="AD7811" s="7">
        <v>11</v>
      </c>
      <c r="AE7811" s="7">
        <v>22</v>
      </c>
      <c r="AF7811" s="8">
        <v>0.375</v>
      </c>
      <c r="AG7811" s="7">
        <v>6.7</v>
      </c>
      <c r="AH7811" s="10">
        <f t="shared" si="136"/>
        <v>7</v>
      </c>
    </row>
    <row r="7812" spans="11:34" ht="14.5" x14ac:dyDescent="0.35">
      <c r="K7812" s="4"/>
      <c r="AC7812" s="7">
        <v>2022</v>
      </c>
      <c r="AD7812" s="7">
        <v>11</v>
      </c>
      <c r="AE7812" s="7">
        <v>22</v>
      </c>
      <c r="AF7812" s="8">
        <v>0.41666666666666669</v>
      </c>
      <c r="AG7812" s="7">
        <v>6.9</v>
      </c>
      <c r="AH7812" s="10">
        <f t="shared" si="136"/>
        <v>7</v>
      </c>
    </row>
    <row r="7813" spans="11:34" ht="14.5" x14ac:dyDescent="0.35">
      <c r="K7813" s="4"/>
      <c r="AC7813" s="7">
        <v>2022</v>
      </c>
      <c r="AD7813" s="7">
        <v>11</v>
      </c>
      <c r="AE7813" s="7">
        <v>22</v>
      </c>
      <c r="AF7813" s="8">
        <v>0.45833333333333331</v>
      </c>
      <c r="AG7813" s="7">
        <v>5.0999999999999996</v>
      </c>
      <c r="AH7813" s="10">
        <f t="shared" si="136"/>
        <v>5</v>
      </c>
    </row>
    <row r="7814" spans="11:34" ht="14.5" x14ac:dyDescent="0.35">
      <c r="K7814" s="4"/>
      <c r="AC7814" s="7">
        <v>2022</v>
      </c>
      <c r="AD7814" s="7">
        <v>11</v>
      </c>
      <c r="AE7814" s="7">
        <v>22</v>
      </c>
      <c r="AF7814" s="8">
        <v>0.5</v>
      </c>
      <c r="AG7814" s="7">
        <v>4.7</v>
      </c>
      <c r="AH7814" s="10">
        <f t="shared" si="136"/>
        <v>5</v>
      </c>
    </row>
    <row r="7815" spans="11:34" ht="14.5" x14ac:dyDescent="0.35">
      <c r="K7815" s="4"/>
      <c r="AC7815" s="7">
        <v>2022</v>
      </c>
      <c r="AD7815" s="7">
        <v>11</v>
      </c>
      <c r="AE7815" s="7">
        <v>22</v>
      </c>
      <c r="AF7815" s="8">
        <v>0.54166666666666663</v>
      </c>
      <c r="AG7815" s="7">
        <v>6.1</v>
      </c>
      <c r="AH7815" s="10">
        <f t="shared" si="136"/>
        <v>6</v>
      </c>
    </row>
    <row r="7816" spans="11:34" ht="14.5" x14ac:dyDescent="0.35">
      <c r="K7816" s="4"/>
      <c r="AC7816" s="7">
        <v>2022</v>
      </c>
      <c r="AD7816" s="7">
        <v>11</v>
      </c>
      <c r="AE7816" s="7">
        <v>22</v>
      </c>
      <c r="AF7816" s="8">
        <v>0.58333333333333337</v>
      </c>
      <c r="AG7816" s="7">
        <v>7.1</v>
      </c>
      <c r="AH7816" s="10">
        <f t="shared" si="136"/>
        <v>7</v>
      </c>
    </row>
    <row r="7817" spans="11:34" ht="14.5" x14ac:dyDescent="0.35">
      <c r="K7817" s="4"/>
      <c r="AC7817" s="7">
        <v>2022</v>
      </c>
      <c r="AD7817" s="7">
        <v>11</v>
      </c>
      <c r="AE7817" s="7">
        <v>22</v>
      </c>
      <c r="AF7817" s="8">
        <v>0.625</v>
      </c>
      <c r="AG7817" s="7">
        <v>7.2</v>
      </c>
      <c r="AH7817" s="10">
        <f t="shared" si="136"/>
        <v>7</v>
      </c>
    </row>
    <row r="7818" spans="11:34" ht="14.5" x14ac:dyDescent="0.35">
      <c r="K7818" s="4"/>
      <c r="AC7818" s="7">
        <v>2022</v>
      </c>
      <c r="AD7818" s="7">
        <v>11</v>
      </c>
      <c r="AE7818" s="7">
        <v>22</v>
      </c>
      <c r="AF7818" s="8">
        <v>0.66666666666666663</v>
      </c>
      <c r="AG7818" s="7">
        <v>7.1</v>
      </c>
      <c r="AH7818" s="10">
        <f t="shared" si="136"/>
        <v>7</v>
      </c>
    </row>
    <row r="7819" spans="11:34" ht="14.5" x14ac:dyDescent="0.35">
      <c r="K7819" s="4"/>
      <c r="AC7819" s="7">
        <v>2022</v>
      </c>
      <c r="AD7819" s="7">
        <v>11</v>
      </c>
      <c r="AE7819" s="7">
        <v>22</v>
      </c>
      <c r="AF7819" s="8">
        <v>0.70833333333333337</v>
      </c>
      <c r="AG7819" s="7">
        <v>6.6</v>
      </c>
      <c r="AH7819" s="10">
        <f t="shared" ref="AH7819:AH7882" si="137">ROUND(AG7819,0)</f>
        <v>7</v>
      </c>
    </row>
    <row r="7820" spans="11:34" ht="14.5" x14ac:dyDescent="0.35">
      <c r="K7820" s="4"/>
      <c r="AC7820" s="7">
        <v>2022</v>
      </c>
      <c r="AD7820" s="7">
        <v>11</v>
      </c>
      <c r="AE7820" s="7">
        <v>22</v>
      </c>
      <c r="AF7820" s="8">
        <v>0.75</v>
      </c>
      <c r="AG7820" s="7">
        <v>5.3</v>
      </c>
      <c r="AH7820" s="10">
        <f t="shared" si="137"/>
        <v>5</v>
      </c>
    </row>
    <row r="7821" spans="11:34" ht="14.5" x14ac:dyDescent="0.35">
      <c r="K7821" s="4"/>
      <c r="AC7821" s="7">
        <v>2022</v>
      </c>
      <c r="AD7821" s="7">
        <v>11</v>
      </c>
      <c r="AE7821" s="7">
        <v>22</v>
      </c>
      <c r="AF7821" s="8">
        <v>0.79166666666666663</v>
      </c>
      <c r="AG7821" s="7">
        <v>3.8</v>
      </c>
      <c r="AH7821" s="10">
        <f t="shared" si="137"/>
        <v>4</v>
      </c>
    </row>
    <row r="7822" spans="11:34" ht="14.5" x14ac:dyDescent="0.35">
      <c r="K7822" s="4"/>
      <c r="AC7822" s="7">
        <v>2022</v>
      </c>
      <c r="AD7822" s="7">
        <v>11</v>
      </c>
      <c r="AE7822" s="7">
        <v>22</v>
      </c>
      <c r="AF7822" s="8">
        <v>0.83333333333333337</v>
      </c>
      <c r="AG7822" s="7">
        <v>3.6</v>
      </c>
      <c r="AH7822" s="10">
        <f t="shared" si="137"/>
        <v>4</v>
      </c>
    </row>
    <row r="7823" spans="11:34" ht="14.5" x14ac:dyDescent="0.35">
      <c r="K7823" s="4"/>
      <c r="AC7823" s="7">
        <v>2022</v>
      </c>
      <c r="AD7823" s="7">
        <v>11</v>
      </c>
      <c r="AE7823" s="7">
        <v>22</v>
      </c>
      <c r="AF7823" s="8">
        <v>0.875</v>
      </c>
      <c r="AG7823" s="7">
        <v>3.5</v>
      </c>
      <c r="AH7823" s="10">
        <f t="shared" si="137"/>
        <v>4</v>
      </c>
    </row>
    <row r="7824" spans="11:34" ht="14.5" x14ac:dyDescent="0.35">
      <c r="K7824" s="4"/>
      <c r="AC7824" s="7">
        <v>2022</v>
      </c>
      <c r="AD7824" s="7">
        <v>11</v>
      </c>
      <c r="AE7824" s="7">
        <v>22</v>
      </c>
      <c r="AF7824" s="8">
        <v>0.91666666666666663</v>
      </c>
      <c r="AG7824" s="7">
        <v>5.0999999999999996</v>
      </c>
      <c r="AH7824" s="10">
        <f t="shared" si="137"/>
        <v>5</v>
      </c>
    </row>
    <row r="7825" spans="11:34" ht="14.5" x14ac:dyDescent="0.35">
      <c r="K7825" s="4"/>
      <c r="AC7825" s="7">
        <v>2022</v>
      </c>
      <c r="AD7825" s="7">
        <v>11</v>
      </c>
      <c r="AE7825" s="7">
        <v>22</v>
      </c>
      <c r="AF7825" s="8">
        <v>0.95833333333333337</v>
      </c>
      <c r="AG7825" s="7">
        <v>5</v>
      </c>
      <c r="AH7825" s="10">
        <f t="shared" si="137"/>
        <v>5</v>
      </c>
    </row>
    <row r="7826" spans="11:34" ht="14.5" x14ac:dyDescent="0.35">
      <c r="K7826" s="4"/>
      <c r="AC7826" s="7">
        <v>2022</v>
      </c>
      <c r="AD7826" s="7">
        <v>11</v>
      </c>
      <c r="AE7826" s="7">
        <v>23</v>
      </c>
      <c r="AF7826" s="8">
        <v>0</v>
      </c>
      <c r="AG7826" s="7">
        <v>3.7</v>
      </c>
      <c r="AH7826" s="10">
        <f t="shared" si="137"/>
        <v>4</v>
      </c>
    </row>
    <row r="7827" spans="11:34" ht="14.5" x14ac:dyDescent="0.35">
      <c r="K7827" s="4"/>
      <c r="AC7827" s="7">
        <v>2022</v>
      </c>
      <c r="AD7827" s="7">
        <v>11</v>
      </c>
      <c r="AE7827" s="7">
        <v>23</v>
      </c>
      <c r="AF7827" s="8">
        <v>4.1666666666666664E-2</v>
      </c>
      <c r="AG7827" s="7">
        <v>2.1</v>
      </c>
      <c r="AH7827" s="10">
        <f t="shared" si="137"/>
        <v>2</v>
      </c>
    </row>
    <row r="7828" spans="11:34" ht="14.5" x14ac:dyDescent="0.35">
      <c r="K7828" s="4"/>
      <c r="AC7828" s="7">
        <v>2022</v>
      </c>
      <c r="AD7828" s="7">
        <v>11</v>
      </c>
      <c r="AE7828" s="7">
        <v>23</v>
      </c>
      <c r="AF7828" s="8">
        <v>8.3333333333333329E-2</v>
      </c>
      <c r="AG7828" s="7">
        <v>1.1000000000000001</v>
      </c>
      <c r="AH7828" s="10">
        <f t="shared" si="137"/>
        <v>1</v>
      </c>
    </row>
    <row r="7829" spans="11:34" ht="14.5" x14ac:dyDescent="0.35">
      <c r="K7829" s="4"/>
      <c r="AC7829" s="7">
        <v>2022</v>
      </c>
      <c r="AD7829" s="7">
        <v>11</v>
      </c>
      <c r="AE7829" s="7">
        <v>23</v>
      </c>
      <c r="AF7829" s="8">
        <v>0.125</v>
      </c>
      <c r="AG7829" s="7">
        <v>1</v>
      </c>
      <c r="AH7829" s="10">
        <f t="shared" si="137"/>
        <v>1</v>
      </c>
    </row>
    <row r="7830" spans="11:34" ht="14.5" x14ac:dyDescent="0.35">
      <c r="K7830" s="4"/>
      <c r="AC7830" s="7">
        <v>2022</v>
      </c>
      <c r="AD7830" s="7">
        <v>11</v>
      </c>
      <c r="AE7830" s="7">
        <v>23</v>
      </c>
      <c r="AF7830" s="8">
        <v>0.16666666666666666</v>
      </c>
      <c r="AG7830" s="7">
        <v>1</v>
      </c>
      <c r="AH7830" s="10">
        <f t="shared" si="137"/>
        <v>1</v>
      </c>
    </row>
    <row r="7831" spans="11:34" ht="14.5" x14ac:dyDescent="0.35">
      <c r="K7831" s="4"/>
      <c r="AC7831" s="7">
        <v>2022</v>
      </c>
      <c r="AD7831" s="7">
        <v>11</v>
      </c>
      <c r="AE7831" s="7">
        <v>23</v>
      </c>
      <c r="AF7831" s="8">
        <v>0.20833333333333334</v>
      </c>
      <c r="AG7831" s="7">
        <v>1.2</v>
      </c>
      <c r="AH7831" s="10">
        <f t="shared" si="137"/>
        <v>1</v>
      </c>
    </row>
    <row r="7832" spans="11:34" ht="14.5" x14ac:dyDescent="0.35">
      <c r="K7832" s="4"/>
      <c r="AC7832" s="7">
        <v>2022</v>
      </c>
      <c r="AD7832" s="7">
        <v>11</v>
      </c>
      <c r="AE7832" s="7">
        <v>23</v>
      </c>
      <c r="AF7832" s="8">
        <v>0.25</v>
      </c>
      <c r="AG7832" s="7">
        <v>0.3</v>
      </c>
      <c r="AH7832" s="10">
        <f t="shared" si="137"/>
        <v>0</v>
      </c>
    </row>
    <row r="7833" spans="11:34" ht="14.5" x14ac:dyDescent="0.35">
      <c r="K7833" s="4"/>
      <c r="AC7833" s="7">
        <v>2022</v>
      </c>
      <c r="AD7833" s="7">
        <v>11</v>
      </c>
      <c r="AE7833" s="7">
        <v>23</v>
      </c>
      <c r="AF7833" s="8">
        <v>0.29166666666666669</v>
      </c>
      <c r="AG7833" s="7">
        <v>1.1000000000000001</v>
      </c>
      <c r="AH7833" s="10">
        <f t="shared" si="137"/>
        <v>1</v>
      </c>
    </row>
    <row r="7834" spans="11:34" ht="14.5" x14ac:dyDescent="0.35">
      <c r="K7834" s="4"/>
      <c r="AC7834" s="7">
        <v>2022</v>
      </c>
      <c r="AD7834" s="7">
        <v>11</v>
      </c>
      <c r="AE7834" s="7">
        <v>23</v>
      </c>
      <c r="AF7834" s="8">
        <v>0.33333333333333331</v>
      </c>
      <c r="AG7834" s="7">
        <v>0.5</v>
      </c>
      <c r="AH7834" s="10">
        <f t="shared" si="137"/>
        <v>1</v>
      </c>
    </row>
    <row r="7835" spans="11:34" ht="14.5" x14ac:dyDescent="0.35">
      <c r="K7835" s="4"/>
      <c r="AC7835" s="7">
        <v>2022</v>
      </c>
      <c r="AD7835" s="7">
        <v>11</v>
      </c>
      <c r="AE7835" s="7">
        <v>23</v>
      </c>
      <c r="AF7835" s="8">
        <v>0.375</v>
      </c>
      <c r="AG7835" s="7">
        <v>1.6</v>
      </c>
      <c r="AH7835" s="10">
        <f t="shared" si="137"/>
        <v>2</v>
      </c>
    </row>
    <row r="7836" spans="11:34" ht="14.5" x14ac:dyDescent="0.35">
      <c r="K7836" s="4"/>
      <c r="AC7836" s="7">
        <v>2022</v>
      </c>
      <c r="AD7836" s="7">
        <v>11</v>
      </c>
      <c r="AE7836" s="7">
        <v>23</v>
      </c>
      <c r="AF7836" s="8">
        <v>0.41666666666666669</v>
      </c>
      <c r="AG7836" s="7">
        <v>2.9</v>
      </c>
      <c r="AH7836" s="10">
        <f t="shared" si="137"/>
        <v>3</v>
      </c>
    </row>
    <row r="7837" spans="11:34" ht="14.5" x14ac:dyDescent="0.35">
      <c r="K7837" s="4"/>
      <c r="AC7837" s="7">
        <v>2022</v>
      </c>
      <c r="AD7837" s="7">
        <v>11</v>
      </c>
      <c r="AE7837" s="7">
        <v>23</v>
      </c>
      <c r="AF7837" s="8">
        <v>0.45833333333333331</v>
      </c>
      <c r="AG7837" s="7">
        <v>3.4</v>
      </c>
      <c r="AH7837" s="10">
        <f t="shared" si="137"/>
        <v>3</v>
      </c>
    </row>
    <row r="7838" spans="11:34" ht="14.5" x14ac:dyDescent="0.35">
      <c r="K7838" s="4"/>
      <c r="AC7838" s="7">
        <v>2022</v>
      </c>
      <c r="AD7838" s="7">
        <v>11</v>
      </c>
      <c r="AE7838" s="7">
        <v>23</v>
      </c>
      <c r="AF7838" s="8">
        <v>0.5</v>
      </c>
      <c r="AG7838" s="7">
        <v>4.4000000000000004</v>
      </c>
      <c r="AH7838" s="10">
        <f t="shared" si="137"/>
        <v>4</v>
      </c>
    </row>
    <row r="7839" spans="11:34" ht="14.5" x14ac:dyDescent="0.35">
      <c r="K7839" s="4"/>
      <c r="AC7839" s="7">
        <v>2022</v>
      </c>
      <c r="AD7839" s="7">
        <v>11</v>
      </c>
      <c r="AE7839" s="7">
        <v>23</v>
      </c>
      <c r="AF7839" s="8">
        <v>0.54166666666666663</v>
      </c>
      <c r="AG7839" s="7">
        <v>5</v>
      </c>
      <c r="AH7839" s="10">
        <f t="shared" si="137"/>
        <v>5</v>
      </c>
    </row>
    <row r="7840" spans="11:34" ht="14.5" x14ac:dyDescent="0.35">
      <c r="K7840" s="4"/>
      <c r="AC7840" s="7">
        <v>2022</v>
      </c>
      <c r="AD7840" s="7">
        <v>11</v>
      </c>
      <c r="AE7840" s="7">
        <v>23</v>
      </c>
      <c r="AF7840" s="8">
        <v>0.58333333333333337</v>
      </c>
      <c r="AG7840" s="7">
        <v>5.5</v>
      </c>
      <c r="AH7840" s="10">
        <f t="shared" si="137"/>
        <v>6</v>
      </c>
    </row>
    <row r="7841" spans="11:34" ht="14.5" x14ac:dyDescent="0.35">
      <c r="K7841" s="4"/>
      <c r="AC7841" s="7">
        <v>2022</v>
      </c>
      <c r="AD7841" s="7">
        <v>11</v>
      </c>
      <c r="AE7841" s="7">
        <v>23</v>
      </c>
      <c r="AF7841" s="8">
        <v>0.625</v>
      </c>
      <c r="AG7841" s="7">
        <v>5.2</v>
      </c>
      <c r="AH7841" s="10">
        <f t="shared" si="137"/>
        <v>5</v>
      </c>
    </row>
    <row r="7842" spans="11:34" ht="14.5" x14ac:dyDescent="0.35">
      <c r="K7842" s="4"/>
      <c r="AC7842" s="7">
        <v>2022</v>
      </c>
      <c r="AD7842" s="7">
        <v>11</v>
      </c>
      <c r="AE7842" s="7">
        <v>23</v>
      </c>
      <c r="AF7842" s="8">
        <v>0.66666666666666663</v>
      </c>
      <c r="AG7842" s="7">
        <v>4.0999999999999996</v>
      </c>
      <c r="AH7842" s="10">
        <f t="shared" si="137"/>
        <v>4</v>
      </c>
    </row>
    <row r="7843" spans="11:34" ht="14.5" x14ac:dyDescent="0.35">
      <c r="K7843" s="4"/>
      <c r="AC7843" s="7">
        <v>2022</v>
      </c>
      <c r="AD7843" s="7">
        <v>11</v>
      </c>
      <c r="AE7843" s="7">
        <v>23</v>
      </c>
      <c r="AF7843" s="8">
        <v>0.70833333333333337</v>
      </c>
      <c r="AG7843" s="7">
        <v>2.6</v>
      </c>
      <c r="AH7843" s="10">
        <f t="shared" si="137"/>
        <v>3</v>
      </c>
    </row>
    <row r="7844" spans="11:34" ht="14.5" x14ac:dyDescent="0.35">
      <c r="K7844" s="4"/>
      <c r="AC7844" s="7">
        <v>2022</v>
      </c>
      <c r="AD7844" s="7">
        <v>11</v>
      </c>
      <c r="AE7844" s="7">
        <v>23</v>
      </c>
      <c r="AF7844" s="8">
        <v>0.75</v>
      </c>
      <c r="AG7844" s="7">
        <v>0.8</v>
      </c>
      <c r="AH7844" s="10">
        <f t="shared" si="137"/>
        <v>1</v>
      </c>
    </row>
    <row r="7845" spans="11:34" ht="14.5" x14ac:dyDescent="0.35">
      <c r="K7845" s="4"/>
      <c r="AC7845" s="7">
        <v>2022</v>
      </c>
      <c r="AD7845" s="7">
        <v>11</v>
      </c>
      <c r="AE7845" s="7">
        <v>23</v>
      </c>
      <c r="AF7845" s="8">
        <v>0.79166666666666663</v>
      </c>
      <c r="AG7845" s="7">
        <v>0.3</v>
      </c>
      <c r="AH7845" s="10">
        <f t="shared" si="137"/>
        <v>0</v>
      </c>
    </row>
    <row r="7846" spans="11:34" ht="14.5" x14ac:dyDescent="0.35">
      <c r="K7846" s="4"/>
      <c r="AC7846" s="7">
        <v>2022</v>
      </c>
      <c r="AD7846" s="7">
        <v>11</v>
      </c>
      <c r="AE7846" s="7">
        <v>23</v>
      </c>
      <c r="AF7846" s="8">
        <v>0.83333333333333337</v>
      </c>
      <c r="AG7846" s="7">
        <v>0.1</v>
      </c>
      <c r="AH7846" s="10">
        <f t="shared" si="137"/>
        <v>0</v>
      </c>
    </row>
    <row r="7847" spans="11:34" ht="14.5" x14ac:dyDescent="0.35">
      <c r="K7847" s="4"/>
      <c r="AC7847" s="7">
        <v>2022</v>
      </c>
      <c r="AD7847" s="7">
        <v>11</v>
      </c>
      <c r="AE7847" s="7">
        <v>23</v>
      </c>
      <c r="AF7847" s="8">
        <v>0.875</v>
      </c>
      <c r="AG7847" s="7">
        <v>0.3</v>
      </c>
      <c r="AH7847" s="10">
        <f t="shared" si="137"/>
        <v>0</v>
      </c>
    </row>
    <row r="7848" spans="11:34" ht="14.5" x14ac:dyDescent="0.35">
      <c r="K7848" s="4"/>
      <c r="AC7848" s="7">
        <v>2022</v>
      </c>
      <c r="AD7848" s="7">
        <v>11</v>
      </c>
      <c r="AE7848" s="7">
        <v>23</v>
      </c>
      <c r="AF7848" s="8">
        <v>0.91666666666666663</v>
      </c>
      <c r="AG7848" s="7">
        <v>-0.1</v>
      </c>
      <c r="AH7848" s="10">
        <f t="shared" si="137"/>
        <v>0</v>
      </c>
    </row>
    <row r="7849" spans="11:34" ht="14.5" x14ac:dyDescent="0.35">
      <c r="K7849" s="4"/>
      <c r="AC7849" s="7">
        <v>2022</v>
      </c>
      <c r="AD7849" s="7">
        <v>11</v>
      </c>
      <c r="AE7849" s="7">
        <v>23</v>
      </c>
      <c r="AF7849" s="8">
        <v>0.95833333333333337</v>
      </c>
      <c r="AG7849" s="7">
        <v>0.5</v>
      </c>
      <c r="AH7849" s="10">
        <f t="shared" si="137"/>
        <v>1</v>
      </c>
    </row>
    <row r="7850" spans="11:34" ht="14.5" x14ac:dyDescent="0.35">
      <c r="K7850" s="4"/>
      <c r="AC7850" s="7">
        <v>2022</v>
      </c>
      <c r="AD7850" s="7">
        <v>11</v>
      </c>
      <c r="AE7850" s="7">
        <v>24</v>
      </c>
      <c r="AF7850" s="8">
        <v>0</v>
      </c>
      <c r="AG7850" s="7">
        <v>0.6</v>
      </c>
      <c r="AH7850" s="10">
        <f t="shared" si="137"/>
        <v>1</v>
      </c>
    </row>
    <row r="7851" spans="11:34" ht="14.5" x14ac:dyDescent="0.35">
      <c r="K7851" s="4"/>
      <c r="AC7851" s="7">
        <v>2022</v>
      </c>
      <c r="AD7851" s="7">
        <v>11</v>
      </c>
      <c r="AE7851" s="7">
        <v>24</v>
      </c>
      <c r="AF7851" s="8">
        <v>4.1666666666666664E-2</v>
      </c>
      <c r="AG7851" s="7">
        <v>1.7</v>
      </c>
      <c r="AH7851" s="10">
        <f t="shared" si="137"/>
        <v>2</v>
      </c>
    </row>
    <row r="7852" spans="11:34" ht="14.5" x14ac:dyDescent="0.35">
      <c r="K7852" s="4"/>
      <c r="AC7852" s="7">
        <v>2022</v>
      </c>
      <c r="AD7852" s="7">
        <v>11</v>
      </c>
      <c r="AE7852" s="7">
        <v>24</v>
      </c>
      <c r="AF7852" s="8">
        <v>8.3333333333333329E-2</v>
      </c>
      <c r="AG7852" s="7">
        <v>1.8</v>
      </c>
      <c r="AH7852" s="10">
        <f t="shared" si="137"/>
        <v>2</v>
      </c>
    </row>
    <row r="7853" spans="11:34" ht="14.5" x14ac:dyDescent="0.35">
      <c r="K7853" s="4"/>
      <c r="AC7853" s="7">
        <v>2022</v>
      </c>
      <c r="AD7853" s="7">
        <v>11</v>
      </c>
      <c r="AE7853" s="7">
        <v>24</v>
      </c>
      <c r="AF7853" s="8">
        <v>0.125</v>
      </c>
      <c r="AG7853" s="7">
        <v>0.6</v>
      </c>
      <c r="AH7853" s="10">
        <f t="shared" si="137"/>
        <v>1</v>
      </c>
    </row>
    <row r="7854" spans="11:34" ht="14.5" x14ac:dyDescent="0.35">
      <c r="K7854" s="4"/>
      <c r="AC7854" s="7">
        <v>2022</v>
      </c>
      <c r="AD7854" s="7">
        <v>11</v>
      </c>
      <c r="AE7854" s="7">
        <v>24</v>
      </c>
      <c r="AF7854" s="8">
        <v>0.16666666666666666</v>
      </c>
      <c r="AG7854" s="7">
        <v>2.4</v>
      </c>
      <c r="AH7854" s="10">
        <f t="shared" si="137"/>
        <v>2</v>
      </c>
    </row>
    <row r="7855" spans="11:34" ht="14.5" x14ac:dyDescent="0.35">
      <c r="K7855" s="4"/>
      <c r="AC7855" s="7">
        <v>2022</v>
      </c>
      <c r="AD7855" s="7">
        <v>11</v>
      </c>
      <c r="AE7855" s="7">
        <v>24</v>
      </c>
      <c r="AF7855" s="8">
        <v>0.20833333333333334</v>
      </c>
      <c r="AG7855" s="7">
        <v>6.9</v>
      </c>
      <c r="AH7855" s="10">
        <f t="shared" si="137"/>
        <v>7</v>
      </c>
    </row>
    <row r="7856" spans="11:34" ht="14.5" x14ac:dyDescent="0.35">
      <c r="K7856" s="4"/>
      <c r="AC7856" s="7">
        <v>2022</v>
      </c>
      <c r="AD7856" s="7">
        <v>11</v>
      </c>
      <c r="AE7856" s="7">
        <v>24</v>
      </c>
      <c r="AF7856" s="8">
        <v>0.25</v>
      </c>
      <c r="AG7856" s="7">
        <v>9.1</v>
      </c>
      <c r="AH7856" s="10">
        <f t="shared" si="137"/>
        <v>9</v>
      </c>
    </row>
    <row r="7857" spans="11:34" ht="14.5" x14ac:dyDescent="0.35">
      <c r="K7857" s="4"/>
      <c r="AC7857" s="7">
        <v>2022</v>
      </c>
      <c r="AD7857" s="7">
        <v>11</v>
      </c>
      <c r="AE7857" s="7">
        <v>24</v>
      </c>
      <c r="AF7857" s="8">
        <v>0.29166666666666669</v>
      </c>
      <c r="AG7857" s="7">
        <v>8.6</v>
      </c>
      <c r="AH7857" s="10">
        <f t="shared" si="137"/>
        <v>9</v>
      </c>
    </row>
    <row r="7858" spans="11:34" ht="14.5" x14ac:dyDescent="0.35">
      <c r="K7858" s="4"/>
      <c r="AC7858" s="7">
        <v>2022</v>
      </c>
      <c r="AD7858" s="7">
        <v>11</v>
      </c>
      <c r="AE7858" s="7">
        <v>24</v>
      </c>
      <c r="AF7858" s="8">
        <v>0.33333333333333331</v>
      </c>
      <c r="AG7858" s="7">
        <v>8.6</v>
      </c>
      <c r="AH7858" s="10">
        <f t="shared" si="137"/>
        <v>9</v>
      </c>
    </row>
    <row r="7859" spans="11:34" ht="14.5" x14ac:dyDescent="0.35">
      <c r="K7859" s="4"/>
      <c r="AC7859" s="7">
        <v>2022</v>
      </c>
      <c r="AD7859" s="7">
        <v>11</v>
      </c>
      <c r="AE7859" s="7">
        <v>24</v>
      </c>
      <c r="AF7859" s="8">
        <v>0.375</v>
      </c>
      <c r="AG7859" s="7">
        <v>8.1999999999999993</v>
      </c>
      <c r="AH7859" s="10">
        <f t="shared" si="137"/>
        <v>8</v>
      </c>
    </row>
    <row r="7860" spans="11:34" ht="14.5" x14ac:dyDescent="0.35">
      <c r="K7860" s="4"/>
      <c r="AC7860" s="7">
        <v>2022</v>
      </c>
      <c r="AD7860" s="7">
        <v>11</v>
      </c>
      <c r="AE7860" s="7">
        <v>24</v>
      </c>
      <c r="AF7860" s="8">
        <v>0.41666666666666669</v>
      </c>
      <c r="AG7860" s="7">
        <v>8.3000000000000007</v>
      </c>
      <c r="AH7860" s="10">
        <f t="shared" si="137"/>
        <v>8</v>
      </c>
    </row>
    <row r="7861" spans="11:34" ht="14.5" x14ac:dyDescent="0.35">
      <c r="K7861" s="4"/>
      <c r="AC7861" s="7">
        <v>2022</v>
      </c>
      <c r="AD7861" s="7">
        <v>11</v>
      </c>
      <c r="AE7861" s="7">
        <v>24</v>
      </c>
      <c r="AF7861" s="8">
        <v>0.45833333333333331</v>
      </c>
      <c r="AG7861" s="7">
        <v>7.8</v>
      </c>
      <c r="AH7861" s="10">
        <f t="shared" si="137"/>
        <v>8</v>
      </c>
    </row>
    <row r="7862" spans="11:34" ht="14.5" x14ac:dyDescent="0.35">
      <c r="K7862" s="4"/>
      <c r="AC7862" s="7">
        <v>2022</v>
      </c>
      <c r="AD7862" s="7">
        <v>11</v>
      </c>
      <c r="AE7862" s="7">
        <v>24</v>
      </c>
      <c r="AF7862" s="8">
        <v>0.5</v>
      </c>
      <c r="AG7862" s="7">
        <v>9.1999999999999993</v>
      </c>
      <c r="AH7862" s="10">
        <f t="shared" si="137"/>
        <v>9</v>
      </c>
    </row>
    <row r="7863" spans="11:34" ht="14.5" x14ac:dyDescent="0.35">
      <c r="K7863" s="4"/>
      <c r="AC7863" s="7">
        <v>2022</v>
      </c>
      <c r="AD7863" s="7">
        <v>11</v>
      </c>
      <c r="AE7863" s="7">
        <v>24</v>
      </c>
      <c r="AF7863" s="8">
        <v>0.54166666666666663</v>
      </c>
      <c r="AG7863" s="7">
        <v>7.5</v>
      </c>
      <c r="AH7863" s="10">
        <f t="shared" si="137"/>
        <v>8</v>
      </c>
    </row>
    <row r="7864" spans="11:34" ht="14.5" x14ac:dyDescent="0.35">
      <c r="K7864" s="4"/>
      <c r="AC7864" s="7">
        <v>2022</v>
      </c>
      <c r="AD7864" s="7">
        <v>11</v>
      </c>
      <c r="AE7864" s="7">
        <v>24</v>
      </c>
      <c r="AF7864" s="8">
        <v>0.58333333333333337</v>
      </c>
      <c r="AG7864" s="7">
        <v>7.4</v>
      </c>
      <c r="AH7864" s="10">
        <f t="shared" si="137"/>
        <v>7</v>
      </c>
    </row>
    <row r="7865" spans="11:34" ht="14.5" x14ac:dyDescent="0.35">
      <c r="K7865" s="4"/>
      <c r="AC7865" s="7">
        <v>2022</v>
      </c>
      <c r="AD7865" s="7">
        <v>11</v>
      </c>
      <c r="AE7865" s="7">
        <v>24</v>
      </c>
      <c r="AF7865" s="8">
        <v>0.625</v>
      </c>
      <c r="AG7865" s="7">
        <v>7.3</v>
      </c>
      <c r="AH7865" s="10">
        <f t="shared" si="137"/>
        <v>7</v>
      </c>
    </row>
    <row r="7866" spans="11:34" ht="14.5" x14ac:dyDescent="0.35">
      <c r="K7866" s="4"/>
      <c r="AC7866" s="7">
        <v>2022</v>
      </c>
      <c r="AD7866" s="7">
        <v>11</v>
      </c>
      <c r="AE7866" s="7">
        <v>24</v>
      </c>
      <c r="AF7866" s="8">
        <v>0.66666666666666663</v>
      </c>
      <c r="AG7866" s="7">
        <v>7.8</v>
      </c>
      <c r="AH7866" s="10">
        <f t="shared" si="137"/>
        <v>8</v>
      </c>
    </row>
    <row r="7867" spans="11:34" ht="14.5" x14ac:dyDescent="0.35">
      <c r="K7867" s="4"/>
      <c r="AC7867" s="7">
        <v>2022</v>
      </c>
      <c r="AD7867" s="7">
        <v>11</v>
      </c>
      <c r="AE7867" s="7">
        <v>24</v>
      </c>
      <c r="AF7867" s="8">
        <v>0.70833333333333337</v>
      </c>
      <c r="AG7867" s="7">
        <v>6.1</v>
      </c>
      <c r="AH7867" s="10">
        <f t="shared" si="137"/>
        <v>6</v>
      </c>
    </row>
    <row r="7868" spans="11:34" ht="14.5" x14ac:dyDescent="0.35">
      <c r="K7868" s="4"/>
      <c r="AC7868" s="7">
        <v>2022</v>
      </c>
      <c r="AD7868" s="7">
        <v>11</v>
      </c>
      <c r="AE7868" s="7">
        <v>24</v>
      </c>
      <c r="AF7868" s="8">
        <v>0.75</v>
      </c>
      <c r="AG7868" s="7">
        <v>5.5</v>
      </c>
      <c r="AH7868" s="10">
        <f t="shared" si="137"/>
        <v>6</v>
      </c>
    </row>
    <row r="7869" spans="11:34" ht="14.5" x14ac:dyDescent="0.35">
      <c r="K7869" s="4"/>
      <c r="AC7869" s="7">
        <v>2022</v>
      </c>
      <c r="AD7869" s="7">
        <v>11</v>
      </c>
      <c r="AE7869" s="7">
        <v>24</v>
      </c>
      <c r="AF7869" s="8">
        <v>0.79166666666666663</v>
      </c>
      <c r="AG7869" s="7">
        <v>2.4</v>
      </c>
      <c r="AH7869" s="10">
        <f t="shared" si="137"/>
        <v>2</v>
      </c>
    </row>
    <row r="7870" spans="11:34" ht="14.5" x14ac:dyDescent="0.35">
      <c r="K7870" s="4"/>
      <c r="AC7870" s="7">
        <v>2022</v>
      </c>
      <c r="AD7870" s="7">
        <v>11</v>
      </c>
      <c r="AE7870" s="7">
        <v>24</v>
      </c>
      <c r="AF7870" s="8">
        <v>0.83333333333333337</v>
      </c>
      <c r="AG7870" s="7">
        <v>5</v>
      </c>
      <c r="AH7870" s="10">
        <f t="shared" si="137"/>
        <v>5</v>
      </c>
    </row>
    <row r="7871" spans="11:34" ht="14.5" x14ac:dyDescent="0.35">
      <c r="K7871" s="4"/>
      <c r="AC7871" s="7">
        <v>2022</v>
      </c>
      <c r="AD7871" s="7">
        <v>11</v>
      </c>
      <c r="AE7871" s="7">
        <v>24</v>
      </c>
      <c r="AF7871" s="8">
        <v>0.875</v>
      </c>
      <c r="AG7871" s="7">
        <v>2.2000000000000002</v>
      </c>
      <c r="AH7871" s="10">
        <f t="shared" si="137"/>
        <v>2</v>
      </c>
    </row>
    <row r="7872" spans="11:34" ht="14.5" x14ac:dyDescent="0.35">
      <c r="K7872" s="4"/>
      <c r="AC7872" s="7">
        <v>2022</v>
      </c>
      <c r="AD7872" s="7">
        <v>11</v>
      </c>
      <c r="AE7872" s="7">
        <v>24</v>
      </c>
      <c r="AF7872" s="8">
        <v>0.91666666666666663</v>
      </c>
      <c r="AG7872" s="7">
        <v>4</v>
      </c>
      <c r="AH7872" s="10">
        <f t="shared" si="137"/>
        <v>4</v>
      </c>
    </row>
    <row r="7873" spans="11:34" ht="14.5" x14ac:dyDescent="0.35">
      <c r="K7873" s="4"/>
      <c r="AC7873" s="7">
        <v>2022</v>
      </c>
      <c r="AD7873" s="7">
        <v>11</v>
      </c>
      <c r="AE7873" s="7">
        <v>24</v>
      </c>
      <c r="AF7873" s="8">
        <v>0.95833333333333337</v>
      </c>
      <c r="AG7873" s="7">
        <v>5.0999999999999996</v>
      </c>
      <c r="AH7873" s="10">
        <f t="shared" si="137"/>
        <v>5</v>
      </c>
    </row>
    <row r="7874" spans="11:34" ht="14.5" x14ac:dyDescent="0.35">
      <c r="K7874" s="4"/>
      <c r="AC7874" s="7">
        <v>2022</v>
      </c>
      <c r="AD7874" s="7">
        <v>11</v>
      </c>
      <c r="AE7874" s="7">
        <v>25</v>
      </c>
      <c r="AF7874" s="8">
        <v>0</v>
      </c>
      <c r="AG7874" s="7">
        <v>8</v>
      </c>
      <c r="AH7874" s="10">
        <f t="shared" si="137"/>
        <v>8</v>
      </c>
    </row>
    <row r="7875" spans="11:34" ht="14.5" x14ac:dyDescent="0.35">
      <c r="K7875" s="4"/>
      <c r="AC7875" s="7">
        <v>2022</v>
      </c>
      <c r="AD7875" s="7">
        <v>11</v>
      </c>
      <c r="AE7875" s="7">
        <v>25</v>
      </c>
      <c r="AF7875" s="8">
        <v>4.1666666666666664E-2</v>
      </c>
      <c r="AG7875" s="7">
        <v>8.5</v>
      </c>
      <c r="AH7875" s="10">
        <f t="shared" si="137"/>
        <v>9</v>
      </c>
    </row>
    <row r="7876" spans="11:34" ht="14.5" x14ac:dyDescent="0.35">
      <c r="K7876" s="4"/>
      <c r="AC7876" s="7">
        <v>2022</v>
      </c>
      <c r="AD7876" s="7">
        <v>11</v>
      </c>
      <c r="AE7876" s="7">
        <v>25</v>
      </c>
      <c r="AF7876" s="8">
        <v>8.3333333333333329E-2</v>
      </c>
      <c r="AG7876" s="7">
        <v>8.5</v>
      </c>
      <c r="AH7876" s="10">
        <f t="shared" si="137"/>
        <v>9</v>
      </c>
    </row>
    <row r="7877" spans="11:34" ht="14.5" x14ac:dyDescent="0.35">
      <c r="K7877" s="4"/>
      <c r="AC7877" s="7">
        <v>2022</v>
      </c>
      <c r="AD7877" s="7">
        <v>11</v>
      </c>
      <c r="AE7877" s="7">
        <v>25</v>
      </c>
      <c r="AF7877" s="8">
        <v>0.125</v>
      </c>
      <c r="AG7877" s="7">
        <v>7.4</v>
      </c>
      <c r="AH7877" s="10">
        <f t="shared" si="137"/>
        <v>7</v>
      </c>
    </row>
    <row r="7878" spans="11:34" ht="14.5" x14ac:dyDescent="0.35">
      <c r="K7878" s="4"/>
      <c r="AC7878" s="7">
        <v>2022</v>
      </c>
      <c r="AD7878" s="7">
        <v>11</v>
      </c>
      <c r="AE7878" s="7">
        <v>25</v>
      </c>
      <c r="AF7878" s="8">
        <v>0.16666666666666666</v>
      </c>
      <c r="AG7878" s="7">
        <v>8.6999999999999993</v>
      </c>
      <c r="AH7878" s="10">
        <f t="shared" si="137"/>
        <v>9</v>
      </c>
    </row>
    <row r="7879" spans="11:34" ht="14.5" x14ac:dyDescent="0.35">
      <c r="K7879" s="4"/>
      <c r="AC7879" s="7">
        <v>2022</v>
      </c>
      <c r="AD7879" s="7">
        <v>11</v>
      </c>
      <c r="AE7879" s="7">
        <v>25</v>
      </c>
      <c r="AF7879" s="8">
        <v>0.20833333333333334</v>
      </c>
      <c r="AG7879" s="7">
        <v>7.6</v>
      </c>
      <c r="AH7879" s="10">
        <f t="shared" si="137"/>
        <v>8</v>
      </c>
    </row>
    <row r="7880" spans="11:34" ht="14.5" x14ac:dyDescent="0.35">
      <c r="K7880" s="4"/>
      <c r="AC7880" s="7">
        <v>2022</v>
      </c>
      <c r="AD7880" s="7">
        <v>11</v>
      </c>
      <c r="AE7880" s="7">
        <v>25</v>
      </c>
      <c r="AF7880" s="8">
        <v>0.25</v>
      </c>
      <c r="AG7880" s="7">
        <v>8.9</v>
      </c>
      <c r="AH7880" s="10">
        <f t="shared" si="137"/>
        <v>9</v>
      </c>
    </row>
    <row r="7881" spans="11:34" ht="14.5" x14ac:dyDescent="0.35">
      <c r="K7881" s="4"/>
      <c r="AC7881" s="7">
        <v>2022</v>
      </c>
      <c r="AD7881" s="7">
        <v>11</v>
      </c>
      <c r="AE7881" s="7">
        <v>25</v>
      </c>
      <c r="AF7881" s="8">
        <v>0.29166666666666669</v>
      </c>
      <c r="AG7881" s="7">
        <v>9.4</v>
      </c>
      <c r="AH7881" s="10">
        <f t="shared" si="137"/>
        <v>9</v>
      </c>
    </row>
    <row r="7882" spans="11:34" ht="14.5" x14ac:dyDescent="0.35">
      <c r="K7882" s="4"/>
      <c r="AC7882" s="7">
        <v>2022</v>
      </c>
      <c r="AD7882" s="7">
        <v>11</v>
      </c>
      <c r="AE7882" s="7">
        <v>25</v>
      </c>
      <c r="AF7882" s="8">
        <v>0.33333333333333331</v>
      </c>
      <c r="AG7882" s="7">
        <v>9.8000000000000007</v>
      </c>
      <c r="AH7882" s="10">
        <f t="shared" si="137"/>
        <v>10</v>
      </c>
    </row>
    <row r="7883" spans="11:34" ht="14.5" x14ac:dyDescent="0.35">
      <c r="K7883" s="4"/>
      <c r="AC7883" s="7">
        <v>2022</v>
      </c>
      <c r="AD7883" s="7">
        <v>11</v>
      </c>
      <c r="AE7883" s="7">
        <v>25</v>
      </c>
      <c r="AF7883" s="8">
        <v>0.375</v>
      </c>
      <c r="AG7883" s="7">
        <v>8.6</v>
      </c>
      <c r="AH7883" s="10">
        <f t="shared" ref="AH7883:AH7946" si="138">ROUND(AG7883,0)</f>
        <v>9</v>
      </c>
    </row>
    <row r="7884" spans="11:34" ht="14.5" x14ac:dyDescent="0.35">
      <c r="K7884" s="4"/>
      <c r="AC7884" s="7">
        <v>2022</v>
      </c>
      <c r="AD7884" s="7">
        <v>11</v>
      </c>
      <c r="AE7884" s="7">
        <v>25</v>
      </c>
      <c r="AF7884" s="8">
        <v>0.41666666666666669</v>
      </c>
      <c r="AG7884" s="7">
        <v>7.3</v>
      </c>
      <c r="AH7884" s="10">
        <f t="shared" si="138"/>
        <v>7</v>
      </c>
    </row>
    <row r="7885" spans="11:34" ht="14.5" x14ac:dyDescent="0.35">
      <c r="K7885" s="4"/>
      <c r="AC7885" s="7">
        <v>2022</v>
      </c>
      <c r="AD7885" s="7">
        <v>11</v>
      </c>
      <c r="AE7885" s="7">
        <v>25</v>
      </c>
      <c r="AF7885" s="8">
        <v>0.45833333333333331</v>
      </c>
      <c r="AG7885" s="7">
        <v>10.1</v>
      </c>
      <c r="AH7885" s="10">
        <f t="shared" si="138"/>
        <v>10</v>
      </c>
    </row>
    <row r="7886" spans="11:34" ht="14.5" x14ac:dyDescent="0.35">
      <c r="K7886" s="4"/>
      <c r="AC7886" s="7">
        <v>2022</v>
      </c>
      <c r="AD7886" s="7">
        <v>11</v>
      </c>
      <c r="AE7886" s="7">
        <v>25</v>
      </c>
      <c r="AF7886" s="8">
        <v>0.5</v>
      </c>
      <c r="AG7886" s="7">
        <v>10.9</v>
      </c>
      <c r="AH7886" s="10">
        <f t="shared" si="138"/>
        <v>11</v>
      </c>
    </row>
    <row r="7887" spans="11:34" ht="14.5" x14ac:dyDescent="0.35">
      <c r="K7887" s="4"/>
      <c r="AC7887" s="7">
        <v>2022</v>
      </c>
      <c r="AD7887" s="7">
        <v>11</v>
      </c>
      <c r="AE7887" s="7">
        <v>25</v>
      </c>
      <c r="AF7887" s="8">
        <v>0.54166666666666663</v>
      </c>
      <c r="AG7887" s="7">
        <v>10</v>
      </c>
      <c r="AH7887" s="10">
        <f t="shared" si="138"/>
        <v>10</v>
      </c>
    </row>
    <row r="7888" spans="11:34" ht="14.5" x14ac:dyDescent="0.35">
      <c r="K7888" s="4"/>
      <c r="AC7888" s="7">
        <v>2022</v>
      </c>
      <c r="AD7888" s="7">
        <v>11</v>
      </c>
      <c r="AE7888" s="7">
        <v>25</v>
      </c>
      <c r="AF7888" s="8">
        <v>0.58333333333333337</v>
      </c>
      <c r="AG7888" s="7">
        <v>5.8</v>
      </c>
      <c r="AH7888" s="10">
        <f t="shared" si="138"/>
        <v>6</v>
      </c>
    </row>
    <row r="7889" spans="11:34" ht="14.5" x14ac:dyDescent="0.35">
      <c r="K7889" s="4"/>
      <c r="AC7889" s="7">
        <v>2022</v>
      </c>
      <c r="AD7889" s="7">
        <v>11</v>
      </c>
      <c r="AE7889" s="7">
        <v>25</v>
      </c>
      <c r="AF7889" s="8">
        <v>0.625</v>
      </c>
      <c r="AG7889" s="7">
        <v>1.8</v>
      </c>
      <c r="AH7889" s="10">
        <f t="shared" si="138"/>
        <v>2</v>
      </c>
    </row>
    <row r="7890" spans="11:34" ht="14.5" x14ac:dyDescent="0.35">
      <c r="K7890" s="4"/>
      <c r="AC7890" s="7">
        <v>2022</v>
      </c>
      <c r="AD7890" s="7">
        <v>11</v>
      </c>
      <c r="AE7890" s="7">
        <v>25</v>
      </c>
      <c r="AF7890" s="8">
        <v>0.66666666666666663</v>
      </c>
      <c r="AG7890" s="7">
        <v>0.8</v>
      </c>
      <c r="AH7890" s="10">
        <f t="shared" si="138"/>
        <v>1</v>
      </c>
    </row>
    <row r="7891" spans="11:34" ht="14.5" x14ac:dyDescent="0.35">
      <c r="K7891" s="4"/>
      <c r="AC7891" s="7">
        <v>2022</v>
      </c>
      <c r="AD7891" s="7">
        <v>11</v>
      </c>
      <c r="AE7891" s="7">
        <v>25</v>
      </c>
      <c r="AF7891" s="8">
        <v>0.70833333333333337</v>
      </c>
      <c r="AG7891" s="7">
        <v>0.5</v>
      </c>
      <c r="AH7891" s="10">
        <f t="shared" si="138"/>
        <v>1</v>
      </c>
    </row>
    <row r="7892" spans="11:34" ht="14.5" x14ac:dyDescent="0.35">
      <c r="K7892" s="4"/>
      <c r="AC7892" s="7">
        <v>2022</v>
      </c>
      <c r="AD7892" s="7">
        <v>11</v>
      </c>
      <c r="AE7892" s="7">
        <v>25</v>
      </c>
      <c r="AF7892" s="8">
        <v>0.75</v>
      </c>
      <c r="AG7892" s="7">
        <v>0.5</v>
      </c>
      <c r="AH7892" s="10">
        <f t="shared" si="138"/>
        <v>1</v>
      </c>
    </row>
    <row r="7893" spans="11:34" ht="14.5" x14ac:dyDescent="0.35">
      <c r="K7893" s="4"/>
      <c r="AC7893" s="7">
        <v>2022</v>
      </c>
      <c r="AD7893" s="7">
        <v>11</v>
      </c>
      <c r="AE7893" s="7">
        <v>25</v>
      </c>
      <c r="AF7893" s="8">
        <v>0.79166666666666663</v>
      </c>
      <c r="AG7893" s="7">
        <v>0.5</v>
      </c>
      <c r="AH7893" s="10">
        <f t="shared" si="138"/>
        <v>1</v>
      </c>
    </row>
    <row r="7894" spans="11:34" ht="14.5" x14ac:dyDescent="0.35">
      <c r="K7894" s="4"/>
      <c r="AC7894" s="7">
        <v>2022</v>
      </c>
      <c r="AD7894" s="7">
        <v>11</v>
      </c>
      <c r="AE7894" s="7">
        <v>25</v>
      </c>
      <c r="AF7894" s="8">
        <v>0.83333333333333337</v>
      </c>
      <c r="AG7894" s="7">
        <v>0.4</v>
      </c>
      <c r="AH7894" s="10">
        <f t="shared" si="138"/>
        <v>0</v>
      </c>
    </row>
    <row r="7895" spans="11:34" ht="14.5" x14ac:dyDescent="0.35">
      <c r="K7895" s="4"/>
      <c r="AC7895" s="7">
        <v>2022</v>
      </c>
      <c r="AD7895" s="7">
        <v>11</v>
      </c>
      <c r="AE7895" s="7">
        <v>25</v>
      </c>
      <c r="AF7895" s="8">
        <v>0.875</v>
      </c>
      <c r="AG7895" s="7">
        <v>0.5</v>
      </c>
      <c r="AH7895" s="10">
        <f t="shared" si="138"/>
        <v>1</v>
      </c>
    </row>
    <row r="7896" spans="11:34" ht="14.5" x14ac:dyDescent="0.35">
      <c r="K7896" s="4"/>
      <c r="AC7896" s="7">
        <v>2022</v>
      </c>
      <c r="AD7896" s="7">
        <v>11</v>
      </c>
      <c r="AE7896" s="7">
        <v>25</v>
      </c>
      <c r="AF7896" s="8">
        <v>0.91666666666666663</v>
      </c>
      <c r="AG7896" s="7">
        <v>-0.2</v>
      </c>
      <c r="AH7896" s="10">
        <f t="shared" si="138"/>
        <v>0</v>
      </c>
    </row>
    <row r="7897" spans="11:34" ht="14.5" x14ac:dyDescent="0.35">
      <c r="K7897" s="4"/>
      <c r="AC7897" s="7">
        <v>2022</v>
      </c>
      <c r="AD7897" s="7">
        <v>11</v>
      </c>
      <c r="AE7897" s="7">
        <v>25</v>
      </c>
      <c r="AF7897" s="8">
        <v>0.95833333333333337</v>
      </c>
      <c r="AG7897" s="7">
        <v>-1.5</v>
      </c>
      <c r="AH7897" s="10">
        <f t="shared" si="138"/>
        <v>-2</v>
      </c>
    </row>
    <row r="7898" spans="11:34" ht="14.5" x14ac:dyDescent="0.35">
      <c r="K7898" s="4"/>
      <c r="AC7898" s="7">
        <v>2022</v>
      </c>
      <c r="AD7898" s="7">
        <v>11</v>
      </c>
      <c r="AE7898" s="7">
        <v>26</v>
      </c>
      <c r="AF7898" s="8">
        <v>0</v>
      </c>
      <c r="AG7898" s="7">
        <v>-2.2999999999999998</v>
      </c>
      <c r="AH7898" s="10">
        <f t="shared" si="138"/>
        <v>-2</v>
      </c>
    </row>
    <row r="7899" spans="11:34" ht="14.5" x14ac:dyDescent="0.35">
      <c r="K7899" s="4"/>
      <c r="AC7899" s="7">
        <v>2022</v>
      </c>
      <c r="AD7899" s="7">
        <v>11</v>
      </c>
      <c r="AE7899" s="7">
        <v>26</v>
      </c>
      <c r="AF7899" s="8">
        <v>4.1666666666666664E-2</v>
      </c>
      <c r="AG7899" s="7">
        <v>-2.4</v>
      </c>
      <c r="AH7899" s="10">
        <f t="shared" si="138"/>
        <v>-2</v>
      </c>
    </row>
    <row r="7900" spans="11:34" ht="14.5" x14ac:dyDescent="0.35">
      <c r="K7900" s="4"/>
      <c r="AC7900" s="7">
        <v>2022</v>
      </c>
      <c r="AD7900" s="7">
        <v>11</v>
      </c>
      <c r="AE7900" s="7">
        <v>26</v>
      </c>
      <c r="AF7900" s="8">
        <v>8.3333333333333329E-2</v>
      </c>
      <c r="AG7900" s="7">
        <v>-1.8</v>
      </c>
      <c r="AH7900" s="10">
        <f t="shared" si="138"/>
        <v>-2</v>
      </c>
    </row>
    <row r="7901" spans="11:34" ht="14.5" x14ac:dyDescent="0.35">
      <c r="K7901" s="4"/>
      <c r="AC7901" s="7">
        <v>2022</v>
      </c>
      <c r="AD7901" s="7">
        <v>11</v>
      </c>
      <c r="AE7901" s="7">
        <v>26</v>
      </c>
      <c r="AF7901" s="8">
        <v>0.125</v>
      </c>
      <c r="AG7901" s="7">
        <v>-2.8</v>
      </c>
      <c r="AH7901" s="10">
        <f t="shared" si="138"/>
        <v>-3</v>
      </c>
    </row>
    <row r="7902" spans="11:34" ht="14.5" x14ac:dyDescent="0.35">
      <c r="K7902" s="4"/>
      <c r="AC7902" s="7">
        <v>2022</v>
      </c>
      <c r="AD7902" s="7">
        <v>11</v>
      </c>
      <c r="AE7902" s="7">
        <v>26</v>
      </c>
      <c r="AF7902" s="8">
        <v>0.16666666666666666</v>
      </c>
      <c r="AG7902" s="7">
        <v>-2.9</v>
      </c>
      <c r="AH7902" s="10">
        <f t="shared" si="138"/>
        <v>-3</v>
      </c>
    </row>
    <row r="7903" spans="11:34" ht="14.5" x14ac:dyDescent="0.35">
      <c r="K7903" s="4"/>
      <c r="AC7903" s="7">
        <v>2022</v>
      </c>
      <c r="AD7903" s="7">
        <v>11</v>
      </c>
      <c r="AE7903" s="7">
        <v>26</v>
      </c>
      <c r="AF7903" s="8">
        <v>0.20833333333333334</v>
      </c>
      <c r="AG7903" s="7">
        <v>-3.3</v>
      </c>
      <c r="AH7903" s="10">
        <f t="shared" si="138"/>
        <v>-3</v>
      </c>
    </row>
    <row r="7904" spans="11:34" ht="14.5" x14ac:dyDescent="0.35">
      <c r="K7904" s="4"/>
      <c r="AC7904" s="7">
        <v>2022</v>
      </c>
      <c r="AD7904" s="7">
        <v>11</v>
      </c>
      <c r="AE7904" s="7">
        <v>26</v>
      </c>
      <c r="AF7904" s="8">
        <v>0.25</v>
      </c>
      <c r="AG7904" s="7">
        <v>-3.2</v>
      </c>
      <c r="AH7904" s="10">
        <f t="shared" si="138"/>
        <v>-3</v>
      </c>
    </row>
    <row r="7905" spans="11:34" ht="14.5" x14ac:dyDescent="0.35">
      <c r="K7905" s="4"/>
      <c r="AC7905" s="7">
        <v>2022</v>
      </c>
      <c r="AD7905" s="7">
        <v>11</v>
      </c>
      <c r="AE7905" s="7">
        <v>26</v>
      </c>
      <c r="AF7905" s="8">
        <v>0.29166666666666669</v>
      </c>
      <c r="AG7905" s="7">
        <v>-3</v>
      </c>
      <c r="AH7905" s="10">
        <f t="shared" si="138"/>
        <v>-3</v>
      </c>
    </row>
    <row r="7906" spans="11:34" ht="14.5" x14ac:dyDescent="0.35">
      <c r="K7906" s="4"/>
      <c r="AC7906" s="7">
        <v>2022</v>
      </c>
      <c r="AD7906" s="7">
        <v>11</v>
      </c>
      <c r="AE7906" s="7">
        <v>26</v>
      </c>
      <c r="AF7906" s="8">
        <v>0.33333333333333331</v>
      </c>
      <c r="AG7906" s="7">
        <v>-2</v>
      </c>
      <c r="AH7906" s="10">
        <f t="shared" si="138"/>
        <v>-2</v>
      </c>
    </row>
    <row r="7907" spans="11:34" ht="14.5" x14ac:dyDescent="0.35">
      <c r="K7907" s="4"/>
      <c r="AC7907" s="7">
        <v>2022</v>
      </c>
      <c r="AD7907" s="7">
        <v>11</v>
      </c>
      <c r="AE7907" s="7">
        <v>26</v>
      </c>
      <c r="AF7907" s="8">
        <v>0.375</v>
      </c>
      <c r="AG7907" s="7">
        <v>-1.8</v>
      </c>
      <c r="AH7907" s="10">
        <f t="shared" si="138"/>
        <v>-2</v>
      </c>
    </row>
    <row r="7908" spans="11:34" ht="14.5" x14ac:dyDescent="0.35">
      <c r="K7908" s="4"/>
      <c r="AC7908" s="7">
        <v>2022</v>
      </c>
      <c r="AD7908" s="7">
        <v>11</v>
      </c>
      <c r="AE7908" s="7">
        <v>26</v>
      </c>
      <c r="AF7908" s="8">
        <v>0.41666666666666669</v>
      </c>
      <c r="AG7908" s="7">
        <v>0.8</v>
      </c>
      <c r="AH7908" s="10">
        <f t="shared" si="138"/>
        <v>1</v>
      </c>
    </row>
    <row r="7909" spans="11:34" ht="14.5" x14ac:dyDescent="0.35">
      <c r="K7909" s="4"/>
      <c r="AC7909" s="7">
        <v>2022</v>
      </c>
      <c r="AD7909" s="7">
        <v>11</v>
      </c>
      <c r="AE7909" s="7">
        <v>26</v>
      </c>
      <c r="AF7909" s="8">
        <v>0.45833333333333331</v>
      </c>
      <c r="AG7909" s="7">
        <v>1.9</v>
      </c>
      <c r="AH7909" s="10">
        <f t="shared" si="138"/>
        <v>2</v>
      </c>
    </row>
    <row r="7910" spans="11:34" ht="14.5" x14ac:dyDescent="0.35">
      <c r="K7910" s="4"/>
      <c r="AC7910" s="7">
        <v>2022</v>
      </c>
      <c r="AD7910" s="7">
        <v>11</v>
      </c>
      <c r="AE7910" s="7">
        <v>26</v>
      </c>
      <c r="AF7910" s="8">
        <v>0.5</v>
      </c>
      <c r="AG7910" s="7">
        <v>3.8</v>
      </c>
      <c r="AH7910" s="10">
        <f t="shared" si="138"/>
        <v>4</v>
      </c>
    </row>
    <row r="7911" spans="11:34" ht="14.5" x14ac:dyDescent="0.35">
      <c r="K7911" s="4"/>
      <c r="AC7911" s="7">
        <v>2022</v>
      </c>
      <c r="AD7911" s="7">
        <v>11</v>
      </c>
      <c r="AE7911" s="7">
        <v>26</v>
      </c>
      <c r="AF7911" s="8">
        <v>0.54166666666666663</v>
      </c>
      <c r="AG7911" s="7">
        <v>4.9000000000000004</v>
      </c>
      <c r="AH7911" s="10">
        <f t="shared" si="138"/>
        <v>5</v>
      </c>
    </row>
    <row r="7912" spans="11:34" ht="14.5" x14ac:dyDescent="0.35">
      <c r="K7912" s="4"/>
      <c r="AC7912" s="7">
        <v>2022</v>
      </c>
      <c r="AD7912" s="7">
        <v>11</v>
      </c>
      <c r="AE7912" s="7">
        <v>26</v>
      </c>
      <c r="AF7912" s="8">
        <v>0.58333333333333337</v>
      </c>
      <c r="AG7912" s="7">
        <v>5.2</v>
      </c>
      <c r="AH7912" s="10">
        <f t="shared" si="138"/>
        <v>5</v>
      </c>
    </row>
    <row r="7913" spans="11:34" ht="14.5" x14ac:dyDescent="0.35">
      <c r="K7913" s="4"/>
      <c r="AC7913" s="7">
        <v>2022</v>
      </c>
      <c r="AD7913" s="7">
        <v>11</v>
      </c>
      <c r="AE7913" s="7">
        <v>26</v>
      </c>
      <c r="AF7913" s="8">
        <v>0.625</v>
      </c>
      <c r="AG7913" s="7">
        <v>4.8</v>
      </c>
      <c r="AH7913" s="10">
        <f t="shared" si="138"/>
        <v>5</v>
      </c>
    </row>
    <row r="7914" spans="11:34" ht="14.5" x14ac:dyDescent="0.35">
      <c r="K7914" s="4"/>
      <c r="AC7914" s="7">
        <v>2022</v>
      </c>
      <c r="AD7914" s="7">
        <v>11</v>
      </c>
      <c r="AE7914" s="7">
        <v>26</v>
      </c>
      <c r="AF7914" s="8">
        <v>0.66666666666666663</v>
      </c>
      <c r="AG7914" s="7">
        <v>3.5</v>
      </c>
      <c r="AH7914" s="10">
        <f t="shared" si="138"/>
        <v>4</v>
      </c>
    </row>
    <row r="7915" spans="11:34" ht="14.5" x14ac:dyDescent="0.35">
      <c r="K7915" s="4"/>
      <c r="AC7915" s="7">
        <v>2022</v>
      </c>
      <c r="AD7915" s="7">
        <v>11</v>
      </c>
      <c r="AE7915" s="7">
        <v>26</v>
      </c>
      <c r="AF7915" s="8">
        <v>0.70833333333333337</v>
      </c>
      <c r="AG7915" s="7">
        <v>2.7</v>
      </c>
      <c r="AH7915" s="10">
        <f t="shared" si="138"/>
        <v>3</v>
      </c>
    </row>
    <row r="7916" spans="11:34" ht="14.5" x14ac:dyDescent="0.35">
      <c r="K7916" s="4"/>
      <c r="AC7916" s="7">
        <v>2022</v>
      </c>
      <c r="AD7916" s="7">
        <v>11</v>
      </c>
      <c r="AE7916" s="7">
        <v>26</v>
      </c>
      <c r="AF7916" s="8">
        <v>0.75</v>
      </c>
      <c r="AG7916" s="7">
        <v>2.6</v>
      </c>
      <c r="AH7916" s="10">
        <f t="shared" si="138"/>
        <v>3</v>
      </c>
    </row>
    <row r="7917" spans="11:34" ht="14.5" x14ac:dyDescent="0.35">
      <c r="K7917" s="4"/>
      <c r="AC7917" s="7">
        <v>2022</v>
      </c>
      <c r="AD7917" s="7">
        <v>11</v>
      </c>
      <c r="AE7917" s="7">
        <v>26</v>
      </c>
      <c r="AF7917" s="8">
        <v>0.79166666666666663</v>
      </c>
      <c r="AG7917" s="7">
        <v>3.1</v>
      </c>
      <c r="AH7917" s="10">
        <f t="shared" si="138"/>
        <v>3</v>
      </c>
    </row>
    <row r="7918" spans="11:34" ht="14.5" x14ac:dyDescent="0.35">
      <c r="K7918" s="4"/>
      <c r="AC7918" s="7">
        <v>2022</v>
      </c>
      <c r="AD7918" s="7">
        <v>11</v>
      </c>
      <c r="AE7918" s="7">
        <v>26</v>
      </c>
      <c r="AF7918" s="8">
        <v>0.83333333333333337</v>
      </c>
      <c r="AG7918" s="7">
        <v>1.6</v>
      </c>
      <c r="AH7918" s="10">
        <f t="shared" si="138"/>
        <v>2</v>
      </c>
    </row>
    <row r="7919" spans="11:34" ht="14.5" x14ac:dyDescent="0.35">
      <c r="K7919" s="4"/>
      <c r="AC7919" s="7">
        <v>2022</v>
      </c>
      <c r="AD7919" s="7">
        <v>11</v>
      </c>
      <c r="AE7919" s="7">
        <v>26</v>
      </c>
      <c r="AF7919" s="8">
        <v>0.875</v>
      </c>
      <c r="AG7919" s="7">
        <v>1.2</v>
      </c>
      <c r="AH7919" s="10">
        <f t="shared" si="138"/>
        <v>1</v>
      </c>
    </row>
    <row r="7920" spans="11:34" ht="14.5" x14ac:dyDescent="0.35">
      <c r="K7920" s="4"/>
      <c r="AC7920" s="7">
        <v>2022</v>
      </c>
      <c r="AD7920" s="7">
        <v>11</v>
      </c>
      <c r="AE7920" s="7">
        <v>26</v>
      </c>
      <c r="AF7920" s="8">
        <v>0.91666666666666663</v>
      </c>
      <c r="AG7920" s="7">
        <v>0.6</v>
      </c>
      <c r="AH7920" s="10">
        <f t="shared" si="138"/>
        <v>1</v>
      </c>
    </row>
    <row r="7921" spans="11:34" ht="14.5" x14ac:dyDescent="0.35">
      <c r="K7921" s="4"/>
      <c r="AC7921" s="7">
        <v>2022</v>
      </c>
      <c r="AD7921" s="7">
        <v>11</v>
      </c>
      <c r="AE7921" s="7">
        <v>26</v>
      </c>
      <c r="AF7921" s="8">
        <v>0.95833333333333337</v>
      </c>
      <c r="AG7921" s="7">
        <v>-0.3</v>
      </c>
      <c r="AH7921" s="10">
        <f t="shared" si="138"/>
        <v>0</v>
      </c>
    </row>
    <row r="7922" spans="11:34" ht="14.5" x14ac:dyDescent="0.35">
      <c r="K7922" s="4"/>
      <c r="AC7922" s="7">
        <v>2022</v>
      </c>
      <c r="AD7922" s="7">
        <v>11</v>
      </c>
      <c r="AE7922" s="7">
        <v>27</v>
      </c>
      <c r="AF7922" s="8">
        <v>0</v>
      </c>
      <c r="AG7922" s="7">
        <v>2.5</v>
      </c>
      <c r="AH7922" s="10">
        <f t="shared" si="138"/>
        <v>3</v>
      </c>
    </row>
    <row r="7923" spans="11:34" ht="14.5" x14ac:dyDescent="0.35">
      <c r="K7923" s="4"/>
      <c r="AC7923" s="7">
        <v>2022</v>
      </c>
      <c r="AD7923" s="7">
        <v>11</v>
      </c>
      <c r="AE7923" s="7">
        <v>27</v>
      </c>
      <c r="AF7923" s="8">
        <v>4.1666666666666664E-2</v>
      </c>
      <c r="AG7923" s="7">
        <v>2</v>
      </c>
      <c r="AH7923" s="10">
        <f t="shared" si="138"/>
        <v>2</v>
      </c>
    </row>
    <row r="7924" spans="11:34" ht="14.5" x14ac:dyDescent="0.35">
      <c r="K7924" s="4"/>
      <c r="AC7924" s="7">
        <v>2022</v>
      </c>
      <c r="AD7924" s="7">
        <v>11</v>
      </c>
      <c r="AE7924" s="7">
        <v>27</v>
      </c>
      <c r="AF7924" s="8">
        <v>8.3333333333333329E-2</v>
      </c>
      <c r="AG7924" s="7">
        <v>1.8</v>
      </c>
      <c r="AH7924" s="10">
        <f t="shared" si="138"/>
        <v>2</v>
      </c>
    </row>
    <row r="7925" spans="11:34" ht="14.5" x14ac:dyDescent="0.35">
      <c r="K7925" s="4"/>
      <c r="AC7925" s="7">
        <v>2022</v>
      </c>
      <c r="AD7925" s="7">
        <v>11</v>
      </c>
      <c r="AE7925" s="7">
        <v>27</v>
      </c>
      <c r="AF7925" s="8">
        <v>0.125</v>
      </c>
      <c r="AG7925" s="7">
        <v>1.5</v>
      </c>
      <c r="AH7925" s="10">
        <f t="shared" si="138"/>
        <v>2</v>
      </c>
    </row>
    <row r="7926" spans="11:34" ht="14.5" x14ac:dyDescent="0.35">
      <c r="K7926" s="4"/>
      <c r="AC7926" s="7">
        <v>2022</v>
      </c>
      <c r="AD7926" s="7">
        <v>11</v>
      </c>
      <c r="AE7926" s="7">
        <v>27</v>
      </c>
      <c r="AF7926" s="8">
        <v>0.16666666666666666</v>
      </c>
      <c r="AG7926" s="7">
        <v>1.2</v>
      </c>
      <c r="AH7926" s="10">
        <f t="shared" si="138"/>
        <v>1</v>
      </c>
    </row>
    <row r="7927" spans="11:34" ht="14.5" x14ac:dyDescent="0.35">
      <c r="K7927" s="4"/>
      <c r="AC7927" s="7">
        <v>2022</v>
      </c>
      <c r="AD7927" s="7">
        <v>11</v>
      </c>
      <c r="AE7927" s="7">
        <v>27</v>
      </c>
      <c r="AF7927" s="8">
        <v>0.20833333333333334</v>
      </c>
      <c r="AG7927" s="7">
        <v>2.5</v>
      </c>
      <c r="AH7927" s="10">
        <f t="shared" si="138"/>
        <v>3</v>
      </c>
    </row>
    <row r="7928" spans="11:34" ht="14.5" x14ac:dyDescent="0.35">
      <c r="K7928" s="4"/>
      <c r="AC7928" s="7">
        <v>2022</v>
      </c>
      <c r="AD7928" s="7">
        <v>11</v>
      </c>
      <c r="AE7928" s="7">
        <v>27</v>
      </c>
      <c r="AF7928" s="8">
        <v>0.25</v>
      </c>
      <c r="AG7928" s="7">
        <v>3</v>
      </c>
      <c r="AH7928" s="10">
        <f t="shared" si="138"/>
        <v>3</v>
      </c>
    </row>
    <row r="7929" spans="11:34" ht="14.5" x14ac:dyDescent="0.35">
      <c r="K7929" s="4"/>
      <c r="AC7929" s="7">
        <v>2022</v>
      </c>
      <c r="AD7929" s="7">
        <v>11</v>
      </c>
      <c r="AE7929" s="7">
        <v>27</v>
      </c>
      <c r="AF7929" s="8">
        <v>0.29166666666666669</v>
      </c>
      <c r="AG7929" s="7">
        <v>1.6</v>
      </c>
      <c r="AH7929" s="10">
        <f t="shared" si="138"/>
        <v>2</v>
      </c>
    </row>
    <row r="7930" spans="11:34" ht="14.5" x14ac:dyDescent="0.35">
      <c r="K7930" s="4"/>
      <c r="AC7930" s="7">
        <v>2022</v>
      </c>
      <c r="AD7930" s="7">
        <v>11</v>
      </c>
      <c r="AE7930" s="7">
        <v>27</v>
      </c>
      <c r="AF7930" s="8">
        <v>0.33333333333333331</v>
      </c>
      <c r="AG7930" s="7">
        <v>0.1</v>
      </c>
      <c r="AH7930" s="10">
        <f t="shared" si="138"/>
        <v>0</v>
      </c>
    </row>
    <row r="7931" spans="11:34" ht="14.5" x14ac:dyDescent="0.35">
      <c r="K7931" s="4"/>
      <c r="AC7931" s="7">
        <v>2022</v>
      </c>
      <c r="AD7931" s="7">
        <v>11</v>
      </c>
      <c r="AE7931" s="7">
        <v>27</v>
      </c>
      <c r="AF7931" s="8">
        <v>0.375</v>
      </c>
      <c r="AG7931" s="7">
        <v>-1.1000000000000001</v>
      </c>
      <c r="AH7931" s="10">
        <f t="shared" si="138"/>
        <v>-1</v>
      </c>
    </row>
    <row r="7932" spans="11:34" ht="14.5" x14ac:dyDescent="0.35">
      <c r="K7932" s="4"/>
      <c r="AC7932" s="7">
        <v>2022</v>
      </c>
      <c r="AD7932" s="7">
        <v>11</v>
      </c>
      <c r="AE7932" s="7">
        <v>27</v>
      </c>
      <c r="AF7932" s="8">
        <v>0.41666666666666669</v>
      </c>
      <c r="AG7932" s="7">
        <v>-0.9</v>
      </c>
      <c r="AH7932" s="10">
        <f t="shared" si="138"/>
        <v>-1</v>
      </c>
    </row>
    <row r="7933" spans="11:34" ht="14.5" x14ac:dyDescent="0.35">
      <c r="K7933" s="4"/>
      <c r="AC7933" s="7">
        <v>2022</v>
      </c>
      <c r="AD7933" s="7">
        <v>11</v>
      </c>
      <c r="AE7933" s="7">
        <v>27</v>
      </c>
      <c r="AF7933" s="8">
        <v>0.45833333333333331</v>
      </c>
      <c r="AG7933" s="7">
        <v>-1.5</v>
      </c>
      <c r="AH7933" s="10">
        <f t="shared" si="138"/>
        <v>-2</v>
      </c>
    </row>
    <row r="7934" spans="11:34" ht="14.5" x14ac:dyDescent="0.35">
      <c r="K7934" s="4"/>
      <c r="AC7934" s="7">
        <v>2022</v>
      </c>
      <c r="AD7934" s="7">
        <v>11</v>
      </c>
      <c r="AE7934" s="7">
        <v>27</v>
      </c>
      <c r="AF7934" s="8">
        <v>0.5</v>
      </c>
      <c r="AG7934" s="7">
        <v>-3.4</v>
      </c>
      <c r="AH7934" s="10">
        <f t="shared" si="138"/>
        <v>-3</v>
      </c>
    </row>
    <row r="7935" spans="11:34" ht="14.5" x14ac:dyDescent="0.35">
      <c r="K7935" s="4"/>
      <c r="AC7935" s="7">
        <v>2022</v>
      </c>
      <c r="AD7935" s="7">
        <v>11</v>
      </c>
      <c r="AE7935" s="7">
        <v>27</v>
      </c>
      <c r="AF7935" s="8">
        <v>0.54166666666666663</v>
      </c>
      <c r="AG7935" s="7">
        <v>-3.7</v>
      </c>
      <c r="AH7935" s="10">
        <f t="shared" si="138"/>
        <v>-4</v>
      </c>
    </row>
    <row r="7936" spans="11:34" ht="14.5" x14ac:dyDescent="0.35">
      <c r="K7936" s="4"/>
      <c r="AC7936" s="7">
        <v>2022</v>
      </c>
      <c r="AD7936" s="7">
        <v>11</v>
      </c>
      <c r="AE7936" s="7">
        <v>27</v>
      </c>
      <c r="AF7936" s="8">
        <v>0.58333333333333337</v>
      </c>
      <c r="AG7936" s="7">
        <v>-3.5</v>
      </c>
      <c r="AH7936" s="10">
        <f t="shared" si="138"/>
        <v>-4</v>
      </c>
    </row>
    <row r="7937" spans="11:34" ht="14.5" x14ac:dyDescent="0.35">
      <c r="K7937" s="4"/>
      <c r="AC7937" s="7">
        <v>2022</v>
      </c>
      <c r="AD7937" s="7">
        <v>11</v>
      </c>
      <c r="AE7937" s="7">
        <v>27</v>
      </c>
      <c r="AF7937" s="8">
        <v>0.625</v>
      </c>
      <c r="AG7937" s="7">
        <v>-3.6</v>
      </c>
      <c r="AH7937" s="10">
        <f t="shared" si="138"/>
        <v>-4</v>
      </c>
    </row>
    <row r="7938" spans="11:34" ht="14.5" x14ac:dyDescent="0.35">
      <c r="K7938" s="4"/>
      <c r="AC7938" s="7">
        <v>2022</v>
      </c>
      <c r="AD7938" s="7">
        <v>11</v>
      </c>
      <c r="AE7938" s="7">
        <v>27</v>
      </c>
      <c r="AF7938" s="8">
        <v>0.66666666666666663</v>
      </c>
      <c r="AG7938" s="7">
        <v>-4.8</v>
      </c>
      <c r="AH7938" s="10">
        <f t="shared" si="138"/>
        <v>-5</v>
      </c>
    </row>
    <row r="7939" spans="11:34" ht="14.5" x14ac:dyDescent="0.35">
      <c r="K7939" s="4"/>
      <c r="AC7939" s="7">
        <v>2022</v>
      </c>
      <c r="AD7939" s="7">
        <v>11</v>
      </c>
      <c r="AE7939" s="7">
        <v>27</v>
      </c>
      <c r="AF7939" s="8">
        <v>0.70833333333333337</v>
      </c>
      <c r="AG7939" s="7">
        <v>-5</v>
      </c>
      <c r="AH7939" s="10">
        <f t="shared" si="138"/>
        <v>-5</v>
      </c>
    </row>
    <row r="7940" spans="11:34" ht="14.5" x14ac:dyDescent="0.35">
      <c r="K7940" s="4"/>
      <c r="AC7940" s="7">
        <v>2022</v>
      </c>
      <c r="AD7940" s="7">
        <v>11</v>
      </c>
      <c r="AE7940" s="7">
        <v>27</v>
      </c>
      <c r="AF7940" s="8">
        <v>0.75</v>
      </c>
      <c r="AG7940" s="7">
        <v>-6.8</v>
      </c>
      <c r="AH7940" s="10">
        <f t="shared" si="138"/>
        <v>-7</v>
      </c>
    </row>
    <row r="7941" spans="11:34" ht="14.5" x14ac:dyDescent="0.35">
      <c r="K7941" s="4"/>
      <c r="AC7941" s="7">
        <v>2022</v>
      </c>
      <c r="AD7941" s="7">
        <v>11</v>
      </c>
      <c r="AE7941" s="7">
        <v>27</v>
      </c>
      <c r="AF7941" s="8">
        <v>0.79166666666666663</v>
      </c>
      <c r="AG7941" s="7">
        <v>-5.9</v>
      </c>
      <c r="AH7941" s="10">
        <f t="shared" si="138"/>
        <v>-6</v>
      </c>
    </row>
    <row r="7942" spans="11:34" ht="14.5" x14ac:dyDescent="0.35">
      <c r="K7942" s="4"/>
      <c r="AC7942" s="7">
        <v>2022</v>
      </c>
      <c r="AD7942" s="7">
        <v>11</v>
      </c>
      <c r="AE7942" s="7">
        <v>27</v>
      </c>
      <c r="AF7942" s="8">
        <v>0.83333333333333337</v>
      </c>
      <c r="AG7942" s="7">
        <v>-7.5</v>
      </c>
      <c r="AH7942" s="10">
        <f t="shared" si="138"/>
        <v>-8</v>
      </c>
    </row>
    <row r="7943" spans="11:34" ht="14.5" x14ac:dyDescent="0.35">
      <c r="K7943" s="4"/>
      <c r="AC7943" s="7">
        <v>2022</v>
      </c>
      <c r="AD7943" s="7">
        <v>11</v>
      </c>
      <c r="AE7943" s="7">
        <v>27</v>
      </c>
      <c r="AF7943" s="8">
        <v>0.875</v>
      </c>
      <c r="AG7943" s="7">
        <v>-9</v>
      </c>
      <c r="AH7943" s="10">
        <f t="shared" si="138"/>
        <v>-9</v>
      </c>
    </row>
    <row r="7944" spans="11:34" ht="14.5" x14ac:dyDescent="0.35">
      <c r="K7944" s="4"/>
      <c r="AC7944" s="7">
        <v>2022</v>
      </c>
      <c r="AD7944" s="7">
        <v>11</v>
      </c>
      <c r="AE7944" s="7">
        <v>27</v>
      </c>
      <c r="AF7944" s="8">
        <v>0.91666666666666663</v>
      </c>
      <c r="AG7944" s="7">
        <v>-10.1</v>
      </c>
      <c r="AH7944" s="10">
        <f t="shared" si="138"/>
        <v>-10</v>
      </c>
    </row>
    <row r="7945" spans="11:34" ht="14.5" x14ac:dyDescent="0.35">
      <c r="K7945" s="4"/>
      <c r="AC7945" s="7">
        <v>2022</v>
      </c>
      <c r="AD7945" s="7">
        <v>11</v>
      </c>
      <c r="AE7945" s="7">
        <v>27</v>
      </c>
      <c r="AF7945" s="8">
        <v>0.95833333333333337</v>
      </c>
      <c r="AG7945" s="7">
        <v>-10.9</v>
      </c>
      <c r="AH7945" s="10">
        <f t="shared" si="138"/>
        <v>-11</v>
      </c>
    </row>
    <row r="7946" spans="11:34" ht="14.5" x14ac:dyDescent="0.35">
      <c r="K7946" s="4"/>
      <c r="AC7946" s="7">
        <v>2022</v>
      </c>
      <c r="AD7946" s="7">
        <v>11</v>
      </c>
      <c r="AE7946" s="7">
        <v>28</v>
      </c>
      <c r="AF7946" s="8">
        <v>0</v>
      </c>
      <c r="AG7946" s="7">
        <v>-11.5</v>
      </c>
      <c r="AH7946" s="10">
        <f t="shared" si="138"/>
        <v>-12</v>
      </c>
    </row>
    <row r="7947" spans="11:34" ht="14.5" x14ac:dyDescent="0.35">
      <c r="K7947" s="4"/>
      <c r="AC7947" s="7">
        <v>2022</v>
      </c>
      <c r="AD7947" s="7">
        <v>11</v>
      </c>
      <c r="AE7947" s="7">
        <v>28</v>
      </c>
      <c r="AF7947" s="8">
        <v>4.1666666666666664E-2</v>
      </c>
      <c r="AG7947" s="7">
        <v>-12</v>
      </c>
      <c r="AH7947" s="10">
        <f t="shared" ref="AH7947:AH8010" si="139">ROUND(AG7947,0)</f>
        <v>-12</v>
      </c>
    </row>
    <row r="7948" spans="11:34" ht="14.5" x14ac:dyDescent="0.35">
      <c r="K7948" s="4"/>
      <c r="AC7948" s="7">
        <v>2022</v>
      </c>
      <c r="AD7948" s="7">
        <v>11</v>
      </c>
      <c r="AE7948" s="7">
        <v>28</v>
      </c>
      <c r="AF7948" s="8">
        <v>8.3333333333333329E-2</v>
      </c>
      <c r="AG7948" s="7">
        <v>-12.8</v>
      </c>
      <c r="AH7948" s="10">
        <f t="shared" si="139"/>
        <v>-13</v>
      </c>
    </row>
    <row r="7949" spans="11:34" ht="14.5" x14ac:dyDescent="0.35">
      <c r="K7949" s="4"/>
      <c r="AC7949" s="7">
        <v>2022</v>
      </c>
      <c r="AD7949" s="7">
        <v>11</v>
      </c>
      <c r="AE7949" s="7">
        <v>28</v>
      </c>
      <c r="AF7949" s="8">
        <v>0.125</v>
      </c>
      <c r="AG7949" s="7">
        <v>-12.8</v>
      </c>
      <c r="AH7949" s="10">
        <f t="shared" si="139"/>
        <v>-13</v>
      </c>
    </row>
    <row r="7950" spans="11:34" ht="14.5" x14ac:dyDescent="0.35">
      <c r="K7950" s="4"/>
      <c r="AC7950" s="7">
        <v>2022</v>
      </c>
      <c r="AD7950" s="7">
        <v>11</v>
      </c>
      <c r="AE7950" s="7">
        <v>28</v>
      </c>
      <c r="AF7950" s="8">
        <v>0.16666666666666666</v>
      </c>
      <c r="AG7950" s="7">
        <v>-12.9</v>
      </c>
      <c r="AH7950" s="10">
        <f t="shared" si="139"/>
        <v>-13</v>
      </c>
    </row>
    <row r="7951" spans="11:34" ht="14.5" x14ac:dyDescent="0.35">
      <c r="K7951" s="4"/>
      <c r="AC7951" s="7">
        <v>2022</v>
      </c>
      <c r="AD7951" s="7">
        <v>11</v>
      </c>
      <c r="AE7951" s="7">
        <v>28</v>
      </c>
      <c r="AF7951" s="8">
        <v>0.20833333333333334</v>
      </c>
      <c r="AG7951" s="7">
        <v>-13</v>
      </c>
      <c r="AH7951" s="10">
        <f t="shared" si="139"/>
        <v>-13</v>
      </c>
    </row>
    <row r="7952" spans="11:34" ht="14.5" x14ac:dyDescent="0.35">
      <c r="K7952" s="4"/>
      <c r="AC7952" s="7">
        <v>2022</v>
      </c>
      <c r="AD7952" s="7">
        <v>11</v>
      </c>
      <c r="AE7952" s="7">
        <v>28</v>
      </c>
      <c r="AF7952" s="8">
        <v>0.25</v>
      </c>
      <c r="AG7952" s="7">
        <v>-13.2</v>
      </c>
      <c r="AH7952" s="10">
        <f t="shared" si="139"/>
        <v>-13</v>
      </c>
    </row>
    <row r="7953" spans="11:34" ht="14.5" x14ac:dyDescent="0.35">
      <c r="K7953" s="4"/>
      <c r="AC7953" s="7">
        <v>2022</v>
      </c>
      <c r="AD7953" s="7">
        <v>11</v>
      </c>
      <c r="AE7953" s="7">
        <v>28</v>
      </c>
      <c r="AF7953" s="8">
        <v>0.29166666666666669</v>
      </c>
      <c r="AG7953" s="7">
        <v>-13.5</v>
      </c>
      <c r="AH7953" s="10">
        <f t="shared" si="139"/>
        <v>-14</v>
      </c>
    </row>
    <row r="7954" spans="11:34" ht="14.5" x14ac:dyDescent="0.35">
      <c r="K7954" s="4"/>
      <c r="AC7954" s="7">
        <v>2022</v>
      </c>
      <c r="AD7954" s="7">
        <v>11</v>
      </c>
      <c r="AE7954" s="7">
        <v>28</v>
      </c>
      <c r="AF7954" s="8">
        <v>0.33333333333333331</v>
      </c>
      <c r="AG7954" s="7">
        <v>-13.6</v>
      </c>
      <c r="AH7954" s="10">
        <f t="shared" si="139"/>
        <v>-14</v>
      </c>
    </row>
    <row r="7955" spans="11:34" ht="14.5" x14ac:dyDescent="0.35">
      <c r="K7955" s="4"/>
      <c r="AC7955" s="7">
        <v>2022</v>
      </c>
      <c r="AD7955" s="7">
        <v>11</v>
      </c>
      <c r="AE7955" s="7">
        <v>28</v>
      </c>
      <c r="AF7955" s="8">
        <v>0.375</v>
      </c>
      <c r="AG7955" s="7">
        <v>-13.6</v>
      </c>
      <c r="AH7955" s="10">
        <f t="shared" si="139"/>
        <v>-14</v>
      </c>
    </row>
    <row r="7956" spans="11:34" ht="14.5" x14ac:dyDescent="0.35">
      <c r="K7956" s="4"/>
      <c r="AC7956" s="7">
        <v>2022</v>
      </c>
      <c r="AD7956" s="7">
        <v>11</v>
      </c>
      <c r="AE7956" s="7">
        <v>28</v>
      </c>
      <c r="AF7956" s="8">
        <v>0.41666666666666669</v>
      </c>
      <c r="AG7956" s="7">
        <v>-12.9</v>
      </c>
      <c r="AH7956" s="10">
        <f t="shared" si="139"/>
        <v>-13</v>
      </c>
    </row>
    <row r="7957" spans="11:34" ht="14.5" x14ac:dyDescent="0.35">
      <c r="K7957" s="4"/>
      <c r="AC7957" s="7">
        <v>2022</v>
      </c>
      <c r="AD7957" s="7">
        <v>11</v>
      </c>
      <c r="AE7957" s="7">
        <v>28</v>
      </c>
      <c r="AF7957" s="8">
        <v>0.45833333333333331</v>
      </c>
      <c r="AG7957" s="7">
        <v>-12.2</v>
      </c>
      <c r="AH7957" s="10">
        <f t="shared" si="139"/>
        <v>-12</v>
      </c>
    </row>
    <row r="7958" spans="11:34" ht="14.5" x14ac:dyDescent="0.35">
      <c r="K7958" s="4"/>
      <c r="AC7958" s="7">
        <v>2022</v>
      </c>
      <c r="AD7958" s="7">
        <v>11</v>
      </c>
      <c r="AE7958" s="7">
        <v>28</v>
      </c>
      <c r="AF7958" s="8">
        <v>0.5</v>
      </c>
      <c r="AG7958" s="7">
        <v>-11.8</v>
      </c>
      <c r="AH7958" s="10">
        <f t="shared" si="139"/>
        <v>-12</v>
      </c>
    </row>
    <row r="7959" spans="11:34" ht="14.5" x14ac:dyDescent="0.35">
      <c r="K7959" s="4"/>
      <c r="AC7959" s="7">
        <v>2022</v>
      </c>
      <c r="AD7959" s="7">
        <v>11</v>
      </c>
      <c r="AE7959" s="7">
        <v>28</v>
      </c>
      <c r="AF7959" s="8">
        <v>0.54166666666666663</v>
      </c>
      <c r="AG7959" s="7">
        <v>-11.8</v>
      </c>
      <c r="AH7959" s="10">
        <f t="shared" si="139"/>
        <v>-12</v>
      </c>
    </row>
    <row r="7960" spans="11:34" ht="14.5" x14ac:dyDescent="0.35">
      <c r="K7960" s="4"/>
      <c r="AC7960" s="7">
        <v>2022</v>
      </c>
      <c r="AD7960" s="7">
        <v>11</v>
      </c>
      <c r="AE7960" s="7">
        <v>28</v>
      </c>
      <c r="AF7960" s="8">
        <v>0.58333333333333337</v>
      </c>
      <c r="AG7960" s="7">
        <v>-11.2</v>
      </c>
      <c r="AH7960" s="10">
        <f t="shared" si="139"/>
        <v>-11</v>
      </c>
    </row>
    <row r="7961" spans="11:34" ht="14.5" x14ac:dyDescent="0.35">
      <c r="K7961" s="4"/>
      <c r="AC7961" s="7">
        <v>2022</v>
      </c>
      <c r="AD7961" s="7">
        <v>11</v>
      </c>
      <c r="AE7961" s="7">
        <v>28</v>
      </c>
      <c r="AF7961" s="8">
        <v>0.625</v>
      </c>
      <c r="AG7961" s="7">
        <v>-12</v>
      </c>
      <c r="AH7961" s="10">
        <f t="shared" si="139"/>
        <v>-12</v>
      </c>
    </row>
    <row r="7962" spans="11:34" ht="14.5" x14ac:dyDescent="0.35">
      <c r="K7962" s="4"/>
      <c r="AC7962" s="7">
        <v>2022</v>
      </c>
      <c r="AD7962" s="7">
        <v>11</v>
      </c>
      <c r="AE7962" s="7">
        <v>28</v>
      </c>
      <c r="AF7962" s="8">
        <v>0.66666666666666663</v>
      </c>
      <c r="AG7962" s="7">
        <v>-12.6</v>
      </c>
      <c r="AH7962" s="10">
        <f t="shared" si="139"/>
        <v>-13</v>
      </c>
    </row>
    <row r="7963" spans="11:34" ht="14.5" x14ac:dyDescent="0.35">
      <c r="K7963" s="4"/>
      <c r="AC7963" s="7">
        <v>2022</v>
      </c>
      <c r="AD7963" s="7">
        <v>11</v>
      </c>
      <c r="AE7963" s="7">
        <v>28</v>
      </c>
      <c r="AF7963" s="8">
        <v>0.70833333333333337</v>
      </c>
      <c r="AG7963" s="7">
        <v>-12.9</v>
      </c>
      <c r="AH7963" s="10">
        <f t="shared" si="139"/>
        <v>-13</v>
      </c>
    </row>
    <row r="7964" spans="11:34" ht="14.5" x14ac:dyDescent="0.35">
      <c r="K7964" s="4"/>
      <c r="AC7964" s="7">
        <v>2022</v>
      </c>
      <c r="AD7964" s="7">
        <v>11</v>
      </c>
      <c r="AE7964" s="7">
        <v>28</v>
      </c>
      <c r="AF7964" s="8">
        <v>0.75</v>
      </c>
      <c r="AG7964" s="7">
        <v>-12.6</v>
      </c>
      <c r="AH7964" s="10">
        <f t="shared" si="139"/>
        <v>-13</v>
      </c>
    </row>
    <row r="7965" spans="11:34" ht="14.5" x14ac:dyDescent="0.35">
      <c r="K7965" s="4"/>
      <c r="AC7965" s="7">
        <v>2022</v>
      </c>
      <c r="AD7965" s="7">
        <v>11</v>
      </c>
      <c r="AE7965" s="7">
        <v>28</v>
      </c>
      <c r="AF7965" s="8">
        <v>0.79166666666666663</v>
      </c>
      <c r="AG7965" s="7">
        <v>-13</v>
      </c>
      <c r="AH7965" s="10">
        <f t="shared" si="139"/>
        <v>-13</v>
      </c>
    </row>
    <row r="7966" spans="11:34" ht="14.5" x14ac:dyDescent="0.35">
      <c r="K7966" s="4"/>
      <c r="AC7966" s="7">
        <v>2022</v>
      </c>
      <c r="AD7966" s="7">
        <v>11</v>
      </c>
      <c r="AE7966" s="7">
        <v>28</v>
      </c>
      <c r="AF7966" s="8">
        <v>0.83333333333333337</v>
      </c>
      <c r="AG7966" s="7">
        <v>-13.4</v>
      </c>
      <c r="AH7966" s="10">
        <f t="shared" si="139"/>
        <v>-13</v>
      </c>
    </row>
    <row r="7967" spans="11:34" ht="14.5" x14ac:dyDescent="0.35">
      <c r="K7967" s="4"/>
      <c r="AC7967" s="7">
        <v>2022</v>
      </c>
      <c r="AD7967" s="7">
        <v>11</v>
      </c>
      <c r="AE7967" s="7">
        <v>28</v>
      </c>
      <c r="AF7967" s="8">
        <v>0.875</v>
      </c>
      <c r="AG7967" s="7">
        <v>-13.8</v>
      </c>
      <c r="AH7967" s="10">
        <f t="shared" si="139"/>
        <v>-14</v>
      </c>
    </row>
    <row r="7968" spans="11:34" ht="14.5" x14ac:dyDescent="0.35">
      <c r="K7968" s="4"/>
      <c r="AC7968" s="7">
        <v>2022</v>
      </c>
      <c r="AD7968" s="7">
        <v>11</v>
      </c>
      <c r="AE7968" s="7">
        <v>28</v>
      </c>
      <c r="AF7968" s="8">
        <v>0.91666666666666663</v>
      </c>
      <c r="AG7968" s="7">
        <v>-13.9</v>
      </c>
      <c r="AH7968" s="10">
        <f t="shared" si="139"/>
        <v>-14</v>
      </c>
    </row>
    <row r="7969" spans="11:34" ht="14.5" x14ac:dyDescent="0.35">
      <c r="K7969" s="4"/>
      <c r="AC7969" s="7">
        <v>2022</v>
      </c>
      <c r="AD7969" s="7">
        <v>11</v>
      </c>
      <c r="AE7969" s="7">
        <v>28</v>
      </c>
      <c r="AF7969" s="8">
        <v>0.95833333333333337</v>
      </c>
      <c r="AG7969" s="7">
        <v>-14.4</v>
      </c>
      <c r="AH7969" s="10">
        <f t="shared" si="139"/>
        <v>-14</v>
      </c>
    </row>
    <row r="7970" spans="11:34" ht="14.5" x14ac:dyDescent="0.35">
      <c r="K7970" s="4"/>
      <c r="AC7970" s="7">
        <v>2022</v>
      </c>
      <c r="AD7970" s="7">
        <v>11</v>
      </c>
      <c r="AE7970" s="7">
        <v>29</v>
      </c>
      <c r="AF7970" s="8">
        <v>0</v>
      </c>
      <c r="AG7970" s="7">
        <v>-14.7</v>
      </c>
      <c r="AH7970" s="10">
        <f t="shared" si="139"/>
        <v>-15</v>
      </c>
    </row>
    <row r="7971" spans="11:34" ht="14.5" x14ac:dyDescent="0.35">
      <c r="K7971" s="4"/>
      <c r="AC7971" s="7">
        <v>2022</v>
      </c>
      <c r="AD7971" s="7">
        <v>11</v>
      </c>
      <c r="AE7971" s="7">
        <v>29</v>
      </c>
      <c r="AF7971" s="8">
        <v>4.1666666666666664E-2</v>
      </c>
      <c r="AG7971" s="7">
        <v>-15.1</v>
      </c>
      <c r="AH7971" s="10">
        <f t="shared" si="139"/>
        <v>-15</v>
      </c>
    </row>
    <row r="7972" spans="11:34" ht="14.5" x14ac:dyDescent="0.35">
      <c r="K7972" s="4"/>
      <c r="AC7972" s="7">
        <v>2022</v>
      </c>
      <c r="AD7972" s="7">
        <v>11</v>
      </c>
      <c r="AE7972" s="7">
        <v>29</v>
      </c>
      <c r="AF7972" s="8">
        <v>8.3333333333333329E-2</v>
      </c>
      <c r="AG7972" s="7">
        <v>-15.6</v>
      </c>
      <c r="AH7972" s="10">
        <f t="shared" si="139"/>
        <v>-16</v>
      </c>
    </row>
    <row r="7973" spans="11:34" ht="14.5" x14ac:dyDescent="0.35">
      <c r="K7973" s="4"/>
      <c r="AC7973" s="7">
        <v>2022</v>
      </c>
      <c r="AD7973" s="7">
        <v>11</v>
      </c>
      <c r="AE7973" s="7">
        <v>29</v>
      </c>
      <c r="AF7973" s="8">
        <v>0.125</v>
      </c>
      <c r="AG7973" s="7">
        <v>-16.3</v>
      </c>
      <c r="AH7973" s="10">
        <f t="shared" si="139"/>
        <v>-16</v>
      </c>
    </row>
    <row r="7974" spans="11:34" ht="14.5" x14ac:dyDescent="0.35">
      <c r="K7974" s="4"/>
      <c r="AC7974" s="7">
        <v>2022</v>
      </c>
      <c r="AD7974" s="7">
        <v>11</v>
      </c>
      <c r="AE7974" s="7">
        <v>29</v>
      </c>
      <c r="AF7974" s="8">
        <v>0.16666666666666666</v>
      </c>
      <c r="AG7974" s="7">
        <v>-17.100000000000001</v>
      </c>
      <c r="AH7974" s="10">
        <f t="shared" si="139"/>
        <v>-17</v>
      </c>
    </row>
    <row r="7975" spans="11:34" ht="14.5" x14ac:dyDescent="0.35">
      <c r="K7975" s="4"/>
      <c r="AC7975" s="7">
        <v>2022</v>
      </c>
      <c r="AD7975" s="7">
        <v>11</v>
      </c>
      <c r="AE7975" s="7">
        <v>29</v>
      </c>
      <c r="AF7975" s="8">
        <v>0.20833333333333334</v>
      </c>
      <c r="AG7975" s="7">
        <v>-17.5</v>
      </c>
      <c r="AH7975" s="10">
        <f t="shared" si="139"/>
        <v>-18</v>
      </c>
    </row>
    <row r="7976" spans="11:34" ht="14.5" x14ac:dyDescent="0.35">
      <c r="K7976" s="4"/>
      <c r="AC7976" s="7">
        <v>2022</v>
      </c>
      <c r="AD7976" s="7">
        <v>11</v>
      </c>
      <c r="AE7976" s="7">
        <v>29</v>
      </c>
      <c r="AF7976" s="8">
        <v>0.25</v>
      </c>
      <c r="AG7976" s="7">
        <v>-18</v>
      </c>
      <c r="AH7976" s="10">
        <f t="shared" si="139"/>
        <v>-18</v>
      </c>
    </row>
    <row r="7977" spans="11:34" ht="14.5" x14ac:dyDescent="0.35">
      <c r="K7977" s="4"/>
      <c r="AC7977" s="7">
        <v>2022</v>
      </c>
      <c r="AD7977" s="7">
        <v>11</v>
      </c>
      <c r="AE7977" s="7">
        <v>29</v>
      </c>
      <c r="AF7977" s="8">
        <v>0.29166666666666669</v>
      </c>
      <c r="AG7977" s="7">
        <v>-18.5</v>
      </c>
      <c r="AH7977" s="10">
        <f t="shared" si="139"/>
        <v>-19</v>
      </c>
    </row>
    <row r="7978" spans="11:34" ht="14.5" x14ac:dyDescent="0.35">
      <c r="K7978" s="4"/>
      <c r="AC7978" s="7">
        <v>2022</v>
      </c>
      <c r="AD7978" s="7">
        <v>11</v>
      </c>
      <c r="AE7978" s="7">
        <v>29</v>
      </c>
      <c r="AF7978" s="8">
        <v>0.33333333333333331</v>
      </c>
      <c r="AG7978" s="7">
        <v>-18.8</v>
      </c>
      <c r="AH7978" s="10">
        <f t="shared" si="139"/>
        <v>-19</v>
      </c>
    </row>
    <row r="7979" spans="11:34" ht="14.5" x14ac:dyDescent="0.35">
      <c r="K7979" s="4"/>
      <c r="AC7979" s="7">
        <v>2022</v>
      </c>
      <c r="AD7979" s="7">
        <v>11</v>
      </c>
      <c r="AE7979" s="7">
        <v>29</v>
      </c>
      <c r="AF7979" s="8">
        <v>0.375</v>
      </c>
      <c r="AG7979" s="7">
        <v>-18.2</v>
      </c>
      <c r="AH7979" s="10">
        <f t="shared" si="139"/>
        <v>-18</v>
      </c>
    </row>
    <row r="7980" spans="11:34" ht="14.5" x14ac:dyDescent="0.35">
      <c r="K7980" s="4"/>
      <c r="AC7980" s="7">
        <v>2022</v>
      </c>
      <c r="AD7980" s="7">
        <v>11</v>
      </c>
      <c r="AE7980" s="7">
        <v>29</v>
      </c>
      <c r="AF7980" s="8">
        <v>0.41666666666666669</v>
      </c>
      <c r="AG7980" s="7">
        <v>-17.399999999999999</v>
      </c>
      <c r="AH7980" s="10">
        <f t="shared" si="139"/>
        <v>-17</v>
      </c>
    </row>
    <row r="7981" spans="11:34" ht="14.5" x14ac:dyDescent="0.35">
      <c r="K7981" s="4"/>
      <c r="AC7981" s="7">
        <v>2022</v>
      </c>
      <c r="AD7981" s="7">
        <v>11</v>
      </c>
      <c r="AE7981" s="7">
        <v>29</v>
      </c>
      <c r="AF7981" s="8">
        <v>0.45833333333333331</v>
      </c>
      <c r="AG7981" s="7">
        <v>-16.7</v>
      </c>
      <c r="AH7981" s="10">
        <f t="shared" si="139"/>
        <v>-17</v>
      </c>
    </row>
    <row r="7982" spans="11:34" ht="14.5" x14ac:dyDescent="0.35">
      <c r="K7982" s="4"/>
      <c r="AC7982" s="7">
        <v>2022</v>
      </c>
      <c r="AD7982" s="7">
        <v>11</v>
      </c>
      <c r="AE7982" s="7">
        <v>29</v>
      </c>
      <c r="AF7982" s="8">
        <v>0.5</v>
      </c>
      <c r="AG7982" s="7">
        <v>-16.3</v>
      </c>
      <c r="AH7982" s="10">
        <f t="shared" si="139"/>
        <v>-16</v>
      </c>
    </row>
    <row r="7983" spans="11:34" ht="14.5" x14ac:dyDescent="0.35">
      <c r="K7983" s="4"/>
      <c r="AC7983" s="7">
        <v>2022</v>
      </c>
      <c r="AD7983" s="7">
        <v>11</v>
      </c>
      <c r="AE7983" s="7">
        <v>29</v>
      </c>
      <c r="AF7983" s="8">
        <v>0.54166666666666663</v>
      </c>
      <c r="AG7983" s="7">
        <v>-15.6</v>
      </c>
      <c r="AH7983" s="10">
        <f t="shared" si="139"/>
        <v>-16</v>
      </c>
    </row>
    <row r="7984" spans="11:34" ht="14.5" x14ac:dyDescent="0.35">
      <c r="K7984" s="4"/>
      <c r="AC7984" s="7">
        <v>2022</v>
      </c>
      <c r="AD7984" s="7">
        <v>11</v>
      </c>
      <c r="AE7984" s="7">
        <v>29</v>
      </c>
      <c r="AF7984" s="8">
        <v>0.58333333333333337</v>
      </c>
      <c r="AG7984" s="7">
        <v>-15.7</v>
      </c>
      <c r="AH7984" s="10">
        <f t="shared" si="139"/>
        <v>-16</v>
      </c>
    </row>
    <row r="7985" spans="11:34" ht="14.5" x14ac:dyDescent="0.35">
      <c r="K7985" s="4"/>
      <c r="AC7985" s="7">
        <v>2022</v>
      </c>
      <c r="AD7985" s="7">
        <v>11</v>
      </c>
      <c r="AE7985" s="7">
        <v>29</v>
      </c>
      <c r="AF7985" s="8">
        <v>0.625</v>
      </c>
      <c r="AG7985" s="7">
        <v>-15.6</v>
      </c>
      <c r="AH7985" s="10">
        <f t="shared" si="139"/>
        <v>-16</v>
      </c>
    </row>
    <row r="7986" spans="11:34" ht="14.5" x14ac:dyDescent="0.35">
      <c r="K7986" s="4"/>
      <c r="AC7986" s="7">
        <v>2022</v>
      </c>
      <c r="AD7986" s="7">
        <v>11</v>
      </c>
      <c r="AE7986" s="7">
        <v>29</v>
      </c>
      <c r="AF7986" s="8">
        <v>0.66666666666666663</v>
      </c>
      <c r="AG7986" s="7">
        <v>-16.2</v>
      </c>
      <c r="AH7986" s="10">
        <f t="shared" si="139"/>
        <v>-16</v>
      </c>
    </row>
    <row r="7987" spans="11:34" ht="14.5" x14ac:dyDescent="0.35">
      <c r="K7987" s="4"/>
      <c r="AC7987" s="7">
        <v>2022</v>
      </c>
      <c r="AD7987" s="7">
        <v>11</v>
      </c>
      <c r="AE7987" s="7">
        <v>29</v>
      </c>
      <c r="AF7987" s="8">
        <v>0.70833333333333337</v>
      </c>
      <c r="AG7987" s="7">
        <v>-16.7</v>
      </c>
      <c r="AH7987" s="10">
        <f t="shared" si="139"/>
        <v>-17</v>
      </c>
    </row>
    <row r="7988" spans="11:34" ht="14.5" x14ac:dyDescent="0.35">
      <c r="K7988" s="4"/>
      <c r="AC7988" s="7">
        <v>2022</v>
      </c>
      <c r="AD7988" s="7">
        <v>11</v>
      </c>
      <c r="AE7988" s="7">
        <v>29</v>
      </c>
      <c r="AF7988" s="8">
        <v>0.75</v>
      </c>
      <c r="AG7988" s="7">
        <v>-17.2</v>
      </c>
      <c r="AH7988" s="10">
        <f t="shared" si="139"/>
        <v>-17</v>
      </c>
    </row>
    <row r="7989" spans="11:34" ht="14.5" x14ac:dyDescent="0.35">
      <c r="K7989" s="4"/>
      <c r="AC7989" s="7">
        <v>2022</v>
      </c>
      <c r="AD7989" s="7">
        <v>11</v>
      </c>
      <c r="AE7989" s="7">
        <v>29</v>
      </c>
      <c r="AF7989" s="8">
        <v>0.79166666666666663</v>
      </c>
      <c r="AG7989" s="7">
        <v>-17.399999999999999</v>
      </c>
      <c r="AH7989" s="10">
        <f t="shared" si="139"/>
        <v>-17</v>
      </c>
    </row>
    <row r="7990" spans="11:34" ht="14.5" x14ac:dyDescent="0.35">
      <c r="K7990" s="4"/>
      <c r="AC7990" s="7">
        <v>2022</v>
      </c>
      <c r="AD7990" s="7">
        <v>11</v>
      </c>
      <c r="AE7990" s="7">
        <v>29</v>
      </c>
      <c r="AF7990" s="8">
        <v>0.83333333333333337</v>
      </c>
      <c r="AG7990" s="7">
        <v>-17.7</v>
      </c>
      <c r="AH7990" s="10">
        <f t="shared" si="139"/>
        <v>-18</v>
      </c>
    </row>
    <row r="7991" spans="11:34" ht="14.5" x14ac:dyDescent="0.35">
      <c r="K7991" s="4"/>
      <c r="AC7991" s="7">
        <v>2022</v>
      </c>
      <c r="AD7991" s="7">
        <v>11</v>
      </c>
      <c r="AE7991" s="7">
        <v>29</v>
      </c>
      <c r="AF7991" s="8">
        <v>0.875</v>
      </c>
      <c r="AG7991" s="7">
        <v>-18</v>
      </c>
      <c r="AH7991" s="10">
        <f t="shared" si="139"/>
        <v>-18</v>
      </c>
    </row>
    <row r="7992" spans="11:34" ht="14.5" x14ac:dyDescent="0.35">
      <c r="K7992" s="4"/>
      <c r="AC7992" s="7">
        <v>2022</v>
      </c>
      <c r="AD7992" s="7">
        <v>11</v>
      </c>
      <c r="AE7992" s="7">
        <v>29</v>
      </c>
      <c r="AF7992" s="8">
        <v>0.91666666666666663</v>
      </c>
      <c r="AG7992" s="7">
        <v>-18.100000000000001</v>
      </c>
      <c r="AH7992" s="10">
        <f t="shared" si="139"/>
        <v>-18</v>
      </c>
    </row>
    <row r="7993" spans="11:34" ht="14.5" x14ac:dyDescent="0.35">
      <c r="K7993" s="4"/>
      <c r="AC7993" s="7">
        <v>2022</v>
      </c>
      <c r="AD7993" s="7">
        <v>11</v>
      </c>
      <c r="AE7993" s="7">
        <v>29</v>
      </c>
      <c r="AF7993" s="8">
        <v>0.95833333333333337</v>
      </c>
      <c r="AG7993" s="7">
        <v>-18.600000000000001</v>
      </c>
      <c r="AH7993" s="10">
        <f t="shared" si="139"/>
        <v>-19</v>
      </c>
    </row>
    <row r="7994" spans="11:34" ht="14.5" x14ac:dyDescent="0.35">
      <c r="K7994" s="4"/>
      <c r="AC7994" s="7">
        <v>2022</v>
      </c>
      <c r="AD7994" s="7">
        <v>11</v>
      </c>
      <c r="AE7994" s="7">
        <v>30</v>
      </c>
      <c r="AF7994" s="8">
        <v>0</v>
      </c>
      <c r="AG7994" s="7">
        <v>-18.3</v>
      </c>
      <c r="AH7994" s="10">
        <f t="shared" si="139"/>
        <v>-18</v>
      </c>
    </row>
    <row r="7995" spans="11:34" ht="14.5" x14ac:dyDescent="0.35">
      <c r="K7995" s="4"/>
      <c r="AC7995" s="7">
        <v>2022</v>
      </c>
      <c r="AD7995" s="7">
        <v>11</v>
      </c>
      <c r="AE7995" s="7">
        <v>30</v>
      </c>
      <c r="AF7995" s="8">
        <v>4.1666666666666664E-2</v>
      </c>
      <c r="AG7995" s="7">
        <v>-18.399999999999999</v>
      </c>
      <c r="AH7995" s="10">
        <f t="shared" si="139"/>
        <v>-18</v>
      </c>
    </row>
    <row r="7996" spans="11:34" ht="14.5" x14ac:dyDescent="0.35">
      <c r="K7996" s="4"/>
      <c r="AC7996" s="7">
        <v>2022</v>
      </c>
      <c r="AD7996" s="7">
        <v>11</v>
      </c>
      <c r="AE7996" s="7">
        <v>30</v>
      </c>
      <c r="AF7996" s="8">
        <v>8.3333333333333329E-2</v>
      </c>
      <c r="AG7996" s="7">
        <v>-18.600000000000001</v>
      </c>
      <c r="AH7996" s="10">
        <f t="shared" si="139"/>
        <v>-19</v>
      </c>
    </row>
    <row r="7997" spans="11:34" ht="14.5" x14ac:dyDescent="0.35">
      <c r="K7997" s="4"/>
      <c r="AC7997" s="7">
        <v>2022</v>
      </c>
      <c r="AD7997" s="7">
        <v>11</v>
      </c>
      <c r="AE7997" s="7">
        <v>30</v>
      </c>
      <c r="AF7997" s="8">
        <v>0.125</v>
      </c>
      <c r="AG7997" s="7">
        <v>-18.3</v>
      </c>
      <c r="AH7997" s="10">
        <f t="shared" si="139"/>
        <v>-18</v>
      </c>
    </row>
    <row r="7998" spans="11:34" ht="14.5" x14ac:dyDescent="0.35">
      <c r="K7998" s="4"/>
      <c r="AC7998" s="7">
        <v>2022</v>
      </c>
      <c r="AD7998" s="7">
        <v>11</v>
      </c>
      <c r="AE7998" s="7">
        <v>30</v>
      </c>
      <c r="AF7998" s="8">
        <v>0.16666666666666666</v>
      </c>
      <c r="AG7998" s="7">
        <v>-18.2</v>
      </c>
      <c r="AH7998" s="10">
        <f t="shared" si="139"/>
        <v>-18</v>
      </c>
    </row>
    <row r="7999" spans="11:34" ht="14.5" x14ac:dyDescent="0.35">
      <c r="K7999" s="4"/>
      <c r="AC7999" s="7">
        <v>2022</v>
      </c>
      <c r="AD7999" s="7">
        <v>11</v>
      </c>
      <c r="AE7999" s="7">
        <v>30</v>
      </c>
      <c r="AF7999" s="8">
        <v>0.20833333333333334</v>
      </c>
      <c r="AG7999" s="7">
        <v>-18.399999999999999</v>
      </c>
      <c r="AH7999" s="10">
        <f t="shared" si="139"/>
        <v>-18</v>
      </c>
    </row>
    <row r="8000" spans="11:34" ht="14.5" x14ac:dyDescent="0.35">
      <c r="K8000" s="4"/>
      <c r="AC8000" s="7">
        <v>2022</v>
      </c>
      <c r="AD8000" s="7">
        <v>11</v>
      </c>
      <c r="AE8000" s="7">
        <v>30</v>
      </c>
      <c r="AF8000" s="8">
        <v>0.25</v>
      </c>
      <c r="AG8000" s="7">
        <v>-18.600000000000001</v>
      </c>
      <c r="AH8000" s="10">
        <f t="shared" si="139"/>
        <v>-19</v>
      </c>
    </row>
    <row r="8001" spans="11:34" ht="14.5" x14ac:dyDescent="0.35">
      <c r="K8001" s="4"/>
      <c r="AC8001" s="7">
        <v>2022</v>
      </c>
      <c r="AD8001" s="7">
        <v>11</v>
      </c>
      <c r="AE8001" s="7">
        <v>30</v>
      </c>
      <c r="AF8001" s="8">
        <v>0.29166666666666669</v>
      </c>
      <c r="AG8001" s="7">
        <v>-18.600000000000001</v>
      </c>
      <c r="AH8001" s="10">
        <f t="shared" si="139"/>
        <v>-19</v>
      </c>
    </row>
    <row r="8002" spans="11:34" ht="14.5" x14ac:dyDescent="0.35">
      <c r="K8002" s="4"/>
      <c r="AC8002" s="7">
        <v>2022</v>
      </c>
      <c r="AD8002" s="7">
        <v>11</v>
      </c>
      <c r="AE8002" s="7">
        <v>30</v>
      </c>
      <c r="AF8002" s="8">
        <v>0.33333333333333331</v>
      </c>
      <c r="AG8002" s="7">
        <v>-18.7</v>
      </c>
      <c r="AH8002" s="10">
        <f t="shared" si="139"/>
        <v>-19</v>
      </c>
    </row>
    <row r="8003" spans="11:34" ht="14.5" x14ac:dyDescent="0.35">
      <c r="K8003" s="4"/>
      <c r="AC8003" s="7">
        <v>2022</v>
      </c>
      <c r="AD8003" s="7">
        <v>11</v>
      </c>
      <c r="AE8003" s="7">
        <v>30</v>
      </c>
      <c r="AF8003" s="8">
        <v>0.375</v>
      </c>
      <c r="AG8003" s="7">
        <v>-18.5</v>
      </c>
      <c r="AH8003" s="10">
        <f t="shared" si="139"/>
        <v>-19</v>
      </c>
    </row>
    <row r="8004" spans="11:34" ht="14.5" x14ac:dyDescent="0.35">
      <c r="K8004" s="4"/>
      <c r="AC8004" s="7">
        <v>2022</v>
      </c>
      <c r="AD8004" s="7">
        <v>11</v>
      </c>
      <c r="AE8004" s="7">
        <v>30</v>
      </c>
      <c r="AF8004" s="8">
        <v>0.41666666666666669</v>
      </c>
      <c r="AG8004" s="7">
        <v>-18</v>
      </c>
      <c r="AH8004" s="10">
        <f t="shared" si="139"/>
        <v>-18</v>
      </c>
    </row>
    <row r="8005" spans="11:34" ht="14.5" x14ac:dyDescent="0.35">
      <c r="K8005" s="4"/>
      <c r="AC8005" s="7">
        <v>2022</v>
      </c>
      <c r="AD8005" s="7">
        <v>11</v>
      </c>
      <c r="AE8005" s="7">
        <v>30</v>
      </c>
      <c r="AF8005" s="8">
        <v>0.45833333333333331</v>
      </c>
      <c r="AG8005" s="7">
        <v>-17.5</v>
      </c>
      <c r="AH8005" s="10">
        <f t="shared" si="139"/>
        <v>-18</v>
      </c>
    </row>
    <row r="8006" spans="11:34" ht="14.5" x14ac:dyDescent="0.35">
      <c r="K8006" s="4"/>
      <c r="AC8006" s="7">
        <v>2022</v>
      </c>
      <c r="AD8006" s="7">
        <v>11</v>
      </c>
      <c r="AE8006" s="7">
        <v>30</v>
      </c>
      <c r="AF8006" s="8">
        <v>0.5</v>
      </c>
      <c r="AG8006" s="7">
        <v>-17.399999999999999</v>
      </c>
      <c r="AH8006" s="10">
        <f t="shared" si="139"/>
        <v>-17</v>
      </c>
    </row>
    <row r="8007" spans="11:34" ht="14.5" x14ac:dyDescent="0.35">
      <c r="K8007" s="4"/>
      <c r="AC8007" s="7">
        <v>2022</v>
      </c>
      <c r="AD8007" s="7">
        <v>11</v>
      </c>
      <c r="AE8007" s="7">
        <v>30</v>
      </c>
      <c r="AF8007" s="8">
        <v>0.54166666666666663</v>
      </c>
      <c r="AG8007" s="7">
        <v>-16.2</v>
      </c>
      <c r="AH8007" s="10">
        <f t="shared" si="139"/>
        <v>-16</v>
      </c>
    </row>
    <row r="8008" spans="11:34" ht="14.5" x14ac:dyDescent="0.35">
      <c r="K8008" s="4"/>
      <c r="AC8008" s="7">
        <v>2022</v>
      </c>
      <c r="AD8008" s="7">
        <v>11</v>
      </c>
      <c r="AE8008" s="7">
        <v>30</v>
      </c>
      <c r="AF8008" s="8">
        <v>0.58333333333333337</v>
      </c>
      <c r="AG8008" s="7">
        <v>-17.5</v>
      </c>
      <c r="AH8008" s="10">
        <f t="shared" si="139"/>
        <v>-18</v>
      </c>
    </row>
    <row r="8009" spans="11:34" ht="14.5" x14ac:dyDescent="0.35">
      <c r="K8009" s="4"/>
      <c r="AC8009" s="7">
        <v>2022</v>
      </c>
      <c r="AD8009" s="7">
        <v>11</v>
      </c>
      <c r="AE8009" s="7">
        <v>30</v>
      </c>
      <c r="AF8009" s="8">
        <v>0.625</v>
      </c>
      <c r="AG8009" s="7">
        <v>-17.5</v>
      </c>
      <c r="AH8009" s="10">
        <f t="shared" si="139"/>
        <v>-18</v>
      </c>
    </row>
    <row r="8010" spans="11:34" ht="14.5" x14ac:dyDescent="0.35">
      <c r="K8010" s="4"/>
      <c r="AC8010" s="7">
        <v>2022</v>
      </c>
      <c r="AD8010" s="7">
        <v>11</v>
      </c>
      <c r="AE8010" s="7">
        <v>30</v>
      </c>
      <c r="AF8010" s="8">
        <v>0.66666666666666663</v>
      </c>
      <c r="AG8010" s="7">
        <v>-17.899999999999999</v>
      </c>
      <c r="AH8010" s="10">
        <f t="shared" si="139"/>
        <v>-18</v>
      </c>
    </row>
    <row r="8011" spans="11:34" ht="14.5" x14ac:dyDescent="0.35">
      <c r="K8011" s="4"/>
      <c r="AC8011" s="7">
        <v>2022</v>
      </c>
      <c r="AD8011" s="7">
        <v>11</v>
      </c>
      <c r="AE8011" s="7">
        <v>30</v>
      </c>
      <c r="AF8011" s="8">
        <v>0.70833333333333337</v>
      </c>
      <c r="AG8011" s="7">
        <v>-18</v>
      </c>
      <c r="AH8011" s="10">
        <f t="shared" ref="AH8011:AH8074" si="140">ROUND(AG8011,0)</f>
        <v>-18</v>
      </c>
    </row>
    <row r="8012" spans="11:34" ht="14.5" x14ac:dyDescent="0.35">
      <c r="K8012" s="4"/>
      <c r="AC8012" s="7">
        <v>2022</v>
      </c>
      <c r="AD8012" s="7">
        <v>11</v>
      </c>
      <c r="AE8012" s="7">
        <v>30</v>
      </c>
      <c r="AF8012" s="8">
        <v>0.75</v>
      </c>
      <c r="AG8012" s="7">
        <v>-18</v>
      </c>
      <c r="AH8012" s="10">
        <f t="shared" si="140"/>
        <v>-18</v>
      </c>
    </row>
    <row r="8013" spans="11:34" ht="14.5" x14ac:dyDescent="0.35">
      <c r="K8013" s="4"/>
      <c r="AC8013" s="7">
        <v>2022</v>
      </c>
      <c r="AD8013" s="7">
        <v>11</v>
      </c>
      <c r="AE8013" s="7">
        <v>30</v>
      </c>
      <c r="AF8013" s="8">
        <v>0.79166666666666663</v>
      </c>
      <c r="AG8013" s="7">
        <v>-18.7</v>
      </c>
      <c r="AH8013" s="10">
        <f t="shared" si="140"/>
        <v>-19</v>
      </c>
    </row>
    <row r="8014" spans="11:34" ht="14.5" x14ac:dyDescent="0.35">
      <c r="K8014" s="4"/>
      <c r="AC8014" s="7">
        <v>2022</v>
      </c>
      <c r="AD8014" s="7">
        <v>11</v>
      </c>
      <c r="AE8014" s="7">
        <v>30</v>
      </c>
      <c r="AF8014" s="8">
        <v>0.83333333333333337</v>
      </c>
      <c r="AG8014" s="7">
        <v>-19.399999999999999</v>
      </c>
      <c r="AH8014" s="10">
        <f t="shared" si="140"/>
        <v>-19</v>
      </c>
    </row>
    <row r="8015" spans="11:34" ht="14.5" x14ac:dyDescent="0.35">
      <c r="K8015" s="4"/>
      <c r="AC8015" s="7">
        <v>2022</v>
      </c>
      <c r="AD8015" s="7">
        <v>11</v>
      </c>
      <c r="AE8015" s="7">
        <v>30</v>
      </c>
      <c r="AF8015" s="8">
        <v>0.875</v>
      </c>
      <c r="AG8015" s="7">
        <v>-19.600000000000001</v>
      </c>
      <c r="AH8015" s="10">
        <f t="shared" si="140"/>
        <v>-20</v>
      </c>
    </row>
    <row r="8016" spans="11:34" ht="14.5" x14ac:dyDescent="0.35">
      <c r="K8016" s="4"/>
      <c r="AC8016" s="7">
        <v>2022</v>
      </c>
      <c r="AD8016" s="7">
        <v>11</v>
      </c>
      <c r="AE8016" s="7">
        <v>30</v>
      </c>
      <c r="AF8016" s="8">
        <v>0.91666666666666663</v>
      </c>
      <c r="AG8016" s="7">
        <v>-19.8</v>
      </c>
      <c r="AH8016" s="10">
        <f t="shared" si="140"/>
        <v>-20</v>
      </c>
    </row>
    <row r="8017" spans="11:34" ht="14.5" x14ac:dyDescent="0.35">
      <c r="K8017" s="4"/>
      <c r="AC8017" s="7">
        <v>2022</v>
      </c>
      <c r="AD8017" s="7">
        <v>11</v>
      </c>
      <c r="AE8017" s="7">
        <v>30</v>
      </c>
      <c r="AF8017" s="8">
        <v>0.95833333333333337</v>
      </c>
      <c r="AG8017" s="7">
        <v>-20.5</v>
      </c>
      <c r="AH8017" s="10">
        <f t="shared" si="140"/>
        <v>-21</v>
      </c>
    </row>
    <row r="8018" spans="11:34" ht="14.5" x14ac:dyDescent="0.35">
      <c r="K8018" s="4"/>
      <c r="AC8018" s="7">
        <v>2022</v>
      </c>
      <c r="AD8018" s="7">
        <v>12</v>
      </c>
      <c r="AE8018" s="7">
        <v>1</v>
      </c>
      <c r="AF8018" s="8">
        <v>0</v>
      </c>
      <c r="AG8018" s="7">
        <v>-20.5</v>
      </c>
      <c r="AH8018" s="10">
        <f t="shared" si="140"/>
        <v>-21</v>
      </c>
    </row>
    <row r="8019" spans="11:34" ht="14.5" x14ac:dyDescent="0.35">
      <c r="K8019" s="4"/>
      <c r="AC8019" s="7">
        <v>2022</v>
      </c>
      <c r="AD8019" s="7">
        <v>12</v>
      </c>
      <c r="AE8019" s="7">
        <v>1</v>
      </c>
      <c r="AF8019" s="8">
        <v>4.1666666666666664E-2</v>
      </c>
      <c r="AG8019" s="7">
        <v>-20.399999999999999</v>
      </c>
      <c r="AH8019" s="10">
        <f t="shared" si="140"/>
        <v>-20</v>
      </c>
    </row>
    <row r="8020" spans="11:34" ht="14.5" x14ac:dyDescent="0.35">
      <c r="K8020" s="4"/>
      <c r="AC8020" s="7">
        <v>2022</v>
      </c>
      <c r="AD8020" s="7">
        <v>12</v>
      </c>
      <c r="AE8020" s="7">
        <v>1</v>
      </c>
      <c r="AF8020" s="8">
        <v>8.3333333333333329E-2</v>
      </c>
      <c r="AG8020" s="7">
        <v>-20.7</v>
      </c>
      <c r="AH8020" s="10">
        <f t="shared" si="140"/>
        <v>-21</v>
      </c>
    </row>
    <row r="8021" spans="11:34" ht="14.5" x14ac:dyDescent="0.35">
      <c r="K8021" s="4"/>
      <c r="AC8021" s="7">
        <v>2022</v>
      </c>
      <c r="AD8021" s="7">
        <v>12</v>
      </c>
      <c r="AE8021" s="7">
        <v>1</v>
      </c>
      <c r="AF8021" s="8">
        <v>0.125</v>
      </c>
      <c r="AG8021" s="7">
        <v>-20.8</v>
      </c>
      <c r="AH8021" s="10">
        <f t="shared" si="140"/>
        <v>-21</v>
      </c>
    </row>
    <row r="8022" spans="11:34" ht="14.5" x14ac:dyDescent="0.35">
      <c r="K8022" s="4"/>
      <c r="AC8022" s="7">
        <v>2022</v>
      </c>
      <c r="AD8022" s="7">
        <v>12</v>
      </c>
      <c r="AE8022" s="7">
        <v>1</v>
      </c>
      <c r="AF8022" s="8">
        <v>0.16666666666666666</v>
      </c>
      <c r="AG8022" s="7">
        <v>-20.9</v>
      </c>
      <c r="AH8022" s="10">
        <f t="shared" si="140"/>
        <v>-21</v>
      </c>
    </row>
    <row r="8023" spans="11:34" ht="14.5" x14ac:dyDescent="0.35">
      <c r="K8023" s="4"/>
      <c r="AC8023" s="7">
        <v>2022</v>
      </c>
      <c r="AD8023" s="7">
        <v>12</v>
      </c>
      <c r="AE8023" s="7">
        <v>1</v>
      </c>
      <c r="AF8023" s="8">
        <v>0.20833333333333334</v>
      </c>
      <c r="AG8023" s="7">
        <v>-21.1</v>
      </c>
      <c r="AH8023" s="10">
        <f t="shared" si="140"/>
        <v>-21</v>
      </c>
    </row>
    <row r="8024" spans="11:34" ht="14.5" x14ac:dyDescent="0.35">
      <c r="K8024" s="4"/>
      <c r="AC8024" s="7">
        <v>2022</v>
      </c>
      <c r="AD8024" s="7">
        <v>12</v>
      </c>
      <c r="AE8024" s="7">
        <v>1</v>
      </c>
      <c r="AF8024" s="8">
        <v>0.25</v>
      </c>
      <c r="AG8024" s="7">
        <v>-21.4</v>
      </c>
      <c r="AH8024" s="10">
        <f t="shared" si="140"/>
        <v>-21</v>
      </c>
    </row>
    <row r="8025" spans="11:34" ht="14.5" x14ac:dyDescent="0.35">
      <c r="K8025" s="4"/>
      <c r="AC8025" s="7">
        <v>2022</v>
      </c>
      <c r="AD8025" s="7">
        <v>12</v>
      </c>
      <c r="AE8025" s="7">
        <v>1</v>
      </c>
      <c r="AF8025" s="8">
        <v>0.29166666666666669</v>
      </c>
      <c r="AG8025" s="7">
        <v>-21.4</v>
      </c>
      <c r="AH8025" s="10">
        <f t="shared" si="140"/>
        <v>-21</v>
      </c>
    </row>
    <row r="8026" spans="11:34" ht="14.5" x14ac:dyDescent="0.35">
      <c r="K8026" s="4"/>
      <c r="AC8026" s="7">
        <v>2022</v>
      </c>
      <c r="AD8026" s="7">
        <v>12</v>
      </c>
      <c r="AE8026" s="7">
        <v>1</v>
      </c>
      <c r="AF8026" s="8">
        <v>0.33333333333333331</v>
      </c>
      <c r="AG8026" s="7">
        <v>-21.2</v>
      </c>
      <c r="AH8026" s="10">
        <f t="shared" si="140"/>
        <v>-21</v>
      </c>
    </row>
    <row r="8027" spans="11:34" ht="14.5" x14ac:dyDescent="0.35">
      <c r="K8027" s="4"/>
      <c r="AC8027" s="7">
        <v>2022</v>
      </c>
      <c r="AD8027" s="7">
        <v>12</v>
      </c>
      <c r="AE8027" s="7">
        <v>1</v>
      </c>
      <c r="AF8027" s="8">
        <v>0.375</v>
      </c>
      <c r="AG8027" s="7">
        <v>-21.3</v>
      </c>
      <c r="AH8027" s="10">
        <f t="shared" si="140"/>
        <v>-21</v>
      </c>
    </row>
    <row r="8028" spans="11:34" ht="14.5" x14ac:dyDescent="0.35">
      <c r="K8028" s="4"/>
      <c r="AC8028" s="7">
        <v>2022</v>
      </c>
      <c r="AD8028" s="7">
        <v>12</v>
      </c>
      <c r="AE8028" s="7">
        <v>1</v>
      </c>
      <c r="AF8028" s="8">
        <v>0.41666666666666669</v>
      </c>
      <c r="AG8028" s="7">
        <v>-21.3</v>
      </c>
      <c r="AH8028" s="10">
        <f t="shared" si="140"/>
        <v>-21</v>
      </c>
    </row>
    <row r="8029" spans="11:34" ht="14.5" x14ac:dyDescent="0.35">
      <c r="K8029" s="4"/>
      <c r="AC8029" s="7">
        <v>2022</v>
      </c>
      <c r="AD8029" s="7">
        <v>12</v>
      </c>
      <c r="AE8029" s="7">
        <v>1</v>
      </c>
      <c r="AF8029" s="8">
        <v>0.45833333333333331</v>
      </c>
      <c r="AG8029" s="7">
        <v>-21.3</v>
      </c>
      <c r="AH8029" s="10">
        <f t="shared" si="140"/>
        <v>-21</v>
      </c>
    </row>
    <row r="8030" spans="11:34" ht="14.5" x14ac:dyDescent="0.35">
      <c r="K8030" s="4"/>
      <c r="AC8030" s="7">
        <v>2022</v>
      </c>
      <c r="AD8030" s="7">
        <v>12</v>
      </c>
      <c r="AE8030" s="7">
        <v>1</v>
      </c>
      <c r="AF8030" s="8">
        <v>0.5</v>
      </c>
      <c r="AG8030" s="7">
        <v>-21</v>
      </c>
      <c r="AH8030" s="10">
        <f t="shared" si="140"/>
        <v>-21</v>
      </c>
    </row>
    <row r="8031" spans="11:34" ht="14.5" x14ac:dyDescent="0.35">
      <c r="K8031" s="4"/>
      <c r="AC8031" s="7">
        <v>2022</v>
      </c>
      <c r="AD8031" s="7">
        <v>12</v>
      </c>
      <c r="AE8031" s="7">
        <v>1</v>
      </c>
      <c r="AF8031" s="8">
        <v>0.54166666666666663</v>
      </c>
      <c r="AG8031" s="7">
        <v>-20.6</v>
      </c>
      <c r="AH8031" s="10">
        <f t="shared" si="140"/>
        <v>-21</v>
      </c>
    </row>
    <row r="8032" spans="11:34" ht="14.5" x14ac:dyDescent="0.35">
      <c r="K8032" s="4"/>
      <c r="AC8032" s="7">
        <v>2022</v>
      </c>
      <c r="AD8032" s="7">
        <v>12</v>
      </c>
      <c r="AE8032" s="7">
        <v>1</v>
      </c>
      <c r="AF8032" s="8">
        <v>0.58333333333333337</v>
      </c>
      <c r="AG8032" s="7">
        <v>-20.8</v>
      </c>
      <c r="AH8032" s="10">
        <f t="shared" si="140"/>
        <v>-21</v>
      </c>
    </row>
    <row r="8033" spans="11:34" ht="14.5" x14ac:dyDescent="0.35">
      <c r="K8033" s="4"/>
      <c r="AC8033" s="7">
        <v>2022</v>
      </c>
      <c r="AD8033" s="7">
        <v>12</v>
      </c>
      <c r="AE8033" s="7">
        <v>1</v>
      </c>
      <c r="AF8033" s="8">
        <v>0.625</v>
      </c>
      <c r="AG8033" s="7">
        <v>-20.9</v>
      </c>
      <c r="AH8033" s="10">
        <f t="shared" si="140"/>
        <v>-21</v>
      </c>
    </row>
    <row r="8034" spans="11:34" ht="14.5" x14ac:dyDescent="0.35">
      <c r="K8034" s="4"/>
      <c r="AC8034" s="7">
        <v>2022</v>
      </c>
      <c r="AD8034" s="7">
        <v>12</v>
      </c>
      <c r="AE8034" s="7">
        <v>1</v>
      </c>
      <c r="AF8034" s="8">
        <v>0.66666666666666663</v>
      </c>
      <c r="AG8034" s="7">
        <v>-22</v>
      </c>
      <c r="AH8034" s="10">
        <f t="shared" si="140"/>
        <v>-22</v>
      </c>
    </row>
    <row r="8035" spans="11:34" ht="14.5" x14ac:dyDescent="0.35">
      <c r="K8035" s="4"/>
      <c r="AC8035" s="7">
        <v>2022</v>
      </c>
      <c r="AD8035" s="7">
        <v>12</v>
      </c>
      <c r="AE8035" s="7">
        <v>1</v>
      </c>
      <c r="AF8035" s="8">
        <v>0.70833333333333337</v>
      </c>
      <c r="AG8035" s="7">
        <v>-22.7</v>
      </c>
      <c r="AH8035" s="10">
        <f t="shared" si="140"/>
        <v>-23</v>
      </c>
    </row>
    <row r="8036" spans="11:34" ht="14.5" x14ac:dyDescent="0.35">
      <c r="K8036" s="4"/>
      <c r="AC8036" s="7">
        <v>2022</v>
      </c>
      <c r="AD8036" s="7">
        <v>12</v>
      </c>
      <c r="AE8036" s="7">
        <v>1</v>
      </c>
      <c r="AF8036" s="8">
        <v>0.75</v>
      </c>
      <c r="AG8036" s="7">
        <v>-24.3</v>
      </c>
      <c r="AH8036" s="10">
        <f t="shared" si="140"/>
        <v>-24</v>
      </c>
    </row>
    <row r="8037" spans="11:34" ht="14.5" x14ac:dyDescent="0.35">
      <c r="K8037" s="4"/>
      <c r="AC8037" s="7">
        <v>2022</v>
      </c>
      <c r="AD8037" s="7">
        <v>12</v>
      </c>
      <c r="AE8037" s="7">
        <v>1</v>
      </c>
      <c r="AF8037" s="8">
        <v>0.79166666666666663</v>
      </c>
      <c r="AG8037" s="7">
        <v>-23.6</v>
      </c>
      <c r="AH8037" s="10">
        <f t="shared" si="140"/>
        <v>-24</v>
      </c>
    </row>
    <row r="8038" spans="11:34" ht="14.5" x14ac:dyDescent="0.35">
      <c r="K8038" s="4"/>
      <c r="AC8038" s="7">
        <v>2022</v>
      </c>
      <c r="AD8038" s="7">
        <v>12</v>
      </c>
      <c r="AE8038" s="7">
        <v>1</v>
      </c>
      <c r="AF8038" s="8">
        <v>0.83333333333333337</v>
      </c>
      <c r="AG8038" s="7">
        <v>-23.6</v>
      </c>
      <c r="AH8038" s="10">
        <f t="shared" si="140"/>
        <v>-24</v>
      </c>
    </row>
    <row r="8039" spans="11:34" ht="14.5" x14ac:dyDescent="0.35">
      <c r="K8039" s="4"/>
      <c r="AC8039" s="7">
        <v>2022</v>
      </c>
      <c r="AD8039" s="7">
        <v>12</v>
      </c>
      <c r="AE8039" s="7">
        <v>1</v>
      </c>
      <c r="AF8039" s="8">
        <v>0.875</v>
      </c>
      <c r="AG8039" s="7">
        <v>-24.2</v>
      </c>
      <c r="AH8039" s="10">
        <f t="shared" si="140"/>
        <v>-24</v>
      </c>
    </row>
    <row r="8040" spans="11:34" ht="14.5" x14ac:dyDescent="0.35">
      <c r="K8040" s="4"/>
      <c r="AC8040" s="7">
        <v>2022</v>
      </c>
      <c r="AD8040" s="7">
        <v>12</v>
      </c>
      <c r="AE8040" s="7">
        <v>1</v>
      </c>
      <c r="AF8040" s="8">
        <v>0.91666666666666663</v>
      </c>
      <c r="AG8040" s="7">
        <v>-23.4</v>
      </c>
      <c r="AH8040" s="10">
        <f t="shared" si="140"/>
        <v>-23</v>
      </c>
    </row>
    <row r="8041" spans="11:34" ht="14.5" x14ac:dyDescent="0.35">
      <c r="K8041" s="4"/>
      <c r="AC8041" s="7">
        <v>2022</v>
      </c>
      <c r="AD8041" s="7">
        <v>12</v>
      </c>
      <c r="AE8041" s="7">
        <v>1</v>
      </c>
      <c r="AF8041" s="8">
        <v>0.95833333333333337</v>
      </c>
      <c r="AG8041" s="7">
        <v>-24</v>
      </c>
      <c r="AH8041" s="10">
        <f t="shared" si="140"/>
        <v>-24</v>
      </c>
    </row>
    <row r="8042" spans="11:34" ht="14.5" x14ac:dyDescent="0.35">
      <c r="K8042" s="4"/>
      <c r="AC8042" s="7">
        <v>2022</v>
      </c>
      <c r="AD8042" s="7">
        <v>12</v>
      </c>
      <c r="AE8042" s="7">
        <v>2</v>
      </c>
      <c r="AF8042" s="8">
        <v>0</v>
      </c>
      <c r="AG8042" s="7">
        <v>-24.2</v>
      </c>
      <c r="AH8042" s="10">
        <f t="shared" si="140"/>
        <v>-24</v>
      </c>
    </row>
    <row r="8043" spans="11:34" ht="14.5" x14ac:dyDescent="0.35">
      <c r="K8043" s="4"/>
      <c r="AC8043" s="7">
        <v>2022</v>
      </c>
      <c r="AD8043" s="7">
        <v>12</v>
      </c>
      <c r="AE8043" s="7">
        <v>2</v>
      </c>
      <c r="AF8043" s="8">
        <v>4.1666666666666664E-2</v>
      </c>
      <c r="AG8043" s="7">
        <v>-24.3</v>
      </c>
      <c r="AH8043" s="10">
        <f t="shared" si="140"/>
        <v>-24</v>
      </c>
    </row>
    <row r="8044" spans="11:34" ht="14.5" x14ac:dyDescent="0.35">
      <c r="K8044" s="4"/>
      <c r="AC8044" s="7">
        <v>2022</v>
      </c>
      <c r="AD8044" s="7">
        <v>12</v>
      </c>
      <c r="AE8044" s="7">
        <v>2</v>
      </c>
      <c r="AF8044" s="8">
        <v>8.3333333333333329E-2</v>
      </c>
      <c r="AG8044" s="7">
        <v>-26.1</v>
      </c>
      <c r="AH8044" s="10">
        <f t="shared" si="140"/>
        <v>-26</v>
      </c>
    </row>
    <row r="8045" spans="11:34" ht="14.5" x14ac:dyDescent="0.35">
      <c r="K8045" s="4"/>
      <c r="AC8045" s="7">
        <v>2022</v>
      </c>
      <c r="AD8045" s="7">
        <v>12</v>
      </c>
      <c r="AE8045" s="7">
        <v>2</v>
      </c>
      <c r="AF8045" s="8">
        <v>0.125</v>
      </c>
      <c r="AG8045" s="7">
        <v>-25.6</v>
      </c>
      <c r="AH8045" s="10">
        <f t="shared" si="140"/>
        <v>-26</v>
      </c>
    </row>
    <row r="8046" spans="11:34" ht="14.5" x14ac:dyDescent="0.35">
      <c r="K8046" s="4"/>
      <c r="AC8046" s="7">
        <v>2022</v>
      </c>
      <c r="AD8046" s="7">
        <v>12</v>
      </c>
      <c r="AE8046" s="7">
        <v>2</v>
      </c>
      <c r="AF8046" s="8">
        <v>0.16666666666666666</v>
      </c>
      <c r="AG8046" s="7">
        <v>-26.1</v>
      </c>
      <c r="AH8046" s="10">
        <f t="shared" si="140"/>
        <v>-26</v>
      </c>
    </row>
    <row r="8047" spans="11:34" ht="14.5" x14ac:dyDescent="0.35">
      <c r="K8047" s="4"/>
      <c r="AC8047" s="7">
        <v>2022</v>
      </c>
      <c r="AD8047" s="7">
        <v>12</v>
      </c>
      <c r="AE8047" s="7">
        <v>2</v>
      </c>
      <c r="AF8047" s="8">
        <v>0.20833333333333334</v>
      </c>
      <c r="AG8047" s="7">
        <v>-26</v>
      </c>
      <c r="AH8047" s="10">
        <f t="shared" si="140"/>
        <v>-26</v>
      </c>
    </row>
    <row r="8048" spans="11:34" ht="14.5" x14ac:dyDescent="0.35">
      <c r="K8048" s="4"/>
      <c r="AC8048" s="7">
        <v>2022</v>
      </c>
      <c r="AD8048" s="7">
        <v>12</v>
      </c>
      <c r="AE8048" s="7">
        <v>2</v>
      </c>
      <c r="AF8048" s="8">
        <v>0.25</v>
      </c>
      <c r="AG8048" s="7">
        <v>-24.7</v>
      </c>
      <c r="AH8048" s="10">
        <f t="shared" si="140"/>
        <v>-25</v>
      </c>
    </row>
    <row r="8049" spans="11:34" ht="14.5" x14ac:dyDescent="0.35">
      <c r="K8049" s="4"/>
      <c r="AC8049" s="7">
        <v>2022</v>
      </c>
      <c r="AD8049" s="7">
        <v>12</v>
      </c>
      <c r="AE8049" s="7">
        <v>2</v>
      </c>
      <c r="AF8049" s="8">
        <v>0.29166666666666669</v>
      </c>
      <c r="AG8049" s="7">
        <v>-24</v>
      </c>
      <c r="AH8049" s="10">
        <f t="shared" si="140"/>
        <v>-24</v>
      </c>
    </row>
    <row r="8050" spans="11:34" ht="14.5" x14ac:dyDescent="0.35">
      <c r="K8050" s="4"/>
      <c r="AC8050" s="7">
        <v>2022</v>
      </c>
      <c r="AD8050" s="7">
        <v>12</v>
      </c>
      <c r="AE8050" s="7">
        <v>2</v>
      </c>
      <c r="AF8050" s="8">
        <v>0.33333333333333331</v>
      </c>
      <c r="AG8050" s="7">
        <v>-22.6</v>
      </c>
      <c r="AH8050" s="10">
        <f t="shared" si="140"/>
        <v>-23</v>
      </c>
    </row>
    <row r="8051" spans="11:34" ht="14.5" x14ac:dyDescent="0.35">
      <c r="K8051" s="4"/>
      <c r="AC8051" s="7">
        <v>2022</v>
      </c>
      <c r="AD8051" s="7">
        <v>12</v>
      </c>
      <c r="AE8051" s="7">
        <v>2</v>
      </c>
      <c r="AF8051" s="8">
        <v>0.375</v>
      </c>
      <c r="AG8051" s="7">
        <v>-21.2</v>
      </c>
      <c r="AH8051" s="10">
        <f t="shared" si="140"/>
        <v>-21</v>
      </c>
    </row>
    <row r="8052" spans="11:34" ht="14.5" x14ac:dyDescent="0.35">
      <c r="K8052" s="4"/>
      <c r="AC8052" s="7">
        <v>2022</v>
      </c>
      <c r="AD8052" s="7">
        <v>12</v>
      </c>
      <c r="AE8052" s="7">
        <v>2</v>
      </c>
      <c r="AF8052" s="8">
        <v>0.41666666666666669</v>
      </c>
      <c r="AG8052" s="7">
        <v>-19.5</v>
      </c>
      <c r="AH8052" s="10">
        <f t="shared" si="140"/>
        <v>-20</v>
      </c>
    </row>
    <row r="8053" spans="11:34" ht="14.5" x14ac:dyDescent="0.35">
      <c r="K8053" s="4"/>
      <c r="AC8053" s="7">
        <v>2022</v>
      </c>
      <c r="AD8053" s="7">
        <v>12</v>
      </c>
      <c r="AE8053" s="7">
        <v>2</v>
      </c>
      <c r="AF8053" s="8">
        <v>0.45833333333333331</v>
      </c>
      <c r="AG8053" s="7">
        <v>-17.7</v>
      </c>
      <c r="AH8053" s="10">
        <f t="shared" si="140"/>
        <v>-18</v>
      </c>
    </row>
    <row r="8054" spans="11:34" ht="14.5" x14ac:dyDescent="0.35">
      <c r="K8054" s="4"/>
      <c r="AC8054" s="7">
        <v>2022</v>
      </c>
      <c r="AD8054" s="7">
        <v>12</v>
      </c>
      <c r="AE8054" s="7">
        <v>2</v>
      </c>
      <c r="AF8054" s="8">
        <v>0.5</v>
      </c>
      <c r="AG8054" s="7">
        <v>-16.600000000000001</v>
      </c>
      <c r="AH8054" s="10">
        <f t="shared" si="140"/>
        <v>-17</v>
      </c>
    </row>
    <row r="8055" spans="11:34" ht="14.5" x14ac:dyDescent="0.35">
      <c r="K8055" s="4"/>
      <c r="AC8055" s="7">
        <v>2022</v>
      </c>
      <c r="AD8055" s="7">
        <v>12</v>
      </c>
      <c r="AE8055" s="7">
        <v>2</v>
      </c>
      <c r="AF8055" s="8">
        <v>0.54166666666666663</v>
      </c>
      <c r="AG8055" s="7">
        <v>-16</v>
      </c>
      <c r="AH8055" s="10">
        <f t="shared" si="140"/>
        <v>-16</v>
      </c>
    </row>
    <row r="8056" spans="11:34" ht="14.5" x14ac:dyDescent="0.35">
      <c r="K8056" s="4"/>
      <c r="AC8056" s="7">
        <v>2022</v>
      </c>
      <c r="AD8056" s="7">
        <v>12</v>
      </c>
      <c r="AE8056" s="7">
        <v>2</v>
      </c>
      <c r="AF8056" s="8">
        <v>0.58333333333333337</v>
      </c>
      <c r="AG8056" s="7">
        <v>-15.9</v>
      </c>
      <c r="AH8056" s="10">
        <f t="shared" si="140"/>
        <v>-16</v>
      </c>
    </row>
    <row r="8057" spans="11:34" ht="14.5" x14ac:dyDescent="0.35">
      <c r="K8057" s="4"/>
      <c r="AC8057" s="7">
        <v>2022</v>
      </c>
      <c r="AD8057" s="7">
        <v>12</v>
      </c>
      <c r="AE8057" s="7">
        <v>2</v>
      </c>
      <c r="AF8057" s="8">
        <v>0.625</v>
      </c>
      <c r="AG8057" s="7">
        <v>-15.8</v>
      </c>
      <c r="AH8057" s="10">
        <f t="shared" si="140"/>
        <v>-16</v>
      </c>
    </row>
    <row r="8058" spans="11:34" ht="14.5" x14ac:dyDescent="0.35">
      <c r="K8058" s="4"/>
      <c r="AC8058" s="7">
        <v>2022</v>
      </c>
      <c r="AD8058" s="7">
        <v>12</v>
      </c>
      <c r="AE8058" s="7">
        <v>2</v>
      </c>
      <c r="AF8058" s="8">
        <v>0.66666666666666663</v>
      </c>
      <c r="AG8058" s="7">
        <v>-15.9</v>
      </c>
      <c r="AH8058" s="10">
        <f t="shared" si="140"/>
        <v>-16</v>
      </c>
    </row>
    <row r="8059" spans="11:34" ht="14.5" x14ac:dyDescent="0.35">
      <c r="K8059" s="4"/>
      <c r="AC8059" s="7">
        <v>2022</v>
      </c>
      <c r="AD8059" s="7">
        <v>12</v>
      </c>
      <c r="AE8059" s="7">
        <v>2</v>
      </c>
      <c r="AF8059" s="8">
        <v>0.70833333333333337</v>
      </c>
      <c r="AG8059" s="7">
        <v>-17.5</v>
      </c>
      <c r="AH8059" s="10">
        <f t="shared" si="140"/>
        <v>-18</v>
      </c>
    </row>
    <row r="8060" spans="11:34" ht="14.5" x14ac:dyDescent="0.35">
      <c r="K8060" s="4"/>
      <c r="AC8060" s="7">
        <v>2022</v>
      </c>
      <c r="AD8060" s="7">
        <v>12</v>
      </c>
      <c r="AE8060" s="7">
        <v>2</v>
      </c>
      <c r="AF8060" s="8">
        <v>0.75</v>
      </c>
      <c r="AG8060" s="7">
        <v>-17.7</v>
      </c>
      <c r="AH8060" s="10">
        <f t="shared" si="140"/>
        <v>-18</v>
      </c>
    </row>
    <row r="8061" spans="11:34" ht="14.5" x14ac:dyDescent="0.35">
      <c r="K8061" s="4"/>
      <c r="AC8061" s="7">
        <v>2022</v>
      </c>
      <c r="AD8061" s="7">
        <v>12</v>
      </c>
      <c r="AE8061" s="7">
        <v>2</v>
      </c>
      <c r="AF8061" s="8">
        <v>0.79166666666666663</v>
      </c>
      <c r="AG8061" s="7">
        <v>-17.399999999999999</v>
      </c>
      <c r="AH8061" s="10">
        <f t="shared" si="140"/>
        <v>-17</v>
      </c>
    </row>
    <row r="8062" spans="11:34" ht="14.5" x14ac:dyDescent="0.35">
      <c r="K8062" s="4"/>
      <c r="AC8062" s="7">
        <v>2022</v>
      </c>
      <c r="AD8062" s="7">
        <v>12</v>
      </c>
      <c r="AE8062" s="7">
        <v>2</v>
      </c>
      <c r="AF8062" s="8">
        <v>0.83333333333333337</v>
      </c>
      <c r="AG8062" s="7">
        <v>-17.7</v>
      </c>
      <c r="AH8062" s="10">
        <f t="shared" si="140"/>
        <v>-18</v>
      </c>
    </row>
    <row r="8063" spans="11:34" ht="14.5" x14ac:dyDescent="0.35">
      <c r="K8063" s="4"/>
      <c r="AC8063" s="7">
        <v>2022</v>
      </c>
      <c r="AD8063" s="7">
        <v>12</v>
      </c>
      <c r="AE8063" s="7">
        <v>2</v>
      </c>
      <c r="AF8063" s="8">
        <v>0.875</v>
      </c>
      <c r="AG8063" s="7">
        <v>-17.8</v>
      </c>
      <c r="AH8063" s="10">
        <f t="shared" si="140"/>
        <v>-18</v>
      </c>
    </row>
    <row r="8064" spans="11:34" ht="14.5" x14ac:dyDescent="0.35">
      <c r="K8064" s="4"/>
      <c r="AC8064" s="7">
        <v>2022</v>
      </c>
      <c r="AD8064" s="7">
        <v>12</v>
      </c>
      <c r="AE8064" s="7">
        <v>2</v>
      </c>
      <c r="AF8064" s="8">
        <v>0.91666666666666663</v>
      </c>
      <c r="AG8064" s="7">
        <v>-18.7</v>
      </c>
      <c r="AH8064" s="10">
        <f t="shared" si="140"/>
        <v>-19</v>
      </c>
    </row>
    <row r="8065" spans="11:34" ht="14.5" x14ac:dyDescent="0.35">
      <c r="K8065" s="4"/>
      <c r="AC8065" s="7">
        <v>2022</v>
      </c>
      <c r="AD8065" s="7">
        <v>12</v>
      </c>
      <c r="AE8065" s="7">
        <v>2</v>
      </c>
      <c r="AF8065" s="8">
        <v>0.95833333333333337</v>
      </c>
      <c r="AG8065" s="7">
        <v>-17.899999999999999</v>
      </c>
      <c r="AH8065" s="10">
        <f t="shared" si="140"/>
        <v>-18</v>
      </c>
    </row>
    <row r="8066" spans="11:34" ht="14.5" x14ac:dyDescent="0.35">
      <c r="K8066" s="4"/>
      <c r="AC8066" s="7">
        <v>2022</v>
      </c>
      <c r="AD8066" s="7">
        <v>12</v>
      </c>
      <c r="AE8066" s="7">
        <v>3</v>
      </c>
      <c r="AF8066" s="8">
        <v>0</v>
      </c>
      <c r="AG8066" s="7">
        <v>-17.600000000000001</v>
      </c>
      <c r="AH8066" s="10">
        <f t="shared" si="140"/>
        <v>-18</v>
      </c>
    </row>
    <row r="8067" spans="11:34" ht="14.5" x14ac:dyDescent="0.35">
      <c r="K8067" s="4"/>
      <c r="AC8067" s="7">
        <v>2022</v>
      </c>
      <c r="AD8067" s="7">
        <v>12</v>
      </c>
      <c r="AE8067" s="7">
        <v>3</v>
      </c>
      <c r="AF8067" s="8">
        <v>4.1666666666666664E-2</v>
      </c>
      <c r="AG8067" s="7">
        <v>-17.8</v>
      </c>
      <c r="AH8067" s="10">
        <f t="shared" si="140"/>
        <v>-18</v>
      </c>
    </row>
    <row r="8068" spans="11:34" ht="14.5" x14ac:dyDescent="0.35">
      <c r="K8068" s="4"/>
      <c r="AC8068" s="7">
        <v>2022</v>
      </c>
      <c r="AD8068" s="7">
        <v>12</v>
      </c>
      <c r="AE8068" s="7">
        <v>3</v>
      </c>
      <c r="AF8068" s="8">
        <v>8.3333333333333329E-2</v>
      </c>
      <c r="AG8068" s="7">
        <v>-17.600000000000001</v>
      </c>
      <c r="AH8068" s="10">
        <f t="shared" si="140"/>
        <v>-18</v>
      </c>
    </row>
    <row r="8069" spans="11:34" ht="14.5" x14ac:dyDescent="0.35">
      <c r="K8069" s="4"/>
      <c r="AC8069" s="7">
        <v>2022</v>
      </c>
      <c r="AD8069" s="7">
        <v>12</v>
      </c>
      <c r="AE8069" s="7">
        <v>3</v>
      </c>
      <c r="AF8069" s="8">
        <v>0.125</v>
      </c>
      <c r="AG8069" s="7">
        <v>-18.5</v>
      </c>
      <c r="AH8069" s="10">
        <f t="shared" si="140"/>
        <v>-19</v>
      </c>
    </row>
    <row r="8070" spans="11:34" ht="14.5" x14ac:dyDescent="0.35">
      <c r="K8070" s="4"/>
      <c r="AC8070" s="7">
        <v>2022</v>
      </c>
      <c r="AD8070" s="7">
        <v>12</v>
      </c>
      <c r="AE8070" s="7">
        <v>3</v>
      </c>
      <c r="AF8070" s="8">
        <v>0.16666666666666666</v>
      </c>
      <c r="AG8070" s="7">
        <v>-18.899999999999999</v>
      </c>
      <c r="AH8070" s="10">
        <f t="shared" si="140"/>
        <v>-19</v>
      </c>
    </row>
    <row r="8071" spans="11:34" ht="14.5" x14ac:dyDescent="0.35">
      <c r="K8071" s="4"/>
      <c r="AC8071" s="7">
        <v>2022</v>
      </c>
      <c r="AD8071" s="7">
        <v>12</v>
      </c>
      <c r="AE8071" s="7">
        <v>3</v>
      </c>
      <c r="AF8071" s="8">
        <v>0.20833333333333334</v>
      </c>
      <c r="AG8071" s="7">
        <v>-18.5</v>
      </c>
      <c r="AH8071" s="10">
        <f t="shared" si="140"/>
        <v>-19</v>
      </c>
    </row>
    <row r="8072" spans="11:34" ht="14.5" x14ac:dyDescent="0.35">
      <c r="K8072" s="4"/>
      <c r="AC8072" s="7">
        <v>2022</v>
      </c>
      <c r="AD8072" s="7">
        <v>12</v>
      </c>
      <c r="AE8072" s="7">
        <v>3</v>
      </c>
      <c r="AF8072" s="8">
        <v>0.25</v>
      </c>
      <c r="AG8072" s="7">
        <v>-19.2</v>
      </c>
      <c r="AH8072" s="10">
        <f t="shared" si="140"/>
        <v>-19</v>
      </c>
    </row>
    <row r="8073" spans="11:34" ht="14.5" x14ac:dyDescent="0.35">
      <c r="K8073" s="4"/>
      <c r="AC8073" s="7">
        <v>2022</v>
      </c>
      <c r="AD8073" s="7">
        <v>12</v>
      </c>
      <c r="AE8073" s="7">
        <v>3</v>
      </c>
      <c r="AF8073" s="8">
        <v>0.29166666666666669</v>
      </c>
      <c r="AG8073" s="7">
        <v>-18.2</v>
      </c>
      <c r="AH8073" s="10">
        <f t="shared" si="140"/>
        <v>-18</v>
      </c>
    </row>
    <row r="8074" spans="11:34" ht="14.5" x14ac:dyDescent="0.35">
      <c r="K8074" s="4"/>
      <c r="AC8074" s="7">
        <v>2022</v>
      </c>
      <c r="AD8074" s="7">
        <v>12</v>
      </c>
      <c r="AE8074" s="7">
        <v>3</v>
      </c>
      <c r="AF8074" s="8">
        <v>0.33333333333333331</v>
      </c>
      <c r="AG8074" s="7">
        <v>-12.5</v>
      </c>
      <c r="AH8074" s="10">
        <f t="shared" si="140"/>
        <v>-13</v>
      </c>
    </row>
    <row r="8075" spans="11:34" ht="14.5" x14ac:dyDescent="0.35">
      <c r="K8075" s="4"/>
      <c r="AC8075" s="7">
        <v>2022</v>
      </c>
      <c r="AD8075" s="7">
        <v>12</v>
      </c>
      <c r="AE8075" s="7">
        <v>3</v>
      </c>
      <c r="AF8075" s="8">
        <v>0.375</v>
      </c>
      <c r="AG8075" s="7">
        <v>-6.5</v>
      </c>
      <c r="AH8075" s="10">
        <f t="shared" ref="AH8075:AH8138" si="141">ROUND(AG8075,0)</f>
        <v>-7</v>
      </c>
    </row>
    <row r="8076" spans="11:34" ht="14.5" x14ac:dyDescent="0.35">
      <c r="K8076" s="4"/>
      <c r="AC8076" s="7">
        <v>2022</v>
      </c>
      <c r="AD8076" s="7">
        <v>12</v>
      </c>
      <c r="AE8076" s="7">
        <v>3</v>
      </c>
      <c r="AF8076" s="8">
        <v>0.41666666666666669</v>
      </c>
      <c r="AG8076" s="7">
        <v>-4.5999999999999996</v>
      </c>
      <c r="AH8076" s="10">
        <f t="shared" si="141"/>
        <v>-5</v>
      </c>
    </row>
    <row r="8077" spans="11:34" ht="14.5" x14ac:dyDescent="0.35">
      <c r="K8077" s="4"/>
      <c r="AC8077" s="7">
        <v>2022</v>
      </c>
      <c r="AD8077" s="7">
        <v>12</v>
      </c>
      <c r="AE8077" s="7">
        <v>3</v>
      </c>
      <c r="AF8077" s="8">
        <v>0.45833333333333331</v>
      </c>
      <c r="AG8077" s="7">
        <v>-3.2</v>
      </c>
      <c r="AH8077" s="10">
        <f t="shared" si="141"/>
        <v>-3</v>
      </c>
    </row>
    <row r="8078" spans="11:34" ht="14.5" x14ac:dyDescent="0.35">
      <c r="K8078" s="4"/>
      <c r="AC8078" s="7">
        <v>2022</v>
      </c>
      <c r="AD8078" s="7">
        <v>12</v>
      </c>
      <c r="AE8078" s="7">
        <v>3</v>
      </c>
      <c r="AF8078" s="8">
        <v>0.5</v>
      </c>
      <c r="AG8078" s="7">
        <v>-1.9</v>
      </c>
      <c r="AH8078" s="10">
        <f t="shared" si="141"/>
        <v>-2</v>
      </c>
    </row>
    <row r="8079" spans="11:34" ht="14.5" x14ac:dyDescent="0.35">
      <c r="K8079" s="4"/>
      <c r="AC8079" s="7">
        <v>2022</v>
      </c>
      <c r="AD8079" s="7">
        <v>12</v>
      </c>
      <c r="AE8079" s="7">
        <v>3</v>
      </c>
      <c r="AF8079" s="8">
        <v>0.54166666666666663</v>
      </c>
      <c r="AG8079" s="7">
        <v>-1.2</v>
      </c>
      <c r="AH8079" s="10">
        <f t="shared" si="141"/>
        <v>-1</v>
      </c>
    </row>
    <row r="8080" spans="11:34" ht="14.5" x14ac:dyDescent="0.35">
      <c r="K8080" s="4"/>
      <c r="AC8080" s="7">
        <v>2022</v>
      </c>
      <c r="AD8080" s="7">
        <v>12</v>
      </c>
      <c r="AE8080" s="7">
        <v>3</v>
      </c>
      <c r="AF8080" s="8">
        <v>0.58333333333333337</v>
      </c>
      <c r="AG8080" s="7">
        <v>-0.6</v>
      </c>
      <c r="AH8080" s="10">
        <f t="shared" si="141"/>
        <v>-1</v>
      </c>
    </row>
    <row r="8081" spans="11:34" ht="14.5" x14ac:dyDescent="0.35">
      <c r="K8081" s="4"/>
      <c r="AC8081" s="7">
        <v>2022</v>
      </c>
      <c r="AD8081" s="7">
        <v>12</v>
      </c>
      <c r="AE8081" s="7">
        <v>3</v>
      </c>
      <c r="AF8081" s="8">
        <v>0.625</v>
      </c>
      <c r="AG8081" s="7">
        <v>-6.9</v>
      </c>
      <c r="AH8081" s="10">
        <f t="shared" si="141"/>
        <v>-7</v>
      </c>
    </row>
    <row r="8082" spans="11:34" ht="14.5" x14ac:dyDescent="0.35">
      <c r="K8082" s="4"/>
      <c r="AC8082" s="7">
        <v>2022</v>
      </c>
      <c r="AD8082" s="7">
        <v>12</v>
      </c>
      <c r="AE8082" s="7">
        <v>3</v>
      </c>
      <c r="AF8082" s="8">
        <v>0.66666666666666663</v>
      </c>
      <c r="AG8082" s="7">
        <v>-8.6</v>
      </c>
      <c r="AH8082" s="10">
        <f t="shared" si="141"/>
        <v>-9</v>
      </c>
    </row>
    <row r="8083" spans="11:34" ht="14.5" x14ac:dyDescent="0.35">
      <c r="K8083" s="4"/>
      <c r="AC8083" s="7">
        <v>2022</v>
      </c>
      <c r="AD8083" s="7">
        <v>12</v>
      </c>
      <c r="AE8083" s="7">
        <v>3</v>
      </c>
      <c r="AF8083" s="8">
        <v>0.70833333333333337</v>
      </c>
      <c r="AG8083" s="7">
        <v>-10.5</v>
      </c>
      <c r="AH8083" s="10">
        <f t="shared" si="141"/>
        <v>-11</v>
      </c>
    </row>
    <row r="8084" spans="11:34" ht="14.5" x14ac:dyDescent="0.35">
      <c r="K8084" s="4"/>
      <c r="AC8084" s="7">
        <v>2022</v>
      </c>
      <c r="AD8084" s="7">
        <v>12</v>
      </c>
      <c r="AE8084" s="7">
        <v>3</v>
      </c>
      <c r="AF8084" s="8">
        <v>0.75</v>
      </c>
      <c r="AG8084" s="7">
        <v>-10.3</v>
      </c>
      <c r="AH8084" s="10">
        <f t="shared" si="141"/>
        <v>-10</v>
      </c>
    </row>
    <row r="8085" spans="11:34" ht="14.5" x14ac:dyDescent="0.35">
      <c r="K8085" s="4"/>
      <c r="AC8085" s="7">
        <v>2022</v>
      </c>
      <c r="AD8085" s="7">
        <v>12</v>
      </c>
      <c r="AE8085" s="7">
        <v>3</v>
      </c>
      <c r="AF8085" s="8">
        <v>0.79166666666666663</v>
      </c>
      <c r="AG8085" s="7">
        <v>-10.5</v>
      </c>
      <c r="AH8085" s="10">
        <f t="shared" si="141"/>
        <v>-11</v>
      </c>
    </row>
    <row r="8086" spans="11:34" ht="14.5" x14ac:dyDescent="0.35">
      <c r="K8086" s="4"/>
      <c r="AC8086" s="7">
        <v>2022</v>
      </c>
      <c r="AD8086" s="7">
        <v>12</v>
      </c>
      <c r="AE8086" s="7">
        <v>3</v>
      </c>
      <c r="AF8086" s="8">
        <v>0.83333333333333337</v>
      </c>
      <c r="AG8086" s="7">
        <v>-10.9</v>
      </c>
      <c r="AH8086" s="10">
        <f t="shared" si="141"/>
        <v>-11</v>
      </c>
    </row>
    <row r="8087" spans="11:34" ht="14.5" x14ac:dyDescent="0.35">
      <c r="K8087" s="4"/>
      <c r="AC8087" s="7">
        <v>2022</v>
      </c>
      <c r="AD8087" s="7">
        <v>12</v>
      </c>
      <c r="AE8087" s="7">
        <v>3</v>
      </c>
      <c r="AF8087" s="8">
        <v>0.875</v>
      </c>
      <c r="AG8087" s="7">
        <v>-11.1</v>
      </c>
      <c r="AH8087" s="10">
        <f t="shared" si="141"/>
        <v>-11</v>
      </c>
    </row>
    <row r="8088" spans="11:34" ht="14.5" x14ac:dyDescent="0.35">
      <c r="K8088" s="4"/>
      <c r="AC8088" s="7">
        <v>2022</v>
      </c>
      <c r="AD8088" s="7">
        <v>12</v>
      </c>
      <c r="AE8088" s="7">
        <v>3</v>
      </c>
      <c r="AF8088" s="8">
        <v>0.91666666666666663</v>
      </c>
      <c r="AG8088" s="7">
        <v>-11.1</v>
      </c>
      <c r="AH8088" s="10">
        <f t="shared" si="141"/>
        <v>-11</v>
      </c>
    </row>
    <row r="8089" spans="11:34" ht="14.5" x14ac:dyDescent="0.35">
      <c r="K8089" s="4"/>
      <c r="AC8089" s="7">
        <v>2022</v>
      </c>
      <c r="AD8089" s="7">
        <v>12</v>
      </c>
      <c r="AE8089" s="7">
        <v>3</v>
      </c>
      <c r="AF8089" s="8">
        <v>0.95833333333333337</v>
      </c>
      <c r="AG8089" s="7">
        <v>-7.4</v>
      </c>
      <c r="AH8089" s="10">
        <f t="shared" si="141"/>
        <v>-7</v>
      </c>
    </row>
    <row r="8090" spans="11:34" ht="14.5" x14ac:dyDescent="0.35">
      <c r="K8090" s="4"/>
      <c r="AC8090" s="7">
        <v>2022</v>
      </c>
      <c r="AD8090" s="7">
        <v>12</v>
      </c>
      <c r="AE8090" s="7">
        <v>4</v>
      </c>
      <c r="AF8090" s="8">
        <v>0</v>
      </c>
      <c r="AG8090" s="7">
        <v>-6.4</v>
      </c>
      <c r="AH8090" s="10">
        <f t="shared" si="141"/>
        <v>-6</v>
      </c>
    </row>
    <row r="8091" spans="11:34" ht="14.5" x14ac:dyDescent="0.35">
      <c r="K8091" s="4"/>
      <c r="AC8091" s="7">
        <v>2022</v>
      </c>
      <c r="AD8091" s="7">
        <v>12</v>
      </c>
      <c r="AE8091" s="7">
        <v>4</v>
      </c>
      <c r="AF8091" s="8">
        <v>4.1666666666666664E-2</v>
      </c>
      <c r="AG8091" s="7">
        <v>-1.5</v>
      </c>
      <c r="AH8091" s="10">
        <f t="shared" si="141"/>
        <v>-2</v>
      </c>
    </row>
    <row r="8092" spans="11:34" ht="14.5" x14ac:dyDescent="0.35">
      <c r="K8092" s="4"/>
      <c r="AC8092" s="7">
        <v>2022</v>
      </c>
      <c r="AD8092" s="7">
        <v>12</v>
      </c>
      <c r="AE8092" s="7">
        <v>4</v>
      </c>
      <c r="AF8092" s="8">
        <v>8.3333333333333329E-2</v>
      </c>
      <c r="AG8092" s="7">
        <v>1.1000000000000001</v>
      </c>
      <c r="AH8092" s="10">
        <f t="shared" si="141"/>
        <v>1</v>
      </c>
    </row>
    <row r="8093" spans="11:34" ht="14.5" x14ac:dyDescent="0.35">
      <c r="K8093" s="4"/>
      <c r="AC8093" s="7">
        <v>2022</v>
      </c>
      <c r="AD8093" s="7">
        <v>12</v>
      </c>
      <c r="AE8093" s="7">
        <v>4</v>
      </c>
      <c r="AF8093" s="8">
        <v>0.125</v>
      </c>
      <c r="AG8093" s="7">
        <v>1.7</v>
      </c>
      <c r="AH8093" s="10">
        <f t="shared" si="141"/>
        <v>2</v>
      </c>
    </row>
    <row r="8094" spans="11:34" ht="14.5" x14ac:dyDescent="0.35">
      <c r="K8094" s="4"/>
      <c r="AC8094" s="7">
        <v>2022</v>
      </c>
      <c r="AD8094" s="7">
        <v>12</v>
      </c>
      <c r="AE8094" s="7">
        <v>4</v>
      </c>
      <c r="AF8094" s="8">
        <v>0.16666666666666666</v>
      </c>
      <c r="AG8094" s="7">
        <v>-1.4</v>
      </c>
      <c r="AH8094" s="10">
        <f t="shared" si="141"/>
        <v>-1</v>
      </c>
    </row>
    <row r="8095" spans="11:34" ht="14.5" x14ac:dyDescent="0.35">
      <c r="K8095" s="4"/>
      <c r="AC8095" s="7">
        <v>2022</v>
      </c>
      <c r="AD8095" s="7">
        <v>12</v>
      </c>
      <c r="AE8095" s="7">
        <v>4</v>
      </c>
      <c r="AF8095" s="8">
        <v>0.20833333333333334</v>
      </c>
      <c r="AG8095" s="7">
        <v>-2.8</v>
      </c>
      <c r="AH8095" s="10">
        <f t="shared" si="141"/>
        <v>-3</v>
      </c>
    </row>
    <row r="8096" spans="11:34" ht="14.5" x14ac:dyDescent="0.35">
      <c r="K8096" s="4"/>
      <c r="AC8096" s="7">
        <v>2022</v>
      </c>
      <c r="AD8096" s="7">
        <v>12</v>
      </c>
      <c r="AE8096" s="7">
        <v>4</v>
      </c>
      <c r="AF8096" s="8">
        <v>0.25</v>
      </c>
      <c r="AG8096" s="7">
        <v>-5</v>
      </c>
      <c r="AH8096" s="10">
        <f t="shared" si="141"/>
        <v>-5</v>
      </c>
    </row>
    <row r="8097" spans="11:34" ht="14.5" x14ac:dyDescent="0.35">
      <c r="K8097" s="4"/>
      <c r="AC8097" s="7">
        <v>2022</v>
      </c>
      <c r="AD8097" s="7">
        <v>12</v>
      </c>
      <c r="AE8097" s="7">
        <v>4</v>
      </c>
      <c r="AF8097" s="8">
        <v>0.29166666666666669</v>
      </c>
      <c r="AG8097" s="7">
        <v>-6.1</v>
      </c>
      <c r="AH8097" s="10">
        <f t="shared" si="141"/>
        <v>-6</v>
      </c>
    </row>
    <row r="8098" spans="11:34" ht="14.5" x14ac:dyDescent="0.35">
      <c r="K8098" s="4"/>
      <c r="AC8098" s="7">
        <v>2022</v>
      </c>
      <c r="AD8098" s="7">
        <v>12</v>
      </c>
      <c r="AE8098" s="7">
        <v>4</v>
      </c>
      <c r="AF8098" s="8">
        <v>0.33333333333333331</v>
      </c>
      <c r="AG8098" s="7">
        <v>-5</v>
      </c>
      <c r="AH8098" s="10">
        <f t="shared" si="141"/>
        <v>-5</v>
      </c>
    </row>
    <row r="8099" spans="11:34" ht="14.5" x14ac:dyDescent="0.35">
      <c r="K8099" s="4"/>
      <c r="AC8099" s="7">
        <v>2022</v>
      </c>
      <c r="AD8099" s="7">
        <v>12</v>
      </c>
      <c r="AE8099" s="7">
        <v>4</v>
      </c>
      <c r="AF8099" s="8">
        <v>0.375</v>
      </c>
      <c r="AG8099" s="7">
        <v>-2.1</v>
      </c>
      <c r="AH8099" s="10">
        <f t="shared" si="141"/>
        <v>-2</v>
      </c>
    </row>
    <row r="8100" spans="11:34" ht="14.5" x14ac:dyDescent="0.35">
      <c r="K8100" s="4"/>
      <c r="AC8100" s="7">
        <v>2022</v>
      </c>
      <c r="AD8100" s="7">
        <v>12</v>
      </c>
      <c r="AE8100" s="7">
        <v>4</v>
      </c>
      <c r="AF8100" s="8">
        <v>0.41666666666666669</v>
      </c>
      <c r="AG8100" s="7">
        <v>-1</v>
      </c>
      <c r="AH8100" s="10">
        <f t="shared" si="141"/>
        <v>-1</v>
      </c>
    </row>
    <row r="8101" spans="11:34" ht="14.5" x14ac:dyDescent="0.35">
      <c r="K8101" s="4"/>
      <c r="AC8101" s="7">
        <v>2022</v>
      </c>
      <c r="AD8101" s="7">
        <v>12</v>
      </c>
      <c r="AE8101" s="7">
        <v>4</v>
      </c>
      <c r="AF8101" s="8">
        <v>0.45833333333333331</v>
      </c>
      <c r="AG8101" s="7">
        <v>-1.4</v>
      </c>
      <c r="AH8101" s="10">
        <f t="shared" si="141"/>
        <v>-1</v>
      </c>
    </row>
    <row r="8102" spans="11:34" ht="14.5" x14ac:dyDescent="0.35">
      <c r="K8102" s="4"/>
      <c r="AC8102" s="7">
        <v>2022</v>
      </c>
      <c r="AD8102" s="7">
        <v>12</v>
      </c>
      <c r="AE8102" s="7">
        <v>4</v>
      </c>
      <c r="AF8102" s="8">
        <v>0.5</v>
      </c>
      <c r="AG8102" s="7">
        <v>-0.6</v>
      </c>
      <c r="AH8102" s="10">
        <f t="shared" si="141"/>
        <v>-1</v>
      </c>
    </row>
    <row r="8103" spans="11:34" ht="14.5" x14ac:dyDescent="0.35">
      <c r="K8103" s="4"/>
      <c r="AC8103" s="7">
        <v>2022</v>
      </c>
      <c r="AD8103" s="7">
        <v>12</v>
      </c>
      <c r="AE8103" s="7">
        <v>4</v>
      </c>
      <c r="AF8103" s="8">
        <v>0.54166666666666663</v>
      </c>
      <c r="AG8103" s="7">
        <v>-0.9</v>
      </c>
      <c r="AH8103" s="10">
        <f t="shared" si="141"/>
        <v>-1</v>
      </c>
    </row>
    <row r="8104" spans="11:34" ht="14.5" x14ac:dyDescent="0.35">
      <c r="K8104" s="4"/>
      <c r="AC8104" s="7">
        <v>2022</v>
      </c>
      <c r="AD8104" s="7">
        <v>12</v>
      </c>
      <c r="AE8104" s="7">
        <v>4</v>
      </c>
      <c r="AF8104" s="8">
        <v>0.58333333333333337</v>
      </c>
      <c r="AG8104" s="7">
        <v>-1.3</v>
      </c>
      <c r="AH8104" s="10">
        <f t="shared" si="141"/>
        <v>-1</v>
      </c>
    </row>
    <row r="8105" spans="11:34" ht="14.5" x14ac:dyDescent="0.35">
      <c r="K8105" s="4"/>
      <c r="AC8105" s="7">
        <v>2022</v>
      </c>
      <c r="AD8105" s="7">
        <v>12</v>
      </c>
      <c r="AE8105" s="7">
        <v>4</v>
      </c>
      <c r="AF8105" s="8">
        <v>0.625</v>
      </c>
      <c r="AG8105" s="7">
        <v>-2.1</v>
      </c>
      <c r="AH8105" s="10">
        <f t="shared" si="141"/>
        <v>-2</v>
      </c>
    </row>
    <row r="8106" spans="11:34" ht="14.5" x14ac:dyDescent="0.35">
      <c r="K8106" s="4"/>
      <c r="AC8106" s="7">
        <v>2022</v>
      </c>
      <c r="AD8106" s="7">
        <v>12</v>
      </c>
      <c r="AE8106" s="7">
        <v>4</v>
      </c>
      <c r="AF8106" s="8">
        <v>0.66666666666666663</v>
      </c>
      <c r="AG8106" s="7">
        <v>-2.8</v>
      </c>
      <c r="AH8106" s="10">
        <f t="shared" si="141"/>
        <v>-3</v>
      </c>
    </row>
    <row r="8107" spans="11:34" ht="14.5" x14ac:dyDescent="0.35">
      <c r="K8107" s="4"/>
      <c r="AC8107" s="7">
        <v>2022</v>
      </c>
      <c r="AD8107" s="7">
        <v>12</v>
      </c>
      <c r="AE8107" s="7">
        <v>4</v>
      </c>
      <c r="AF8107" s="8">
        <v>0.70833333333333337</v>
      </c>
      <c r="AG8107" s="7">
        <v>-3.8</v>
      </c>
      <c r="AH8107" s="10">
        <f t="shared" si="141"/>
        <v>-4</v>
      </c>
    </row>
    <row r="8108" spans="11:34" ht="14.5" x14ac:dyDescent="0.35">
      <c r="K8108" s="4"/>
      <c r="AC8108" s="7">
        <v>2022</v>
      </c>
      <c r="AD8108" s="7">
        <v>12</v>
      </c>
      <c r="AE8108" s="7">
        <v>4</v>
      </c>
      <c r="AF8108" s="8">
        <v>0.75</v>
      </c>
      <c r="AG8108" s="7">
        <v>-4.4000000000000004</v>
      </c>
      <c r="AH8108" s="10">
        <f t="shared" si="141"/>
        <v>-4</v>
      </c>
    </row>
    <row r="8109" spans="11:34" ht="14.5" x14ac:dyDescent="0.35">
      <c r="K8109" s="4"/>
      <c r="AC8109" s="7">
        <v>2022</v>
      </c>
      <c r="AD8109" s="7">
        <v>12</v>
      </c>
      <c r="AE8109" s="7">
        <v>4</v>
      </c>
      <c r="AF8109" s="8">
        <v>0.79166666666666663</v>
      </c>
      <c r="AG8109" s="7">
        <v>-5</v>
      </c>
      <c r="AH8109" s="10">
        <f t="shared" si="141"/>
        <v>-5</v>
      </c>
    </row>
    <row r="8110" spans="11:34" ht="14.5" x14ac:dyDescent="0.35">
      <c r="K8110" s="4"/>
      <c r="AC8110" s="7">
        <v>2022</v>
      </c>
      <c r="AD8110" s="7">
        <v>12</v>
      </c>
      <c r="AE8110" s="7">
        <v>4</v>
      </c>
      <c r="AF8110" s="8">
        <v>0.83333333333333337</v>
      </c>
      <c r="AG8110" s="7">
        <v>-5.6</v>
      </c>
      <c r="AH8110" s="10">
        <f t="shared" si="141"/>
        <v>-6</v>
      </c>
    </row>
    <row r="8111" spans="11:34" ht="14.5" x14ac:dyDescent="0.35">
      <c r="K8111" s="4"/>
      <c r="AC8111" s="7">
        <v>2022</v>
      </c>
      <c r="AD8111" s="7">
        <v>12</v>
      </c>
      <c r="AE8111" s="7">
        <v>4</v>
      </c>
      <c r="AF8111" s="8">
        <v>0.875</v>
      </c>
      <c r="AG8111" s="7">
        <v>-5.8</v>
      </c>
      <c r="AH8111" s="10">
        <f t="shared" si="141"/>
        <v>-6</v>
      </c>
    </row>
    <row r="8112" spans="11:34" ht="14.5" x14ac:dyDescent="0.35">
      <c r="K8112" s="4"/>
      <c r="AC8112" s="7">
        <v>2022</v>
      </c>
      <c r="AD8112" s="7">
        <v>12</v>
      </c>
      <c r="AE8112" s="7">
        <v>4</v>
      </c>
      <c r="AF8112" s="8">
        <v>0.91666666666666663</v>
      </c>
      <c r="AG8112" s="7">
        <v>-6.4</v>
      </c>
      <c r="AH8112" s="10">
        <f t="shared" si="141"/>
        <v>-6</v>
      </c>
    </row>
    <row r="8113" spans="11:34" ht="14.5" x14ac:dyDescent="0.35">
      <c r="K8113" s="4"/>
      <c r="AC8113" s="7">
        <v>2022</v>
      </c>
      <c r="AD8113" s="7">
        <v>12</v>
      </c>
      <c r="AE8113" s="7">
        <v>4</v>
      </c>
      <c r="AF8113" s="8">
        <v>0.95833333333333337</v>
      </c>
      <c r="AG8113" s="7">
        <v>-6.9</v>
      </c>
      <c r="AH8113" s="10">
        <f t="shared" si="141"/>
        <v>-7</v>
      </c>
    </row>
    <row r="8114" spans="11:34" ht="14.5" x14ac:dyDescent="0.35">
      <c r="K8114" s="4"/>
      <c r="AC8114" s="7">
        <v>2022</v>
      </c>
      <c r="AD8114" s="7">
        <v>12</v>
      </c>
      <c r="AE8114" s="7">
        <v>5</v>
      </c>
      <c r="AF8114" s="8">
        <v>0</v>
      </c>
      <c r="AG8114" s="7">
        <v>-7.2</v>
      </c>
      <c r="AH8114" s="10">
        <f t="shared" si="141"/>
        <v>-7</v>
      </c>
    </row>
    <row r="8115" spans="11:34" ht="14.5" x14ac:dyDescent="0.35">
      <c r="K8115" s="4"/>
      <c r="AC8115" s="7">
        <v>2022</v>
      </c>
      <c r="AD8115" s="7">
        <v>12</v>
      </c>
      <c r="AE8115" s="7">
        <v>5</v>
      </c>
      <c r="AF8115" s="8">
        <v>4.1666666666666664E-2</v>
      </c>
      <c r="AG8115" s="7">
        <v>-7.3</v>
      </c>
      <c r="AH8115" s="10">
        <f t="shared" si="141"/>
        <v>-7</v>
      </c>
    </row>
    <row r="8116" spans="11:34" ht="14.5" x14ac:dyDescent="0.35">
      <c r="K8116" s="4"/>
      <c r="AC8116" s="7">
        <v>2022</v>
      </c>
      <c r="AD8116" s="7">
        <v>12</v>
      </c>
      <c r="AE8116" s="7">
        <v>5</v>
      </c>
      <c r="AF8116" s="8">
        <v>8.3333333333333329E-2</v>
      </c>
      <c r="AG8116" s="7">
        <v>-7.8</v>
      </c>
      <c r="AH8116" s="10">
        <f t="shared" si="141"/>
        <v>-8</v>
      </c>
    </row>
    <row r="8117" spans="11:34" ht="14.5" x14ac:dyDescent="0.35">
      <c r="K8117" s="4"/>
      <c r="AC8117" s="7">
        <v>2022</v>
      </c>
      <c r="AD8117" s="7">
        <v>12</v>
      </c>
      <c r="AE8117" s="7">
        <v>5</v>
      </c>
      <c r="AF8117" s="8">
        <v>0.125</v>
      </c>
      <c r="AG8117" s="7">
        <v>-8.1999999999999993</v>
      </c>
      <c r="AH8117" s="10">
        <f t="shared" si="141"/>
        <v>-8</v>
      </c>
    </row>
    <row r="8118" spans="11:34" ht="14.5" x14ac:dyDescent="0.35">
      <c r="K8118" s="4"/>
      <c r="AC8118" s="7">
        <v>2022</v>
      </c>
      <c r="AD8118" s="7">
        <v>12</v>
      </c>
      <c r="AE8118" s="7">
        <v>5</v>
      </c>
      <c r="AF8118" s="8">
        <v>0.16666666666666666</v>
      </c>
      <c r="AG8118" s="7">
        <v>-8.8000000000000007</v>
      </c>
      <c r="AH8118" s="10">
        <f t="shared" si="141"/>
        <v>-9</v>
      </c>
    </row>
    <row r="8119" spans="11:34" ht="14.5" x14ac:dyDescent="0.35">
      <c r="K8119" s="4"/>
      <c r="AC8119" s="7">
        <v>2022</v>
      </c>
      <c r="AD8119" s="7">
        <v>12</v>
      </c>
      <c r="AE8119" s="7">
        <v>5</v>
      </c>
      <c r="AF8119" s="8">
        <v>0.20833333333333334</v>
      </c>
      <c r="AG8119" s="7">
        <v>-10.4</v>
      </c>
      <c r="AH8119" s="10">
        <f t="shared" si="141"/>
        <v>-10</v>
      </c>
    </row>
    <row r="8120" spans="11:34" ht="14.5" x14ac:dyDescent="0.35">
      <c r="K8120" s="4"/>
      <c r="AC8120" s="7">
        <v>2022</v>
      </c>
      <c r="AD8120" s="7">
        <v>12</v>
      </c>
      <c r="AE8120" s="7">
        <v>5</v>
      </c>
      <c r="AF8120" s="8">
        <v>0.25</v>
      </c>
      <c r="AG8120" s="7">
        <v>-10.5</v>
      </c>
      <c r="AH8120" s="10">
        <f t="shared" si="141"/>
        <v>-11</v>
      </c>
    </row>
    <row r="8121" spans="11:34" ht="14.5" x14ac:dyDescent="0.35">
      <c r="K8121" s="4"/>
      <c r="AC8121" s="7">
        <v>2022</v>
      </c>
      <c r="AD8121" s="7">
        <v>12</v>
      </c>
      <c r="AE8121" s="7">
        <v>5</v>
      </c>
      <c r="AF8121" s="8">
        <v>0.29166666666666669</v>
      </c>
      <c r="AG8121" s="7">
        <v>-10.5</v>
      </c>
      <c r="AH8121" s="10">
        <f t="shared" si="141"/>
        <v>-11</v>
      </c>
    </row>
    <row r="8122" spans="11:34" ht="14.5" x14ac:dyDescent="0.35">
      <c r="K8122" s="4"/>
      <c r="AC8122" s="7">
        <v>2022</v>
      </c>
      <c r="AD8122" s="7">
        <v>12</v>
      </c>
      <c r="AE8122" s="7">
        <v>5</v>
      </c>
      <c r="AF8122" s="8">
        <v>0.33333333333333331</v>
      </c>
      <c r="AG8122" s="7">
        <v>-10.7</v>
      </c>
      <c r="AH8122" s="10">
        <f t="shared" si="141"/>
        <v>-11</v>
      </c>
    </row>
    <row r="8123" spans="11:34" ht="14.5" x14ac:dyDescent="0.35">
      <c r="K8123" s="4"/>
      <c r="AC8123" s="7">
        <v>2022</v>
      </c>
      <c r="AD8123" s="7">
        <v>12</v>
      </c>
      <c r="AE8123" s="7">
        <v>5</v>
      </c>
      <c r="AF8123" s="8">
        <v>0.375</v>
      </c>
      <c r="AG8123" s="7">
        <v>-10.9</v>
      </c>
      <c r="AH8123" s="10">
        <f t="shared" si="141"/>
        <v>-11</v>
      </c>
    </row>
    <row r="8124" spans="11:34" ht="14.5" x14ac:dyDescent="0.35">
      <c r="K8124" s="4"/>
      <c r="AC8124" s="7">
        <v>2022</v>
      </c>
      <c r="AD8124" s="7">
        <v>12</v>
      </c>
      <c r="AE8124" s="7">
        <v>5</v>
      </c>
      <c r="AF8124" s="8">
        <v>0.41666666666666669</v>
      </c>
      <c r="AG8124" s="7">
        <v>-10.7</v>
      </c>
      <c r="AH8124" s="10">
        <f t="shared" si="141"/>
        <v>-11</v>
      </c>
    </row>
    <row r="8125" spans="11:34" ht="14.5" x14ac:dyDescent="0.35">
      <c r="K8125" s="4"/>
      <c r="AC8125" s="7">
        <v>2022</v>
      </c>
      <c r="AD8125" s="7">
        <v>12</v>
      </c>
      <c r="AE8125" s="7">
        <v>5</v>
      </c>
      <c r="AF8125" s="8">
        <v>0.45833333333333331</v>
      </c>
      <c r="AG8125" s="7">
        <v>-10.1</v>
      </c>
      <c r="AH8125" s="10">
        <f t="shared" si="141"/>
        <v>-10</v>
      </c>
    </row>
    <row r="8126" spans="11:34" ht="14.5" x14ac:dyDescent="0.35">
      <c r="K8126" s="4"/>
      <c r="AC8126" s="7">
        <v>2022</v>
      </c>
      <c r="AD8126" s="7">
        <v>12</v>
      </c>
      <c r="AE8126" s="7">
        <v>5</v>
      </c>
      <c r="AF8126" s="8">
        <v>0.5</v>
      </c>
      <c r="AG8126" s="7">
        <v>-10.1</v>
      </c>
      <c r="AH8126" s="10">
        <f t="shared" si="141"/>
        <v>-10</v>
      </c>
    </row>
    <row r="8127" spans="11:34" ht="14.5" x14ac:dyDescent="0.35">
      <c r="K8127" s="4"/>
      <c r="AC8127" s="7">
        <v>2022</v>
      </c>
      <c r="AD8127" s="7">
        <v>12</v>
      </c>
      <c r="AE8127" s="7">
        <v>5</v>
      </c>
      <c r="AF8127" s="8">
        <v>0.54166666666666663</v>
      </c>
      <c r="AG8127" s="7">
        <v>-9.6</v>
      </c>
      <c r="AH8127" s="10">
        <f t="shared" si="141"/>
        <v>-10</v>
      </c>
    </row>
    <row r="8128" spans="11:34" ht="14.5" x14ac:dyDescent="0.35">
      <c r="K8128" s="4"/>
      <c r="AC8128" s="7">
        <v>2022</v>
      </c>
      <c r="AD8128" s="7">
        <v>12</v>
      </c>
      <c r="AE8128" s="7">
        <v>5</v>
      </c>
      <c r="AF8128" s="8">
        <v>0.58333333333333337</v>
      </c>
      <c r="AG8128" s="7">
        <v>-8.6999999999999993</v>
      </c>
      <c r="AH8128" s="10">
        <f t="shared" si="141"/>
        <v>-9</v>
      </c>
    </row>
    <row r="8129" spans="11:34" ht="14.5" x14ac:dyDescent="0.35">
      <c r="K8129" s="4"/>
      <c r="AC8129" s="7">
        <v>2022</v>
      </c>
      <c r="AD8129" s="7">
        <v>12</v>
      </c>
      <c r="AE8129" s="7">
        <v>5</v>
      </c>
      <c r="AF8129" s="8">
        <v>0.625</v>
      </c>
      <c r="AG8129" s="7">
        <v>-8.1999999999999993</v>
      </c>
      <c r="AH8129" s="10">
        <f t="shared" si="141"/>
        <v>-8</v>
      </c>
    </row>
    <row r="8130" spans="11:34" ht="14.5" x14ac:dyDescent="0.35">
      <c r="K8130" s="4"/>
      <c r="AC8130" s="7">
        <v>2022</v>
      </c>
      <c r="AD8130" s="7">
        <v>12</v>
      </c>
      <c r="AE8130" s="7">
        <v>5</v>
      </c>
      <c r="AF8130" s="8">
        <v>0.66666666666666663</v>
      </c>
      <c r="AG8130" s="7">
        <v>-9.3000000000000007</v>
      </c>
      <c r="AH8130" s="10">
        <f t="shared" si="141"/>
        <v>-9</v>
      </c>
    </row>
    <row r="8131" spans="11:34" ht="14.5" x14ac:dyDescent="0.35">
      <c r="K8131" s="4"/>
      <c r="AC8131" s="7">
        <v>2022</v>
      </c>
      <c r="AD8131" s="7">
        <v>12</v>
      </c>
      <c r="AE8131" s="7">
        <v>5</v>
      </c>
      <c r="AF8131" s="8">
        <v>0.70833333333333337</v>
      </c>
      <c r="AG8131" s="7">
        <v>-13.3</v>
      </c>
      <c r="AH8131" s="10">
        <f t="shared" si="141"/>
        <v>-13</v>
      </c>
    </row>
    <row r="8132" spans="11:34" ht="14.5" x14ac:dyDescent="0.35">
      <c r="K8132" s="4"/>
      <c r="AC8132" s="7">
        <v>2022</v>
      </c>
      <c r="AD8132" s="7">
        <v>12</v>
      </c>
      <c r="AE8132" s="7">
        <v>5</v>
      </c>
      <c r="AF8132" s="8">
        <v>0.75</v>
      </c>
      <c r="AG8132" s="7">
        <v>-14.3</v>
      </c>
      <c r="AH8132" s="10">
        <f t="shared" si="141"/>
        <v>-14</v>
      </c>
    </row>
    <row r="8133" spans="11:34" ht="14.5" x14ac:dyDescent="0.35">
      <c r="K8133" s="4"/>
      <c r="AC8133" s="7">
        <v>2022</v>
      </c>
      <c r="AD8133" s="7">
        <v>12</v>
      </c>
      <c r="AE8133" s="7">
        <v>5</v>
      </c>
      <c r="AF8133" s="8">
        <v>0.79166666666666663</v>
      </c>
      <c r="AG8133" s="7">
        <v>-14.9</v>
      </c>
      <c r="AH8133" s="10">
        <f t="shared" si="141"/>
        <v>-15</v>
      </c>
    </row>
    <row r="8134" spans="11:34" ht="14.5" x14ac:dyDescent="0.35">
      <c r="K8134" s="4"/>
      <c r="AC8134" s="7">
        <v>2022</v>
      </c>
      <c r="AD8134" s="7">
        <v>12</v>
      </c>
      <c r="AE8134" s="7">
        <v>5</v>
      </c>
      <c r="AF8134" s="8">
        <v>0.83333333333333337</v>
      </c>
      <c r="AG8134" s="7">
        <v>-15.7</v>
      </c>
      <c r="AH8134" s="10">
        <f t="shared" si="141"/>
        <v>-16</v>
      </c>
    </row>
    <row r="8135" spans="11:34" ht="14.5" x14ac:dyDescent="0.35">
      <c r="K8135" s="4"/>
      <c r="AC8135" s="7">
        <v>2022</v>
      </c>
      <c r="AD8135" s="7">
        <v>12</v>
      </c>
      <c r="AE8135" s="7">
        <v>5</v>
      </c>
      <c r="AF8135" s="8">
        <v>0.875</v>
      </c>
      <c r="AG8135" s="7">
        <v>-16.399999999999999</v>
      </c>
      <c r="AH8135" s="10">
        <f t="shared" si="141"/>
        <v>-16</v>
      </c>
    </row>
    <row r="8136" spans="11:34" ht="14.5" x14ac:dyDescent="0.35">
      <c r="K8136" s="4"/>
      <c r="AC8136" s="7">
        <v>2022</v>
      </c>
      <c r="AD8136" s="7">
        <v>12</v>
      </c>
      <c r="AE8136" s="7">
        <v>5</v>
      </c>
      <c r="AF8136" s="8">
        <v>0.91666666666666663</v>
      </c>
      <c r="AG8136" s="7">
        <v>-16.8</v>
      </c>
      <c r="AH8136" s="10">
        <f t="shared" si="141"/>
        <v>-17</v>
      </c>
    </row>
    <row r="8137" spans="11:34" ht="14.5" x14ac:dyDescent="0.35">
      <c r="K8137" s="4"/>
      <c r="AC8137" s="7">
        <v>2022</v>
      </c>
      <c r="AD8137" s="7">
        <v>12</v>
      </c>
      <c r="AE8137" s="7">
        <v>5</v>
      </c>
      <c r="AF8137" s="8">
        <v>0.95833333333333337</v>
      </c>
      <c r="AG8137" s="7">
        <v>-19.5</v>
      </c>
      <c r="AH8137" s="10">
        <f t="shared" si="141"/>
        <v>-20</v>
      </c>
    </row>
    <row r="8138" spans="11:34" ht="14.5" x14ac:dyDescent="0.35">
      <c r="K8138" s="4"/>
      <c r="AC8138" s="7">
        <v>2022</v>
      </c>
      <c r="AD8138" s="7">
        <v>12</v>
      </c>
      <c r="AE8138" s="7">
        <v>6</v>
      </c>
      <c r="AF8138" s="8">
        <v>0</v>
      </c>
      <c r="AG8138" s="7">
        <v>-21</v>
      </c>
      <c r="AH8138" s="10">
        <f t="shared" si="141"/>
        <v>-21</v>
      </c>
    </row>
    <row r="8139" spans="11:34" ht="14.5" x14ac:dyDescent="0.35">
      <c r="K8139" s="4"/>
      <c r="AC8139" s="7">
        <v>2022</v>
      </c>
      <c r="AD8139" s="7">
        <v>12</v>
      </c>
      <c r="AE8139" s="7">
        <v>6</v>
      </c>
      <c r="AF8139" s="8">
        <v>4.1666666666666664E-2</v>
      </c>
      <c r="AG8139" s="7">
        <v>-21.7</v>
      </c>
      <c r="AH8139" s="10">
        <f t="shared" ref="AH8139:AH8202" si="142">ROUND(AG8139,0)</f>
        <v>-22</v>
      </c>
    </row>
    <row r="8140" spans="11:34" ht="14.5" x14ac:dyDescent="0.35">
      <c r="K8140" s="4"/>
      <c r="AC8140" s="7">
        <v>2022</v>
      </c>
      <c r="AD8140" s="7">
        <v>12</v>
      </c>
      <c r="AE8140" s="7">
        <v>6</v>
      </c>
      <c r="AF8140" s="8">
        <v>8.3333333333333329E-2</v>
      </c>
      <c r="AG8140" s="7">
        <v>-22.2</v>
      </c>
      <c r="AH8140" s="10">
        <f t="shared" si="142"/>
        <v>-22</v>
      </c>
    </row>
    <row r="8141" spans="11:34" ht="14.5" x14ac:dyDescent="0.35">
      <c r="K8141" s="4"/>
      <c r="AC8141" s="7">
        <v>2022</v>
      </c>
      <c r="AD8141" s="7">
        <v>12</v>
      </c>
      <c r="AE8141" s="7">
        <v>6</v>
      </c>
      <c r="AF8141" s="8">
        <v>0.125</v>
      </c>
      <c r="AG8141" s="7">
        <v>-22.7</v>
      </c>
      <c r="AH8141" s="10">
        <f t="shared" si="142"/>
        <v>-23</v>
      </c>
    </row>
    <row r="8142" spans="11:34" ht="14.5" x14ac:dyDescent="0.35">
      <c r="K8142" s="4"/>
      <c r="AC8142" s="7">
        <v>2022</v>
      </c>
      <c r="AD8142" s="7">
        <v>12</v>
      </c>
      <c r="AE8142" s="7">
        <v>6</v>
      </c>
      <c r="AF8142" s="8">
        <v>0.16666666666666666</v>
      </c>
      <c r="AG8142" s="7">
        <v>-22.8</v>
      </c>
      <c r="AH8142" s="10">
        <f t="shared" si="142"/>
        <v>-23</v>
      </c>
    </row>
    <row r="8143" spans="11:34" ht="14.5" x14ac:dyDescent="0.35">
      <c r="K8143" s="4"/>
      <c r="AC8143" s="7">
        <v>2022</v>
      </c>
      <c r="AD8143" s="7">
        <v>12</v>
      </c>
      <c r="AE8143" s="7">
        <v>6</v>
      </c>
      <c r="AF8143" s="8">
        <v>0.20833333333333334</v>
      </c>
      <c r="AG8143" s="7">
        <v>-22.9</v>
      </c>
      <c r="AH8143" s="10">
        <f t="shared" si="142"/>
        <v>-23</v>
      </c>
    </row>
    <row r="8144" spans="11:34" ht="14.5" x14ac:dyDescent="0.35">
      <c r="K8144" s="4"/>
      <c r="AC8144" s="7">
        <v>2022</v>
      </c>
      <c r="AD8144" s="7">
        <v>12</v>
      </c>
      <c r="AE8144" s="7">
        <v>6</v>
      </c>
      <c r="AF8144" s="8">
        <v>0.25</v>
      </c>
      <c r="AG8144" s="7">
        <v>-22.7</v>
      </c>
      <c r="AH8144" s="10">
        <f t="shared" si="142"/>
        <v>-23</v>
      </c>
    </row>
    <row r="8145" spans="11:34" ht="14.5" x14ac:dyDescent="0.35">
      <c r="K8145" s="4"/>
      <c r="AC8145" s="7">
        <v>2022</v>
      </c>
      <c r="AD8145" s="7">
        <v>12</v>
      </c>
      <c r="AE8145" s="7">
        <v>6</v>
      </c>
      <c r="AF8145" s="8">
        <v>0.29166666666666669</v>
      </c>
      <c r="AG8145" s="7">
        <v>-22.9</v>
      </c>
      <c r="AH8145" s="10">
        <f t="shared" si="142"/>
        <v>-23</v>
      </c>
    </row>
    <row r="8146" spans="11:34" ht="14.5" x14ac:dyDescent="0.35">
      <c r="K8146" s="4"/>
      <c r="AC8146" s="7">
        <v>2022</v>
      </c>
      <c r="AD8146" s="7">
        <v>12</v>
      </c>
      <c r="AE8146" s="7">
        <v>6</v>
      </c>
      <c r="AF8146" s="8">
        <v>0.33333333333333331</v>
      </c>
      <c r="AG8146" s="7">
        <v>-23</v>
      </c>
      <c r="AH8146" s="10">
        <f t="shared" si="142"/>
        <v>-23</v>
      </c>
    </row>
    <row r="8147" spans="11:34" ht="14.5" x14ac:dyDescent="0.35">
      <c r="K8147" s="4"/>
      <c r="AC8147" s="7">
        <v>2022</v>
      </c>
      <c r="AD8147" s="7">
        <v>12</v>
      </c>
      <c r="AE8147" s="7">
        <v>6</v>
      </c>
      <c r="AF8147" s="8">
        <v>0.375</v>
      </c>
      <c r="AG8147" s="7">
        <v>-22.9</v>
      </c>
      <c r="AH8147" s="10">
        <f t="shared" si="142"/>
        <v>-23</v>
      </c>
    </row>
    <row r="8148" spans="11:34" ht="14.5" x14ac:dyDescent="0.35">
      <c r="K8148" s="4"/>
      <c r="AC8148" s="7">
        <v>2022</v>
      </c>
      <c r="AD8148" s="7">
        <v>12</v>
      </c>
      <c r="AE8148" s="7">
        <v>6</v>
      </c>
      <c r="AF8148" s="8">
        <v>0.41666666666666669</v>
      </c>
      <c r="AG8148" s="7">
        <v>-22.9</v>
      </c>
      <c r="AH8148" s="10">
        <f t="shared" si="142"/>
        <v>-23</v>
      </c>
    </row>
    <row r="8149" spans="11:34" ht="14.5" x14ac:dyDescent="0.35">
      <c r="K8149" s="4"/>
      <c r="AC8149" s="7">
        <v>2022</v>
      </c>
      <c r="AD8149" s="7">
        <v>12</v>
      </c>
      <c r="AE8149" s="7">
        <v>6</v>
      </c>
      <c r="AF8149" s="8">
        <v>0.45833333333333331</v>
      </c>
      <c r="AG8149" s="7">
        <v>-22.7</v>
      </c>
      <c r="AH8149" s="10">
        <f t="shared" si="142"/>
        <v>-23</v>
      </c>
    </row>
    <row r="8150" spans="11:34" ht="14.5" x14ac:dyDescent="0.35">
      <c r="K8150" s="4"/>
      <c r="AC8150" s="7">
        <v>2022</v>
      </c>
      <c r="AD8150" s="7">
        <v>12</v>
      </c>
      <c r="AE8150" s="7">
        <v>6</v>
      </c>
      <c r="AF8150" s="8">
        <v>0.5</v>
      </c>
      <c r="AG8150" s="7">
        <v>-22.4</v>
      </c>
      <c r="AH8150" s="10">
        <f t="shared" si="142"/>
        <v>-22</v>
      </c>
    </row>
    <row r="8151" spans="11:34" ht="14.5" x14ac:dyDescent="0.35">
      <c r="K8151" s="4"/>
      <c r="AC8151" s="7">
        <v>2022</v>
      </c>
      <c r="AD8151" s="7">
        <v>12</v>
      </c>
      <c r="AE8151" s="7">
        <v>6</v>
      </c>
      <c r="AF8151" s="8">
        <v>0.54166666666666663</v>
      </c>
      <c r="AG8151" s="7">
        <v>-22.1</v>
      </c>
      <c r="AH8151" s="10">
        <f t="shared" si="142"/>
        <v>-22</v>
      </c>
    </row>
    <row r="8152" spans="11:34" ht="14.5" x14ac:dyDescent="0.35">
      <c r="K8152" s="4"/>
      <c r="AC8152" s="7">
        <v>2022</v>
      </c>
      <c r="AD8152" s="7">
        <v>12</v>
      </c>
      <c r="AE8152" s="7">
        <v>6</v>
      </c>
      <c r="AF8152" s="8">
        <v>0.58333333333333337</v>
      </c>
      <c r="AG8152" s="7">
        <v>-21.6</v>
      </c>
      <c r="AH8152" s="10">
        <f t="shared" si="142"/>
        <v>-22</v>
      </c>
    </row>
    <row r="8153" spans="11:34" ht="14.5" x14ac:dyDescent="0.35">
      <c r="K8153" s="4"/>
      <c r="AC8153" s="7">
        <v>2022</v>
      </c>
      <c r="AD8153" s="7">
        <v>12</v>
      </c>
      <c r="AE8153" s="7">
        <v>6</v>
      </c>
      <c r="AF8153" s="8">
        <v>0.625</v>
      </c>
      <c r="AG8153" s="7">
        <v>-21.3</v>
      </c>
      <c r="AH8153" s="10">
        <f t="shared" si="142"/>
        <v>-21</v>
      </c>
    </row>
    <row r="8154" spans="11:34" ht="14.5" x14ac:dyDescent="0.35">
      <c r="K8154" s="4"/>
      <c r="AC8154" s="7">
        <v>2022</v>
      </c>
      <c r="AD8154" s="7">
        <v>12</v>
      </c>
      <c r="AE8154" s="7">
        <v>6</v>
      </c>
      <c r="AF8154" s="8">
        <v>0.66666666666666663</v>
      </c>
      <c r="AG8154" s="7">
        <v>-21.4</v>
      </c>
      <c r="AH8154" s="10">
        <f t="shared" si="142"/>
        <v>-21</v>
      </c>
    </row>
    <row r="8155" spans="11:34" ht="14.5" x14ac:dyDescent="0.35">
      <c r="K8155" s="4"/>
      <c r="AC8155" s="7">
        <v>2022</v>
      </c>
      <c r="AD8155" s="7">
        <v>12</v>
      </c>
      <c r="AE8155" s="7">
        <v>6</v>
      </c>
      <c r="AF8155" s="8">
        <v>0.70833333333333337</v>
      </c>
      <c r="AG8155" s="7">
        <v>-21.5</v>
      </c>
      <c r="AH8155" s="10">
        <f t="shared" si="142"/>
        <v>-22</v>
      </c>
    </row>
    <row r="8156" spans="11:34" ht="14.5" x14ac:dyDescent="0.35">
      <c r="K8156" s="4"/>
      <c r="AC8156" s="7">
        <v>2022</v>
      </c>
      <c r="AD8156" s="7">
        <v>12</v>
      </c>
      <c r="AE8156" s="7">
        <v>6</v>
      </c>
      <c r="AF8156" s="8">
        <v>0.75</v>
      </c>
      <c r="AG8156" s="7">
        <v>-21</v>
      </c>
      <c r="AH8156" s="10">
        <f t="shared" si="142"/>
        <v>-21</v>
      </c>
    </row>
    <row r="8157" spans="11:34" ht="14.5" x14ac:dyDescent="0.35">
      <c r="K8157" s="4"/>
      <c r="AC8157" s="7">
        <v>2022</v>
      </c>
      <c r="AD8157" s="7">
        <v>12</v>
      </c>
      <c r="AE8157" s="7">
        <v>6</v>
      </c>
      <c r="AF8157" s="8">
        <v>0.79166666666666663</v>
      </c>
      <c r="AG8157" s="7">
        <v>-21.1</v>
      </c>
      <c r="AH8157" s="10">
        <f t="shared" si="142"/>
        <v>-21</v>
      </c>
    </row>
    <row r="8158" spans="11:34" ht="14.5" x14ac:dyDescent="0.35">
      <c r="K8158" s="4"/>
      <c r="AC8158" s="7">
        <v>2022</v>
      </c>
      <c r="AD8158" s="7">
        <v>12</v>
      </c>
      <c r="AE8158" s="7">
        <v>6</v>
      </c>
      <c r="AF8158" s="8">
        <v>0.83333333333333337</v>
      </c>
      <c r="AG8158" s="7">
        <v>-21.5</v>
      </c>
      <c r="AH8158" s="10">
        <f t="shared" si="142"/>
        <v>-22</v>
      </c>
    </row>
    <row r="8159" spans="11:34" ht="14.5" x14ac:dyDescent="0.35">
      <c r="K8159" s="4"/>
      <c r="AC8159" s="7">
        <v>2022</v>
      </c>
      <c r="AD8159" s="7">
        <v>12</v>
      </c>
      <c r="AE8159" s="7">
        <v>6</v>
      </c>
      <c r="AF8159" s="8">
        <v>0.875</v>
      </c>
      <c r="AG8159" s="7">
        <v>-21.5</v>
      </c>
      <c r="AH8159" s="10">
        <f t="shared" si="142"/>
        <v>-22</v>
      </c>
    </row>
    <row r="8160" spans="11:34" ht="14.5" x14ac:dyDescent="0.35">
      <c r="K8160" s="4"/>
      <c r="AC8160" s="7">
        <v>2022</v>
      </c>
      <c r="AD8160" s="7">
        <v>12</v>
      </c>
      <c r="AE8160" s="7">
        <v>6</v>
      </c>
      <c r="AF8160" s="8">
        <v>0.91666666666666663</v>
      </c>
      <c r="AG8160" s="7">
        <v>-21</v>
      </c>
      <c r="AH8160" s="10">
        <f t="shared" si="142"/>
        <v>-21</v>
      </c>
    </row>
    <row r="8161" spans="11:34" ht="14.5" x14ac:dyDescent="0.35">
      <c r="K8161" s="4"/>
      <c r="AC8161" s="7">
        <v>2022</v>
      </c>
      <c r="AD8161" s="7">
        <v>12</v>
      </c>
      <c r="AE8161" s="7">
        <v>6</v>
      </c>
      <c r="AF8161" s="8">
        <v>0.95833333333333337</v>
      </c>
      <c r="AG8161" s="7">
        <v>-20.6</v>
      </c>
      <c r="AH8161" s="10">
        <f t="shared" si="142"/>
        <v>-21</v>
      </c>
    </row>
    <row r="8162" spans="11:34" ht="14.5" x14ac:dyDescent="0.35">
      <c r="K8162" s="4"/>
      <c r="AC8162" s="7">
        <v>2022</v>
      </c>
      <c r="AD8162" s="7">
        <v>12</v>
      </c>
      <c r="AE8162" s="7">
        <v>7</v>
      </c>
      <c r="AF8162" s="8">
        <v>0</v>
      </c>
      <c r="AG8162" s="7">
        <v>-21.7</v>
      </c>
      <c r="AH8162" s="10">
        <f t="shared" si="142"/>
        <v>-22</v>
      </c>
    </row>
    <row r="8163" spans="11:34" ht="14.5" x14ac:dyDescent="0.35">
      <c r="K8163" s="4"/>
      <c r="AC8163" s="7">
        <v>2022</v>
      </c>
      <c r="AD8163" s="7">
        <v>12</v>
      </c>
      <c r="AE8163" s="7">
        <v>7</v>
      </c>
      <c r="AF8163" s="8">
        <v>4.1666666666666664E-2</v>
      </c>
      <c r="AG8163" s="7">
        <v>-22.1</v>
      </c>
      <c r="AH8163" s="10">
        <f t="shared" si="142"/>
        <v>-22</v>
      </c>
    </row>
    <row r="8164" spans="11:34" ht="14.5" x14ac:dyDescent="0.35">
      <c r="K8164" s="4"/>
      <c r="AC8164" s="7">
        <v>2022</v>
      </c>
      <c r="AD8164" s="7">
        <v>12</v>
      </c>
      <c r="AE8164" s="7">
        <v>7</v>
      </c>
      <c r="AF8164" s="8">
        <v>8.3333333333333329E-2</v>
      </c>
      <c r="AG8164" s="7">
        <v>-22.1</v>
      </c>
      <c r="AH8164" s="10">
        <f t="shared" si="142"/>
        <v>-22</v>
      </c>
    </row>
    <row r="8165" spans="11:34" ht="14.5" x14ac:dyDescent="0.35">
      <c r="K8165" s="4"/>
      <c r="AC8165" s="7">
        <v>2022</v>
      </c>
      <c r="AD8165" s="7">
        <v>12</v>
      </c>
      <c r="AE8165" s="7">
        <v>7</v>
      </c>
      <c r="AF8165" s="8">
        <v>0.125</v>
      </c>
      <c r="AG8165" s="7">
        <v>-21.1</v>
      </c>
      <c r="AH8165" s="10">
        <f t="shared" si="142"/>
        <v>-21</v>
      </c>
    </row>
    <row r="8166" spans="11:34" ht="14.5" x14ac:dyDescent="0.35">
      <c r="K8166" s="4"/>
      <c r="AC8166" s="7">
        <v>2022</v>
      </c>
      <c r="AD8166" s="7">
        <v>12</v>
      </c>
      <c r="AE8166" s="7">
        <v>7</v>
      </c>
      <c r="AF8166" s="8">
        <v>0.16666666666666666</v>
      </c>
      <c r="AG8166" s="7">
        <v>-17.5</v>
      </c>
      <c r="AH8166" s="10">
        <f t="shared" si="142"/>
        <v>-18</v>
      </c>
    </row>
    <row r="8167" spans="11:34" ht="14.5" x14ac:dyDescent="0.35">
      <c r="K8167" s="4"/>
      <c r="AC8167" s="7">
        <v>2022</v>
      </c>
      <c r="AD8167" s="7">
        <v>12</v>
      </c>
      <c r="AE8167" s="7">
        <v>7</v>
      </c>
      <c r="AF8167" s="8">
        <v>0.20833333333333334</v>
      </c>
      <c r="AG8167" s="7">
        <v>-13.6</v>
      </c>
      <c r="AH8167" s="10">
        <f t="shared" si="142"/>
        <v>-14</v>
      </c>
    </row>
    <row r="8168" spans="11:34" ht="14.5" x14ac:dyDescent="0.35">
      <c r="K8168" s="4"/>
      <c r="AC8168" s="7">
        <v>2022</v>
      </c>
      <c r="AD8168" s="7">
        <v>12</v>
      </c>
      <c r="AE8168" s="7">
        <v>7</v>
      </c>
      <c r="AF8168" s="8">
        <v>0.25</v>
      </c>
      <c r="AG8168" s="7">
        <v>-5.3</v>
      </c>
      <c r="AH8168" s="10">
        <f t="shared" si="142"/>
        <v>-5</v>
      </c>
    </row>
    <row r="8169" spans="11:34" ht="14.5" x14ac:dyDescent="0.35">
      <c r="K8169" s="4"/>
      <c r="AC8169" s="7">
        <v>2022</v>
      </c>
      <c r="AD8169" s="7">
        <v>12</v>
      </c>
      <c r="AE8169" s="7">
        <v>7</v>
      </c>
      <c r="AF8169" s="8">
        <v>0.29166666666666669</v>
      </c>
      <c r="AG8169" s="7">
        <v>-1.7</v>
      </c>
      <c r="AH8169" s="10">
        <f t="shared" si="142"/>
        <v>-2</v>
      </c>
    </row>
    <row r="8170" spans="11:34" ht="14.5" x14ac:dyDescent="0.35">
      <c r="K8170" s="4"/>
      <c r="AC8170" s="7">
        <v>2022</v>
      </c>
      <c r="AD8170" s="7">
        <v>12</v>
      </c>
      <c r="AE8170" s="7">
        <v>7</v>
      </c>
      <c r="AF8170" s="8">
        <v>0.33333333333333331</v>
      </c>
      <c r="AG8170" s="7">
        <v>-0.7</v>
      </c>
      <c r="AH8170" s="10">
        <f t="shared" si="142"/>
        <v>-1</v>
      </c>
    </row>
    <row r="8171" spans="11:34" ht="14.5" x14ac:dyDescent="0.35">
      <c r="K8171" s="4"/>
      <c r="AC8171" s="7">
        <v>2022</v>
      </c>
      <c r="AD8171" s="7">
        <v>12</v>
      </c>
      <c r="AE8171" s="7">
        <v>7</v>
      </c>
      <c r="AF8171" s="8">
        <v>0.375</v>
      </c>
      <c r="AG8171" s="7">
        <v>-0.5</v>
      </c>
      <c r="AH8171" s="10">
        <f t="shared" si="142"/>
        <v>-1</v>
      </c>
    </row>
    <row r="8172" spans="11:34" ht="14.5" x14ac:dyDescent="0.35">
      <c r="K8172" s="4"/>
      <c r="AC8172" s="7">
        <v>2022</v>
      </c>
      <c r="AD8172" s="7">
        <v>12</v>
      </c>
      <c r="AE8172" s="7">
        <v>7</v>
      </c>
      <c r="AF8172" s="8">
        <v>0.41666666666666669</v>
      </c>
      <c r="AG8172" s="7">
        <v>0.4</v>
      </c>
      <c r="AH8172" s="10">
        <f t="shared" si="142"/>
        <v>0</v>
      </c>
    </row>
    <row r="8173" spans="11:34" ht="14.5" x14ac:dyDescent="0.35">
      <c r="K8173" s="4"/>
      <c r="AC8173" s="7">
        <v>2022</v>
      </c>
      <c r="AD8173" s="7">
        <v>12</v>
      </c>
      <c r="AE8173" s="7">
        <v>7</v>
      </c>
      <c r="AF8173" s="8">
        <v>0.45833333333333331</v>
      </c>
      <c r="AG8173" s="7">
        <v>1.2</v>
      </c>
      <c r="AH8173" s="10">
        <f t="shared" si="142"/>
        <v>1</v>
      </c>
    </row>
    <row r="8174" spans="11:34" ht="14.5" x14ac:dyDescent="0.35">
      <c r="K8174" s="4"/>
      <c r="AC8174" s="7">
        <v>2022</v>
      </c>
      <c r="AD8174" s="7">
        <v>12</v>
      </c>
      <c r="AE8174" s="7">
        <v>7</v>
      </c>
      <c r="AF8174" s="8">
        <v>0.5</v>
      </c>
      <c r="AG8174" s="7">
        <v>2.2000000000000002</v>
      </c>
      <c r="AH8174" s="10">
        <f t="shared" si="142"/>
        <v>2</v>
      </c>
    </row>
    <row r="8175" spans="11:34" ht="14.5" x14ac:dyDescent="0.35">
      <c r="K8175" s="4"/>
      <c r="AC8175" s="7">
        <v>2022</v>
      </c>
      <c r="AD8175" s="7">
        <v>12</v>
      </c>
      <c r="AE8175" s="7">
        <v>7</v>
      </c>
      <c r="AF8175" s="8">
        <v>0.54166666666666663</v>
      </c>
      <c r="AG8175" s="7">
        <v>2.7</v>
      </c>
      <c r="AH8175" s="10">
        <f t="shared" si="142"/>
        <v>3</v>
      </c>
    </row>
    <row r="8176" spans="11:34" ht="14.5" x14ac:dyDescent="0.35">
      <c r="K8176" s="4"/>
      <c r="AC8176" s="7">
        <v>2022</v>
      </c>
      <c r="AD8176" s="7">
        <v>12</v>
      </c>
      <c r="AE8176" s="7">
        <v>7</v>
      </c>
      <c r="AF8176" s="8">
        <v>0.58333333333333337</v>
      </c>
      <c r="AG8176" s="7">
        <v>2.4</v>
      </c>
      <c r="AH8176" s="10">
        <f t="shared" si="142"/>
        <v>2</v>
      </c>
    </row>
    <row r="8177" spans="11:34" ht="14.5" x14ac:dyDescent="0.35">
      <c r="K8177" s="4"/>
      <c r="AC8177" s="7">
        <v>2022</v>
      </c>
      <c r="AD8177" s="7">
        <v>12</v>
      </c>
      <c r="AE8177" s="7">
        <v>7</v>
      </c>
      <c r="AF8177" s="8">
        <v>0.625</v>
      </c>
      <c r="AG8177" s="7">
        <v>2.6</v>
      </c>
      <c r="AH8177" s="10">
        <f t="shared" si="142"/>
        <v>3</v>
      </c>
    </row>
    <row r="8178" spans="11:34" ht="14.5" x14ac:dyDescent="0.35">
      <c r="K8178" s="4"/>
      <c r="AC8178" s="7">
        <v>2022</v>
      </c>
      <c r="AD8178" s="7">
        <v>12</v>
      </c>
      <c r="AE8178" s="7">
        <v>7</v>
      </c>
      <c r="AF8178" s="8">
        <v>0.66666666666666663</v>
      </c>
      <c r="AG8178" s="7">
        <v>1.6</v>
      </c>
      <c r="AH8178" s="10">
        <f t="shared" si="142"/>
        <v>2</v>
      </c>
    </row>
    <row r="8179" spans="11:34" ht="14.5" x14ac:dyDescent="0.35">
      <c r="K8179" s="4"/>
      <c r="AC8179" s="7">
        <v>2022</v>
      </c>
      <c r="AD8179" s="7">
        <v>12</v>
      </c>
      <c r="AE8179" s="7">
        <v>7</v>
      </c>
      <c r="AF8179" s="8">
        <v>0.70833333333333337</v>
      </c>
      <c r="AG8179" s="7">
        <v>0</v>
      </c>
      <c r="AH8179" s="10">
        <f t="shared" si="142"/>
        <v>0</v>
      </c>
    </row>
    <row r="8180" spans="11:34" ht="14.5" x14ac:dyDescent="0.35">
      <c r="K8180" s="4"/>
      <c r="AC8180" s="7">
        <v>2022</v>
      </c>
      <c r="AD8180" s="7">
        <v>12</v>
      </c>
      <c r="AE8180" s="7">
        <v>7</v>
      </c>
      <c r="AF8180" s="8">
        <v>0.75</v>
      </c>
      <c r="AG8180" s="7">
        <v>0.1</v>
      </c>
      <c r="AH8180" s="10">
        <f t="shared" si="142"/>
        <v>0</v>
      </c>
    </row>
    <row r="8181" spans="11:34" ht="14.5" x14ac:dyDescent="0.35">
      <c r="K8181" s="4"/>
      <c r="AC8181" s="7">
        <v>2022</v>
      </c>
      <c r="AD8181" s="7">
        <v>12</v>
      </c>
      <c r="AE8181" s="7">
        <v>7</v>
      </c>
      <c r="AF8181" s="8">
        <v>0.79166666666666663</v>
      </c>
      <c r="AG8181" s="7">
        <v>0.4</v>
      </c>
      <c r="AH8181" s="10">
        <f t="shared" si="142"/>
        <v>0</v>
      </c>
    </row>
    <row r="8182" spans="11:34" ht="14.5" x14ac:dyDescent="0.35">
      <c r="K8182" s="4"/>
      <c r="AC8182" s="7">
        <v>2022</v>
      </c>
      <c r="AD8182" s="7">
        <v>12</v>
      </c>
      <c r="AE8182" s="7">
        <v>7</v>
      </c>
      <c r="AF8182" s="8">
        <v>0.83333333333333337</v>
      </c>
      <c r="AG8182" s="7">
        <v>1</v>
      </c>
      <c r="AH8182" s="10">
        <f t="shared" si="142"/>
        <v>1</v>
      </c>
    </row>
    <row r="8183" spans="11:34" ht="14.5" x14ac:dyDescent="0.35">
      <c r="K8183" s="4"/>
      <c r="AC8183" s="7">
        <v>2022</v>
      </c>
      <c r="AD8183" s="7">
        <v>12</v>
      </c>
      <c r="AE8183" s="7">
        <v>7</v>
      </c>
      <c r="AF8183" s="8">
        <v>0.875</v>
      </c>
      <c r="AG8183" s="7">
        <v>0.2</v>
      </c>
      <c r="AH8183" s="10">
        <f t="shared" si="142"/>
        <v>0</v>
      </c>
    </row>
    <row r="8184" spans="11:34" ht="14.5" x14ac:dyDescent="0.35">
      <c r="K8184" s="4"/>
      <c r="AC8184" s="7">
        <v>2022</v>
      </c>
      <c r="AD8184" s="7">
        <v>12</v>
      </c>
      <c r="AE8184" s="7">
        <v>7</v>
      </c>
      <c r="AF8184" s="8">
        <v>0.91666666666666663</v>
      </c>
      <c r="AG8184" s="7">
        <v>-0.3</v>
      </c>
      <c r="AH8184" s="10">
        <f t="shared" si="142"/>
        <v>0</v>
      </c>
    </row>
    <row r="8185" spans="11:34" ht="14.5" x14ac:dyDescent="0.35">
      <c r="K8185" s="4"/>
      <c r="AC8185" s="7">
        <v>2022</v>
      </c>
      <c r="AD8185" s="7">
        <v>12</v>
      </c>
      <c r="AE8185" s="7">
        <v>7</v>
      </c>
      <c r="AF8185" s="8">
        <v>0.95833333333333337</v>
      </c>
      <c r="AG8185" s="7">
        <v>-2</v>
      </c>
      <c r="AH8185" s="10">
        <f t="shared" si="142"/>
        <v>-2</v>
      </c>
    </row>
    <row r="8186" spans="11:34" ht="14.5" x14ac:dyDescent="0.35">
      <c r="K8186" s="4"/>
      <c r="AC8186" s="7">
        <v>2022</v>
      </c>
      <c r="AD8186" s="7">
        <v>12</v>
      </c>
      <c r="AE8186" s="7">
        <v>8</v>
      </c>
      <c r="AF8186" s="8">
        <v>0</v>
      </c>
      <c r="AG8186" s="7">
        <v>0.1</v>
      </c>
      <c r="AH8186" s="10">
        <f t="shared" si="142"/>
        <v>0</v>
      </c>
    </row>
    <row r="8187" spans="11:34" ht="14.5" x14ac:dyDescent="0.35">
      <c r="K8187" s="4"/>
      <c r="AC8187" s="7">
        <v>2022</v>
      </c>
      <c r="AD8187" s="7">
        <v>12</v>
      </c>
      <c r="AE8187" s="7">
        <v>8</v>
      </c>
      <c r="AF8187" s="8">
        <v>4.1666666666666664E-2</v>
      </c>
      <c r="AG8187" s="7">
        <v>-2.7</v>
      </c>
      <c r="AH8187" s="10">
        <f t="shared" si="142"/>
        <v>-3</v>
      </c>
    </row>
    <row r="8188" spans="11:34" ht="14.5" x14ac:dyDescent="0.35">
      <c r="K8188" s="4"/>
      <c r="AC8188" s="7">
        <v>2022</v>
      </c>
      <c r="AD8188" s="7">
        <v>12</v>
      </c>
      <c r="AE8188" s="7">
        <v>8</v>
      </c>
      <c r="AF8188" s="8">
        <v>8.3333333333333329E-2</v>
      </c>
      <c r="AG8188" s="7">
        <v>-0.2</v>
      </c>
      <c r="AH8188" s="10">
        <f t="shared" si="142"/>
        <v>0</v>
      </c>
    </row>
    <row r="8189" spans="11:34" ht="14.5" x14ac:dyDescent="0.35">
      <c r="K8189" s="4"/>
      <c r="AC8189" s="7">
        <v>2022</v>
      </c>
      <c r="AD8189" s="7">
        <v>12</v>
      </c>
      <c r="AE8189" s="7">
        <v>8</v>
      </c>
      <c r="AF8189" s="8">
        <v>0.125</v>
      </c>
      <c r="AG8189" s="7">
        <v>-2.2999999999999998</v>
      </c>
      <c r="AH8189" s="10">
        <f t="shared" si="142"/>
        <v>-2</v>
      </c>
    </row>
    <row r="8190" spans="11:34" ht="14.5" x14ac:dyDescent="0.35">
      <c r="K8190" s="4"/>
      <c r="AC8190" s="7">
        <v>2022</v>
      </c>
      <c r="AD8190" s="7">
        <v>12</v>
      </c>
      <c r="AE8190" s="7">
        <v>8</v>
      </c>
      <c r="AF8190" s="8">
        <v>0.16666666666666666</v>
      </c>
      <c r="AG8190" s="7">
        <v>-2.1</v>
      </c>
      <c r="AH8190" s="10">
        <f t="shared" si="142"/>
        <v>-2</v>
      </c>
    </row>
    <row r="8191" spans="11:34" ht="14.5" x14ac:dyDescent="0.35">
      <c r="K8191" s="4"/>
      <c r="AC8191" s="7">
        <v>2022</v>
      </c>
      <c r="AD8191" s="7">
        <v>12</v>
      </c>
      <c r="AE8191" s="7">
        <v>8</v>
      </c>
      <c r="AF8191" s="8">
        <v>0.20833333333333334</v>
      </c>
      <c r="AG8191" s="7">
        <v>-1.9</v>
      </c>
      <c r="AH8191" s="10">
        <f t="shared" si="142"/>
        <v>-2</v>
      </c>
    </row>
    <row r="8192" spans="11:34" ht="14.5" x14ac:dyDescent="0.35">
      <c r="K8192" s="4"/>
      <c r="AC8192" s="7">
        <v>2022</v>
      </c>
      <c r="AD8192" s="7">
        <v>12</v>
      </c>
      <c r="AE8192" s="7">
        <v>8</v>
      </c>
      <c r="AF8192" s="8">
        <v>0.25</v>
      </c>
      <c r="AG8192" s="7">
        <v>-2.6</v>
      </c>
      <c r="AH8192" s="10">
        <f t="shared" si="142"/>
        <v>-3</v>
      </c>
    </row>
    <row r="8193" spans="11:34" ht="14.5" x14ac:dyDescent="0.35">
      <c r="K8193" s="4"/>
      <c r="AC8193" s="7">
        <v>2022</v>
      </c>
      <c r="AD8193" s="7">
        <v>12</v>
      </c>
      <c r="AE8193" s="7">
        <v>8</v>
      </c>
      <c r="AF8193" s="8">
        <v>0.29166666666666669</v>
      </c>
      <c r="AG8193" s="7">
        <v>-3.5</v>
      </c>
      <c r="AH8193" s="10">
        <f t="shared" si="142"/>
        <v>-4</v>
      </c>
    </row>
    <row r="8194" spans="11:34" ht="14.5" x14ac:dyDescent="0.35">
      <c r="K8194" s="4"/>
      <c r="AC8194" s="7">
        <v>2022</v>
      </c>
      <c r="AD8194" s="7">
        <v>12</v>
      </c>
      <c r="AE8194" s="7">
        <v>8</v>
      </c>
      <c r="AF8194" s="8">
        <v>0.33333333333333331</v>
      </c>
      <c r="AG8194" s="7">
        <v>-2.6</v>
      </c>
      <c r="AH8194" s="10">
        <f t="shared" si="142"/>
        <v>-3</v>
      </c>
    </row>
    <row r="8195" spans="11:34" ht="14.5" x14ac:dyDescent="0.35">
      <c r="K8195" s="4"/>
      <c r="AC8195" s="7">
        <v>2022</v>
      </c>
      <c r="AD8195" s="7">
        <v>12</v>
      </c>
      <c r="AE8195" s="7">
        <v>8</v>
      </c>
      <c r="AF8195" s="8">
        <v>0.375</v>
      </c>
      <c r="AG8195" s="7">
        <v>-2</v>
      </c>
      <c r="AH8195" s="10">
        <f t="shared" si="142"/>
        <v>-2</v>
      </c>
    </row>
    <row r="8196" spans="11:34" ht="14.5" x14ac:dyDescent="0.35">
      <c r="K8196" s="4"/>
      <c r="AC8196" s="7">
        <v>2022</v>
      </c>
      <c r="AD8196" s="7">
        <v>12</v>
      </c>
      <c r="AE8196" s="7">
        <v>8</v>
      </c>
      <c r="AF8196" s="8">
        <v>0.41666666666666669</v>
      </c>
      <c r="AG8196" s="7">
        <v>-2.9</v>
      </c>
      <c r="AH8196" s="10">
        <f t="shared" si="142"/>
        <v>-3</v>
      </c>
    </row>
    <row r="8197" spans="11:34" ht="14.5" x14ac:dyDescent="0.35">
      <c r="K8197" s="4"/>
      <c r="AC8197" s="7">
        <v>2022</v>
      </c>
      <c r="AD8197" s="7">
        <v>12</v>
      </c>
      <c r="AE8197" s="7">
        <v>8</v>
      </c>
      <c r="AF8197" s="8">
        <v>0.45833333333333331</v>
      </c>
      <c r="AG8197" s="7">
        <v>-1.1000000000000001</v>
      </c>
      <c r="AH8197" s="10">
        <f t="shared" si="142"/>
        <v>-1</v>
      </c>
    </row>
    <row r="8198" spans="11:34" ht="14.5" x14ac:dyDescent="0.35">
      <c r="K8198" s="4"/>
      <c r="AC8198" s="7">
        <v>2022</v>
      </c>
      <c r="AD8198" s="7">
        <v>12</v>
      </c>
      <c r="AE8198" s="7">
        <v>8</v>
      </c>
      <c r="AF8198" s="8">
        <v>0.5</v>
      </c>
      <c r="AG8198" s="7">
        <v>-0.5</v>
      </c>
      <c r="AH8198" s="10">
        <f t="shared" si="142"/>
        <v>-1</v>
      </c>
    </row>
    <row r="8199" spans="11:34" ht="14.5" x14ac:dyDescent="0.35">
      <c r="K8199" s="4"/>
      <c r="AC8199" s="7">
        <v>2022</v>
      </c>
      <c r="AD8199" s="7">
        <v>12</v>
      </c>
      <c r="AE8199" s="7">
        <v>8</v>
      </c>
      <c r="AF8199" s="8">
        <v>0.54166666666666663</v>
      </c>
      <c r="AG8199" s="7">
        <v>-1.6</v>
      </c>
      <c r="AH8199" s="10">
        <f t="shared" si="142"/>
        <v>-2</v>
      </c>
    </row>
    <row r="8200" spans="11:34" ht="14.5" x14ac:dyDescent="0.35">
      <c r="K8200" s="4"/>
      <c r="AC8200" s="7">
        <v>2022</v>
      </c>
      <c r="AD8200" s="7">
        <v>12</v>
      </c>
      <c r="AE8200" s="7">
        <v>8</v>
      </c>
      <c r="AF8200" s="8">
        <v>0.58333333333333337</v>
      </c>
      <c r="AG8200" s="7">
        <v>-1.5</v>
      </c>
      <c r="AH8200" s="10">
        <f t="shared" si="142"/>
        <v>-2</v>
      </c>
    </row>
    <row r="8201" spans="11:34" ht="14.5" x14ac:dyDescent="0.35">
      <c r="K8201" s="4"/>
      <c r="AC8201" s="7">
        <v>2022</v>
      </c>
      <c r="AD8201" s="7">
        <v>12</v>
      </c>
      <c r="AE8201" s="7">
        <v>8</v>
      </c>
      <c r="AF8201" s="8">
        <v>0.625</v>
      </c>
      <c r="AG8201" s="7">
        <v>-2.5</v>
      </c>
      <c r="AH8201" s="10">
        <f t="shared" si="142"/>
        <v>-3</v>
      </c>
    </row>
    <row r="8202" spans="11:34" ht="14.5" x14ac:dyDescent="0.35">
      <c r="K8202" s="4"/>
      <c r="AC8202" s="7">
        <v>2022</v>
      </c>
      <c r="AD8202" s="7">
        <v>12</v>
      </c>
      <c r="AE8202" s="7">
        <v>8</v>
      </c>
      <c r="AF8202" s="8">
        <v>0.66666666666666663</v>
      </c>
      <c r="AG8202" s="7">
        <v>-2.1</v>
      </c>
      <c r="AH8202" s="10">
        <f t="shared" si="142"/>
        <v>-2</v>
      </c>
    </row>
    <row r="8203" spans="11:34" ht="14.5" x14ac:dyDescent="0.35">
      <c r="K8203" s="4"/>
      <c r="AC8203" s="7">
        <v>2022</v>
      </c>
      <c r="AD8203" s="7">
        <v>12</v>
      </c>
      <c r="AE8203" s="7">
        <v>8</v>
      </c>
      <c r="AF8203" s="8">
        <v>0.70833333333333337</v>
      </c>
      <c r="AG8203" s="7">
        <v>-2.8</v>
      </c>
      <c r="AH8203" s="10">
        <f t="shared" ref="AH8203:AH8266" si="143">ROUND(AG8203,0)</f>
        <v>-3</v>
      </c>
    </row>
    <row r="8204" spans="11:34" ht="14.5" x14ac:dyDescent="0.35">
      <c r="K8204" s="4"/>
      <c r="AC8204" s="7">
        <v>2022</v>
      </c>
      <c r="AD8204" s="7">
        <v>12</v>
      </c>
      <c r="AE8204" s="7">
        <v>8</v>
      </c>
      <c r="AF8204" s="8">
        <v>0.75</v>
      </c>
      <c r="AG8204" s="7">
        <v>-5.2</v>
      </c>
      <c r="AH8204" s="10">
        <f t="shared" si="143"/>
        <v>-5</v>
      </c>
    </row>
    <row r="8205" spans="11:34" ht="14.5" x14ac:dyDescent="0.35">
      <c r="K8205" s="4"/>
      <c r="AC8205" s="7">
        <v>2022</v>
      </c>
      <c r="AD8205" s="7">
        <v>12</v>
      </c>
      <c r="AE8205" s="7">
        <v>8</v>
      </c>
      <c r="AF8205" s="8">
        <v>0.79166666666666663</v>
      </c>
      <c r="AG8205" s="7">
        <v>-4.9000000000000004</v>
      </c>
      <c r="AH8205" s="10">
        <f t="shared" si="143"/>
        <v>-5</v>
      </c>
    </row>
    <row r="8206" spans="11:34" ht="14.5" x14ac:dyDescent="0.35">
      <c r="K8206" s="4"/>
      <c r="AC8206" s="7">
        <v>2022</v>
      </c>
      <c r="AD8206" s="7">
        <v>12</v>
      </c>
      <c r="AE8206" s="7">
        <v>8</v>
      </c>
      <c r="AF8206" s="8">
        <v>0.83333333333333337</v>
      </c>
      <c r="AG8206" s="7">
        <v>-3.9</v>
      </c>
      <c r="AH8206" s="10">
        <f t="shared" si="143"/>
        <v>-4</v>
      </c>
    </row>
    <row r="8207" spans="11:34" ht="14.5" x14ac:dyDescent="0.35">
      <c r="K8207" s="4"/>
      <c r="AC8207" s="7">
        <v>2022</v>
      </c>
      <c r="AD8207" s="7">
        <v>12</v>
      </c>
      <c r="AE8207" s="7">
        <v>8</v>
      </c>
      <c r="AF8207" s="8">
        <v>0.875</v>
      </c>
      <c r="AG8207" s="7">
        <v>-7.7</v>
      </c>
      <c r="AH8207" s="10">
        <f t="shared" si="143"/>
        <v>-8</v>
      </c>
    </row>
    <row r="8208" spans="11:34" ht="14.5" x14ac:dyDescent="0.35">
      <c r="K8208" s="4"/>
      <c r="AC8208" s="7">
        <v>2022</v>
      </c>
      <c r="AD8208" s="7">
        <v>12</v>
      </c>
      <c r="AE8208" s="7">
        <v>8</v>
      </c>
      <c r="AF8208" s="8">
        <v>0.91666666666666663</v>
      </c>
      <c r="AG8208" s="7">
        <v>-9.1999999999999993</v>
      </c>
      <c r="AH8208" s="10">
        <f t="shared" si="143"/>
        <v>-9</v>
      </c>
    </row>
    <row r="8209" spans="11:34" ht="14.5" x14ac:dyDescent="0.35">
      <c r="K8209" s="4"/>
      <c r="AC8209" s="7">
        <v>2022</v>
      </c>
      <c r="AD8209" s="7">
        <v>12</v>
      </c>
      <c r="AE8209" s="7">
        <v>8</v>
      </c>
      <c r="AF8209" s="8">
        <v>0.95833333333333337</v>
      </c>
      <c r="AG8209" s="7">
        <v>-7.8</v>
      </c>
      <c r="AH8209" s="10">
        <f t="shared" si="143"/>
        <v>-8</v>
      </c>
    </row>
    <row r="8210" spans="11:34" ht="14.5" x14ac:dyDescent="0.35">
      <c r="K8210" s="4"/>
      <c r="AC8210" s="7">
        <v>2022</v>
      </c>
      <c r="AD8210" s="7">
        <v>12</v>
      </c>
      <c r="AE8210" s="7">
        <v>9</v>
      </c>
      <c r="AF8210" s="8">
        <v>0</v>
      </c>
      <c r="AG8210" s="7">
        <v>-6.4</v>
      </c>
      <c r="AH8210" s="10">
        <f t="shared" si="143"/>
        <v>-6</v>
      </c>
    </row>
    <row r="8211" spans="11:34" ht="14.5" x14ac:dyDescent="0.35">
      <c r="K8211" s="4"/>
      <c r="AC8211" s="7">
        <v>2022</v>
      </c>
      <c r="AD8211" s="7">
        <v>12</v>
      </c>
      <c r="AE8211" s="7">
        <v>9</v>
      </c>
      <c r="AF8211" s="8">
        <v>4.1666666666666664E-2</v>
      </c>
      <c r="AG8211" s="7">
        <v>-6.3</v>
      </c>
      <c r="AH8211" s="10">
        <f t="shared" si="143"/>
        <v>-6</v>
      </c>
    </row>
    <row r="8212" spans="11:34" ht="14.5" x14ac:dyDescent="0.35">
      <c r="K8212" s="4"/>
      <c r="AC8212" s="7">
        <v>2022</v>
      </c>
      <c r="AD8212" s="7">
        <v>12</v>
      </c>
      <c r="AE8212" s="7">
        <v>9</v>
      </c>
      <c r="AF8212" s="8">
        <v>8.3333333333333329E-2</v>
      </c>
      <c r="AG8212" s="7">
        <v>-8.5</v>
      </c>
      <c r="AH8212" s="10">
        <f t="shared" si="143"/>
        <v>-9</v>
      </c>
    </row>
    <row r="8213" spans="11:34" ht="14.5" x14ac:dyDescent="0.35">
      <c r="K8213" s="4"/>
      <c r="AC8213" s="7">
        <v>2022</v>
      </c>
      <c r="AD8213" s="7">
        <v>12</v>
      </c>
      <c r="AE8213" s="7">
        <v>9</v>
      </c>
      <c r="AF8213" s="8">
        <v>0.125</v>
      </c>
      <c r="AG8213" s="7">
        <v>-7.6</v>
      </c>
      <c r="AH8213" s="10">
        <f t="shared" si="143"/>
        <v>-8</v>
      </c>
    </row>
    <row r="8214" spans="11:34" ht="14.5" x14ac:dyDescent="0.35">
      <c r="K8214" s="4"/>
      <c r="AC8214" s="7">
        <v>2022</v>
      </c>
      <c r="AD8214" s="7">
        <v>12</v>
      </c>
      <c r="AE8214" s="7">
        <v>9</v>
      </c>
      <c r="AF8214" s="8">
        <v>0.16666666666666666</v>
      </c>
      <c r="AG8214" s="7">
        <v>-6.7</v>
      </c>
      <c r="AH8214" s="10">
        <f t="shared" si="143"/>
        <v>-7</v>
      </c>
    </row>
    <row r="8215" spans="11:34" ht="14.5" x14ac:dyDescent="0.35">
      <c r="K8215" s="4"/>
      <c r="AC8215" s="7">
        <v>2022</v>
      </c>
      <c r="AD8215" s="7">
        <v>12</v>
      </c>
      <c r="AE8215" s="7">
        <v>9</v>
      </c>
      <c r="AF8215" s="8">
        <v>0.20833333333333334</v>
      </c>
      <c r="AG8215" s="7">
        <v>-4.7</v>
      </c>
      <c r="AH8215" s="10">
        <f t="shared" si="143"/>
        <v>-5</v>
      </c>
    </row>
    <row r="8216" spans="11:34" ht="14.5" x14ac:dyDescent="0.35">
      <c r="K8216" s="4"/>
      <c r="AC8216" s="7">
        <v>2022</v>
      </c>
      <c r="AD8216" s="7">
        <v>12</v>
      </c>
      <c r="AE8216" s="7">
        <v>9</v>
      </c>
      <c r="AF8216" s="8">
        <v>0.25</v>
      </c>
      <c r="AG8216" s="7">
        <v>-3.3</v>
      </c>
      <c r="AH8216" s="10">
        <f t="shared" si="143"/>
        <v>-3</v>
      </c>
    </row>
    <row r="8217" spans="11:34" ht="14.5" x14ac:dyDescent="0.35">
      <c r="K8217" s="4"/>
      <c r="AC8217" s="7">
        <v>2022</v>
      </c>
      <c r="AD8217" s="7">
        <v>12</v>
      </c>
      <c r="AE8217" s="7">
        <v>9</v>
      </c>
      <c r="AF8217" s="8">
        <v>0.29166666666666669</v>
      </c>
      <c r="AG8217" s="7">
        <v>-6</v>
      </c>
      <c r="AH8217" s="10">
        <f t="shared" si="143"/>
        <v>-6</v>
      </c>
    </row>
    <row r="8218" spans="11:34" ht="14.5" x14ac:dyDescent="0.35">
      <c r="K8218" s="4"/>
      <c r="AC8218" s="7">
        <v>2022</v>
      </c>
      <c r="AD8218" s="7">
        <v>12</v>
      </c>
      <c r="AE8218" s="7">
        <v>9</v>
      </c>
      <c r="AF8218" s="8">
        <v>0.33333333333333331</v>
      </c>
      <c r="AG8218" s="7">
        <v>-7.6</v>
      </c>
      <c r="AH8218" s="10">
        <f t="shared" si="143"/>
        <v>-8</v>
      </c>
    </row>
    <row r="8219" spans="11:34" ht="14.5" x14ac:dyDescent="0.35">
      <c r="K8219" s="4"/>
      <c r="AC8219" s="7">
        <v>2022</v>
      </c>
      <c r="AD8219" s="7">
        <v>12</v>
      </c>
      <c r="AE8219" s="7">
        <v>9</v>
      </c>
      <c r="AF8219" s="8">
        <v>0.375</v>
      </c>
      <c r="AG8219" s="7">
        <v>-9.1999999999999993</v>
      </c>
      <c r="AH8219" s="10">
        <f t="shared" si="143"/>
        <v>-9</v>
      </c>
    </row>
    <row r="8220" spans="11:34" ht="14.5" x14ac:dyDescent="0.35">
      <c r="K8220" s="4"/>
      <c r="AC8220" s="7">
        <v>2022</v>
      </c>
      <c r="AD8220" s="7">
        <v>12</v>
      </c>
      <c r="AE8220" s="7">
        <v>9</v>
      </c>
      <c r="AF8220" s="8">
        <v>0.41666666666666669</v>
      </c>
      <c r="AG8220" s="7">
        <v>-5.9</v>
      </c>
      <c r="AH8220" s="10">
        <f t="shared" si="143"/>
        <v>-6</v>
      </c>
    </row>
    <row r="8221" spans="11:34" ht="14.5" x14ac:dyDescent="0.35">
      <c r="K8221" s="4"/>
      <c r="AC8221" s="7">
        <v>2022</v>
      </c>
      <c r="AD8221" s="7">
        <v>12</v>
      </c>
      <c r="AE8221" s="7">
        <v>9</v>
      </c>
      <c r="AF8221" s="8">
        <v>0.45833333333333331</v>
      </c>
      <c r="AG8221" s="7">
        <v>-3.1</v>
      </c>
      <c r="AH8221" s="10">
        <f t="shared" si="143"/>
        <v>-3</v>
      </c>
    </row>
    <row r="8222" spans="11:34" ht="14.5" x14ac:dyDescent="0.35">
      <c r="K8222" s="4"/>
      <c r="AC8222" s="7">
        <v>2022</v>
      </c>
      <c r="AD8222" s="7">
        <v>12</v>
      </c>
      <c r="AE8222" s="7">
        <v>9</v>
      </c>
      <c r="AF8222" s="8">
        <v>0.5</v>
      </c>
      <c r="AG8222" s="7">
        <v>-0.9</v>
      </c>
      <c r="AH8222" s="10">
        <f t="shared" si="143"/>
        <v>-1</v>
      </c>
    </row>
    <row r="8223" spans="11:34" ht="14.5" x14ac:dyDescent="0.35">
      <c r="K8223" s="4"/>
      <c r="AC8223" s="7">
        <v>2022</v>
      </c>
      <c r="AD8223" s="7">
        <v>12</v>
      </c>
      <c r="AE8223" s="7">
        <v>9</v>
      </c>
      <c r="AF8223" s="8">
        <v>0.54166666666666663</v>
      </c>
      <c r="AG8223" s="7">
        <v>0.5</v>
      </c>
      <c r="AH8223" s="10">
        <f t="shared" si="143"/>
        <v>1</v>
      </c>
    </row>
    <row r="8224" spans="11:34" ht="14.5" x14ac:dyDescent="0.35">
      <c r="K8224" s="4"/>
      <c r="AC8224" s="7">
        <v>2022</v>
      </c>
      <c r="AD8224" s="7">
        <v>12</v>
      </c>
      <c r="AE8224" s="7">
        <v>9</v>
      </c>
      <c r="AF8224" s="8">
        <v>0.58333333333333337</v>
      </c>
      <c r="AG8224" s="7">
        <v>0.6</v>
      </c>
      <c r="AH8224" s="10">
        <f t="shared" si="143"/>
        <v>1</v>
      </c>
    </row>
    <row r="8225" spans="11:34" ht="14.5" x14ac:dyDescent="0.35">
      <c r="K8225" s="4"/>
      <c r="AC8225" s="7">
        <v>2022</v>
      </c>
      <c r="AD8225" s="7">
        <v>12</v>
      </c>
      <c r="AE8225" s="7">
        <v>9</v>
      </c>
      <c r="AF8225" s="8">
        <v>0.625</v>
      </c>
      <c r="AG8225" s="7">
        <v>-0.8</v>
      </c>
      <c r="AH8225" s="10">
        <f t="shared" si="143"/>
        <v>-1</v>
      </c>
    </row>
    <row r="8226" spans="11:34" ht="14.5" x14ac:dyDescent="0.35">
      <c r="K8226" s="4"/>
      <c r="AC8226" s="7">
        <v>2022</v>
      </c>
      <c r="AD8226" s="7">
        <v>12</v>
      </c>
      <c r="AE8226" s="7">
        <v>9</v>
      </c>
      <c r="AF8226" s="8">
        <v>0.66666666666666663</v>
      </c>
      <c r="AG8226" s="7">
        <v>-4.3</v>
      </c>
      <c r="AH8226" s="10">
        <f t="shared" si="143"/>
        <v>-4</v>
      </c>
    </row>
    <row r="8227" spans="11:34" ht="14.5" x14ac:dyDescent="0.35">
      <c r="K8227" s="4"/>
      <c r="AC8227" s="7">
        <v>2022</v>
      </c>
      <c r="AD8227" s="7">
        <v>12</v>
      </c>
      <c r="AE8227" s="7">
        <v>9</v>
      </c>
      <c r="AF8227" s="8">
        <v>0.70833333333333337</v>
      </c>
      <c r="AG8227" s="7">
        <v>-6.7</v>
      </c>
      <c r="AH8227" s="10">
        <f t="shared" si="143"/>
        <v>-7</v>
      </c>
    </row>
    <row r="8228" spans="11:34" ht="14.5" x14ac:dyDescent="0.35">
      <c r="K8228" s="4"/>
      <c r="AC8228" s="7">
        <v>2022</v>
      </c>
      <c r="AD8228" s="7">
        <v>12</v>
      </c>
      <c r="AE8228" s="7">
        <v>9</v>
      </c>
      <c r="AF8228" s="8">
        <v>0.75</v>
      </c>
      <c r="AG8228" s="7">
        <v>-9.6999999999999993</v>
      </c>
      <c r="AH8228" s="10">
        <f t="shared" si="143"/>
        <v>-10</v>
      </c>
    </row>
    <row r="8229" spans="11:34" ht="14.5" x14ac:dyDescent="0.35">
      <c r="K8229" s="4"/>
      <c r="AC8229" s="7">
        <v>2022</v>
      </c>
      <c r="AD8229" s="7">
        <v>12</v>
      </c>
      <c r="AE8229" s="7">
        <v>9</v>
      </c>
      <c r="AF8229" s="8">
        <v>0.79166666666666663</v>
      </c>
      <c r="AG8229" s="7">
        <v>-8.1</v>
      </c>
      <c r="AH8229" s="10">
        <f t="shared" si="143"/>
        <v>-8</v>
      </c>
    </row>
    <row r="8230" spans="11:34" ht="14.5" x14ac:dyDescent="0.35">
      <c r="K8230" s="4"/>
      <c r="AC8230" s="7">
        <v>2022</v>
      </c>
      <c r="AD8230" s="7">
        <v>12</v>
      </c>
      <c r="AE8230" s="7">
        <v>9</v>
      </c>
      <c r="AF8230" s="8">
        <v>0.83333333333333337</v>
      </c>
      <c r="AG8230" s="7">
        <v>-10.199999999999999</v>
      </c>
      <c r="AH8230" s="10">
        <f t="shared" si="143"/>
        <v>-10</v>
      </c>
    </row>
    <row r="8231" spans="11:34" ht="14.5" x14ac:dyDescent="0.35">
      <c r="K8231" s="4"/>
      <c r="AC8231" s="7">
        <v>2022</v>
      </c>
      <c r="AD8231" s="7">
        <v>12</v>
      </c>
      <c r="AE8231" s="7">
        <v>9</v>
      </c>
      <c r="AF8231" s="8">
        <v>0.875</v>
      </c>
      <c r="AG8231" s="7">
        <v>-12.6</v>
      </c>
      <c r="AH8231" s="10">
        <f t="shared" si="143"/>
        <v>-13</v>
      </c>
    </row>
    <row r="8232" spans="11:34" ht="14.5" x14ac:dyDescent="0.35">
      <c r="K8232" s="4"/>
      <c r="AC8232" s="7">
        <v>2022</v>
      </c>
      <c r="AD8232" s="7">
        <v>12</v>
      </c>
      <c r="AE8232" s="7">
        <v>9</v>
      </c>
      <c r="AF8232" s="8">
        <v>0.91666666666666663</v>
      </c>
      <c r="AG8232" s="7">
        <v>-10</v>
      </c>
      <c r="AH8232" s="10">
        <f t="shared" si="143"/>
        <v>-10</v>
      </c>
    </row>
    <row r="8233" spans="11:34" ht="14.5" x14ac:dyDescent="0.35">
      <c r="K8233" s="4"/>
      <c r="AC8233" s="7">
        <v>2022</v>
      </c>
      <c r="AD8233" s="7">
        <v>12</v>
      </c>
      <c r="AE8233" s="7">
        <v>9</v>
      </c>
      <c r="AF8233" s="8">
        <v>0.95833333333333337</v>
      </c>
      <c r="AG8233" s="7">
        <v>-12.6</v>
      </c>
      <c r="AH8233" s="10">
        <f t="shared" si="143"/>
        <v>-13</v>
      </c>
    </row>
    <row r="8234" spans="11:34" ht="14.5" x14ac:dyDescent="0.35">
      <c r="K8234" s="4"/>
      <c r="AC8234" s="7">
        <v>2022</v>
      </c>
      <c r="AD8234" s="7">
        <v>12</v>
      </c>
      <c r="AE8234" s="7">
        <v>10</v>
      </c>
      <c r="AF8234" s="8">
        <v>0</v>
      </c>
      <c r="AG8234" s="7">
        <v>-13.8</v>
      </c>
      <c r="AH8234" s="10">
        <f t="shared" si="143"/>
        <v>-14</v>
      </c>
    </row>
    <row r="8235" spans="11:34" ht="14.5" x14ac:dyDescent="0.35">
      <c r="K8235" s="4"/>
      <c r="AC8235" s="7">
        <v>2022</v>
      </c>
      <c r="AD8235" s="7">
        <v>12</v>
      </c>
      <c r="AE8235" s="7">
        <v>10</v>
      </c>
      <c r="AF8235" s="8">
        <v>4.1666666666666664E-2</v>
      </c>
      <c r="AG8235" s="7">
        <v>-11.3</v>
      </c>
      <c r="AH8235" s="10">
        <f t="shared" si="143"/>
        <v>-11</v>
      </c>
    </row>
    <row r="8236" spans="11:34" ht="14.5" x14ac:dyDescent="0.35">
      <c r="K8236" s="4"/>
      <c r="AC8236" s="7">
        <v>2022</v>
      </c>
      <c r="AD8236" s="7">
        <v>12</v>
      </c>
      <c r="AE8236" s="7">
        <v>10</v>
      </c>
      <c r="AF8236" s="8">
        <v>8.3333333333333329E-2</v>
      </c>
      <c r="AG8236" s="7">
        <v>-10.9</v>
      </c>
      <c r="AH8236" s="10">
        <f t="shared" si="143"/>
        <v>-11</v>
      </c>
    </row>
    <row r="8237" spans="11:34" ht="14.5" x14ac:dyDescent="0.35">
      <c r="K8237" s="4"/>
      <c r="AC8237" s="7">
        <v>2022</v>
      </c>
      <c r="AD8237" s="7">
        <v>12</v>
      </c>
      <c r="AE8237" s="7">
        <v>10</v>
      </c>
      <c r="AF8237" s="8">
        <v>0.125</v>
      </c>
      <c r="AG8237" s="7">
        <v>-9.5</v>
      </c>
      <c r="AH8237" s="10">
        <f t="shared" si="143"/>
        <v>-10</v>
      </c>
    </row>
    <row r="8238" spans="11:34" ht="14.5" x14ac:dyDescent="0.35">
      <c r="K8238" s="4"/>
      <c r="AC8238" s="7">
        <v>2022</v>
      </c>
      <c r="AD8238" s="7">
        <v>12</v>
      </c>
      <c r="AE8238" s="7">
        <v>10</v>
      </c>
      <c r="AF8238" s="8">
        <v>0.16666666666666666</v>
      </c>
      <c r="AG8238" s="7">
        <v>-8.6</v>
      </c>
      <c r="AH8238" s="10">
        <f t="shared" si="143"/>
        <v>-9</v>
      </c>
    </row>
    <row r="8239" spans="11:34" ht="14.5" x14ac:dyDescent="0.35">
      <c r="K8239" s="4"/>
      <c r="AC8239" s="7">
        <v>2022</v>
      </c>
      <c r="AD8239" s="7">
        <v>12</v>
      </c>
      <c r="AE8239" s="7">
        <v>10</v>
      </c>
      <c r="AF8239" s="8">
        <v>0.20833333333333334</v>
      </c>
      <c r="AG8239" s="7">
        <v>-7.4</v>
      </c>
      <c r="AH8239" s="10">
        <f t="shared" si="143"/>
        <v>-7</v>
      </c>
    </row>
    <row r="8240" spans="11:34" ht="14.5" x14ac:dyDescent="0.35">
      <c r="K8240" s="4"/>
      <c r="AC8240" s="7">
        <v>2022</v>
      </c>
      <c r="AD8240" s="7">
        <v>12</v>
      </c>
      <c r="AE8240" s="7">
        <v>10</v>
      </c>
      <c r="AF8240" s="8">
        <v>0.25</v>
      </c>
      <c r="AG8240" s="7">
        <v>-8.3000000000000007</v>
      </c>
      <c r="AH8240" s="10">
        <f t="shared" si="143"/>
        <v>-8</v>
      </c>
    </row>
    <row r="8241" spans="11:34" ht="14.5" x14ac:dyDescent="0.35">
      <c r="K8241" s="4"/>
      <c r="AC8241" s="7">
        <v>2022</v>
      </c>
      <c r="AD8241" s="7">
        <v>12</v>
      </c>
      <c r="AE8241" s="7">
        <v>10</v>
      </c>
      <c r="AF8241" s="8">
        <v>0.29166666666666669</v>
      </c>
      <c r="AG8241" s="7">
        <v>-8.3000000000000007</v>
      </c>
      <c r="AH8241" s="10">
        <f t="shared" si="143"/>
        <v>-8</v>
      </c>
    </row>
    <row r="8242" spans="11:34" ht="14.5" x14ac:dyDescent="0.35">
      <c r="K8242" s="4"/>
      <c r="AC8242" s="7">
        <v>2022</v>
      </c>
      <c r="AD8242" s="7">
        <v>12</v>
      </c>
      <c r="AE8242" s="7">
        <v>10</v>
      </c>
      <c r="AF8242" s="8">
        <v>0.33333333333333331</v>
      </c>
      <c r="AG8242" s="7">
        <v>-8.8000000000000007</v>
      </c>
      <c r="AH8242" s="10">
        <f t="shared" si="143"/>
        <v>-9</v>
      </c>
    </row>
    <row r="8243" spans="11:34" ht="14.5" x14ac:dyDescent="0.35">
      <c r="K8243" s="4"/>
      <c r="AC8243" s="7">
        <v>2022</v>
      </c>
      <c r="AD8243" s="7">
        <v>12</v>
      </c>
      <c r="AE8243" s="7">
        <v>10</v>
      </c>
      <c r="AF8243" s="8">
        <v>0.375</v>
      </c>
      <c r="AG8243" s="7">
        <v>-8.3000000000000007</v>
      </c>
      <c r="AH8243" s="10">
        <f t="shared" si="143"/>
        <v>-8</v>
      </c>
    </row>
    <row r="8244" spans="11:34" ht="14.5" x14ac:dyDescent="0.35">
      <c r="K8244" s="4"/>
      <c r="AC8244" s="7">
        <v>2022</v>
      </c>
      <c r="AD8244" s="7">
        <v>12</v>
      </c>
      <c r="AE8244" s="7">
        <v>10</v>
      </c>
      <c r="AF8244" s="8">
        <v>0.41666666666666669</v>
      </c>
      <c r="AG8244" s="7">
        <v>-6.2</v>
      </c>
      <c r="AH8244" s="10">
        <f t="shared" si="143"/>
        <v>-6</v>
      </c>
    </row>
    <row r="8245" spans="11:34" ht="14.5" x14ac:dyDescent="0.35">
      <c r="K8245" s="4"/>
      <c r="AC8245" s="7">
        <v>2022</v>
      </c>
      <c r="AD8245" s="7">
        <v>12</v>
      </c>
      <c r="AE8245" s="7">
        <v>10</v>
      </c>
      <c r="AF8245" s="8">
        <v>0.45833333333333331</v>
      </c>
      <c r="AG8245" s="7">
        <v>-4.9000000000000004</v>
      </c>
      <c r="AH8245" s="10">
        <f t="shared" si="143"/>
        <v>-5</v>
      </c>
    </row>
    <row r="8246" spans="11:34" ht="14.5" x14ac:dyDescent="0.35">
      <c r="K8246" s="4"/>
      <c r="AC8246" s="7">
        <v>2022</v>
      </c>
      <c r="AD8246" s="7">
        <v>12</v>
      </c>
      <c r="AE8246" s="7">
        <v>10</v>
      </c>
      <c r="AF8246" s="8">
        <v>0.5</v>
      </c>
      <c r="AG8246" s="7">
        <v>-4.5</v>
      </c>
      <c r="AH8246" s="10">
        <f t="shared" si="143"/>
        <v>-5</v>
      </c>
    </row>
    <row r="8247" spans="11:34" ht="14.5" x14ac:dyDescent="0.35">
      <c r="K8247" s="4"/>
      <c r="AC8247" s="7">
        <v>2022</v>
      </c>
      <c r="AD8247" s="7">
        <v>12</v>
      </c>
      <c r="AE8247" s="7">
        <v>10</v>
      </c>
      <c r="AF8247" s="8">
        <v>0.54166666666666663</v>
      </c>
      <c r="AG8247" s="7">
        <v>-5.3</v>
      </c>
      <c r="AH8247" s="10">
        <f t="shared" si="143"/>
        <v>-5</v>
      </c>
    </row>
    <row r="8248" spans="11:34" ht="14.5" x14ac:dyDescent="0.35">
      <c r="K8248" s="4"/>
      <c r="AC8248" s="7">
        <v>2022</v>
      </c>
      <c r="AD8248" s="7">
        <v>12</v>
      </c>
      <c r="AE8248" s="7">
        <v>10</v>
      </c>
      <c r="AF8248" s="8">
        <v>0.58333333333333337</v>
      </c>
      <c r="AG8248" s="7">
        <v>-4.5</v>
      </c>
      <c r="AH8248" s="10">
        <f t="shared" si="143"/>
        <v>-5</v>
      </c>
    </row>
    <row r="8249" spans="11:34" ht="14.5" x14ac:dyDescent="0.35">
      <c r="K8249" s="4"/>
      <c r="AC8249" s="7">
        <v>2022</v>
      </c>
      <c r="AD8249" s="7">
        <v>12</v>
      </c>
      <c r="AE8249" s="7">
        <v>10</v>
      </c>
      <c r="AF8249" s="8">
        <v>0.625</v>
      </c>
      <c r="AG8249" s="7">
        <v>-2.7</v>
      </c>
      <c r="AH8249" s="10">
        <f t="shared" si="143"/>
        <v>-3</v>
      </c>
    </row>
    <row r="8250" spans="11:34" ht="14.5" x14ac:dyDescent="0.35">
      <c r="K8250" s="4"/>
      <c r="AC8250" s="7">
        <v>2022</v>
      </c>
      <c r="AD8250" s="7">
        <v>12</v>
      </c>
      <c r="AE8250" s="7">
        <v>10</v>
      </c>
      <c r="AF8250" s="8">
        <v>0.66666666666666663</v>
      </c>
      <c r="AG8250" s="7">
        <v>-4.3</v>
      </c>
      <c r="AH8250" s="10">
        <f t="shared" si="143"/>
        <v>-4</v>
      </c>
    </row>
    <row r="8251" spans="11:34" ht="14.5" x14ac:dyDescent="0.35">
      <c r="K8251" s="4"/>
      <c r="AC8251" s="7">
        <v>2022</v>
      </c>
      <c r="AD8251" s="7">
        <v>12</v>
      </c>
      <c r="AE8251" s="7">
        <v>10</v>
      </c>
      <c r="AF8251" s="8">
        <v>0.70833333333333337</v>
      </c>
      <c r="AG8251" s="7">
        <v>-7.2</v>
      </c>
      <c r="AH8251" s="10">
        <f t="shared" si="143"/>
        <v>-7</v>
      </c>
    </row>
    <row r="8252" spans="11:34" ht="14.5" x14ac:dyDescent="0.35">
      <c r="K8252" s="4"/>
      <c r="AC8252" s="7">
        <v>2022</v>
      </c>
      <c r="AD8252" s="7">
        <v>12</v>
      </c>
      <c r="AE8252" s="7">
        <v>10</v>
      </c>
      <c r="AF8252" s="8">
        <v>0.75</v>
      </c>
      <c r="AG8252" s="7">
        <v>-7.8</v>
      </c>
      <c r="AH8252" s="10">
        <f t="shared" si="143"/>
        <v>-8</v>
      </c>
    </row>
    <row r="8253" spans="11:34" ht="14.5" x14ac:dyDescent="0.35">
      <c r="K8253" s="4"/>
      <c r="AC8253" s="7">
        <v>2022</v>
      </c>
      <c r="AD8253" s="7">
        <v>12</v>
      </c>
      <c r="AE8253" s="7">
        <v>10</v>
      </c>
      <c r="AF8253" s="8">
        <v>0.79166666666666663</v>
      </c>
      <c r="AG8253" s="7">
        <v>-8.1999999999999993</v>
      </c>
      <c r="AH8253" s="10">
        <f t="shared" si="143"/>
        <v>-8</v>
      </c>
    </row>
    <row r="8254" spans="11:34" ht="14.5" x14ac:dyDescent="0.35">
      <c r="K8254" s="4"/>
      <c r="AC8254" s="7">
        <v>2022</v>
      </c>
      <c r="AD8254" s="7">
        <v>12</v>
      </c>
      <c r="AE8254" s="7">
        <v>10</v>
      </c>
      <c r="AF8254" s="8">
        <v>0.83333333333333337</v>
      </c>
      <c r="AG8254" s="7">
        <v>-8.1</v>
      </c>
      <c r="AH8254" s="10">
        <f t="shared" si="143"/>
        <v>-8</v>
      </c>
    </row>
    <row r="8255" spans="11:34" ht="14.5" x14ac:dyDescent="0.35">
      <c r="K8255" s="4"/>
      <c r="AC8255" s="7">
        <v>2022</v>
      </c>
      <c r="AD8255" s="7">
        <v>12</v>
      </c>
      <c r="AE8255" s="7">
        <v>10</v>
      </c>
      <c r="AF8255" s="8">
        <v>0.875</v>
      </c>
      <c r="AG8255" s="7">
        <v>-7.9</v>
      </c>
      <c r="AH8255" s="10">
        <f t="shared" si="143"/>
        <v>-8</v>
      </c>
    </row>
    <row r="8256" spans="11:34" ht="14.5" x14ac:dyDescent="0.35">
      <c r="K8256" s="4"/>
      <c r="AC8256" s="7">
        <v>2022</v>
      </c>
      <c r="AD8256" s="7">
        <v>12</v>
      </c>
      <c r="AE8256" s="7">
        <v>10</v>
      </c>
      <c r="AF8256" s="8">
        <v>0.91666666666666663</v>
      </c>
      <c r="AG8256" s="7">
        <v>-7.2</v>
      </c>
      <c r="AH8256" s="10">
        <f t="shared" si="143"/>
        <v>-7</v>
      </c>
    </row>
    <row r="8257" spans="11:34" ht="14.5" x14ac:dyDescent="0.35">
      <c r="K8257" s="4"/>
      <c r="AC8257" s="7">
        <v>2022</v>
      </c>
      <c r="AD8257" s="7">
        <v>12</v>
      </c>
      <c r="AE8257" s="7">
        <v>10</v>
      </c>
      <c r="AF8257" s="8">
        <v>0.95833333333333337</v>
      </c>
      <c r="AG8257" s="7">
        <v>-7.5</v>
      </c>
      <c r="AH8257" s="10">
        <f t="shared" si="143"/>
        <v>-8</v>
      </c>
    </row>
    <row r="8258" spans="11:34" ht="14.5" x14ac:dyDescent="0.35">
      <c r="K8258" s="4"/>
      <c r="AC8258" s="7">
        <v>2022</v>
      </c>
      <c r="AD8258" s="7">
        <v>12</v>
      </c>
      <c r="AE8258" s="7">
        <v>11</v>
      </c>
      <c r="AF8258" s="8">
        <v>0</v>
      </c>
      <c r="AG8258" s="7">
        <v>-8</v>
      </c>
      <c r="AH8258" s="10">
        <f t="shared" si="143"/>
        <v>-8</v>
      </c>
    </row>
    <row r="8259" spans="11:34" ht="14.5" x14ac:dyDescent="0.35">
      <c r="K8259" s="4"/>
      <c r="AC8259" s="7">
        <v>2022</v>
      </c>
      <c r="AD8259" s="7">
        <v>12</v>
      </c>
      <c r="AE8259" s="7">
        <v>11</v>
      </c>
      <c r="AF8259" s="8">
        <v>4.1666666666666664E-2</v>
      </c>
      <c r="AG8259" s="7">
        <v>-8.3000000000000007</v>
      </c>
      <c r="AH8259" s="10">
        <f t="shared" si="143"/>
        <v>-8</v>
      </c>
    </row>
    <row r="8260" spans="11:34" ht="14.5" x14ac:dyDescent="0.35">
      <c r="K8260" s="4"/>
      <c r="AC8260" s="7">
        <v>2022</v>
      </c>
      <c r="AD8260" s="7">
        <v>12</v>
      </c>
      <c r="AE8260" s="7">
        <v>11</v>
      </c>
      <c r="AF8260" s="8">
        <v>8.3333333333333329E-2</v>
      </c>
      <c r="AG8260" s="7">
        <v>-9.1999999999999993</v>
      </c>
      <c r="AH8260" s="10">
        <f t="shared" si="143"/>
        <v>-9</v>
      </c>
    </row>
    <row r="8261" spans="11:34" ht="14.5" x14ac:dyDescent="0.35">
      <c r="K8261" s="4"/>
      <c r="AC8261" s="7">
        <v>2022</v>
      </c>
      <c r="AD8261" s="7">
        <v>12</v>
      </c>
      <c r="AE8261" s="7">
        <v>11</v>
      </c>
      <c r="AF8261" s="8">
        <v>0.125</v>
      </c>
      <c r="AG8261" s="7">
        <v>-9.9</v>
      </c>
      <c r="AH8261" s="10">
        <f t="shared" si="143"/>
        <v>-10</v>
      </c>
    </row>
    <row r="8262" spans="11:34" ht="14.5" x14ac:dyDescent="0.35">
      <c r="K8262" s="4"/>
      <c r="AC8262" s="7">
        <v>2022</v>
      </c>
      <c r="AD8262" s="7">
        <v>12</v>
      </c>
      <c r="AE8262" s="7">
        <v>11</v>
      </c>
      <c r="AF8262" s="8">
        <v>0.16666666666666666</v>
      </c>
      <c r="AG8262" s="7">
        <v>-11</v>
      </c>
      <c r="AH8262" s="10">
        <f t="shared" si="143"/>
        <v>-11</v>
      </c>
    </row>
    <row r="8263" spans="11:34" ht="14.5" x14ac:dyDescent="0.35">
      <c r="K8263" s="4"/>
      <c r="AC8263" s="7">
        <v>2022</v>
      </c>
      <c r="AD8263" s="7">
        <v>12</v>
      </c>
      <c r="AE8263" s="7">
        <v>11</v>
      </c>
      <c r="AF8263" s="8">
        <v>0.20833333333333334</v>
      </c>
      <c r="AG8263" s="7">
        <v>-11.5</v>
      </c>
      <c r="AH8263" s="10">
        <f t="shared" si="143"/>
        <v>-12</v>
      </c>
    </row>
    <row r="8264" spans="11:34" ht="14.5" x14ac:dyDescent="0.35">
      <c r="K8264" s="4"/>
      <c r="AC8264" s="7">
        <v>2022</v>
      </c>
      <c r="AD8264" s="7">
        <v>12</v>
      </c>
      <c r="AE8264" s="7">
        <v>11</v>
      </c>
      <c r="AF8264" s="8">
        <v>0.25</v>
      </c>
      <c r="AG8264" s="7">
        <v>-11.1</v>
      </c>
      <c r="AH8264" s="10">
        <f t="shared" si="143"/>
        <v>-11</v>
      </c>
    </row>
    <row r="8265" spans="11:34" ht="14.5" x14ac:dyDescent="0.35">
      <c r="K8265" s="4"/>
      <c r="AC8265" s="7">
        <v>2022</v>
      </c>
      <c r="AD8265" s="7">
        <v>12</v>
      </c>
      <c r="AE8265" s="7">
        <v>11</v>
      </c>
      <c r="AF8265" s="8">
        <v>0.29166666666666669</v>
      </c>
      <c r="AG8265" s="7">
        <v>-11.2</v>
      </c>
      <c r="AH8265" s="10">
        <f t="shared" si="143"/>
        <v>-11</v>
      </c>
    </row>
    <row r="8266" spans="11:34" ht="14.5" x14ac:dyDescent="0.35">
      <c r="K8266" s="4"/>
      <c r="AC8266" s="7">
        <v>2022</v>
      </c>
      <c r="AD8266" s="7">
        <v>12</v>
      </c>
      <c r="AE8266" s="7">
        <v>11</v>
      </c>
      <c r="AF8266" s="8">
        <v>0.33333333333333331</v>
      </c>
      <c r="AG8266" s="7">
        <v>-11.2</v>
      </c>
      <c r="AH8266" s="10">
        <f t="shared" si="143"/>
        <v>-11</v>
      </c>
    </row>
    <row r="8267" spans="11:34" ht="14.5" x14ac:dyDescent="0.35">
      <c r="K8267" s="4"/>
      <c r="AC8267" s="7">
        <v>2022</v>
      </c>
      <c r="AD8267" s="7">
        <v>12</v>
      </c>
      <c r="AE8267" s="7">
        <v>11</v>
      </c>
      <c r="AF8267" s="8">
        <v>0.375</v>
      </c>
      <c r="AG8267" s="7">
        <v>-11.6</v>
      </c>
      <c r="AH8267" s="10">
        <f t="shared" ref="AH8267:AH8330" si="144">ROUND(AG8267,0)</f>
        <v>-12</v>
      </c>
    </row>
    <row r="8268" spans="11:34" ht="14.5" x14ac:dyDescent="0.35">
      <c r="K8268" s="4"/>
      <c r="AC8268" s="7">
        <v>2022</v>
      </c>
      <c r="AD8268" s="7">
        <v>12</v>
      </c>
      <c r="AE8268" s="7">
        <v>11</v>
      </c>
      <c r="AF8268" s="8">
        <v>0.41666666666666669</v>
      </c>
      <c r="AG8268" s="7">
        <v>-11.7</v>
      </c>
      <c r="AH8268" s="10">
        <f t="shared" si="144"/>
        <v>-12</v>
      </c>
    </row>
    <row r="8269" spans="11:34" ht="14.5" x14ac:dyDescent="0.35">
      <c r="K8269" s="4"/>
      <c r="AC8269" s="7">
        <v>2022</v>
      </c>
      <c r="AD8269" s="7">
        <v>12</v>
      </c>
      <c r="AE8269" s="7">
        <v>11</v>
      </c>
      <c r="AF8269" s="8">
        <v>0.45833333333333331</v>
      </c>
      <c r="AG8269" s="7">
        <v>-12.3</v>
      </c>
      <c r="AH8269" s="10">
        <f t="shared" si="144"/>
        <v>-12</v>
      </c>
    </row>
    <row r="8270" spans="11:34" ht="14.5" x14ac:dyDescent="0.35">
      <c r="K8270" s="4"/>
      <c r="AC8270" s="7">
        <v>2022</v>
      </c>
      <c r="AD8270" s="7">
        <v>12</v>
      </c>
      <c r="AE8270" s="7">
        <v>11</v>
      </c>
      <c r="AF8270" s="8">
        <v>0.5</v>
      </c>
      <c r="AG8270" s="7">
        <v>-12.8</v>
      </c>
      <c r="AH8270" s="10">
        <f t="shared" si="144"/>
        <v>-13</v>
      </c>
    </row>
    <row r="8271" spans="11:34" ht="14.5" x14ac:dyDescent="0.35">
      <c r="K8271" s="4"/>
      <c r="AC8271" s="7">
        <v>2022</v>
      </c>
      <c r="AD8271" s="7">
        <v>12</v>
      </c>
      <c r="AE8271" s="7">
        <v>11</v>
      </c>
      <c r="AF8271" s="8">
        <v>0.54166666666666663</v>
      </c>
      <c r="AG8271" s="7">
        <v>-13.5</v>
      </c>
      <c r="AH8271" s="10">
        <f t="shared" si="144"/>
        <v>-14</v>
      </c>
    </row>
    <row r="8272" spans="11:34" ht="14.5" x14ac:dyDescent="0.35">
      <c r="K8272" s="4"/>
      <c r="AC8272" s="7">
        <v>2022</v>
      </c>
      <c r="AD8272" s="7">
        <v>12</v>
      </c>
      <c r="AE8272" s="7">
        <v>11</v>
      </c>
      <c r="AF8272" s="8">
        <v>0.58333333333333337</v>
      </c>
      <c r="AG8272" s="7">
        <v>-13.6</v>
      </c>
      <c r="AH8272" s="10">
        <f t="shared" si="144"/>
        <v>-14</v>
      </c>
    </row>
    <row r="8273" spans="11:34" ht="14.5" x14ac:dyDescent="0.35">
      <c r="K8273" s="4"/>
      <c r="AC8273" s="7">
        <v>2022</v>
      </c>
      <c r="AD8273" s="7">
        <v>12</v>
      </c>
      <c r="AE8273" s="7">
        <v>11</v>
      </c>
      <c r="AF8273" s="8">
        <v>0.625</v>
      </c>
      <c r="AG8273" s="7">
        <v>-13.5</v>
      </c>
      <c r="AH8273" s="10">
        <f t="shared" si="144"/>
        <v>-14</v>
      </c>
    </row>
    <row r="8274" spans="11:34" ht="14.5" x14ac:dyDescent="0.35">
      <c r="K8274" s="4"/>
      <c r="AC8274" s="7">
        <v>2022</v>
      </c>
      <c r="AD8274" s="7">
        <v>12</v>
      </c>
      <c r="AE8274" s="7">
        <v>11</v>
      </c>
      <c r="AF8274" s="8">
        <v>0.66666666666666663</v>
      </c>
      <c r="AG8274" s="7">
        <v>-14.1</v>
      </c>
      <c r="AH8274" s="10">
        <f t="shared" si="144"/>
        <v>-14</v>
      </c>
    </row>
    <row r="8275" spans="11:34" ht="14.5" x14ac:dyDescent="0.35">
      <c r="K8275" s="4"/>
      <c r="AC8275" s="7">
        <v>2022</v>
      </c>
      <c r="AD8275" s="7">
        <v>12</v>
      </c>
      <c r="AE8275" s="7">
        <v>11</v>
      </c>
      <c r="AF8275" s="8">
        <v>0.70833333333333337</v>
      </c>
      <c r="AG8275" s="7">
        <v>-14.9</v>
      </c>
      <c r="AH8275" s="10">
        <f t="shared" si="144"/>
        <v>-15</v>
      </c>
    </row>
    <row r="8276" spans="11:34" ht="14.5" x14ac:dyDescent="0.35">
      <c r="K8276" s="4"/>
      <c r="AC8276" s="7">
        <v>2022</v>
      </c>
      <c r="AD8276" s="7">
        <v>12</v>
      </c>
      <c r="AE8276" s="7">
        <v>11</v>
      </c>
      <c r="AF8276" s="8">
        <v>0.75</v>
      </c>
      <c r="AG8276" s="7">
        <v>-15.4</v>
      </c>
      <c r="AH8276" s="10">
        <f t="shared" si="144"/>
        <v>-15</v>
      </c>
    </row>
    <row r="8277" spans="11:34" ht="14.5" x14ac:dyDescent="0.35">
      <c r="K8277" s="4"/>
      <c r="AC8277" s="7">
        <v>2022</v>
      </c>
      <c r="AD8277" s="7">
        <v>12</v>
      </c>
      <c r="AE8277" s="7">
        <v>11</v>
      </c>
      <c r="AF8277" s="8">
        <v>0.79166666666666663</v>
      </c>
      <c r="AG8277" s="7">
        <v>-16.100000000000001</v>
      </c>
      <c r="AH8277" s="10">
        <f t="shared" si="144"/>
        <v>-16</v>
      </c>
    </row>
    <row r="8278" spans="11:34" ht="14.5" x14ac:dyDescent="0.35">
      <c r="K8278" s="4"/>
      <c r="AC8278" s="7">
        <v>2022</v>
      </c>
      <c r="AD8278" s="7">
        <v>12</v>
      </c>
      <c r="AE8278" s="7">
        <v>11</v>
      </c>
      <c r="AF8278" s="8">
        <v>0.83333333333333337</v>
      </c>
      <c r="AG8278" s="7">
        <v>-16.7</v>
      </c>
      <c r="AH8278" s="10">
        <f t="shared" si="144"/>
        <v>-17</v>
      </c>
    </row>
    <row r="8279" spans="11:34" ht="14.5" x14ac:dyDescent="0.35">
      <c r="K8279" s="4"/>
      <c r="AC8279" s="7">
        <v>2022</v>
      </c>
      <c r="AD8279" s="7">
        <v>12</v>
      </c>
      <c r="AE8279" s="7">
        <v>11</v>
      </c>
      <c r="AF8279" s="8">
        <v>0.875</v>
      </c>
      <c r="AG8279" s="7">
        <v>-15.8</v>
      </c>
      <c r="AH8279" s="10">
        <f t="shared" si="144"/>
        <v>-16</v>
      </c>
    </row>
    <row r="8280" spans="11:34" ht="14.5" x14ac:dyDescent="0.35">
      <c r="K8280" s="4"/>
      <c r="AC8280" s="7">
        <v>2022</v>
      </c>
      <c r="AD8280" s="7">
        <v>12</v>
      </c>
      <c r="AE8280" s="7">
        <v>11</v>
      </c>
      <c r="AF8280" s="8">
        <v>0.91666666666666663</v>
      </c>
      <c r="AG8280" s="7">
        <v>-15.3</v>
      </c>
      <c r="AH8280" s="10">
        <f t="shared" si="144"/>
        <v>-15</v>
      </c>
    </row>
    <row r="8281" spans="11:34" ht="14.5" x14ac:dyDescent="0.35">
      <c r="K8281" s="4"/>
      <c r="AC8281" s="7">
        <v>2022</v>
      </c>
      <c r="AD8281" s="7">
        <v>12</v>
      </c>
      <c r="AE8281" s="7">
        <v>11</v>
      </c>
      <c r="AF8281" s="8">
        <v>0.95833333333333337</v>
      </c>
      <c r="AG8281" s="7">
        <v>-15.1</v>
      </c>
      <c r="AH8281" s="10">
        <f t="shared" si="144"/>
        <v>-15</v>
      </c>
    </row>
    <row r="8282" spans="11:34" ht="14.5" x14ac:dyDescent="0.35">
      <c r="K8282" s="4"/>
      <c r="AC8282" s="7">
        <v>2022</v>
      </c>
      <c r="AD8282" s="7">
        <v>12</v>
      </c>
      <c r="AE8282" s="7">
        <v>12</v>
      </c>
      <c r="AF8282" s="8">
        <v>0</v>
      </c>
      <c r="AG8282" s="7">
        <v>-15.2</v>
      </c>
      <c r="AH8282" s="10">
        <f t="shared" si="144"/>
        <v>-15</v>
      </c>
    </row>
    <row r="8283" spans="11:34" ht="14.5" x14ac:dyDescent="0.35">
      <c r="K8283" s="4"/>
      <c r="AC8283" s="7">
        <v>2022</v>
      </c>
      <c r="AD8283" s="7">
        <v>12</v>
      </c>
      <c r="AE8283" s="7">
        <v>12</v>
      </c>
      <c r="AF8283" s="8">
        <v>4.1666666666666664E-2</v>
      </c>
      <c r="AG8283" s="7">
        <v>-15.3</v>
      </c>
      <c r="AH8283" s="10">
        <f t="shared" si="144"/>
        <v>-15</v>
      </c>
    </row>
    <row r="8284" spans="11:34" ht="14.5" x14ac:dyDescent="0.35">
      <c r="K8284" s="4"/>
      <c r="AC8284" s="7">
        <v>2022</v>
      </c>
      <c r="AD8284" s="7">
        <v>12</v>
      </c>
      <c r="AE8284" s="7">
        <v>12</v>
      </c>
      <c r="AF8284" s="8">
        <v>8.3333333333333329E-2</v>
      </c>
      <c r="AG8284" s="7">
        <v>-15.7</v>
      </c>
      <c r="AH8284" s="10">
        <f t="shared" si="144"/>
        <v>-16</v>
      </c>
    </row>
    <row r="8285" spans="11:34" ht="14.5" x14ac:dyDescent="0.35">
      <c r="K8285" s="4"/>
      <c r="AC8285" s="7">
        <v>2022</v>
      </c>
      <c r="AD8285" s="7">
        <v>12</v>
      </c>
      <c r="AE8285" s="7">
        <v>12</v>
      </c>
      <c r="AF8285" s="8">
        <v>0.125</v>
      </c>
      <c r="AG8285" s="7">
        <v>-15.6</v>
      </c>
      <c r="AH8285" s="10">
        <f t="shared" si="144"/>
        <v>-16</v>
      </c>
    </row>
    <row r="8286" spans="11:34" ht="14.5" x14ac:dyDescent="0.35">
      <c r="K8286" s="4"/>
      <c r="AC8286" s="7">
        <v>2022</v>
      </c>
      <c r="AD8286" s="7">
        <v>12</v>
      </c>
      <c r="AE8286" s="7">
        <v>12</v>
      </c>
      <c r="AF8286" s="8">
        <v>0.16666666666666666</v>
      </c>
      <c r="AG8286" s="7">
        <v>-15.1</v>
      </c>
      <c r="AH8286" s="10">
        <f t="shared" si="144"/>
        <v>-15</v>
      </c>
    </row>
    <row r="8287" spans="11:34" ht="14.5" x14ac:dyDescent="0.35">
      <c r="K8287" s="4"/>
      <c r="AC8287" s="7">
        <v>2022</v>
      </c>
      <c r="AD8287" s="7">
        <v>12</v>
      </c>
      <c r="AE8287" s="7">
        <v>12</v>
      </c>
      <c r="AF8287" s="8">
        <v>0.20833333333333334</v>
      </c>
      <c r="AG8287" s="7">
        <v>-15.1</v>
      </c>
      <c r="AH8287" s="10">
        <f t="shared" si="144"/>
        <v>-15</v>
      </c>
    </row>
    <row r="8288" spans="11:34" ht="14.5" x14ac:dyDescent="0.35">
      <c r="K8288" s="4"/>
      <c r="AC8288" s="7">
        <v>2022</v>
      </c>
      <c r="AD8288" s="7">
        <v>12</v>
      </c>
      <c r="AE8288" s="7">
        <v>12</v>
      </c>
      <c r="AF8288" s="8">
        <v>0.25</v>
      </c>
      <c r="AG8288" s="7">
        <v>-15</v>
      </c>
      <c r="AH8288" s="10">
        <f t="shared" si="144"/>
        <v>-15</v>
      </c>
    </row>
    <row r="8289" spans="11:34" ht="14.5" x14ac:dyDescent="0.35">
      <c r="K8289" s="4"/>
      <c r="AC8289" s="7">
        <v>2022</v>
      </c>
      <c r="AD8289" s="7">
        <v>12</v>
      </c>
      <c r="AE8289" s="7">
        <v>12</v>
      </c>
      <c r="AF8289" s="8">
        <v>0.29166666666666669</v>
      </c>
      <c r="AG8289" s="7">
        <v>-14.9</v>
      </c>
      <c r="AH8289" s="10">
        <f t="shared" si="144"/>
        <v>-15</v>
      </c>
    </row>
    <row r="8290" spans="11:34" ht="14.5" x14ac:dyDescent="0.35">
      <c r="K8290" s="4"/>
      <c r="AC8290" s="7">
        <v>2022</v>
      </c>
      <c r="AD8290" s="7">
        <v>12</v>
      </c>
      <c r="AE8290" s="7">
        <v>12</v>
      </c>
      <c r="AF8290" s="8">
        <v>0.33333333333333331</v>
      </c>
      <c r="AG8290" s="7">
        <v>-14.8</v>
      </c>
      <c r="AH8290" s="10">
        <f t="shared" si="144"/>
        <v>-15</v>
      </c>
    </row>
    <row r="8291" spans="11:34" ht="14.5" x14ac:dyDescent="0.35">
      <c r="K8291" s="4"/>
      <c r="AC8291" s="7">
        <v>2022</v>
      </c>
      <c r="AD8291" s="7">
        <v>12</v>
      </c>
      <c r="AE8291" s="7">
        <v>12</v>
      </c>
      <c r="AF8291" s="8">
        <v>0.375</v>
      </c>
      <c r="AG8291" s="7">
        <v>-14.4</v>
      </c>
      <c r="AH8291" s="10">
        <f t="shared" si="144"/>
        <v>-14</v>
      </c>
    </row>
    <row r="8292" spans="11:34" ht="14.5" x14ac:dyDescent="0.35">
      <c r="K8292" s="4"/>
      <c r="AC8292" s="7">
        <v>2022</v>
      </c>
      <c r="AD8292" s="7">
        <v>12</v>
      </c>
      <c r="AE8292" s="7">
        <v>12</v>
      </c>
      <c r="AF8292" s="8">
        <v>0.41666666666666669</v>
      </c>
      <c r="AG8292" s="7">
        <v>-13.8</v>
      </c>
      <c r="AH8292" s="10">
        <f t="shared" si="144"/>
        <v>-14</v>
      </c>
    </row>
    <row r="8293" spans="11:34" ht="14.5" x14ac:dyDescent="0.35">
      <c r="K8293" s="4"/>
      <c r="AC8293" s="7">
        <v>2022</v>
      </c>
      <c r="AD8293" s="7">
        <v>12</v>
      </c>
      <c r="AE8293" s="7">
        <v>12</v>
      </c>
      <c r="AF8293" s="8">
        <v>0.45833333333333331</v>
      </c>
      <c r="AG8293" s="7">
        <v>-13.3</v>
      </c>
      <c r="AH8293" s="10">
        <f t="shared" si="144"/>
        <v>-13</v>
      </c>
    </row>
    <row r="8294" spans="11:34" ht="14.5" x14ac:dyDescent="0.35">
      <c r="K8294" s="4"/>
      <c r="AC8294" s="7">
        <v>2022</v>
      </c>
      <c r="AD8294" s="7">
        <v>12</v>
      </c>
      <c r="AE8294" s="7">
        <v>12</v>
      </c>
      <c r="AF8294" s="8">
        <v>0.5</v>
      </c>
      <c r="AG8294" s="7">
        <v>-12.1</v>
      </c>
      <c r="AH8294" s="10">
        <f t="shared" si="144"/>
        <v>-12</v>
      </c>
    </row>
    <row r="8295" spans="11:34" ht="14.5" x14ac:dyDescent="0.35">
      <c r="K8295" s="4"/>
      <c r="AC8295" s="7">
        <v>2022</v>
      </c>
      <c r="AD8295" s="7">
        <v>12</v>
      </c>
      <c r="AE8295" s="7">
        <v>12</v>
      </c>
      <c r="AF8295" s="8">
        <v>0.54166666666666663</v>
      </c>
      <c r="AG8295" s="7">
        <v>-11.2</v>
      </c>
      <c r="AH8295" s="10">
        <f t="shared" si="144"/>
        <v>-11</v>
      </c>
    </row>
    <row r="8296" spans="11:34" ht="14.5" x14ac:dyDescent="0.35">
      <c r="K8296" s="4"/>
      <c r="AC8296" s="7">
        <v>2022</v>
      </c>
      <c r="AD8296" s="7">
        <v>12</v>
      </c>
      <c r="AE8296" s="7">
        <v>12</v>
      </c>
      <c r="AF8296" s="8">
        <v>0.58333333333333337</v>
      </c>
      <c r="AG8296" s="7">
        <v>-10</v>
      </c>
      <c r="AH8296" s="10">
        <f t="shared" si="144"/>
        <v>-10</v>
      </c>
    </row>
    <row r="8297" spans="11:34" ht="14.5" x14ac:dyDescent="0.35">
      <c r="K8297" s="4"/>
      <c r="AC8297" s="7">
        <v>2022</v>
      </c>
      <c r="AD8297" s="7">
        <v>12</v>
      </c>
      <c r="AE8297" s="7">
        <v>12</v>
      </c>
      <c r="AF8297" s="8">
        <v>0.625</v>
      </c>
      <c r="AG8297" s="7">
        <v>-11.1</v>
      </c>
      <c r="AH8297" s="10">
        <f t="shared" si="144"/>
        <v>-11</v>
      </c>
    </row>
    <row r="8298" spans="11:34" ht="14.5" x14ac:dyDescent="0.35">
      <c r="K8298" s="4"/>
      <c r="AC8298" s="7">
        <v>2022</v>
      </c>
      <c r="AD8298" s="7">
        <v>12</v>
      </c>
      <c r="AE8298" s="7">
        <v>12</v>
      </c>
      <c r="AF8298" s="8">
        <v>0.66666666666666663</v>
      </c>
      <c r="AG8298" s="7">
        <v>-12.5</v>
      </c>
      <c r="AH8298" s="10">
        <f t="shared" si="144"/>
        <v>-13</v>
      </c>
    </row>
    <row r="8299" spans="11:34" ht="14.5" x14ac:dyDescent="0.35">
      <c r="K8299" s="4"/>
      <c r="AC8299" s="7">
        <v>2022</v>
      </c>
      <c r="AD8299" s="7">
        <v>12</v>
      </c>
      <c r="AE8299" s="7">
        <v>12</v>
      </c>
      <c r="AF8299" s="8">
        <v>0.70833333333333337</v>
      </c>
      <c r="AG8299" s="7">
        <v>-13.9</v>
      </c>
      <c r="AH8299" s="10">
        <f t="shared" si="144"/>
        <v>-14</v>
      </c>
    </row>
    <row r="8300" spans="11:34" ht="14.5" x14ac:dyDescent="0.35">
      <c r="K8300" s="4"/>
      <c r="AC8300" s="7">
        <v>2022</v>
      </c>
      <c r="AD8300" s="7">
        <v>12</v>
      </c>
      <c r="AE8300" s="7">
        <v>12</v>
      </c>
      <c r="AF8300" s="8">
        <v>0.75</v>
      </c>
      <c r="AG8300" s="7">
        <v>-14.8</v>
      </c>
      <c r="AH8300" s="10">
        <f t="shared" si="144"/>
        <v>-15</v>
      </c>
    </row>
    <row r="8301" spans="11:34" ht="14.5" x14ac:dyDescent="0.35">
      <c r="K8301" s="4"/>
      <c r="AC8301" s="7">
        <v>2022</v>
      </c>
      <c r="AD8301" s="7">
        <v>12</v>
      </c>
      <c r="AE8301" s="7">
        <v>12</v>
      </c>
      <c r="AF8301" s="8">
        <v>0.79166666666666663</v>
      </c>
      <c r="AG8301" s="7">
        <v>-15.4</v>
      </c>
      <c r="AH8301" s="10">
        <f t="shared" si="144"/>
        <v>-15</v>
      </c>
    </row>
    <row r="8302" spans="11:34" ht="14.5" x14ac:dyDescent="0.35">
      <c r="K8302" s="4"/>
      <c r="AC8302" s="7">
        <v>2022</v>
      </c>
      <c r="AD8302" s="7">
        <v>12</v>
      </c>
      <c r="AE8302" s="7">
        <v>12</v>
      </c>
      <c r="AF8302" s="8">
        <v>0.83333333333333337</v>
      </c>
      <c r="AG8302" s="7">
        <v>-15.7</v>
      </c>
      <c r="AH8302" s="10">
        <f t="shared" si="144"/>
        <v>-16</v>
      </c>
    </row>
    <row r="8303" spans="11:34" ht="14.5" x14ac:dyDescent="0.35">
      <c r="K8303" s="4"/>
      <c r="AC8303" s="7">
        <v>2022</v>
      </c>
      <c r="AD8303" s="7">
        <v>12</v>
      </c>
      <c r="AE8303" s="7">
        <v>12</v>
      </c>
      <c r="AF8303" s="8">
        <v>0.875</v>
      </c>
      <c r="AG8303" s="7">
        <v>-15.8</v>
      </c>
      <c r="AH8303" s="10">
        <f t="shared" si="144"/>
        <v>-16</v>
      </c>
    </row>
    <row r="8304" spans="11:34" ht="14.5" x14ac:dyDescent="0.35">
      <c r="K8304" s="4"/>
      <c r="AC8304" s="7">
        <v>2022</v>
      </c>
      <c r="AD8304" s="7">
        <v>12</v>
      </c>
      <c r="AE8304" s="7">
        <v>12</v>
      </c>
      <c r="AF8304" s="8">
        <v>0.91666666666666663</v>
      </c>
      <c r="AG8304" s="7">
        <v>-15.2</v>
      </c>
      <c r="AH8304" s="10">
        <f t="shared" si="144"/>
        <v>-15</v>
      </c>
    </row>
    <row r="8305" spans="11:34" ht="14.5" x14ac:dyDescent="0.35">
      <c r="K8305" s="4"/>
      <c r="AC8305" s="7">
        <v>2022</v>
      </c>
      <c r="AD8305" s="7">
        <v>12</v>
      </c>
      <c r="AE8305" s="7">
        <v>12</v>
      </c>
      <c r="AF8305" s="8">
        <v>0.95833333333333337</v>
      </c>
      <c r="AG8305" s="7">
        <v>-14.6</v>
      </c>
      <c r="AH8305" s="10">
        <f t="shared" si="144"/>
        <v>-15</v>
      </c>
    </row>
    <row r="8306" spans="11:34" ht="14.5" x14ac:dyDescent="0.35">
      <c r="K8306" s="4"/>
      <c r="AC8306" s="7">
        <v>2022</v>
      </c>
      <c r="AD8306" s="7">
        <v>12</v>
      </c>
      <c r="AE8306" s="7">
        <v>13</v>
      </c>
      <c r="AF8306" s="8">
        <v>0</v>
      </c>
      <c r="AG8306" s="7">
        <v>-15.6</v>
      </c>
      <c r="AH8306" s="10">
        <f t="shared" si="144"/>
        <v>-16</v>
      </c>
    </row>
    <row r="8307" spans="11:34" ht="14.5" x14ac:dyDescent="0.35">
      <c r="K8307" s="4"/>
      <c r="AC8307" s="7">
        <v>2022</v>
      </c>
      <c r="AD8307" s="7">
        <v>12</v>
      </c>
      <c r="AE8307" s="7">
        <v>13</v>
      </c>
      <c r="AF8307" s="8">
        <v>4.1666666666666664E-2</v>
      </c>
      <c r="AG8307" s="7">
        <v>-16.100000000000001</v>
      </c>
      <c r="AH8307" s="10">
        <f t="shared" si="144"/>
        <v>-16</v>
      </c>
    </row>
    <row r="8308" spans="11:34" ht="14.5" x14ac:dyDescent="0.35">
      <c r="K8308" s="4"/>
      <c r="AC8308" s="7">
        <v>2022</v>
      </c>
      <c r="AD8308" s="7">
        <v>12</v>
      </c>
      <c r="AE8308" s="7">
        <v>13</v>
      </c>
      <c r="AF8308" s="8">
        <v>8.3333333333333329E-2</v>
      </c>
      <c r="AG8308" s="7">
        <v>-15.1</v>
      </c>
      <c r="AH8308" s="10">
        <f t="shared" si="144"/>
        <v>-15</v>
      </c>
    </row>
    <row r="8309" spans="11:34" ht="14.5" x14ac:dyDescent="0.35">
      <c r="K8309" s="4"/>
      <c r="AC8309" s="7">
        <v>2022</v>
      </c>
      <c r="AD8309" s="7">
        <v>12</v>
      </c>
      <c r="AE8309" s="7">
        <v>13</v>
      </c>
      <c r="AF8309" s="8">
        <v>0.125</v>
      </c>
      <c r="AG8309" s="7">
        <v>-15.3</v>
      </c>
      <c r="AH8309" s="10">
        <f t="shared" si="144"/>
        <v>-15</v>
      </c>
    </row>
    <row r="8310" spans="11:34" ht="14.5" x14ac:dyDescent="0.35">
      <c r="K8310" s="4"/>
      <c r="AC8310" s="7">
        <v>2022</v>
      </c>
      <c r="AD8310" s="7">
        <v>12</v>
      </c>
      <c r="AE8310" s="7">
        <v>13</v>
      </c>
      <c r="AF8310" s="8">
        <v>0.16666666666666666</v>
      </c>
      <c r="AG8310" s="7">
        <v>-15.6</v>
      </c>
      <c r="AH8310" s="10">
        <f t="shared" si="144"/>
        <v>-16</v>
      </c>
    </row>
    <row r="8311" spans="11:34" ht="14.5" x14ac:dyDescent="0.35">
      <c r="K8311" s="4"/>
      <c r="AC8311" s="7">
        <v>2022</v>
      </c>
      <c r="AD8311" s="7">
        <v>12</v>
      </c>
      <c r="AE8311" s="7">
        <v>13</v>
      </c>
      <c r="AF8311" s="8">
        <v>0.20833333333333334</v>
      </c>
      <c r="AG8311" s="7">
        <v>-16.2</v>
      </c>
      <c r="AH8311" s="10">
        <f t="shared" si="144"/>
        <v>-16</v>
      </c>
    </row>
    <row r="8312" spans="11:34" ht="14.5" x14ac:dyDescent="0.35">
      <c r="K8312" s="4"/>
      <c r="AC8312" s="7">
        <v>2022</v>
      </c>
      <c r="AD8312" s="7">
        <v>12</v>
      </c>
      <c r="AE8312" s="7">
        <v>13</v>
      </c>
      <c r="AF8312" s="8">
        <v>0.25</v>
      </c>
      <c r="AG8312" s="7">
        <v>-16.399999999999999</v>
      </c>
      <c r="AH8312" s="10">
        <f t="shared" si="144"/>
        <v>-16</v>
      </c>
    </row>
    <row r="8313" spans="11:34" ht="14.5" x14ac:dyDescent="0.35">
      <c r="K8313" s="4"/>
      <c r="AC8313" s="7">
        <v>2022</v>
      </c>
      <c r="AD8313" s="7">
        <v>12</v>
      </c>
      <c r="AE8313" s="7">
        <v>13</v>
      </c>
      <c r="AF8313" s="8">
        <v>0.29166666666666669</v>
      </c>
      <c r="AG8313" s="7">
        <v>-16.7</v>
      </c>
      <c r="AH8313" s="10">
        <f t="shared" si="144"/>
        <v>-17</v>
      </c>
    </row>
    <row r="8314" spans="11:34" ht="14.5" x14ac:dyDescent="0.35">
      <c r="K8314" s="4"/>
      <c r="AC8314" s="7">
        <v>2022</v>
      </c>
      <c r="AD8314" s="7">
        <v>12</v>
      </c>
      <c r="AE8314" s="7">
        <v>13</v>
      </c>
      <c r="AF8314" s="8">
        <v>0.33333333333333331</v>
      </c>
      <c r="AG8314" s="7">
        <v>-16</v>
      </c>
      <c r="AH8314" s="10">
        <f t="shared" si="144"/>
        <v>-16</v>
      </c>
    </row>
    <row r="8315" spans="11:34" ht="14.5" x14ac:dyDescent="0.35">
      <c r="K8315" s="4"/>
      <c r="AC8315" s="7">
        <v>2022</v>
      </c>
      <c r="AD8315" s="7">
        <v>12</v>
      </c>
      <c r="AE8315" s="7">
        <v>13</v>
      </c>
      <c r="AF8315" s="8">
        <v>0.375</v>
      </c>
      <c r="AG8315" s="7">
        <v>-10.1</v>
      </c>
      <c r="AH8315" s="10">
        <f t="shared" si="144"/>
        <v>-10</v>
      </c>
    </row>
    <row r="8316" spans="11:34" ht="14.5" x14ac:dyDescent="0.35">
      <c r="K8316" s="4"/>
      <c r="AC8316" s="7">
        <v>2022</v>
      </c>
      <c r="AD8316" s="7">
        <v>12</v>
      </c>
      <c r="AE8316" s="7">
        <v>13</v>
      </c>
      <c r="AF8316" s="8">
        <v>0.41666666666666669</v>
      </c>
      <c r="AG8316" s="7">
        <v>-7.4</v>
      </c>
      <c r="AH8316" s="10">
        <f t="shared" si="144"/>
        <v>-7</v>
      </c>
    </row>
    <row r="8317" spans="11:34" ht="14.5" x14ac:dyDescent="0.35">
      <c r="K8317" s="4"/>
      <c r="AC8317" s="7">
        <v>2022</v>
      </c>
      <c r="AD8317" s="7">
        <v>12</v>
      </c>
      <c r="AE8317" s="7">
        <v>13</v>
      </c>
      <c r="AF8317" s="8">
        <v>0.45833333333333331</v>
      </c>
      <c r="AG8317" s="7">
        <v>-7.6</v>
      </c>
      <c r="AH8317" s="10">
        <f t="shared" si="144"/>
        <v>-8</v>
      </c>
    </row>
    <row r="8318" spans="11:34" ht="14.5" x14ac:dyDescent="0.35">
      <c r="K8318" s="4"/>
      <c r="AC8318" s="7">
        <v>2022</v>
      </c>
      <c r="AD8318" s="7">
        <v>12</v>
      </c>
      <c r="AE8318" s="7">
        <v>13</v>
      </c>
      <c r="AF8318" s="8">
        <v>0.5</v>
      </c>
      <c r="AG8318" s="7">
        <v>-4.7</v>
      </c>
      <c r="AH8318" s="10">
        <f t="shared" si="144"/>
        <v>-5</v>
      </c>
    </row>
    <row r="8319" spans="11:34" ht="14.5" x14ac:dyDescent="0.35">
      <c r="K8319" s="4"/>
      <c r="AC8319" s="7">
        <v>2022</v>
      </c>
      <c r="AD8319" s="7">
        <v>12</v>
      </c>
      <c r="AE8319" s="7">
        <v>13</v>
      </c>
      <c r="AF8319" s="8">
        <v>0.54166666666666663</v>
      </c>
      <c r="AG8319" s="7">
        <v>-3.3</v>
      </c>
      <c r="AH8319" s="10">
        <f t="shared" si="144"/>
        <v>-3</v>
      </c>
    </row>
    <row r="8320" spans="11:34" ht="14.5" x14ac:dyDescent="0.35">
      <c r="K8320" s="4"/>
      <c r="AC8320" s="7">
        <v>2022</v>
      </c>
      <c r="AD8320" s="7">
        <v>12</v>
      </c>
      <c r="AE8320" s="7">
        <v>13</v>
      </c>
      <c r="AF8320" s="8">
        <v>0.58333333333333337</v>
      </c>
      <c r="AG8320" s="7">
        <v>-2.4</v>
      </c>
      <c r="AH8320" s="10">
        <f t="shared" si="144"/>
        <v>-2</v>
      </c>
    </row>
    <row r="8321" spans="11:34" ht="14.5" x14ac:dyDescent="0.35">
      <c r="K8321" s="4"/>
      <c r="AC8321" s="7">
        <v>2022</v>
      </c>
      <c r="AD8321" s="7">
        <v>12</v>
      </c>
      <c r="AE8321" s="7">
        <v>13</v>
      </c>
      <c r="AF8321" s="8">
        <v>0.625</v>
      </c>
      <c r="AG8321" s="7">
        <v>-1.5</v>
      </c>
      <c r="AH8321" s="10">
        <f t="shared" si="144"/>
        <v>-2</v>
      </c>
    </row>
    <row r="8322" spans="11:34" ht="14.5" x14ac:dyDescent="0.35">
      <c r="K8322" s="4"/>
      <c r="AC8322" s="7">
        <v>2022</v>
      </c>
      <c r="AD8322" s="7">
        <v>12</v>
      </c>
      <c r="AE8322" s="7">
        <v>13</v>
      </c>
      <c r="AF8322" s="8">
        <v>0.66666666666666663</v>
      </c>
      <c r="AG8322" s="7">
        <v>-0.7</v>
      </c>
      <c r="AH8322" s="10">
        <f t="shared" si="144"/>
        <v>-1</v>
      </c>
    </row>
    <row r="8323" spans="11:34" ht="14.5" x14ac:dyDescent="0.35">
      <c r="K8323" s="4"/>
      <c r="AC8323" s="7">
        <v>2022</v>
      </c>
      <c r="AD8323" s="7">
        <v>12</v>
      </c>
      <c r="AE8323" s="7">
        <v>13</v>
      </c>
      <c r="AF8323" s="8">
        <v>0.70833333333333337</v>
      </c>
      <c r="AG8323" s="7">
        <v>-0.9</v>
      </c>
      <c r="AH8323" s="10">
        <f t="shared" si="144"/>
        <v>-1</v>
      </c>
    </row>
    <row r="8324" spans="11:34" ht="14.5" x14ac:dyDescent="0.35">
      <c r="K8324" s="4"/>
      <c r="AC8324" s="7">
        <v>2022</v>
      </c>
      <c r="AD8324" s="7">
        <v>12</v>
      </c>
      <c r="AE8324" s="7">
        <v>13</v>
      </c>
      <c r="AF8324" s="8">
        <v>0.75</v>
      </c>
      <c r="AG8324" s="7">
        <v>0.2</v>
      </c>
      <c r="AH8324" s="10">
        <f t="shared" si="144"/>
        <v>0</v>
      </c>
    </row>
    <row r="8325" spans="11:34" ht="14.5" x14ac:dyDescent="0.35">
      <c r="K8325" s="4"/>
      <c r="AC8325" s="7">
        <v>2022</v>
      </c>
      <c r="AD8325" s="7">
        <v>12</v>
      </c>
      <c r="AE8325" s="7">
        <v>13</v>
      </c>
      <c r="AF8325" s="8">
        <v>0.79166666666666663</v>
      </c>
      <c r="AG8325" s="7">
        <v>0.4</v>
      </c>
      <c r="AH8325" s="10">
        <f t="shared" si="144"/>
        <v>0</v>
      </c>
    </row>
    <row r="8326" spans="11:34" ht="14.5" x14ac:dyDescent="0.35">
      <c r="K8326" s="4"/>
      <c r="AC8326" s="7">
        <v>2022</v>
      </c>
      <c r="AD8326" s="7">
        <v>12</v>
      </c>
      <c r="AE8326" s="7">
        <v>13</v>
      </c>
      <c r="AF8326" s="8">
        <v>0.83333333333333337</v>
      </c>
      <c r="AG8326" s="7">
        <v>1.7</v>
      </c>
      <c r="AH8326" s="10">
        <f t="shared" si="144"/>
        <v>2</v>
      </c>
    </row>
    <row r="8327" spans="11:34" ht="14.5" x14ac:dyDescent="0.35">
      <c r="K8327" s="4"/>
      <c r="AC8327" s="7">
        <v>2022</v>
      </c>
      <c r="AD8327" s="7">
        <v>12</v>
      </c>
      <c r="AE8327" s="7">
        <v>13</v>
      </c>
      <c r="AF8327" s="8">
        <v>0.875</v>
      </c>
      <c r="AG8327" s="7">
        <v>0.8</v>
      </c>
      <c r="AH8327" s="10">
        <f t="shared" si="144"/>
        <v>1</v>
      </c>
    </row>
    <row r="8328" spans="11:34" ht="14.5" x14ac:dyDescent="0.35">
      <c r="K8328" s="4"/>
      <c r="AC8328" s="7">
        <v>2022</v>
      </c>
      <c r="AD8328" s="7">
        <v>12</v>
      </c>
      <c r="AE8328" s="7">
        <v>13</v>
      </c>
      <c r="AF8328" s="8">
        <v>0.91666666666666663</v>
      </c>
      <c r="AG8328" s="7">
        <v>0.5</v>
      </c>
      <c r="AH8328" s="10">
        <f t="shared" si="144"/>
        <v>1</v>
      </c>
    </row>
    <row r="8329" spans="11:34" ht="14.5" x14ac:dyDescent="0.35">
      <c r="K8329" s="4"/>
      <c r="AC8329" s="7">
        <v>2022</v>
      </c>
      <c r="AD8329" s="7">
        <v>12</v>
      </c>
      <c r="AE8329" s="7">
        <v>13</v>
      </c>
      <c r="AF8329" s="8">
        <v>0.95833333333333337</v>
      </c>
      <c r="AG8329" s="7">
        <v>-0.5</v>
      </c>
      <c r="AH8329" s="10">
        <f t="shared" si="144"/>
        <v>-1</v>
      </c>
    </row>
    <row r="8330" spans="11:34" ht="14.5" x14ac:dyDescent="0.35">
      <c r="K8330" s="4"/>
      <c r="AC8330" s="7">
        <v>2022</v>
      </c>
      <c r="AD8330" s="7">
        <v>12</v>
      </c>
      <c r="AE8330" s="7">
        <v>14</v>
      </c>
      <c r="AF8330" s="8">
        <v>0</v>
      </c>
      <c r="AG8330" s="7">
        <v>-0.5</v>
      </c>
      <c r="AH8330" s="10">
        <f t="shared" si="144"/>
        <v>-1</v>
      </c>
    </row>
    <row r="8331" spans="11:34" ht="14.5" x14ac:dyDescent="0.35">
      <c r="K8331" s="4"/>
      <c r="AC8331" s="7">
        <v>2022</v>
      </c>
      <c r="AD8331" s="7">
        <v>12</v>
      </c>
      <c r="AE8331" s="7">
        <v>14</v>
      </c>
      <c r="AF8331" s="8">
        <v>4.1666666666666664E-2</v>
      </c>
      <c r="AG8331" s="7">
        <v>-0.8</v>
      </c>
      <c r="AH8331" s="10">
        <f t="shared" ref="AH8331:AH8394" si="145">ROUND(AG8331,0)</f>
        <v>-1</v>
      </c>
    </row>
    <row r="8332" spans="11:34" ht="14.5" x14ac:dyDescent="0.35">
      <c r="K8332" s="4"/>
      <c r="AC8332" s="7">
        <v>2022</v>
      </c>
      <c r="AD8332" s="7">
        <v>12</v>
      </c>
      <c r="AE8332" s="7">
        <v>14</v>
      </c>
      <c r="AF8332" s="8">
        <v>8.3333333333333329E-2</v>
      </c>
      <c r="AG8332" s="7">
        <v>-1.3</v>
      </c>
      <c r="AH8332" s="10">
        <f t="shared" si="145"/>
        <v>-1</v>
      </c>
    </row>
    <row r="8333" spans="11:34" ht="14.5" x14ac:dyDescent="0.35">
      <c r="K8333" s="4"/>
      <c r="AC8333" s="7">
        <v>2022</v>
      </c>
      <c r="AD8333" s="7">
        <v>12</v>
      </c>
      <c r="AE8333" s="7">
        <v>14</v>
      </c>
      <c r="AF8333" s="8">
        <v>0.125</v>
      </c>
      <c r="AG8333" s="7">
        <v>-1.7</v>
      </c>
      <c r="AH8333" s="10">
        <f t="shared" si="145"/>
        <v>-2</v>
      </c>
    </row>
    <row r="8334" spans="11:34" ht="14.5" x14ac:dyDescent="0.35">
      <c r="K8334" s="4"/>
      <c r="AC8334" s="7">
        <v>2022</v>
      </c>
      <c r="AD8334" s="7">
        <v>12</v>
      </c>
      <c r="AE8334" s="7">
        <v>14</v>
      </c>
      <c r="AF8334" s="8">
        <v>0.16666666666666666</v>
      </c>
      <c r="AG8334" s="7">
        <v>-1.9</v>
      </c>
      <c r="AH8334" s="10">
        <f t="shared" si="145"/>
        <v>-2</v>
      </c>
    </row>
    <row r="8335" spans="11:34" ht="14.5" x14ac:dyDescent="0.35">
      <c r="K8335" s="4"/>
      <c r="AC8335" s="7">
        <v>2022</v>
      </c>
      <c r="AD8335" s="7">
        <v>12</v>
      </c>
      <c r="AE8335" s="7">
        <v>14</v>
      </c>
      <c r="AF8335" s="8">
        <v>0.20833333333333334</v>
      </c>
      <c r="AG8335" s="7">
        <v>-2.1</v>
      </c>
      <c r="AH8335" s="10">
        <f t="shared" si="145"/>
        <v>-2</v>
      </c>
    </row>
    <row r="8336" spans="11:34" ht="14.5" x14ac:dyDescent="0.35">
      <c r="K8336" s="4"/>
      <c r="AC8336" s="7">
        <v>2022</v>
      </c>
      <c r="AD8336" s="7">
        <v>12</v>
      </c>
      <c r="AE8336" s="7">
        <v>14</v>
      </c>
      <c r="AF8336" s="8">
        <v>0.25</v>
      </c>
      <c r="AG8336" s="7">
        <v>-2.1</v>
      </c>
      <c r="AH8336" s="10">
        <f t="shared" si="145"/>
        <v>-2</v>
      </c>
    </row>
    <row r="8337" spans="11:34" ht="14.5" x14ac:dyDescent="0.35">
      <c r="K8337" s="4"/>
      <c r="AC8337" s="7">
        <v>2022</v>
      </c>
      <c r="AD8337" s="7">
        <v>12</v>
      </c>
      <c r="AE8337" s="7">
        <v>14</v>
      </c>
      <c r="AF8337" s="8">
        <v>0.29166666666666669</v>
      </c>
      <c r="AG8337" s="7">
        <v>-2.2000000000000002</v>
      </c>
      <c r="AH8337" s="10">
        <f t="shared" si="145"/>
        <v>-2</v>
      </c>
    </row>
    <row r="8338" spans="11:34" ht="14.5" x14ac:dyDescent="0.35">
      <c r="K8338" s="4"/>
      <c r="AC8338" s="7">
        <v>2022</v>
      </c>
      <c r="AD8338" s="7">
        <v>12</v>
      </c>
      <c r="AE8338" s="7">
        <v>14</v>
      </c>
      <c r="AF8338" s="8">
        <v>0.33333333333333331</v>
      </c>
      <c r="AG8338" s="7">
        <v>-2.7</v>
      </c>
      <c r="AH8338" s="10">
        <f t="shared" si="145"/>
        <v>-3</v>
      </c>
    </row>
    <row r="8339" spans="11:34" ht="14.5" x14ac:dyDescent="0.35">
      <c r="K8339" s="4"/>
      <c r="AC8339" s="7">
        <v>2022</v>
      </c>
      <c r="AD8339" s="7">
        <v>12</v>
      </c>
      <c r="AE8339" s="7">
        <v>14</v>
      </c>
      <c r="AF8339" s="8">
        <v>0.375</v>
      </c>
      <c r="AG8339" s="7">
        <v>-3.4</v>
      </c>
      <c r="AH8339" s="10">
        <f t="shared" si="145"/>
        <v>-3</v>
      </c>
    </row>
    <row r="8340" spans="11:34" ht="14.5" x14ac:dyDescent="0.35">
      <c r="K8340" s="4"/>
      <c r="AC8340" s="7">
        <v>2022</v>
      </c>
      <c r="AD8340" s="7">
        <v>12</v>
      </c>
      <c r="AE8340" s="7">
        <v>14</v>
      </c>
      <c r="AF8340" s="8">
        <v>0.41666666666666669</v>
      </c>
      <c r="AG8340" s="7">
        <v>-4.4000000000000004</v>
      </c>
      <c r="AH8340" s="10">
        <f t="shared" si="145"/>
        <v>-4</v>
      </c>
    </row>
    <row r="8341" spans="11:34" ht="14.5" x14ac:dyDescent="0.35">
      <c r="K8341" s="4"/>
      <c r="AC8341" s="7">
        <v>2022</v>
      </c>
      <c r="AD8341" s="7">
        <v>12</v>
      </c>
      <c r="AE8341" s="7">
        <v>14</v>
      </c>
      <c r="AF8341" s="8">
        <v>0.45833333333333331</v>
      </c>
      <c r="AG8341" s="7">
        <v>-4.5999999999999996</v>
      </c>
      <c r="AH8341" s="10">
        <f t="shared" si="145"/>
        <v>-5</v>
      </c>
    </row>
    <row r="8342" spans="11:34" ht="14.5" x14ac:dyDescent="0.35">
      <c r="K8342" s="4"/>
      <c r="AC8342" s="7">
        <v>2022</v>
      </c>
      <c r="AD8342" s="7">
        <v>12</v>
      </c>
      <c r="AE8342" s="7">
        <v>14</v>
      </c>
      <c r="AF8342" s="8">
        <v>0.5</v>
      </c>
      <c r="AG8342" s="7">
        <v>-4.0999999999999996</v>
      </c>
      <c r="AH8342" s="10">
        <f t="shared" si="145"/>
        <v>-4</v>
      </c>
    </row>
    <row r="8343" spans="11:34" ht="14.5" x14ac:dyDescent="0.35">
      <c r="K8343" s="4"/>
      <c r="AC8343" s="7">
        <v>2022</v>
      </c>
      <c r="AD8343" s="7">
        <v>12</v>
      </c>
      <c r="AE8343" s="7">
        <v>14</v>
      </c>
      <c r="AF8343" s="8">
        <v>0.54166666666666663</v>
      </c>
      <c r="AG8343" s="7">
        <v>-3.8</v>
      </c>
      <c r="AH8343" s="10">
        <f t="shared" si="145"/>
        <v>-4</v>
      </c>
    </row>
    <row r="8344" spans="11:34" ht="14.5" x14ac:dyDescent="0.35">
      <c r="K8344" s="4"/>
      <c r="AC8344" s="7">
        <v>2022</v>
      </c>
      <c r="AD8344" s="7">
        <v>12</v>
      </c>
      <c r="AE8344" s="7">
        <v>14</v>
      </c>
      <c r="AF8344" s="8">
        <v>0.58333333333333337</v>
      </c>
      <c r="AG8344" s="7">
        <v>-3.7</v>
      </c>
      <c r="AH8344" s="10">
        <f t="shared" si="145"/>
        <v>-4</v>
      </c>
    </row>
    <row r="8345" spans="11:34" ht="14.5" x14ac:dyDescent="0.35">
      <c r="K8345" s="4"/>
      <c r="AC8345" s="7">
        <v>2022</v>
      </c>
      <c r="AD8345" s="7">
        <v>12</v>
      </c>
      <c r="AE8345" s="7">
        <v>14</v>
      </c>
      <c r="AF8345" s="8">
        <v>0.625</v>
      </c>
      <c r="AG8345" s="7">
        <v>-3.7</v>
      </c>
      <c r="AH8345" s="10">
        <f t="shared" si="145"/>
        <v>-4</v>
      </c>
    </row>
    <row r="8346" spans="11:34" ht="14.5" x14ac:dyDescent="0.35">
      <c r="K8346" s="4"/>
      <c r="AC8346" s="7">
        <v>2022</v>
      </c>
      <c r="AD8346" s="7">
        <v>12</v>
      </c>
      <c r="AE8346" s="7">
        <v>14</v>
      </c>
      <c r="AF8346" s="8">
        <v>0.66666666666666663</v>
      </c>
      <c r="AG8346" s="7">
        <v>-4.7</v>
      </c>
      <c r="AH8346" s="10">
        <f t="shared" si="145"/>
        <v>-5</v>
      </c>
    </row>
    <row r="8347" spans="11:34" ht="14.5" x14ac:dyDescent="0.35">
      <c r="K8347" s="4"/>
      <c r="AC8347" s="7">
        <v>2022</v>
      </c>
      <c r="AD8347" s="7">
        <v>12</v>
      </c>
      <c r="AE8347" s="7">
        <v>14</v>
      </c>
      <c r="AF8347" s="8">
        <v>0.70833333333333337</v>
      </c>
      <c r="AG8347" s="7">
        <v>-6.3</v>
      </c>
      <c r="AH8347" s="10">
        <f t="shared" si="145"/>
        <v>-6</v>
      </c>
    </row>
    <row r="8348" spans="11:34" ht="14.5" x14ac:dyDescent="0.35">
      <c r="K8348" s="4"/>
      <c r="AC8348" s="7">
        <v>2022</v>
      </c>
      <c r="AD8348" s="7">
        <v>12</v>
      </c>
      <c r="AE8348" s="7">
        <v>14</v>
      </c>
      <c r="AF8348" s="8">
        <v>0.75</v>
      </c>
      <c r="AG8348" s="7">
        <v>-7.3</v>
      </c>
      <c r="AH8348" s="10">
        <f t="shared" si="145"/>
        <v>-7</v>
      </c>
    </row>
    <row r="8349" spans="11:34" ht="14.5" x14ac:dyDescent="0.35">
      <c r="K8349" s="4"/>
      <c r="AC8349" s="7">
        <v>2022</v>
      </c>
      <c r="AD8349" s="7">
        <v>12</v>
      </c>
      <c r="AE8349" s="7">
        <v>14</v>
      </c>
      <c r="AF8349" s="8">
        <v>0.79166666666666663</v>
      </c>
      <c r="AG8349" s="7">
        <v>-10.4</v>
      </c>
      <c r="AH8349" s="10">
        <f t="shared" si="145"/>
        <v>-10</v>
      </c>
    </row>
    <row r="8350" spans="11:34" ht="14.5" x14ac:dyDescent="0.35">
      <c r="K8350" s="4"/>
      <c r="AC8350" s="7">
        <v>2022</v>
      </c>
      <c r="AD8350" s="7">
        <v>12</v>
      </c>
      <c r="AE8350" s="7">
        <v>14</v>
      </c>
      <c r="AF8350" s="8">
        <v>0.83333333333333337</v>
      </c>
      <c r="AG8350" s="7">
        <v>-11.5</v>
      </c>
      <c r="AH8350" s="10">
        <f t="shared" si="145"/>
        <v>-12</v>
      </c>
    </row>
    <row r="8351" spans="11:34" ht="14.5" x14ac:dyDescent="0.35">
      <c r="K8351" s="4"/>
      <c r="AC8351" s="7">
        <v>2022</v>
      </c>
      <c r="AD8351" s="7">
        <v>12</v>
      </c>
      <c r="AE8351" s="7">
        <v>14</v>
      </c>
      <c r="AF8351" s="8">
        <v>0.875</v>
      </c>
      <c r="AG8351" s="7">
        <v>-12.5</v>
      </c>
      <c r="AH8351" s="10">
        <f t="shared" si="145"/>
        <v>-13</v>
      </c>
    </row>
    <row r="8352" spans="11:34" ht="14.5" x14ac:dyDescent="0.35">
      <c r="K8352" s="4"/>
      <c r="AC8352" s="7">
        <v>2022</v>
      </c>
      <c r="AD8352" s="7">
        <v>12</v>
      </c>
      <c r="AE8352" s="7">
        <v>14</v>
      </c>
      <c r="AF8352" s="8">
        <v>0.91666666666666663</v>
      </c>
      <c r="AG8352" s="7">
        <v>-12.2</v>
      </c>
      <c r="AH8352" s="10">
        <f t="shared" si="145"/>
        <v>-12</v>
      </c>
    </row>
    <row r="8353" spans="11:34" ht="14.5" x14ac:dyDescent="0.35">
      <c r="K8353" s="4"/>
      <c r="AC8353" s="7">
        <v>2022</v>
      </c>
      <c r="AD8353" s="7">
        <v>12</v>
      </c>
      <c r="AE8353" s="7">
        <v>14</v>
      </c>
      <c r="AF8353" s="8">
        <v>0.95833333333333337</v>
      </c>
      <c r="AG8353" s="7">
        <v>-13.9</v>
      </c>
      <c r="AH8353" s="10">
        <f t="shared" si="145"/>
        <v>-14</v>
      </c>
    </row>
    <row r="8354" spans="11:34" ht="14.5" x14ac:dyDescent="0.35">
      <c r="K8354" s="4"/>
      <c r="AC8354" s="7">
        <v>2022</v>
      </c>
      <c r="AD8354" s="7">
        <v>12</v>
      </c>
      <c r="AE8354" s="7">
        <v>15</v>
      </c>
      <c r="AF8354" s="8">
        <v>0</v>
      </c>
      <c r="AG8354" s="7">
        <v>-13.6</v>
      </c>
      <c r="AH8354" s="10">
        <f t="shared" si="145"/>
        <v>-14</v>
      </c>
    </row>
    <row r="8355" spans="11:34" ht="14.5" x14ac:dyDescent="0.35">
      <c r="K8355" s="4"/>
      <c r="AC8355" s="7">
        <v>2022</v>
      </c>
      <c r="AD8355" s="7">
        <v>12</v>
      </c>
      <c r="AE8355" s="7">
        <v>15</v>
      </c>
      <c r="AF8355" s="8">
        <v>4.1666666666666664E-2</v>
      </c>
      <c r="AG8355" s="7">
        <v>-10.9</v>
      </c>
      <c r="AH8355" s="10">
        <f t="shared" si="145"/>
        <v>-11</v>
      </c>
    </row>
    <row r="8356" spans="11:34" ht="14.5" x14ac:dyDescent="0.35">
      <c r="K8356" s="4"/>
      <c r="AC8356" s="7">
        <v>2022</v>
      </c>
      <c r="AD8356" s="7">
        <v>12</v>
      </c>
      <c r="AE8356" s="7">
        <v>15</v>
      </c>
      <c r="AF8356" s="8">
        <v>8.3333333333333329E-2</v>
      </c>
      <c r="AG8356" s="7">
        <v>-13</v>
      </c>
      <c r="AH8356" s="10">
        <f t="shared" si="145"/>
        <v>-13</v>
      </c>
    </row>
    <row r="8357" spans="11:34" ht="14.5" x14ac:dyDescent="0.35">
      <c r="K8357" s="4"/>
      <c r="AC8357" s="7">
        <v>2022</v>
      </c>
      <c r="AD8357" s="7">
        <v>12</v>
      </c>
      <c r="AE8357" s="7">
        <v>15</v>
      </c>
      <c r="AF8357" s="8">
        <v>0.125</v>
      </c>
      <c r="AG8357" s="7">
        <v>-13.1</v>
      </c>
      <c r="AH8357" s="10">
        <f t="shared" si="145"/>
        <v>-13</v>
      </c>
    </row>
    <row r="8358" spans="11:34" ht="14.5" x14ac:dyDescent="0.35">
      <c r="K8358" s="4"/>
      <c r="AC8358" s="7">
        <v>2022</v>
      </c>
      <c r="AD8358" s="7">
        <v>12</v>
      </c>
      <c r="AE8358" s="7">
        <v>15</v>
      </c>
      <c r="AF8358" s="8">
        <v>0.16666666666666666</v>
      </c>
      <c r="AG8358" s="7">
        <v>-12.3</v>
      </c>
      <c r="AH8358" s="10">
        <f t="shared" si="145"/>
        <v>-12</v>
      </c>
    </row>
    <row r="8359" spans="11:34" ht="14.5" x14ac:dyDescent="0.35">
      <c r="K8359" s="4"/>
      <c r="AC8359" s="7">
        <v>2022</v>
      </c>
      <c r="AD8359" s="7">
        <v>12</v>
      </c>
      <c r="AE8359" s="7">
        <v>15</v>
      </c>
      <c r="AF8359" s="8">
        <v>0.20833333333333334</v>
      </c>
      <c r="AG8359" s="7">
        <v>-9.6999999999999993</v>
      </c>
      <c r="AH8359" s="10">
        <f t="shared" si="145"/>
        <v>-10</v>
      </c>
    </row>
    <row r="8360" spans="11:34" ht="14.5" x14ac:dyDescent="0.35">
      <c r="K8360" s="4"/>
      <c r="AC8360" s="7">
        <v>2022</v>
      </c>
      <c r="AD8360" s="7">
        <v>12</v>
      </c>
      <c r="AE8360" s="7">
        <v>15</v>
      </c>
      <c r="AF8360" s="8">
        <v>0.25</v>
      </c>
      <c r="AG8360" s="7">
        <v>-9.1999999999999993</v>
      </c>
      <c r="AH8360" s="10">
        <f t="shared" si="145"/>
        <v>-9</v>
      </c>
    </row>
    <row r="8361" spans="11:34" ht="14.5" x14ac:dyDescent="0.35">
      <c r="K8361" s="4"/>
      <c r="AC8361" s="7">
        <v>2022</v>
      </c>
      <c r="AD8361" s="7">
        <v>12</v>
      </c>
      <c r="AE8361" s="7">
        <v>15</v>
      </c>
      <c r="AF8361" s="8">
        <v>0.29166666666666669</v>
      </c>
      <c r="AG8361" s="7">
        <v>-11.6</v>
      </c>
      <c r="AH8361" s="10">
        <f t="shared" si="145"/>
        <v>-12</v>
      </c>
    </row>
    <row r="8362" spans="11:34" ht="14.5" x14ac:dyDescent="0.35">
      <c r="K8362" s="4"/>
      <c r="AC8362" s="7">
        <v>2022</v>
      </c>
      <c r="AD8362" s="7">
        <v>12</v>
      </c>
      <c r="AE8362" s="7">
        <v>15</v>
      </c>
      <c r="AF8362" s="8">
        <v>0.33333333333333331</v>
      </c>
      <c r="AG8362" s="7">
        <v>-8.3000000000000007</v>
      </c>
      <c r="AH8362" s="10">
        <f t="shared" si="145"/>
        <v>-8</v>
      </c>
    </row>
    <row r="8363" spans="11:34" ht="14.5" x14ac:dyDescent="0.35">
      <c r="K8363" s="4"/>
      <c r="AC8363" s="7">
        <v>2022</v>
      </c>
      <c r="AD8363" s="7">
        <v>12</v>
      </c>
      <c r="AE8363" s="7">
        <v>15</v>
      </c>
      <c r="AF8363" s="8">
        <v>0.375</v>
      </c>
      <c r="AG8363" s="7">
        <v>-10.1</v>
      </c>
      <c r="AH8363" s="10">
        <f t="shared" si="145"/>
        <v>-10</v>
      </c>
    </row>
    <row r="8364" spans="11:34" ht="14.5" x14ac:dyDescent="0.35">
      <c r="K8364" s="4"/>
      <c r="AC8364" s="7">
        <v>2022</v>
      </c>
      <c r="AD8364" s="7">
        <v>12</v>
      </c>
      <c r="AE8364" s="7">
        <v>15</v>
      </c>
      <c r="AF8364" s="8">
        <v>0.41666666666666669</v>
      </c>
      <c r="AG8364" s="7">
        <v>-5.2</v>
      </c>
      <c r="AH8364" s="10">
        <f t="shared" si="145"/>
        <v>-5</v>
      </c>
    </row>
    <row r="8365" spans="11:34" ht="14.5" x14ac:dyDescent="0.35">
      <c r="K8365" s="4"/>
      <c r="AC8365" s="7">
        <v>2022</v>
      </c>
      <c r="AD8365" s="7">
        <v>12</v>
      </c>
      <c r="AE8365" s="7">
        <v>15</v>
      </c>
      <c r="AF8365" s="8">
        <v>0.45833333333333331</v>
      </c>
      <c r="AG8365" s="7">
        <v>-4.0999999999999996</v>
      </c>
      <c r="AH8365" s="10">
        <f t="shared" si="145"/>
        <v>-4</v>
      </c>
    </row>
    <row r="8366" spans="11:34" ht="14.5" x14ac:dyDescent="0.35">
      <c r="K8366" s="4"/>
      <c r="AC8366" s="7">
        <v>2022</v>
      </c>
      <c r="AD8366" s="7">
        <v>12</v>
      </c>
      <c r="AE8366" s="7">
        <v>15</v>
      </c>
      <c r="AF8366" s="8">
        <v>0.5</v>
      </c>
      <c r="AG8366" s="7">
        <v>-2.1</v>
      </c>
      <c r="AH8366" s="10">
        <f t="shared" si="145"/>
        <v>-2</v>
      </c>
    </row>
    <row r="8367" spans="11:34" ht="14.5" x14ac:dyDescent="0.35">
      <c r="K8367" s="4"/>
      <c r="AC8367" s="7">
        <v>2022</v>
      </c>
      <c r="AD8367" s="7">
        <v>12</v>
      </c>
      <c r="AE8367" s="7">
        <v>15</v>
      </c>
      <c r="AF8367" s="8">
        <v>0.54166666666666663</v>
      </c>
      <c r="AG8367" s="7">
        <v>-1.4</v>
      </c>
      <c r="AH8367" s="10">
        <f t="shared" si="145"/>
        <v>-1</v>
      </c>
    </row>
    <row r="8368" spans="11:34" ht="14.5" x14ac:dyDescent="0.35">
      <c r="K8368" s="4"/>
      <c r="AC8368" s="7">
        <v>2022</v>
      </c>
      <c r="AD8368" s="7">
        <v>12</v>
      </c>
      <c r="AE8368" s="7">
        <v>15</v>
      </c>
      <c r="AF8368" s="8">
        <v>0.58333333333333337</v>
      </c>
      <c r="AG8368" s="7">
        <v>-1.5</v>
      </c>
      <c r="AH8368" s="10">
        <f t="shared" si="145"/>
        <v>-2</v>
      </c>
    </row>
    <row r="8369" spans="11:34" ht="14.5" x14ac:dyDescent="0.35">
      <c r="K8369" s="4"/>
      <c r="AC8369" s="7">
        <v>2022</v>
      </c>
      <c r="AD8369" s="7">
        <v>12</v>
      </c>
      <c r="AE8369" s="7">
        <v>15</v>
      </c>
      <c r="AF8369" s="8">
        <v>0.625</v>
      </c>
      <c r="AG8369" s="7">
        <v>-1.3</v>
      </c>
      <c r="AH8369" s="10">
        <f t="shared" si="145"/>
        <v>-1</v>
      </c>
    </row>
    <row r="8370" spans="11:34" ht="14.5" x14ac:dyDescent="0.35">
      <c r="K8370" s="4"/>
      <c r="AC8370" s="7">
        <v>2022</v>
      </c>
      <c r="AD8370" s="7">
        <v>12</v>
      </c>
      <c r="AE8370" s="7">
        <v>15</v>
      </c>
      <c r="AF8370" s="8">
        <v>0.66666666666666663</v>
      </c>
      <c r="AG8370" s="7">
        <v>-3</v>
      </c>
      <c r="AH8370" s="10">
        <f t="shared" si="145"/>
        <v>-3</v>
      </c>
    </row>
    <row r="8371" spans="11:34" ht="14.5" x14ac:dyDescent="0.35">
      <c r="K8371" s="4"/>
      <c r="AC8371" s="7">
        <v>2022</v>
      </c>
      <c r="AD8371" s="7">
        <v>12</v>
      </c>
      <c r="AE8371" s="7">
        <v>15</v>
      </c>
      <c r="AF8371" s="8">
        <v>0.70833333333333337</v>
      </c>
      <c r="AG8371" s="7">
        <v>-5.8</v>
      </c>
      <c r="AH8371" s="10">
        <f t="shared" si="145"/>
        <v>-6</v>
      </c>
    </row>
    <row r="8372" spans="11:34" ht="14.5" x14ac:dyDescent="0.35">
      <c r="K8372" s="4"/>
      <c r="AC8372" s="7">
        <v>2022</v>
      </c>
      <c r="AD8372" s="7">
        <v>12</v>
      </c>
      <c r="AE8372" s="7">
        <v>15</v>
      </c>
      <c r="AF8372" s="8">
        <v>0.75</v>
      </c>
      <c r="AG8372" s="7">
        <v>-7.8</v>
      </c>
      <c r="AH8372" s="10">
        <f t="shared" si="145"/>
        <v>-8</v>
      </c>
    </row>
    <row r="8373" spans="11:34" ht="14.5" x14ac:dyDescent="0.35">
      <c r="K8373" s="4"/>
      <c r="AC8373" s="7">
        <v>2022</v>
      </c>
      <c r="AD8373" s="7">
        <v>12</v>
      </c>
      <c r="AE8373" s="7">
        <v>15</v>
      </c>
      <c r="AF8373" s="8">
        <v>0.79166666666666663</v>
      </c>
      <c r="AG8373" s="7">
        <v>-8.3000000000000007</v>
      </c>
      <c r="AH8373" s="10">
        <f t="shared" si="145"/>
        <v>-8</v>
      </c>
    </row>
    <row r="8374" spans="11:34" ht="14.5" x14ac:dyDescent="0.35">
      <c r="K8374" s="4"/>
      <c r="AC8374" s="7">
        <v>2022</v>
      </c>
      <c r="AD8374" s="7">
        <v>12</v>
      </c>
      <c r="AE8374" s="7">
        <v>15</v>
      </c>
      <c r="AF8374" s="8">
        <v>0.83333333333333337</v>
      </c>
      <c r="AG8374" s="7">
        <v>-9.9</v>
      </c>
      <c r="AH8374" s="10">
        <f t="shared" si="145"/>
        <v>-10</v>
      </c>
    </row>
    <row r="8375" spans="11:34" ht="14.5" x14ac:dyDescent="0.35">
      <c r="K8375" s="4"/>
      <c r="AC8375" s="7">
        <v>2022</v>
      </c>
      <c r="AD8375" s="7">
        <v>12</v>
      </c>
      <c r="AE8375" s="7">
        <v>15</v>
      </c>
      <c r="AF8375" s="8">
        <v>0.875</v>
      </c>
      <c r="AG8375" s="7">
        <v>-10.6</v>
      </c>
      <c r="AH8375" s="10">
        <f t="shared" si="145"/>
        <v>-11</v>
      </c>
    </row>
    <row r="8376" spans="11:34" ht="14.5" x14ac:dyDescent="0.35">
      <c r="K8376" s="4"/>
      <c r="AC8376" s="7">
        <v>2022</v>
      </c>
      <c r="AD8376" s="7">
        <v>12</v>
      </c>
      <c r="AE8376" s="7">
        <v>15</v>
      </c>
      <c r="AF8376" s="8">
        <v>0.91666666666666663</v>
      </c>
      <c r="AG8376" s="7">
        <v>-11</v>
      </c>
      <c r="AH8376" s="10">
        <f t="shared" si="145"/>
        <v>-11</v>
      </c>
    </row>
    <row r="8377" spans="11:34" ht="14.5" x14ac:dyDescent="0.35">
      <c r="K8377" s="4"/>
      <c r="AC8377" s="7">
        <v>2022</v>
      </c>
      <c r="AD8377" s="7">
        <v>12</v>
      </c>
      <c r="AE8377" s="7">
        <v>15</v>
      </c>
      <c r="AF8377" s="8">
        <v>0.95833333333333337</v>
      </c>
      <c r="AG8377" s="7">
        <v>-9.6999999999999993</v>
      </c>
      <c r="AH8377" s="10">
        <f t="shared" si="145"/>
        <v>-10</v>
      </c>
    </row>
    <row r="8378" spans="11:34" ht="14.5" x14ac:dyDescent="0.35">
      <c r="K8378" s="4"/>
      <c r="AC8378" s="7">
        <v>2022</v>
      </c>
      <c r="AD8378" s="7">
        <v>12</v>
      </c>
      <c r="AE8378" s="7">
        <v>16</v>
      </c>
      <c r="AF8378" s="8">
        <v>0</v>
      </c>
      <c r="AG8378" s="7">
        <v>-10.5</v>
      </c>
      <c r="AH8378" s="10">
        <f t="shared" si="145"/>
        <v>-11</v>
      </c>
    </row>
    <row r="8379" spans="11:34" ht="14.5" x14ac:dyDescent="0.35">
      <c r="K8379" s="4"/>
      <c r="AC8379" s="7">
        <v>2022</v>
      </c>
      <c r="AD8379" s="7">
        <v>12</v>
      </c>
      <c r="AE8379" s="7">
        <v>16</v>
      </c>
      <c r="AF8379" s="8">
        <v>4.1666666666666664E-2</v>
      </c>
      <c r="AG8379" s="7">
        <v>-11.3</v>
      </c>
      <c r="AH8379" s="10">
        <f t="shared" si="145"/>
        <v>-11</v>
      </c>
    </row>
    <row r="8380" spans="11:34" ht="14.5" x14ac:dyDescent="0.35">
      <c r="K8380" s="4"/>
      <c r="AC8380" s="7">
        <v>2022</v>
      </c>
      <c r="AD8380" s="7">
        <v>12</v>
      </c>
      <c r="AE8380" s="7">
        <v>16</v>
      </c>
      <c r="AF8380" s="8">
        <v>8.3333333333333329E-2</v>
      </c>
      <c r="AG8380" s="7">
        <v>-12.7</v>
      </c>
      <c r="AH8380" s="10">
        <f t="shared" si="145"/>
        <v>-13</v>
      </c>
    </row>
    <row r="8381" spans="11:34" ht="14.5" x14ac:dyDescent="0.35">
      <c r="K8381" s="4"/>
      <c r="AC8381" s="7">
        <v>2022</v>
      </c>
      <c r="AD8381" s="7">
        <v>12</v>
      </c>
      <c r="AE8381" s="7">
        <v>16</v>
      </c>
      <c r="AF8381" s="8">
        <v>0.125</v>
      </c>
      <c r="AG8381" s="7">
        <v>-10.8</v>
      </c>
      <c r="AH8381" s="10">
        <f t="shared" si="145"/>
        <v>-11</v>
      </c>
    </row>
    <row r="8382" spans="11:34" ht="14.5" x14ac:dyDescent="0.35">
      <c r="K8382" s="4"/>
      <c r="AC8382" s="7">
        <v>2022</v>
      </c>
      <c r="AD8382" s="7">
        <v>12</v>
      </c>
      <c r="AE8382" s="7">
        <v>16</v>
      </c>
      <c r="AF8382" s="8">
        <v>0.16666666666666666</v>
      </c>
      <c r="AG8382" s="7">
        <v>-7</v>
      </c>
      <c r="AH8382" s="10">
        <f t="shared" si="145"/>
        <v>-7</v>
      </c>
    </row>
    <row r="8383" spans="11:34" ht="14.5" x14ac:dyDescent="0.35">
      <c r="K8383" s="4"/>
      <c r="AC8383" s="7">
        <v>2022</v>
      </c>
      <c r="AD8383" s="7">
        <v>12</v>
      </c>
      <c r="AE8383" s="7">
        <v>16</v>
      </c>
      <c r="AF8383" s="8">
        <v>0.20833333333333334</v>
      </c>
      <c r="AG8383" s="7">
        <v>-6</v>
      </c>
      <c r="AH8383" s="10">
        <f t="shared" si="145"/>
        <v>-6</v>
      </c>
    </row>
    <row r="8384" spans="11:34" ht="14.5" x14ac:dyDescent="0.35">
      <c r="K8384" s="4"/>
      <c r="AC8384" s="7">
        <v>2022</v>
      </c>
      <c r="AD8384" s="7">
        <v>12</v>
      </c>
      <c r="AE8384" s="7">
        <v>16</v>
      </c>
      <c r="AF8384" s="8">
        <v>0.25</v>
      </c>
      <c r="AG8384" s="7">
        <v>-5.5</v>
      </c>
      <c r="AH8384" s="10">
        <f t="shared" si="145"/>
        <v>-6</v>
      </c>
    </row>
    <row r="8385" spans="11:34" ht="14.5" x14ac:dyDescent="0.35">
      <c r="K8385" s="4"/>
      <c r="AC8385" s="7">
        <v>2022</v>
      </c>
      <c r="AD8385" s="7">
        <v>12</v>
      </c>
      <c r="AE8385" s="7">
        <v>16</v>
      </c>
      <c r="AF8385" s="8">
        <v>0.29166666666666669</v>
      </c>
      <c r="AG8385" s="7">
        <v>-2.5</v>
      </c>
      <c r="AH8385" s="10">
        <f t="shared" si="145"/>
        <v>-3</v>
      </c>
    </row>
    <row r="8386" spans="11:34" ht="14.5" x14ac:dyDescent="0.35">
      <c r="K8386" s="4"/>
      <c r="AC8386" s="7">
        <v>2022</v>
      </c>
      <c r="AD8386" s="7">
        <v>12</v>
      </c>
      <c r="AE8386" s="7">
        <v>16</v>
      </c>
      <c r="AF8386" s="8">
        <v>0.33333333333333331</v>
      </c>
      <c r="AG8386" s="7">
        <v>-3.6</v>
      </c>
      <c r="AH8386" s="10">
        <f t="shared" si="145"/>
        <v>-4</v>
      </c>
    </row>
    <row r="8387" spans="11:34" ht="14.5" x14ac:dyDescent="0.35">
      <c r="K8387" s="4"/>
      <c r="AC8387" s="7">
        <v>2022</v>
      </c>
      <c r="AD8387" s="7">
        <v>12</v>
      </c>
      <c r="AE8387" s="7">
        <v>16</v>
      </c>
      <c r="AF8387" s="8">
        <v>0.375</v>
      </c>
      <c r="AG8387" s="7">
        <v>-2.4</v>
      </c>
      <c r="AH8387" s="10">
        <f t="shared" si="145"/>
        <v>-2</v>
      </c>
    </row>
    <row r="8388" spans="11:34" ht="14.5" x14ac:dyDescent="0.35">
      <c r="K8388" s="4"/>
      <c r="AC8388" s="7">
        <v>2022</v>
      </c>
      <c r="AD8388" s="7">
        <v>12</v>
      </c>
      <c r="AE8388" s="7">
        <v>16</v>
      </c>
      <c r="AF8388" s="8">
        <v>0.41666666666666669</v>
      </c>
      <c r="AG8388" s="7">
        <v>-1.6</v>
      </c>
      <c r="AH8388" s="10">
        <f t="shared" si="145"/>
        <v>-2</v>
      </c>
    </row>
    <row r="8389" spans="11:34" ht="14.5" x14ac:dyDescent="0.35">
      <c r="K8389" s="4"/>
      <c r="AC8389" s="7">
        <v>2022</v>
      </c>
      <c r="AD8389" s="7">
        <v>12</v>
      </c>
      <c r="AE8389" s="7">
        <v>16</v>
      </c>
      <c r="AF8389" s="8">
        <v>0.45833333333333331</v>
      </c>
      <c r="AG8389" s="7">
        <v>-0.9</v>
      </c>
      <c r="AH8389" s="10">
        <f t="shared" si="145"/>
        <v>-1</v>
      </c>
    </row>
    <row r="8390" spans="11:34" ht="14.5" x14ac:dyDescent="0.35">
      <c r="K8390" s="4"/>
      <c r="AC8390" s="7">
        <v>2022</v>
      </c>
      <c r="AD8390" s="7">
        <v>12</v>
      </c>
      <c r="AE8390" s="7">
        <v>16</v>
      </c>
      <c r="AF8390" s="8">
        <v>0.5</v>
      </c>
      <c r="AG8390" s="7">
        <v>-0.8</v>
      </c>
      <c r="AH8390" s="10">
        <f t="shared" si="145"/>
        <v>-1</v>
      </c>
    </row>
    <row r="8391" spans="11:34" ht="14.5" x14ac:dyDescent="0.35">
      <c r="K8391" s="4"/>
      <c r="AC8391" s="7">
        <v>2022</v>
      </c>
      <c r="AD8391" s="7">
        <v>12</v>
      </c>
      <c r="AE8391" s="7">
        <v>16</v>
      </c>
      <c r="AF8391" s="8">
        <v>0.54166666666666663</v>
      </c>
      <c r="AG8391" s="7">
        <v>0.4</v>
      </c>
      <c r="AH8391" s="10">
        <f t="shared" si="145"/>
        <v>0</v>
      </c>
    </row>
    <row r="8392" spans="11:34" ht="14.5" x14ac:dyDescent="0.35">
      <c r="K8392" s="4"/>
      <c r="AC8392" s="7">
        <v>2022</v>
      </c>
      <c r="AD8392" s="7">
        <v>12</v>
      </c>
      <c r="AE8392" s="7">
        <v>16</v>
      </c>
      <c r="AF8392" s="8">
        <v>0.58333333333333337</v>
      </c>
      <c r="AG8392" s="7">
        <v>-0.6</v>
      </c>
      <c r="AH8392" s="10">
        <f t="shared" si="145"/>
        <v>-1</v>
      </c>
    </row>
    <row r="8393" spans="11:34" ht="14.5" x14ac:dyDescent="0.35">
      <c r="K8393" s="4"/>
      <c r="AC8393" s="7">
        <v>2022</v>
      </c>
      <c r="AD8393" s="7">
        <v>12</v>
      </c>
      <c r="AE8393" s="7">
        <v>16</v>
      </c>
      <c r="AF8393" s="8">
        <v>0.625</v>
      </c>
      <c r="AG8393" s="7">
        <v>-0.7</v>
      </c>
      <c r="AH8393" s="10">
        <f t="shared" si="145"/>
        <v>-1</v>
      </c>
    </row>
    <row r="8394" spans="11:34" ht="14.5" x14ac:dyDescent="0.35">
      <c r="K8394" s="4"/>
      <c r="AC8394" s="7">
        <v>2022</v>
      </c>
      <c r="AD8394" s="7">
        <v>12</v>
      </c>
      <c r="AE8394" s="7">
        <v>16</v>
      </c>
      <c r="AF8394" s="8">
        <v>0.66666666666666663</v>
      </c>
      <c r="AG8394" s="7">
        <v>-1.5</v>
      </c>
      <c r="AH8394" s="10">
        <f t="shared" si="145"/>
        <v>-2</v>
      </c>
    </row>
    <row r="8395" spans="11:34" ht="14.5" x14ac:dyDescent="0.35">
      <c r="K8395" s="4"/>
      <c r="AC8395" s="7">
        <v>2022</v>
      </c>
      <c r="AD8395" s="7">
        <v>12</v>
      </c>
      <c r="AE8395" s="7">
        <v>16</v>
      </c>
      <c r="AF8395" s="8">
        <v>0.70833333333333337</v>
      </c>
      <c r="AG8395" s="7">
        <v>-2.2999999999999998</v>
      </c>
      <c r="AH8395" s="10">
        <f t="shared" ref="AH8395:AH8458" si="146">ROUND(AG8395,0)</f>
        <v>-2</v>
      </c>
    </row>
    <row r="8396" spans="11:34" ht="14.5" x14ac:dyDescent="0.35">
      <c r="K8396" s="4"/>
      <c r="AC8396" s="7">
        <v>2022</v>
      </c>
      <c r="AD8396" s="7">
        <v>12</v>
      </c>
      <c r="AE8396" s="7">
        <v>16</v>
      </c>
      <c r="AF8396" s="8">
        <v>0.75</v>
      </c>
      <c r="AG8396" s="7">
        <v>-1.1000000000000001</v>
      </c>
      <c r="AH8396" s="10">
        <f t="shared" si="146"/>
        <v>-1</v>
      </c>
    </row>
    <row r="8397" spans="11:34" ht="14.5" x14ac:dyDescent="0.35">
      <c r="K8397" s="4"/>
      <c r="AC8397" s="7">
        <v>2022</v>
      </c>
      <c r="AD8397" s="7">
        <v>12</v>
      </c>
      <c r="AE8397" s="7">
        <v>16</v>
      </c>
      <c r="AF8397" s="8">
        <v>0.79166666666666663</v>
      </c>
      <c r="AG8397" s="7">
        <v>-0.7</v>
      </c>
      <c r="AH8397" s="10">
        <f t="shared" si="146"/>
        <v>-1</v>
      </c>
    </row>
    <row r="8398" spans="11:34" ht="14.5" x14ac:dyDescent="0.35">
      <c r="K8398" s="4"/>
      <c r="AC8398" s="7">
        <v>2022</v>
      </c>
      <c r="AD8398" s="7">
        <v>12</v>
      </c>
      <c r="AE8398" s="7">
        <v>16</v>
      </c>
      <c r="AF8398" s="8">
        <v>0.83333333333333337</v>
      </c>
      <c r="AG8398" s="7">
        <v>-0.5</v>
      </c>
      <c r="AH8398" s="10">
        <f t="shared" si="146"/>
        <v>-1</v>
      </c>
    </row>
    <row r="8399" spans="11:34" ht="14.5" x14ac:dyDescent="0.35">
      <c r="K8399" s="4"/>
      <c r="AC8399" s="7">
        <v>2022</v>
      </c>
      <c r="AD8399" s="7">
        <v>12</v>
      </c>
      <c r="AE8399" s="7">
        <v>16</v>
      </c>
      <c r="AF8399" s="8">
        <v>0.875</v>
      </c>
      <c r="AG8399" s="7">
        <v>-1.1000000000000001</v>
      </c>
      <c r="AH8399" s="10">
        <f t="shared" si="146"/>
        <v>-1</v>
      </c>
    </row>
    <row r="8400" spans="11:34" ht="14.5" x14ac:dyDescent="0.35">
      <c r="K8400" s="4"/>
      <c r="AC8400" s="7">
        <v>2022</v>
      </c>
      <c r="AD8400" s="7">
        <v>12</v>
      </c>
      <c r="AE8400" s="7">
        <v>16</v>
      </c>
      <c r="AF8400" s="8">
        <v>0.91666666666666663</v>
      </c>
      <c r="AG8400" s="7">
        <v>-2.9</v>
      </c>
      <c r="AH8400" s="10">
        <f t="shared" si="146"/>
        <v>-3</v>
      </c>
    </row>
    <row r="8401" spans="11:34" ht="14.5" x14ac:dyDescent="0.35">
      <c r="K8401" s="4"/>
      <c r="AC8401" s="7">
        <v>2022</v>
      </c>
      <c r="AD8401" s="7">
        <v>12</v>
      </c>
      <c r="AE8401" s="7">
        <v>16</v>
      </c>
      <c r="AF8401" s="8">
        <v>0.95833333333333337</v>
      </c>
      <c r="AG8401" s="7">
        <v>-3.2</v>
      </c>
      <c r="AH8401" s="10">
        <f t="shared" si="146"/>
        <v>-3</v>
      </c>
    </row>
    <row r="8402" spans="11:34" ht="14.5" x14ac:dyDescent="0.35">
      <c r="K8402" s="4"/>
      <c r="AC8402" s="7">
        <v>2022</v>
      </c>
      <c r="AD8402" s="7">
        <v>12</v>
      </c>
      <c r="AE8402" s="7">
        <v>17</v>
      </c>
      <c r="AF8402" s="8">
        <v>0</v>
      </c>
      <c r="AG8402" s="7">
        <v>-2.7</v>
      </c>
      <c r="AH8402" s="10">
        <f t="shared" si="146"/>
        <v>-3</v>
      </c>
    </row>
    <row r="8403" spans="11:34" ht="14.5" x14ac:dyDescent="0.35">
      <c r="K8403" s="4"/>
      <c r="AC8403" s="7">
        <v>2022</v>
      </c>
      <c r="AD8403" s="7">
        <v>12</v>
      </c>
      <c r="AE8403" s="7">
        <v>17</v>
      </c>
      <c r="AF8403" s="8">
        <v>4.1666666666666664E-2</v>
      </c>
      <c r="AG8403" s="7">
        <v>-7</v>
      </c>
      <c r="AH8403" s="10">
        <f t="shared" si="146"/>
        <v>-7</v>
      </c>
    </row>
    <row r="8404" spans="11:34" ht="14.5" x14ac:dyDescent="0.35">
      <c r="K8404" s="4"/>
      <c r="AC8404" s="7">
        <v>2022</v>
      </c>
      <c r="AD8404" s="7">
        <v>12</v>
      </c>
      <c r="AE8404" s="7">
        <v>17</v>
      </c>
      <c r="AF8404" s="8">
        <v>8.3333333333333329E-2</v>
      </c>
      <c r="AG8404" s="7">
        <v>-9.5</v>
      </c>
      <c r="AH8404" s="10">
        <f t="shared" si="146"/>
        <v>-10</v>
      </c>
    </row>
    <row r="8405" spans="11:34" ht="14.5" x14ac:dyDescent="0.35">
      <c r="K8405" s="4"/>
      <c r="AC8405" s="7">
        <v>2022</v>
      </c>
      <c r="AD8405" s="7">
        <v>12</v>
      </c>
      <c r="AE8405" s="7">
        <v>17</v>
      </c>
      <c r="AF8405" s="8">
        <v>0.125</v>
      </c>
      <c r="AG8405" s="7">
        <v>-10</v>
      </c>
      <c r="AH8405" s="10">
        <f t="shared" si="146"/>
        <v>-10</v>
      </c>
    </row>
    <row r="8406" spans="11:34" ht="14.5" x14ac:dyDescent="0.35">
      <c r="K8406" s="4"/>
      <c r="AC8406" s="7">
        <v>2022</v>
      </c>
      <c r="AD8406" s="7">
        <v>12</v>
      </c>
      <c r="AE8406" s="7">
        <v>17</v>
      </c>
      <c r="AF8406" s="8">
        <v>0.16666666666666666</v>
      </c>
      <c r="AG8406" s="7">
        <v>-11.2</v>
      </c>
      <c r="AH8406" s="10">
        <f t="shared" si="146"/>
        <v>-11</v>
      </c>
    </row>
    <row r="8407" spans="11:34" ht="14.5" x14ac:dyDescent="0.35">
      <c r="K8407" s="4"/>
      <c r="AC8407" s="7">
        <v>2022</v>
      </c>
      <c r="AD8407" s="7">
        <v>12</v>
      </c>
      <c r="AE8407" s="7">
        <v>17</v>
      </c>
      <c r="AF8407" s="8">
        <v>0.20833333333333334</v>
      </c>
      <c r="AG8407" s="7">
        <v>-12.3</v>
      </c>
      <c r="AH8407" s="10">
        <f t="shared" si="146"/>
        <v>-12</v>
      </c>
    </row>
    <row r="8408" spans="11:34" ht="14.5" x14ac:dyDescent="0.35">
      <c r="K8408" s="4"/>
      <c r="AC8408" s="7">
        <v>2022</v>
      </c>
      <c r="AD8408" s="7">
        <v>12</v>
      </c>
      <c r="AE8408" s="7">
        <v>17</v>
      </c>
      <c r="AF8408" s="8">
        <v>0.25</v>
      </c>
      <c r="AG8408" s="7">
        <v>-14.3</v>
      </c>
      <c r="AH8408" s="10">
        <f t="shared" si="146"/>
        <v>-14</v>
      </c>
    </row>
    <row r="8409" spans="11:34" ht="14.5" x14ac:dyDescent="0.35">
      <c r="K8409" s="4"/>
      <c r="AC8409" s="7">
        <v>2022</v>
      </c>
      <c r="AD8409" s="7">
        <v>12</v>
      </c>
      <c r="AE8409" s="7">
        <v>17</v>
      </c>
      <c r="AF8409" s="8">
        <v>0.29166666666666669</v>
      </c>
      <c r="AG8409" s="7">
        <v>-15.1</v>
      </c>
      <c r="AH8409" s="10">
        <f t="shared" si="146"/>
        <v>-15</v>
      </c>
    </row>
    <row r="8410" spans="11:34" ht="14.5" x14ac:dyDescent="0.35">
      <c r="K8410" s="4"/>
      <c r="AC8410" s="7">
        <v>2022</v>
      </c>
      <c r="AD8410" s="7">
        <v>12</v>
      </c>
      <c r="AE8410" s="7">
        <v>17</v>
      </c>
      <c r="AF8410" s="8">
        <v>0.33333333333333331</v>
      </c>
      <c r="AG8410" s="7">
        <v>-16</v>
      </c>
      <c r="AH8410" s="10">
        <f t="shared" si="146"/>
        <v>-16</v>
      </c>
    </row>
    <row r="8411" spans="11:34" ht="14.5" x14ac:dyDescent="0.35">
      <c r="K8411" s="4"/>
      <c r="AC8411" s="7">
        <v>2022</v>
      </c>
      <c r="AD8411" s="7">
        <v>12</v>
      </c>
      <c r="AE8411" s="7">
        <v>17</v>
      </c>
      <c r="AF8411" s="8">
        <v>0.375</v>
      </c>
      <c r="AG8411" s="7">
        <v>-16.600000000000001</v>
      </c>
      <c r="AH8411" s="10">
        <f t="shared" si="146"/>
        <v>-17</v>
      </c>
    </row>
    <row r="8412" spans="11:34" ht="14.5" x14ac:dyDescent="0.35">
      <c r="K8412" s="4"/>
      <c r="AC8412" s="7">
        <v>2022</v>
      </c>
      <c r="AD8412" s="7">
        <v>12</v>
      </c>
      <c r="AE8412" s="7">
        <v>17</v>
      </c>
      <c r="AF8412" s="8">
        <v>0.41666666666666669</v>
      </c>
      <c r="AG8412" s="7">
        <v>-17.399999999999999</v>
      </c>
      <c r="AH8412" s="10">
        <f t="shared" si="146"/>
        <v>-17</v>
      </c>
    </row>
    <row r="8413" spans="11:34" ht="14.5" x14ac:dyDescent="0.35">
      <c r="K8413" s="4"/>
      <c r="AC8413" s="7">
        <v>2022</v>
      </c>
      <c r="AD8413" s="7">
        <v>12</v>
      </c>
      <c r="AE8413" s="7">
        <v>17</v>
      </c>
      <c r="AF8413" s="8">
        <v>0.45833333333333331</v>
      </c>
      <c r="AG8413" s="7">
        <v>-17.7</v>
      </c>
      <c r="AH8413" s="10">
        <f t="shared" si="146"/>
        <v>-18</v>
      </c>
    </row>
    <row r="8414" spans="11:34" ht="14.5" x14ac:dyDescent="0.35">
      <c r="K8414" s="4"/>
      <c r="AC8414" s="7">
        <v>2022</v>
      </c>
      <c r="AD8414" s="7">
        <v>12</v>
      </c>
      <c r="AE8414" s="7">
        <v>17</v>
      </c>
      <c r="AF8414" s="8">
        <v>0.5</v>
      </c>
      <c r="AG8414" s="7">
        <v>-18</v>
      </c>
      <c r="AH8414" s="10">
        <f t="shared" si="146"/>
        <v>-18</v>
      </c>
    </row>
    <row r="8415" spans="11:34" ht="14.5" x14ac:dyDescent="0.35">
      <c r="K8415" s="4"/>
      <c r="AC8415" s="7">
        <v>2022</v>
      </c>
      <c r="AD8415" s="7">
        <v>12</v>
      </c>
      <c r="AE8415" s="7">
        <v>17</v>
      </c>
      <c r="AF8415" s="8">
        <v>0.54166666666666663</v>
      </c>
      <c r="AG8415" s="7">
        <v>-17.899999999999999</v>
      </c>
      <c r="AH8415" s="10">
        <f t="shared" si="146"/>
        <v>-18</v>
      </c>
    </row>
    <row r="8416" spans="11:34" ht="14.5" x14ac:dyDescent="0.35">
      <c r="K8416" s="4"/>
      <c r="AC8416" s="7">
        <v>2022</v>
      </c>
      <c r="AD8416" s="7">
        <v>12</v>
      </c>
      <c r="AE8416" s="7">
        <v>17</v>
      </c>
      <c r="AF8416" s="8">
        <v>0.58333333333333337</v>
      </c>
      <c r="AG8416" s="7">
        <v>-18.2</v>
      </c>
      <c r="AH8416" s="10">
        <f t="shared" si="146"/>
        <v>-18</v>
      </c>
    </row>
    <row r="8417" spans="11:34" ht="14.5" x14ac:dyDescent="0.35">
      <c r="K8417" s="4"/>
      <c r="AC8417" s="7">
        <v>2022</v>
      </c>
      <c r="AD8417" s="7">
        <v>12</v>
      </c>
      <c r="AE8417" s="7">
        <v>17</v>
      </c>
      <c r="AF8417" s="8">
        <v>0.625</v>
      </c>
      <c r="AG8417" s="7">
        <v>-18.8</v>
      </c>
      <c r="AH8417" s="10">
        <f t="shared" si="146"/>
        <v>-19</v>
      </c>
    </row>
    <row r="8418" spans="11:34" ht="14.5" x14ac:dyDescent="0.35">
      <c r="K8418" s="4"/>
      <c r="AC8418" s="7">
        <v>2022</v>
      </c>
      <c r="AD8418" s="7">
        <v>12</v>
      </c>
      <c r="AE8418" s="7">
        <v>17</v>
      </c>
      <c r="AF8418" s="8">
        <v>0.66666666666666663</v>
      </c>
      <c r="AG8418" s="7">
        <v>-19.399999999999999</v>
      </c>
      <c r="AH8418" s="10">
        <f t="shared" si="146"/>
        <v>-19</v>
      </c>
    </row>
    <row r="8419" spans="11:34" ht="14.5" x14ac:dyDescent="0.35">
      <c r="K8419" s="4"/>
      <c r="AC8419" s="7">
        <v>2022</v>
      </c>
      <c r="AD8419" s="7">
        <v>12</v>
      </c>
      <c r="AE8419" s="7">
        <v>17</v>
      </c>
      <c r="AF8419" s="8">
        <v>0.70833333333333337</v>
      </c>
      <c r="AG8419" s="7">
        <v>-20.2</v>
      </c>
      <c r="AH8419" s="10">
        <f t="shared" si="146"/>
        <v>-20</v>
      </c>
    </row>
    <row r="8420" spans="11:34" ht="14.5" x14ac:dyDescent="0.35">
      <c r="K8420" s="4"/>
      <c r="AC8420" s="7">
        <v>2022</v>
      </c>
      <c r="AD8420" s="7">
        <v>12</v>
      </c>
      <c r="AE8420" s="7">
        <v>17</v>
      </c>
      <c r="AF8420" s="8">
        <v>0.75</v>
      </c>
      <c r="AG8420" s="7">
        <v>-21.1</v>
      </c>
      <c r="AH8420" s="10">
        <f t="shared" si="146"/>
        <v>-21</v>
      </c>
    </row>
    <row r="8421" spans="11:34" ht="14.5" x14ac:dyDescent="0.35">
      <c r="K8421" s="4"/>
      <c r="AC8421" s="7">
        <v>2022</v>
      </c>
      <c r="AD8421" s="7">
        <v>12</v>
      </c>
      <c r="AE8421" s="7">
        <v>17</v>
      </c>
      <c r="AF8421" s="8">
        <v>0.79166666666666663</v>
      </c>
      <c r="AG8421" s="7">
        <v>-21.5</v>
      </c>
      <c r="AH8421" s="10">
        <f t="shared" si="146"/>
        <v>-22</v>
      </c>
    </row>
    <row r="8422" spans="11:34" ht="14.5" x14ac:dyDescent="0.35">
      <c r="K8422" s="4"/>
      <c r="AC8422" s="7">
        <v>2022</v>
      </c>
      <c r="AD8422" s="7">
        <v>12</v>
      </c>
      <c r="AE8422" s="7">
        <v>17</v>
      </c>
      <c r="AF8422" s="8">
        <v>0.83333333333333337</v>
      </c>
      <c r="AG8422" s="7">
        <v>-21.2</v>
      </c>
      <c r="AH8422" s="10">
        <f t="shared" si="146"/>
        <v>-21</v>
      </c>
    </row>
    <row r="8423" spans="11:34" ht="14.5" x14ac:dyDescent="0.35">
      <c r="K8423" s="4"/>
      <c r="AC8423" s="7">
        <v>2022</v>
      </c>
      <c r="AD8423" s="7">
        <v>12</v>
      </c>
      <c r="AE8423" s="7">
        <v>17</v>
      </c>
      <c r="AF8423" s="8">
        <v>0.875</v>
      </c>
      <c r="AG8423" s="7">
        <v>-21.1</v>
      </c>
      <c r="AH8423" s="10">
        <f t="shared" si="146"/>
        <v>-21</v>
      </c>
    </row>
    <row r="8424" spans="11:34" ht="14.5" x14ac:dyDescent="0.35">
      <c r="K8424" s="4"/>
      <c r="AC8424" s="7">
        <v>2022</v>
      </c>
      <c r="AD8424" s="7">
        <v>12</v>
      </c>
      <c r="AE8424" s="7">
        <v>17</v>
      </c>
      <c r="AF8424" s="8">
        <v>0.91666666666666663</v>
      </c>
      <c r="AG8424" s="7">
        <v>-21</v>
      </c>
      <c r="AH8424" s="10">
        <f t="shared" si="146"/>
        <v>-21</v>
      </c>
    </row>
    <row r="8425" spans="11:34" ht="14.5" x14ac:dyDescent="0.35">
      <c r="K8425" s="4"/>
      <c r="AC8425" s="7">
        <v>2022</v>
      </c>
      <c r="AD8425" s="7">
        <v>12</v>
      </c>
      <c r="AE8425" s="7">
        <v>17</v>
      </c>
      <c r="AF8425" s="8">
        <v>0.95833333333333337</v>
      </c>
      <c r="AG8425" s="7">
        <v>-20.8</v>
      </c>
      <c r="AH8425" s="10">
        <f t="shared" si="146"/>
        <v>-21</v>
      </c>
    </row>
    <row r="8426" spans="11:34" ht="14.5" x14ac:dyDescent="0.35">
      <c r="K8426" s="4"/>
      <c r="AC8426" s="7">
        <v>2022</v>
      </c>
      <c r="AD8426" s="7">
        <v>12</v>
      </c>
      <c r="AE8426" s="7">
        <v>18</v>
      </c>
      <c r="AF8426" s="8">
        <v>0</v>
      </c>
      <c r="AG8426" s="7">
        <v>-21</v>
      </c>
      <c r="AH8426" s="10">
        <f t="shared" si="146"/>
        <v>-21</v>
      </c>
    </row>
    <row r="8427" spans="11:34" ht="14.5" x14ac:dyDescent="0.35">
      <c r="K8427" s="4"/>
      <c r="AC8427" s="7">
        <v>2022</v>
      </c>
      <c r="AD8427" s="7">
        <v>12</v>
      </c>
      <c r="AE8427" s="7">
        <v>18</v>
      </c>
      <c r="AF8427" s="8">
        <v>4.1666666666666664E-2</v>
      </c>
      <c r="AG8427" s="7">
        <v>-21.4</v>
      </c>
      <c r="AH8427" s="10">
        <f t="shared" si="146"/>
        <v>-21</v>
      </c>
    </row>
    <row r="8428" spans="11:34" ht="14.5" x14ac:dyDescent="0.35">
      <c r="K8428" s="4"/>
      <c r="AC8428" s="7">
        <v>2022</v>
      </c>
      <c r="AD8428" s="7">
        <v>12</v>
      </c>
      <c r="AE8428" s="7">
        <v>18</v>
      </c>
      <c r="AF8428" s="8">
        <v>8.3333333333333329E-2</v>
      </c>
      <c r="AG8428" s="7">
        <v>-21.9</v>
      </c>
      <c r="AH8428" s="10">
        <f t="shared" si="146"/>
        <v>-22</v>
      </c>
    </row>
    <row r="8429" spans="11:34" ht="14.5" x14ac:dyDescent="0.35">
      <c r="K8429" s="4"/>
      <c r="AC8429" s="7">
        <v>2022</v>
      </c>
      <c r="AD8429" s="7">
        <v>12</v>
      </c>
      <c r="AE8429" s="7">
        <v>18</v>
      </c>
      <c r="AF8429" s="8">
        <v>0.125</v>
      </c>
      <c r="AG8429" s="7">
        <v>-22.1</v>
      </c>
      <c r="AH8429" s="10">
        <f t="shared" si="146"/>
        <v>-22</v>
      </c>
    </row>
    <row r="8430" spans="11:34" ht="14.5" x14ac:dyDescent="0.35">
      <c r="K8430" s="4"/>
      <c r="AC8430" s="7">
        <v>2022</v>
      </c>
      <c r="AD8430" s="7">
        <v>12</v>
      </c>
      <c r="AE8430" s="7">
        <v>18</v>
      </c>
      <c r="AF8430" s="8">
        <v>0.16666666666666666</v>
      </c>
      <c r="AG8430" s="7">
        <v>-22.2</v>
      </c>
      <c r="AH8430" s="10">
        <f t="shared" si="146"/>
        <v>-22</v>
      </c>
    </row>
    <row r="8431" spans="11:34" ht="14.5" x14ac:dyDescent="0.35">
      <c r="K8431" s="4"/>
      <c r="AC8431" s="7">
        <v>2022</v>
      </c>
      <c r="AD8431" s="7">
        <v>12</v>
      </c>
      <c r="AE8431" s="7">
        <v>18</v>
      </c>
      <c r="AF8431" s="8">
        <v>0.20833333333333334</v>
      </c>
      <c r="AG8431" s="7">
        <v>-22.6</v>
      </c>
      <c r="AH8431" s="10">
        <f t="shared" si="146"/>
        <v>-23</v>
      </c>
    </row>
    <row r="8432" spans="11:34" ht="14.5" x14ac:dyDescent="0.35">
      <c r="K8432" s="4"/>
      <c r="AC8432" s="7">
        <v>2022</v>
      </c>
      <c r="AD8432" s="7">
        <v>12</v>
      </c>
      <c r="AE8432" s="7">
        <v>18</v>
      </c>
      <c r="AF8432" s="8">
        <v>0.25</v>
      </c>
      <c r="AG8432" s="7">
        <v>-23</v>
      </c>
      <c r="AH8432" s="10">
        <f t="shared" si="146"/>
        <v>-23</v>
      </c>
    </row>
    <row r="8433" spans="11:34" ht="14.5" x14ac:dyDescent="0.35">
      <c r="K8433" s="4"/>
      <c r="AC8433" s="7">
        <v>2022</v>
      </c>
      <c r="AD8433" s="7">
        <v>12</v>
      </c>
      <c r="AE8433" s="7">
        <v>18</v>
      </c>
      <c r="AF8433" s="8">
        <v>0.29166666666666669</v>
      </c>
      <c r="AG8433" s="7">
        <v>-23.2</v>
      </c>
      <c r="AH8433" s="10">
        <f t="shared" si="146"/>
        <v>-23</v>
      </c>
    </row>
    <row r="8434" spans="11:34" ht="14.5" x14ac:dyDescent="0.35">
      <c r="K8434" s="4"/>
      <c r="AC8434" s="7">
        <v>2022</v>
      </c>
      <c r="AD8434" s="7">
        <v>12</v>
      </c>
      <c r="AE8434" s="7">
        <v>18</v>
      </c>
      <c r="AF8434" s="8">
        <v>0.33333333333333331</v>
      </c>
      <c r="AG8434" s="7">
        <v>-23.2</v>
      </c>
      <c r="AH8434" s="10">
        <f t="shared" si="146"/>
        <v>-23</v>
      </c>
    </row>
    <row r="8435" spans="11:34" ht="14.5" x14ac:dyDescent="0.35">
      <c r="K8435" s="4"/>
      <c r="AC8435" s="7">
        <v>2022</v>
      </c>
      <c r="AD8435" s="7">
        <v>12</v>
      </c>
      <c r="AE8435" s="7">
        <v>18</v>
      </c>
      <c r="AF8435" s="8">
        <v>0.375</v>
      </c>
      <c r="AG8435" s="7">
        <v>-23.7</v>
      </c>
      <c r="AH8435" s="10">
        <f t="shared" si="146"/>
        <v>-24</v>
      </c>
    </row>
    <row r="8436" spans="11:34" ht="14.5" x14ac:dyDescent="0.35">
      <c r="K8436" s="4"/>
      <c r="AC8436" s="7">
        <v>2022</v>
      </c>
      <c r="AD8436" s="7">
        <v>12</v>
      </c>
      <c r="AE8436" s="7">
        <v>18</v>
      </c>
      <c r="AF8436" s="8">
        <v>0.41666666666666669</v>
      </c>
      <c r="AG8436" s="7">
        <v>-23.8</v>
      </c>
      <c r="AH8436" s="10">
        <f t="shared" si="146"/>
        <v>-24</v>
      </c>
    </row>
    <row r="8437" spans="11:34" ht="14.5" x14ac:dyDescent="0.35">
      <c r="K8437" s="4"/>
      <c r="AC8437" s="7">
        <v>2022</v>
      </c>
      <c r="AD8437" s="7">
        <v>12</v>
      </c>
      <c r="AE8437" s="7">
        <v>18</v>
      </c>
      <c r="AF8437" s="8">
        <v>0.45833333333333331</v>
      </c>
      <c r="AG8437" s="7">
        <v>-23.7</v>
      </c>
      <c r="AH8437" s="10">
        <f t="shared" si="146"/>
        <v>-24</v>
      </c>
    </row>
    <row r="8438" spans="11:34" ht="14.5" x14ac:dyDescent="0.35">
      <c r="K8438" s="4"/>
      <c r="AC8438" s="7">
        <v>2022</v>
      </c>
      <c r="AD8438" s="7">
        <v>12</v>
      </c>
      <c r="AE8438" s="7">
        <v>18</v>
      </c>
      <c r="AF8438" s="8">
        <v>0.5</v>
      </c>
      <c r="AG8438" s="7">
        <v>-23.6</v>
      </c>
      <c r="AH8438" s="10">
        <f t="shared" si="146"/>
        <v>-24</v>
      </c>
    </row>
    <row r="8439" spans="11:34" ht="14.5" x14ac:dyDescent="0.35">
      <c r="K8439" s="4"/>
      <c r="AC8439" s="7">
        <v>2022</v>
      </c>
      <c r="AD8439" s="7">
        <v>12</v>
      </c>
      <c r="AE8439" s="7">
        <v>18</v>
      </c>
      <c r="AF8439" s="8">
        <v>0.54166666666666663</v>
      </c>
      <c r="AG8439" s="7">
        <v>-23.6</v>
      </c>
      <c r="AH8439" s="10">
        <f t="shared" si="146"/>
        <v>-24</v>
      </c>
    </row>
    <row r="8440" spans="11:34" ht="14.5" x14ac:dyDescent="0.35">
      <c r="K8440" s="4"/>
      <c r="AC8440" s="7">
        <v>2022</v>
      </c>
      <c r="AD8440" s="7">
        <v>12</v>
      </c>
      <c r="AE8440" s="7">
        <v>18</v>
      </c>
      <c r="AF8440" s="8">
        <v>0.58333333333333337</v>
      </c>
      <c r="AG8440" s="7">
        <v>-23.5</v>
      </c>
      <c r="AH8440" s="10">
        <f t="shared" si="146"/>
        <v>-24</v>
      </c>
    </row>
    <row r="8441" spans="11:34" ht="14.5" x14ac:dyDescent="0.35">
      <c r="K8441" s="4"/>
      <c r="AC8441" s="7">
        <v>2022</v>
      </c>
      <c r="AD8441" s="7">
        <v>12</v>
      </c>
      <c r="AE8441" s="7">
        <v>18</v>
      </c>
      <c r="AF8441" s="8">
        <v>0.625</v>
      </c>
      <c r="AG8441" s="7">
        <v>-23.7</v>
      </c>
      <c r="AH8441" s="10">
        <f t="shared" si="146"/>
        <v>-24</v>
      </c>
    </row>
    <row r="8442" spans="11:34" ht="14.5" x14ac:dyDescent="0.35">
      <c r="K8442" s="4"/>
      <c r="AC8442" s="7">
        <v>2022</v>
      </c>
      <c r="AD8442" s="7">
        <v>12</v>
      </c>
      <c r="AE8442" s="7">
        <v>18</v>
      </c>
      <c r="AF8442" s="8">
        <v>0.66666666666666663</v>
      </c>
      <c r="AG8442" s="7">
        <v>-23.8</v>
      </c>
      <c r="AH8442" s="10">
        <f t="shared" si="146"/>
        <v>-24</v>
      </c>
    </row>
    <row r="8443" spans="11:34" ht="14.5" x14ac:dyDescent="0.35">
      <c r="K8443" s="4"/>
      <c r="AC8443" s="7">
        <v>2022</v>
      </c>
      <c r="AD8443" s="7">
        <v>12</v>
      </c>
      <c r="AE8443" s="7">
        <v>18</v>
      </c>
      <c r="AF8443" s="8">
        <v>0.70833333333333337</v>
      </c>
      <c r="AG8443" s="7">
        <v>-23.8</v>
      </c>
      <c r="AH8443" s="10">
        <f t="shared" si="146"/>
        <v>-24</v>
      </c>
    </row>
    <row r="8444" spans="11:34" ht="14.5" x14ac:dyDescent="0.35">
      <c r="K8444" s="4"/>
      <c r="AC8444" s="7">
        <v>2022</v>
      </c>
      <c r="AD8444" s="7">
        <v>12</v>
      </c>
      <c r="AE8444" s="7">
        <v>18</v>
      </c>
      <c r="AF8444" s="8">
        <v>0.75</v>
      </c>
      <c r="AG8444" s="7">
        <v>-23.9</v>
      </c>
      <c r="AH8444" s="10">
        <f t="shared" si="146"/>
        <v>-24</v>
      </c>
    </row>
    <row r="8445" spans="11:34" ht="14.5" x14ac:dyDescent="0.35">
      <c r="K8445" s="4"/>
      <c r="AC8445" s="7">
        <v>2022</v>
      </c>
      <c r="AD8445" s="7">
        <v>12</v>
      </c>
      <c r="AE8445" s="7">
        <v>18</v>
      </c>
      <c r="AF8445" s="8">
        <v>0.79166666666666663</v>
      </c>
      <c r="AG8445" s="7">
        <v>-23.8</v>
      </c>
      <c r="AH8445" s="10">
        <f t="shared" si="146"/>
        <v>-24</v>
      </c>
    </row>
    <row r="8446" spans="11:34" ht="14.5" x14ac:dyDescent="0.35">
      <c r="K8446" s="4"/>
      <c r="AC8446" s="7">
        <v>2022</v>
      </c>
      <c r="AD8446" s="7">
        <v>12</v>
      </c>
      <c r="AE8446" s="7">
        <v>18</v>
      </c>
      <c r="AF8446" s="8">
        <v>0.83333333333333337</v>
      </c>
      <c r="AG8446" s="7">
        <v>-24</v>
      </c>
      <c r="AH8446" s="10">
        <f t="shared" si="146"/>
        <v>-24</v>
      </c>
    </row>
    <row r="8447" spans="11:34" ht="14.5" x14ac:dyDescent="0.35">
      <c r="K8447" s="4"/>
      <c r="AC8447" s="7">
        <v>2022</v>
      </c>
      <c r="AD8447" s="7">
        <v>12</v>
      </c>
      <c r="AE8447" s="7">
        <v>18</v>
      </c>
      <c r="AF8447" s="8">
        <v>0.875</v>
      </c>
      <c r="AG8447" s="7">
        <v>-24.5</v>
      </c>
      <c r="AH8447" s="10">
        <f t="shared" si="146"/>
        <v>-25</v>
      </c>
    </row>
    <row r="8448" spans="11:34" ht="14.5" x14ac:dyDescent="0.35">
      <c r="K8448" s="4"/>
      <c r="AC8448" s="7">
        <v>2022</v>
      </c>
      <c r="AD8448" s="7">
        <v>12</v>
      </c>
      <c r="AE8448" s="7">
        <v>18</v>
      </c>
      <c r="AF8448" s="8">
        <v>0.91666666666666663</v>
      </c>
      <c r="AG8448" s="7">
        <v>-24.9</v>
      </c>
      <c r="AH8448" s="10">
        <f t="shared" si="146"/>
        <v>-25</v>
      </c>
    </row>
    <row r="8449" spans="11:34" ht="14.5" x14ac:dyDescent="0.35">
      <c r="K8449" s="4"/>
      <c r="AC8449" s="7">
        <v>2022</v>
      </c>
      <c r="AD8449" s="7">
        <v>12</v>
      </c>
      <c r="AE8449" s="7">
        <v>18</v>
      </c>
      <c r="AF8449" s="8">
        <v>0.95833333333333337</v>
      </c>
      <c r="AG8449" s="7">
        <v>-24.8</v>
      </c>
      <c r="AH8449" s="10">
        <f t="shared" si="146"/>
        <v>-25</v>
      </c>
    </row>
    <row r="8450" spans="11:34" ht="14.5" x14ac:dyDescent="0.35">
      <c r="K8450" s="4"/>
      <c r="AC8450" s="7">
        <v>2022</v>
      </c>
      <c r="AD8450" s="7">
        <v>12</v>
      </c>
      <c r="AE8450" s="7">
        <v>19</v>
      </c>
      <c r="AF8450" s="8">
        <v>0</v>
      </c>
      <c r="AG8450" s="7">
        <v>-24.7</v>
      </c>
      <c r="AH8450" s="10">
        <f t="shared" si="146"/>
        <v>-25</v>
      </c>
    </row>
    <row r="8451" spans="11:34" ht="14.5" x14ac:dyDescent="0.35">
      <c r="K8451" s="4"/>
      <c r="AC8451" s="7">
        <v>2022</v>
      </c>
      <c r="AD8451" s="7">
        <v>12</v>
      </c>
      <c r="AE8451" s="7">
        <v>19</v>
      </c>
      <c r="AF8451" s="8">
        <v>4.1666666666666664E-2</v>
      </c>
      <c r="AG8451" s="7">
        <v>-24.8</v>
      </c>
      <c r="AH8451" s="10">
        <f t="shared" si="146"/>
        <v>-25</v>
      </c>
    </row>
    <row r="8452" spans="11:34" ht="14.5" x14ac:dyDescent="0.35">
      <c r="K8452" s="4"/>
      <c r="AC8452" s="7">
        <v>2022</v>
      </c>
      <c r="AD8452" s="7">
        <v>12</v>
      </c>
      <c r="AE8452" s="7">
        <v>19</v>
      </c>
      <c r="AF8452" s="8">
        <v>8.3333333333333329E-2</v>
      </c>
      <c r="AG8452" s="7">
        <v>-24.9</v>
      </c>
      <c r="AH8452" s="10">
        <f t="shared" si="146"/>
        <v>-25</v>
      </c>
    </row>
    <row r="8453" spans="11:34" ht="14.5" x14ac:dyDescent="0.35">
      <c r="K8453" s="4"/>
      <c r="AC8453" s="7">
        <v>2022</v>
      </c>
      <c r="AD8453" s="7">
        <v>12</v>
      </c>
      <c r="AE8453" s="7">
        <v>19</v>
      </c>
      <c r="AF8453" s="8">
        <v>0.125</v>
      </c>
      <c r="AG8453" s="7">
        <v>-25.8</v>
      </c>
      <c r="AH8453" s="10">
        <f t="shared" si="146"/>
        <v>-26</v>
      </c>
    </row>
    <row r="8454" spans="11:34" ht="14.5" x14ac:dyDescent="0.35">
      <c r="K8454" s="4"/>
      <c r="AC8454" s="7">
        <v>2022</v>
      </c>
      <c r="AD8454" s="7">
        <v>12</v>
      </c>
      <c r="AE8454" s="7">
        <v>19</v>
      </c>
      <c r="AF8454" s="8">
        <v>0.16666666666666666</v>
      </c>
      <c r="AG8454" s="7">
        <v>-26.6</v>
      </c>
      <c r="AH8454" s="10">
        <f t="shared" si="146"/>
        <v>-27</v>
      </c>
    </row>
    <row r="8455" spans="11:34" ht="14.5" x14ac:dyDescent="0.35">
      <c r="K8455" s="4"/>
      <c r="AC8455" s="7">
        <v>2022</v>
      </c>
      <c r="AD8455" s="7">
        <v>12</v>
      </c>
      <c r="AE8455" s="7">
        <v>19</v>
      </c>
      <c r="AF8455" s="8">
        <v>0.20833333333333334</v>
      </c>
      <c r="AG8455" s="7">
        <v>-27</v>
      </c>
      <c r="AH8455" s="10">
        <f t="shared" si="146"/>
        <v>-27</v>
      </c>
    </row>
    <row r="8456" spans="11:34" ht="14.5" x14ac:dyDescent="0.35">
      <c r="K8456" s="4"/>
      <c r="AC8456" s="7">
        <v>2022</v>
      </c>
      <c r="AD8456" s="7">
        <v>12</v>
      </c>
      <c r="AE8456" s="7">
        <v>19</v>
      </c>
      <c r="AF8456" s="8">
        <v>0.25</v>
      </c>
      <c r="AG8456" s="7">
        <v>-27.8</v>
      </c>
      <c r="AH8456" s="10">
        <f t="shared" si="146"/>
        <v>-28</v>
      </c>
    </row>
    <row r="8457" spans="11:34" ht="14.5" x14ac:dyDescent="0.35">
      <c r="K8457" s="4"/>
      <c r="AC8457" s="7">
        <v>2022</v>
      </c>
      <c r="AD8457" s="7">
        <v>12</v>
      </c>
      <c r="AE8457" s="7">
        <v>19</v>
      </c>
      <c r="AF8457" s="8">
        <v>0.29166666666666669</v>
      </c>
      <c r="AG8457" s="7">
        <v>-28.2</v>
      </c>
      <c r="AH8457" s="10">
        <f t="shared" si="146"/>
        <v>-28</v>
      </c>
    </row>
    <row r="8458" spans="11:34" ht="14.5" x14ac:dyDescent="0.35">
      <c r="K8458" s="4"/>
      <c r="AC8458" s="7">
        <v>2022</v>
      </c>
      <c r="AD8458" s="7">
        <v>12</v>
      </c>
      <c r="AE8458" s="7">
        <v>19</v>
      </c>
      <c r="AF8458" s="8">
        <v>0.33333333333333331</v>
      </c>
      <c r="AG8458" s="7">
        <v>-28.6</v>
      </c>
      <c r="AH8458" s="10">
        <f t="shared" si="146"/>
        <v>-29</v>
      </c>
    </row>
    <row r="8459" spans="11:34" ht="14.5" x14ac:dyDescent="0.35">
      <c r="K8459" s="4"/>
      <c r="AC8459" s="7">
        <v>2022</v>
      </c>
      <c r="AD8459" s="7">
        <v>12</v>
      </c>
      <c r="AE8459" s="7">
        <v>19</v>
      </c>
      <c r="AF8459" s="8">
        <v>0.375</v>
      </c>
      <c r="AG8459" s="7">
        <v>-28.6</v>
      </c>
      <c r="AH8459" s="10">
        <f t="shared" ref="AH8459:AH8522" si="147">ROUND(AG8459,0)</f>
        <v>-29</v>
      </c>
    </row>
    <row r="8460" spans="11:34" ht="14.5" x14ac:dyDescent="0.35">
      <c r="K8460" s="4"/>
      <c r="AC8460" s="7">
        <v>2022</v>
      </c>
      <c r="AD8460" s="7">
        <v>12</v>
      </c>
      <c r="AE8460" s="7">
        <v>19</v>
      </c>
      <c r="AF8460" s="8">
        <v>0.41666666666666669</v>
      </c>
      <c r="AG8460" s="7">
        <v>-28.3</v>
      </c>
      <c r="AH8460" s="10">
        <f t="shared" si="147"/>
        <v>-28</v>
      </c>
    </row>
    <row r="8461" spans="11:34" ht="14.5" x14ac:dyDescent="0.35">
      <c r="K8461" s="4"/>
      <c r="AC8461" s="7">
        <v>2022</v>
      </c>
      <c r="AD8461" s="7">
        <v>12</v>
      </c>
      <c r="AE8461" s="7">
        <v>19</v>
      </c>
      <c r="AF8461" s="8">
        <v>0.45833333333333331</v>
      </c>
      <c r="AG8461" s="7">
        <v>-27.8</v>
      </c>
      <c r="AH8461" s="10">
        <f t="shared" si="147"/>
        <v>-28</v>
      </c>
    </row>
    <row r="8462" spans="11:34" ht="14.5" x14ac:dyDescent="0.35">
      <c r="K8462" s="4"/>
      <c r="AC8462" s="7">
        <v>2022</v>
      </c>
      <c r="AD8462" s="7">
        <v>12</v>
      </c>
      <c r="AE8462" s="7">
        <v>19</v>
      </c>
      <c r="AF8462" s="8">
        <v>0.5</v>
      </c>
      <c r="AG8462" s="7">
        <v>-27.3</v>
      </c>
      <c r="AH8462" s="10">
        <f t="shared" si="147"/>
        <v>-27</v>
      </c>
    </row>
    <row r="8463" spans="11:34" ht="14.5" x14ac:dyDescent="0.35">
      <c r="K8463" s="4"/>
      <c r="AC8463" s="7">
        <v>2022</v>
      </c>
      <c r="AD8463" s="7">
        <v>12</v>
      </c>
      <c r="AE8463" s="7">
        <v>19</v>
      </c>
      <c r="AF8463" s="8">
        <v>0.54166666666666663</v>
      </c>
      <c r="AG8463" s="7">
        <v>-26.9</v>
      </c>
      <c r="AH8463" s="10">
        <f t="shared" si="147"/>
        <v>-27</v>
      </c>
    </row>
    <row r="8464" spans="11:34" ht="14.5" x14ac:dyDescent="0.35">
      <c r="K8464" s="4"/>
      <c r="AC8464" s="7">
        <v>2022</v>
      </c>
      <c r="AD8464" s="7">
        <v>12</v>
      </c>
      <c r="AE8464" s="7">
        <v>19</v>
      </c>
      <c r="AF8464" s="8">
        <v>0.58333333333333337</v>
      </c>
      <c r="AG8464" s="7">
        <v>-26.7</v>
      </c>
      <c r="AH8464" s="10">
        <f t="shared" si="147"/>
        <v>-27</v>
      </c>
    </row>
    <row r="8465" spans="11:34" ht="14.5" x14ac:dyDescent="0.35">
      <c r="K8465" s="4"/>
      <c r="AC8465" s="7">
        <v>2022</v>
      </c>
      <c r="AD8465" s="7">
        <v>12</v>
      </c>
      <c r="AE8465" s="7">
        <v>19</v>
      </c>
      <c r="AF8465" s="8">
        <v>0.625</v>
      </c>
      <c r="AG8465" s="7">
        <v>-26.4</v>
      </c>
      <c r="AH8465" s="10">
        <f t="shared" si="147"/>
        <v>-26</v>
      </c>
    </row>
    <row r="8466" spans="11:34" ht="14.5" x14ac:dyDescent="0.35">
      <c r="K8466" s="4"/>
      <c r="AC8466" s="7">
        <v>2022</v>
      </c>
      <c r="AD8466" s="7">
        <v>12</v>
      </c>
      <c r="AE8466" s="7">
        <v>19</v>
      </c>
      <c r="AF8466" s="8">
        <v>0.66666666666666663</v>
      </c>
      <c r="AG8466" s="7">
        <v>-26.8</v>
      </c>
      <c r="AH8466" s="10">
        <f t="shared" si="147"/>
        <v>-27</v>
      </c>
    </row>
    <row r="8467" spans="11:34" ht="14.5" x14ac:dyDescent="0.35">
      <c r="K8467" s="4"/>
      <c r="AC8467" s="7">
        <v>2022</v>
      </c>
      <c r="AD8467" s="7">
        <v>12</v>
      </c>
      <c r="AE8467" s="7">
        <v>19</v>
      </c>
      <c r="AF8467" s="8">
        <v>0.70833333333333337</v>
      </c>
      <c r="AG8467" s="7">
        <v>-27.1</v>
      </c>
      <c r="AH8467" s="10">
        <f t="shared" si="147"/>
        <v>-27</v>
      </c>
    </row>
    <row r="8468" spans="11:34" ht="14.5" x14ac:dyDescent="0.35">
      <c r="K8468" s="4"/>
      <c r="AC8468" s="7">
        <v>2022</v>
      </c>
      <c r="AD8468" s="7">
        <v>12</v>
      </c>
      <c r="AE8468" s="7">
        <v>19</v>
      </c>
      <c r="AF8468" s="8">
        <v>0.75</v>
      </c>
      <c r="AG8468" s="7">
        <v>-28.5</v>
      </c>
      <c r="AH8468" s="10">
        <f t="shared" si="147"/>
        <v>-29</v>
      </c>
    </row>
    <row r="8469" spans="11:34" ht="14.5" x14ac:dyDescent="0.35">
      <c r="K8469" s="4"/>
      <c r="AC8469" s="7">
        <v>2022</v>
      </c>
      <c r="AD8469" s="7">
        <v>12</v>
      </c>
      <c r="AE8469" s="7">
        <v>19</v>
      </c>
      <c r="AF8469" s="8">
        <v>0.79166666666666663</v>
      </c>
      <c r="AG8469" s="7">
        <v>-28.7</v>
      </c>
      <c r="AH8469" s="10">
        <f t="shared" si="147"/>
        <v>-29</v>
      </c>
    </row>
    <row r="8470" spans="11:34" ht="14.5" x14ac:dyDescent="0.35">
      <c r="K8470" s="4"/>
      <c r="AC8470" s="7">
        <v>2022</v>
      </c>
      <c r="AD8470" s="7">
        <v>12</v>
      </c>
      <c r="AE8470" s="7">
        <v>19</v>
      </c>
      <c r="AF8470" s="8">
        <v>0.83333333333333337</v>
      </c>
      <c r="AG8470" s="7">
        <v>-30.4</v>
      </c>
      <c r="AH8470" s="10">
        <f t="shared" si="147"/>
        <v>-30</v>
      </c>
    </row>
    <row r="8471" spans="11:34" ht="14.5" x14ac:dyDescent="0.35">
      <c r="K8471" s="4"/>
      <c r="AC8471" s="7">
        <v>2022</v>
      </c>
      <c r="AD8471" s="7">
        <v>12</v>
      </c>
      <c r="AE8471" s="7">
        <v>19</v>
      </c>
      <c r="AF8471" s="8">
        <v>0.875</v>
      </c>
      <c r="AG8471" s="7">
        <v>-30.6</v>
      </c>
      <c r="AH8471" s="10">
        <f t="shared" si="147"/>
        <v>-31</v>
      </c>
    </row>
    <row r="8472" spans="11:34" ht="14.5" x14ac:dyDescent="0.35">
      <c r="K8472" s="4"/>
      <c r="AC8472" s="7">
        <v>2022</v>
      </c>
      <c r="AD8472" s="7">
        <v>12</v>
      </c>
      <c r="AE8472" s="7">
        <v>19</v>
      </c>
      <c r="AF8472" s="8">
        <v>0.91666666666666663</v>
      </c>
      <c r="AG8472" s="7">
        <v>-30.1</v>
      </c>
      <c r="AH8472" s="10">
        <f t="shared" si="147"/>
        <v>-30</v>
      </c>
    </row>
    <row r="8473" spans="11:34" ht="14.5" x14ac:dyDescent="0.35">
      <c r="K8473" s="4"/>
      <c r="AC8473" s="7">
        <v>2022</v>
      </c>
      <c r="AD8473" s="7">
        <v>12</v>
      </c>
      <c r="AE8473" s="7">
        <v>19</v>
      </c>
      <c r="AF8473" s="8">
        <v>0.95833333333333337</v>
      </c>
      <c r="AG8473" s="7">
        <v>-30.4</v>
      </c>
      <c r="AH8473" s="10">
        <f t="shared" si="147"/>
        <v>-30</v>
      </c>
    </row>
    <row r="8474" spans="11:34" ht="14.5" x14ac:dyDescent="0.35">
      <c r="K8474" s="4"/>
      <c r="AC8474" s="7">
        <v>2022</v>
      </c>
      <c r="AD8474" s="7">
        <v>12</v>
      </c>
      <c r="AE8474" s="7">
        <v>20</v>
      </c>
      <c r="AF8474" s="8">
        <v>0</v>
      </c>
      <c r="AG8474" s="7">
        <v>-29.6</v>
      </c>
      <c r="AH8474" s="10">
        <f t="shared" si="147"/>
        <v>-30</v>
      </c>
    </row>
    <row r="8475" spans="11:34" ht="14.5" x14ac:dyDescent="0.35">
      <c r="K8475" s="4"/>
      <c r="AC8475" s="7">
        <v>2022</v>
      </c>
      <c r="AD8475" s="7">
        <v>12</v>
      </c>
      <c r="AE8475" s="7">
        <v>20</v>
      </c>
      <c r="AF8475" s="8">
        <v>4.1666666666666664E-2</v>
      </c>
      <c r="AG8475" s="7">
        <v>-30.3</v>
      </c>
      <c r="AH8475" s="10">
        <f t="shared" si="147"/>
        <v>-30</v>
      </c>
    </row>
    <row r="8476" spans="11:34" ht="14.5" x14ac:dyDescent="0.35">
      <c r="K8476" s="4"/>
      <c r="AC8476" s="7">
        <v>2022</v>
      </c>
      <c r="AD8476" s="7">
        <v>12</v>
      </c>
      <c r="AE8476" s="7">
        <v>20</v>
      </c>
      <c r="AF8476" s="8">
        <v>8.3333333333333329E-2</v>
      </c>
      <c r="AG8476" s="7">
        <v>-30.5</v>
      </c>
      <c r="AH8476" s="10">
        <f t="shared" si="147"/>
        <v>-31</v>
      </c>
    </row>
    <row r="8477" spans="11:34" ht="14.5" x14ac:dyDescent="0.35">
      <c r="K8477" s="4"/>
      <c r="AC8477" s="7">
        <v>2022</v>
      </c>
      <c r="AD8477" s="7">
        <v>12</v>
      </c>
      <c r="AE8477" s="7">
        <v>20</v>
      </c>
      <c r="AF8477" s="8">
        <v>0.125</v>
      </c>
      <c r="AG8477" s="7">
        <v>-30.4</v>
      </c>
      <c r="AH8477" s="10">
        <f t="shared" si="147"/>
        <v>-30</v>
      </c>
    </row>
    <row r="8478" spans="11:34" ht="14.5" x14ac:dyDescent="0.35">
      <c r="K8478" s="4"/>
      <c r="AC8478" s="7">
        <v>2022</v>
      </c>
      <c r="AD8478" s="7">
        <v>12</v>
      </c>
      <c r="AE8478" s="7">
        <v>20</v>
      </c>
      <c r="AF8478" s="8">
        <v>0.16666666666666666</v>
      </c>
      <c r="AG8478" s="7">
        <v>-31.3</v>
      </c>
      <c r="AH8478" s="10">
        <f t="shared" si="147"/>
        <v>-31</v>
      </c>
    </row>
    <row r="8479" spans="11:34" ht="14.5" x14ac:dyDescent="0.35">
      <c r="K8479" s="4"/>
      <c r="AC8479" s="7">
        <v>2022</v>
      </c>
      <c r="AD8479" s="7">
        <v>12</v>
      </c>
      <c r="AE8479" s="7">
        <v>20</v>
      </c>
      <c r="AF8479" s="8">
        <v>0.20833333333333334</v>
      </c>
      <c r="AG8479" s="7">
        <v>-31.8</v>
      </c>
      <c r="AH8479" s="10">
        <f t="shared" si="147"/>
        <v>-32</v>
      </c>
    </row>
    <row r="8480" spans="11:34" ht="14.5" x14ac:dyDescent="0.35">
      <c r="K8480" s="4"/>
      <c r="AC8480" s="7">
        <v>2022</v>
      </c>
      <c r="AD8480" s="7">
        <v>12</v>
      </c>
      <c r="AE8480" s="7">
        <v>20</v>
      </c>
      <c r="AF8480" s="8">
        <v>0.25</v>
      </c>
      <c r="AG8480" s="7">
        <v>-31.3</v>
      </c>
      <c r="AH8480" s="10">
        <f t="shared" si="147"/>
        <v>-31</v>
      </c>
    </row>
    <row r="8481" spans="11:34" ht="14.5" x14ac:dyDescent="0.35">
      <c r="K8481" s="4"/>
      <c r="AC8481" s="7">
        <v>2022</v>
      </c>
      <c r="AD8481" s="7">
        <v>12</v>
      </c>
      <c r="AE8481" s="7">
        <v>20</v>
      </c>
      <c r="AF8481" s="8">
        <v>0.29166666666666669</v>
      </c>
      <c r="AG8481" s="7">
        <v>-29.8</v>
      </c>
      <c r="AH8481" s="10">
        <f t="shared" si="147"/>
        <v>-30</v>
      </c>
    </row>
    <row r="8482" spans="11:34" ht="14.5" x14ac:dyDescent="0.35">
      <c r="K8482" s="4"/>
      <c r="AC8482" s="7">
        <v>2022</v>
      </c>
      <c r="AD8482" s="7">
        <v>12</v>
      </c>
      <c r="AE8482" s="7">
        <v>20</v>
      </c>
      <c r="AF8482" s="8">
        <v>0.33333333333333331</v>
      </c>
      <c r="AG8482" s="7">
        <v>-29.6</v>
      </c>
      <c r="AH8482" s="10">
        <f t="shared" si="147"/>
        <v>-30</v>
      </c>
    </row>
    <row r="8483" spans="11:34" ht="14.5" x14ac:dyDescent="0.35">
      <c r="K8483" s="4"/>
      <c r="AC8483" s="7">
        <v>2022</v>
      </c>
      <c r="AD8483" s="7">
        <v>12</v>
      </c>
      <c r="AE8483" s="7">
        <v>20</v>
      </c>
      <c r="AF8483" s="8">
        <v>0.375</v>
      </c>
      <c r="AG8483" s="7">
        <v>-29.6</v>
      </c>
      <c r="AH8483" s="10">
        <f t="shared" si="147"/>
        <v>-30</v>
      </c>
    </row>
    <row r="8484" spans="11:34" ht="14.5" x14ac:dyDescent="0.35">
      <c r="K8484" s="4"/>
      <c r="AC8484" s="7">
        <v>2022</v>
      </c>
      <c r="AD8484" s="7">
        <v>12</v>
      </c>
      <c r="AE8484" s="7">
        <v>20</v>
      </c>
      <c r="AF8484" s="8">
        <v>0.41666666666666669</v>
      </c>
      <c r="AG8484" s="7">
        <v>-29.1</v>
      </c>
      <c r="AH8484" s="10">
        <f t="shared" si="147"/>
        <v>-29</v>
      </c>
    </row>
    <row r="8485" spans="11:34" ht="14.5" x14ac:dyDescent="0.35">
      <c r="K8485" s="4"/>
      <c r="AC8485" s="7">
        <v>2022</v>
      </c>
      <c r="AD8485" s="7">
        <v>12</v>
      </c>
      <c r="AE8485" s="7">
        <v>20</v>
      </c>
      <c r="AF8485" s="8">
        <v>0.45833333333333331</v>
      </c>
      <c r="AG8485" s="7">
        <v>-28.9</v>
      </c>
      <c r="AH8485" s="10">
        <f t="shared" si="147"/>
        <v>-29</v>
      </c>
    </row>
    <row r="8486" spans="11:34" ht="14.5" x14ac:dyDescent="0.35">
      <c r="K8486" s="4"/>
      <c r="AC8486" s="7">
        <v>2022</v>
      </c>
      <c r="AD8486" s="7">
        <v>12</v>
      </c>
      <c r="AE8486" s="7">
        <v>20</v>
      </c>
      <c r="AF8486" s="8">
        <v>0.5</v>
      </c>
      <c r="AG8486" s="7">
        <v>-28.3</v>
      </c>
      <c r="AH8486" s="10">
        <f t="shared" si="147"/>
        <v>-28</v>
      </c>
    </row>
    <row r="8487" spans="11:34" ht="14.5" x14ac:dyDescent="0.35">
      <c r="K8487" s="4"/>
      <c r="AC8487" s="7">
        <v>2022</v>
      </c>
      <c r="AD8487" s="7">
        <v>12</v>
      </c>
      <c r="AE8487" s="7">
        <v>20</v>
      </c>
      <c r="AF8487" s="8">
        <v>0.54166666666666663</v>
      </c>
      <c r="AG8487" s="7">
        <v>-28.4</v>
      </c>
      <c r="AH8487" s="10">
        <f t="shared" si="147"/>
        <v>-28</v>
      </c>
    </row>
    <row r="8488" spans="11:34" ht="14.5" x14ac:dyDescent="0.35">
      <c r="K8488" s="4"/>
      <c r="AC8488" s="7">
        <v>2022</v>
      </c>
      <c r="AD8488" s="7">
        <v>12</v>
      </c>
      <c r="AE8488" s="7">
        <v>20</v>
      </c>
      <c r="AF8488" s="8">
        <v>0.58333333333333337</v>
      </c>
      <c r="AG8488" s="7">
        <v>-28.4</v>
      </c>
      <c r="AH8488" s="10">
        <f t="shared" si="147"/>
        <v>-28</v>
      </c>
    </row>
    <row r="8489" spans="11:34" ht="14.5" x14ac:dyDescent="0.35">
      <c r="K8489" s="4"/>
      <c r="AC8489" s="7">
        <v>2022</v>
      </c>
      <c r="AD8489" s="7">
        <v>12</v>
      </c>
      <c r="AE8489" s="7">
        <v>20</v>
      </c>
      <c r="AF8489" s="8">
        <v>0.625</v>
      </c>
      <c r="AG8489" s="7">
        <v>-28.9</v>
      </c>
      <c r="AH8489" s="10">
        <f t="shared" si="147"/>
        <v>-29</v>
      </c>
    </row>
    <row r="8490" spans="11:34" ht="14.5" x14ac:dyDescent="0.35">
      <c r="K8490" s="4"/>
      <c r="AC8490" s="7">
        <v>2022</v>
      </c>
      <c r="AD8490" s="7">
        <v>12</v>
      </c>
      <c r="AE8490" s="7">
        <v>20</v>
      </c>
      <c r="AF8490" s="8">
        <v>0.66666666666666663</v>
      </c>
      <c r="AG8490" s="7">
        <v>-28.9</v>
      </c>
      <c r="AH8490" s="10">
        <f t="shared" si="147"/>
        <v>-29</v>
      </c>
    </row>
    <row r="8491" spans="11:34" ht="14.5" x14ac:dyDescent="0.35">
      <c r="K8491" s="4"/>
      <c r="AC8491" s="7">
        <v>2022</v>
      </c>
      <c r="AD8491" s="7">
        <v>12</v>
      </c>
      <c r="AE8491" s="7">
        <v>20</v>
      </c>
      <c r="AF8491" s="8">
        <v>0.70833333333333337</v>
      </c>
      <c r="AG8491" s="7">
        <v>-29.3</v>
      </c>
      <c r="AH8491" s="10">
        <f t="shared" si="147"/>
        <v>-29</v>
      </c>
    </row>
    <row r="8492" spans="11:34" ht="14.5" x14ac:dyDescent="0.35">
      <c r="K8492" s="4"/>
      <c r="AC8492" s="7">
        <v>2022</v>
      </c>
      <c r="AD8492" s="7">
        <v>12</v>
      </c>
      <c r="AE8492" s="7">
        <v>20</v>
      </c>
      <c r="AF8492" s="8">
        <v>0.75</v>
      </c>
      <c r="AG8492" s="7">
        <v>-29.4</v>
      </c>
      <c r="AH8492" s="10">
        <f t="shared" si="147"/>
        <v>-29</v>
      </c>
    </row>
    <row r="8493" spans="11:34" ht="14.5" x14ac:dyDescent="0.35">
      <c r="K8493" s="4"/>
      <c r="AC8493" s="7">
        <v>2022</v>
      </c>
      <c r="AD8493" s="7">
        <v>12</v>
      </c>
      <c r="AE8493" s="7">
        <v>20</v>
      </c>
      <c r="AF8493" s="8">
        <v>0.79166666666666663</v>
      </c>
      <c r="AG8493" s="7">
        <v>-29.7</v>
      </c>
      <c r="AH8493" s="10">
        <f t="shared" si="147"/>
        <v>-30</v>
      </c>
    </row>
    <row r="8494" spans="11:34" ht="14.5" x14ac:dyDescent="0.35">
      <c r="K8494" s="4"/>
      <c r="AC8494" s="7">
        <v>2022</v>
      </c>
      <c r="AD8494" s="7">
        <v>12</v>
      </c>
      <c r="AE8494" s="7">
        <v>20</v>
      </c>
      <c r="AF8494" s="8">
        <v>0.83333333333333337</v>
      </c>
      <c r="AG8494" s="7">
        <v>-29.8</v>
      </c>
      <c r="AH8494" s="10">
        <f t="shared" si="147"/>
        <v>-30</v>
      </c>
    </row>
    <row r="8495" spans="11:34" ht="14.5" x14ac:dyDescent="0.35">
      <c r="K8495" s="4"/>
      <c r="AC8495" s="7">
        <v>2022</v>
      </c>
      <c r="AD8495" s="7">
        <v>12</v>
      </c>
      <c r="AE8495" s="7">
        <v>20</v>
      </c>
      <c r="AF8495" s="8">
        <v>0.875</v>
      </c>
      <c r="AG8495" s="7">
        <v>-30.1</v>
      </c>
      <c r="AH8495" s="10">
        <f t="shared" si="147"/>
        <v>-30</v>
      </c>
    </row>
    <row r="8496" spans="11:34" ht="14.5" x14ac:dyDescent="0.35">
      <c r="K8496" s="4"/>
      <c r="AC8496" s="7">
        <v>2022</v>
      </c>
      <c r="AD8496" s="7">
        <v>12</v>
      </c>
      <c r="AE8496" s="7">
        <v>20</v>
      </c>
      <c r="AF8496" s="8">
        <v>0.91666666666666663</v>
      </c>
      <c r="AG8496" s="7">
        <v>-30.9</v>
      </c>
      <c r="AH8496" s="10">
        <f t="shared" si="147"/>
        <v>-31</v>
      </c>
    </row>
    <row r="8497" spans="11:34" ht="14.5" x14ac:dyDescent="0.35">
      <c r="K8497" s="4"/>
      <c r="AC8497" s="7">
        <v>2022</v>
      </c>
      <c r="AD8497" s="7">
        <v>12</v>
      </c>
      <c r="AE8497" s="7">
        <v>20</v>
      </c>
      <c r="AF8497" s="8">
        <v>0.95833333333333337</v>
      </c>
      <c r="AG8497" s="7">
        <v>-31.4</v>
      </c>
      <c r="AH8497" s="10">
        <f t="shared" si="147"/>
        <v>-31</v>
      </c>
    </row>
    <row r="8498" spans="11:34" ht="14.5" x14ac:dyDescent="0.35">
      <c r="K8498" s="4"/>
      <c r="AC8498" s="7">
        <v>2022</v>
      </c>
      <c r="AD8498" s="7">
        <v>12</v>
      </c>
      <c r="AE8498" s="7">
        <v>21</v>
      </c>
      <c r="AF8498" s="8">
        <v>0</v>
      </c>
      <c r="AG8498" s="7">
        <v>-31.7</v>
      </c>
      <c r="AH8498" s="10">
        <f t="shared" si="147"/>
        <v>-32</v>
      </c>
    </row>
    <row r="8499" spans="11:34" ht="14.5" x14ac:dyDescent="0.35">
      <c r="K8499" s="4"/>
      <c r="AC8499" s="7">
        <v>2022</v>
      </c>
      <c r="AD8499" s="7">
        <v>12</v>
      </c>
      <c r="AE8499" s="7">
        <v>21</v>
      </c>
      <c r="AF8499" s="8">
        <v>4.1666666666666664E-2</v>
      </c>
      <c r="AG8499" s="7">
        <v>-31.3</v>
      </c>
      <c r="AH8499" s="10">
        <f t="shared" si="147"/>
        <v>-31</v>
      </c>
    </row>
    <row r="8500" spans="11:34" ht="14.5" x14ac:dyDescent="0.35">
      <c r="K8500" s="4"/>
      <c r="AC8500" s="7">
        <v>2022</v>
      </c>
      <c r="AD8500" s="7">
        <v>12</v>
      </c>
      <c r="AE8500" s="7">
        <v>21</v>
      </c>
      <c r="AF8500" s="8">
        <v>8.3333333333333329E-2</v>
      </c>
      <c r="AG8500" s="7">
        <v>-31</v>
      </c>
      <c r="AH8500" s="10">
        <f t="shared" si="147"/>
        <v>-31</v>
      </c>
    </row>
    <row r="8501" spans="11:34" ht="14.5" x14ac:dyDescent="0.35">
      <c r="K8501" s="4"/>
      <c r="AC8501" s="7">
        <v>2022</v>
      </c>
      <c r="AD8501" s="7">
        <v>12</v>
      </c>
      <c r="AE8501" s="7">
        <v>21</v>
      </c>
      <c r="AF8501" s="8">
        <v>0.125</v>
      </c>
      <c r="AG8501" s="7">
        <v>-31</v>
      </c>
      <c r="AH8501" s="10">
        <f t="shared" si="147"/>
        <v>-31</v>
      </c>
    </row>
    <row r="8502" spans="11:34" ht="14.5" x14ac:dyDescent="0.35">
      <c r="K8502" s="4"/>
      <c r="AC8502" s="7">
        <v>2022</v>
      </c>
      <c r="AD8502" s="7">
        <v>12</v>
      </c>
      <c r="AE8502" s="7">
        <v>21</v>
      </c>
      <c r="AF8502" s="8">
        <v>0.16666666666666666</v>
      </c>
      <c r="AG8502" s="7">
        <v>-30.7</v>
      </c>
      <c r="AH8502" s="10">
        <f t="shared" si="147"/>
        <v>-31</v>
      </c>
    </row>
    <row r="8503" spans="11:34" ht="14.5" x14ac:dyDescent="0.35">
      <c r="K8503" s="4"/>
      <c r="AC8503" s="7">
        <v>2022</v>
      </c>
      <c r="AD8503" s="7">
        <v>12</v>
      </c>
      <c r="AE8503" s="7">
        <v>21</v>
      </c>
      <c r="AF8503" s="8">
        <v>0.20833333333333334</v>
      </c>
      <c r="AG8503" s="7">
        <v>-30.6</v>
      </c>
      <c r="AH8503" s="10">
        <f t="shared" si="147"/>
        <v>-31</v>
      </c>
    </row>
    <row r="8504" spans="11:34" ht="14.5" x14ac:dyDescent="0.35">
      <c r="K8504" s="4"/>
      <c r="AC8504" s="7">
        <v>2022</v>
      </c>
      <c r="AD8504" s="7">
        <v>12</v>
      </c>
      <c r="AE8504" s="7">
        <v>21</v>
      </c>
      <c r="AF8504" s="8">
        <v>0.25</v>
      </c>
      <c r="AG8504" s="7">
        <v>-30.5</v>
      </c>
      <c r="AH8504" s="10">
        <f t="shared" si="147"/>
        <v>-31</v>
      </c>
    </row>
    <row r="8505" spans="11:34" ht="14.5" x14ac:dyDescent="0.35">
      <c r="K8505" s="4"/>
      <c r="AC8505" s="7">
        <v>2022</v>
      </c>
      <c r="AD8505" s="7">
        <v>12</v>
      </c>
      <c r="AE8505" s="7">
        <v>21</v>
      </c>
      <c r="AF8505" s="8">
        <v>0.29166666666666669</v>
      </c>
      <c r="AG8505" s="7">
        <v>-30.5</v>
      </c>
      <c r="AH8505" s="10">
        <f t="shared" si="147"/>
        <v>-31</v>
      </c>
    </row>
    <row r="8506" spans="11:34" ht="14.5" x14ac:dyDescent="0.35">
      <c r="K8506" s="4"/>
      <c r="AC8506" s="7">
        <v>2022</v>
      </c>
      <c r="AD8506" s="7">
        <v>12</v>
      </c>
      <c r="AE8506" s="7">
        <v>21</v>
      </c>
      <c r="AF8506" s="8">
        <v>0.33333333333333331</v>
      </c>
      <c r="AG8506" s="7">
        <v>-30.5</v>
      </c>
      <c r="AH8506" s="10">
        <f t="shared" si="147"/>
        <v>-31</v>
      </c>
    </row>
    <row r="8507" spans="11:34" ht="14.5" x14ac:dyDescent="0.35">
      <c r="K8507" s="4"/>
      <c r="AC8507" s="7">
        <v>2022</v>
      </c>
      <c r="AD8507" s="7">
        <v>12</v>
      </c>
      <c r="AE8507" s="7">
        <v>21</v>
      </c>
      <c r="AF8507" s="8">
        <v>0.375</v>
      </c>
      <c r="AG8507" s="7">
        <v>-30.2</v>
      </c>
      <c r="AH8507" s="10">
        <f t="shared" si="147"/>
        <v>-30</v>
      </c>
    </row>
    <row r="8508" spans="11:34" ht="14.5" x14ac:dyDescent="0.35">
      <c r="K8508" s="4"/>
      <c r="AC8508" s="7">
        <v>2022</v>
      </c>
      <c r="AD8508" s="7">
        <v>12</v>
      </c>
      <c r="AE8508" s="7">
        <v>21</v>
      </c>
      <c r="AF8508" s="8">
        <v>0.41666666666666669</v>
      </c>
      <c r="AG8508" s="7">
        <v>-29.5</v>
      </c>
      <c r="AH8508" s="10">
        <f t="shared" si="147"/>
        <v>-30</v>
      </c>
    </row>
    <row r="8509" spans="11:34" ht="14.5" x14ac:dyDescent="0.35">
      <c r="K8509" s="4"/>
      <c r="AC8509" s="7">
        <v>2022</v>
      </c>
      <c r="AD8509" s="7">
        <v>12</v>
      </c>
      <c r="AE8509" s="7">
        <v>21</v>
      </c>
      <c r="AF8509" s="8">
        <v>0.45833333333333331</v>
      </c>
      <c r="AG8509" s="7">
        <v>-29.5</v>
      </c>
      <c r="AH8509" s="10">
        <f t="shared" si="147"/>
        <v>-30</v>
      </c>
    </row>
    <row r="8510" spans="11:34" ht="14.5" x14ac:dyDescent="0.35">
      <c r="K8510" s="4"/>
      <c r="AC8510" s="7">
        <v>2022</v>
      </c>
      <c r="AD8510" s="7">
        <v>12</v>
      </c>
      <c r="AE8510" s="7">
        <v>21</v>
      </c>
      <c r="AF8510" s="8">
        <v>0.5</v>
      </c>
      <c r="AG8510" s="7">
        <v>-28.5</v>
      </c>
      <c r="AH8510" s="10">
        <f t="shared" si="147"/>
        <v>-29</v>
      </c>
    </row>
    <row r="8511" spans="11:34" ht="14.5" x14ac:dyDescent="0.35">
      <c r="K8511" s="4"/>
      <c r="AC8511" s="7">
        <v>2022</v>
      </c>
      <c r="AD8511" s="7">
        <v>12</v>
      </c>
      <c r="AE8511" s="7">
        <v>21</v>
      </c>
      <c r="AF8511" s="8">
        <v>0.54166666666666663</v>
      </c>
      <c r="AG8511" s="7">
        <v>-28.3</v>
      </c>
      <c r="AH8511" s="10">
        <f t="shared" si="147"/>
        <v>-28</v>
      </c>
    </row>
    <row r="8512" spans="11:34" ht="14.5" x14ac:dyDescent="0.35">
      <c r="K8512" s="4"/>
      <c r="AC8512" s="7">
        <v>2022</v>
      </c>
      <c r="AD8512" s="7">
        <v>12</v>
      </c>
      <c r="AE8512" s="7">
        <v>21</v>
      </c>
      <c r="AF8512" s="8">
        <v>0.58333333333333337</v>
      </c>
      <c r="AG8512" s="7">
        <v>-27.5</v>
      </c>
      <c r="AH8512" s="10">
        <f t="shared" si="147"/>
        <v>-28</v>
      </c>
    </row>
    <row r="8513" spans="11:34" ht="14.5" x14ac:dyDescent="0.35">
      <c r="K8513" s="4"/>
      <c r="AC8513" s="7">
        <v>2022</v>
      </c>
      <c r="AD8513" s="7">
        <v>12</v>
      </c>
      <c r="AE8513" s="7">
        <v>21</v>
      </c>
      <c r="AF8513" s="8">
        <v>0.625</v>
      </c>
      <c r="AG8513" s="7">
        <v>-27.5</v>
      </c>
      <c r="AH8513" s="10">
        <f t="shared" si="147"/>
        <v>-28</v>
      </c>
    </row>
    <row r="8514" spans="11:34" ht="14.5" x14ac:dyDescent="0.35">
      <c r="K8514" s="4"/>
      <c r="AC8514" s="7">
        <v>2022</v>
      </c>
      <c r="AD8514" s="7">
        <v>12</v>
      </c>
      <c r="AE8514" s="7">
        <v>21</v>
      </c>
      <c r="AF8514" s="8">
        <v>0.66666666666666663</v>
      </c>
      <c r="AG8514" s="7">
        <v>-28.1</v>
      </c>
      <c r="AH8514" s="10">
        <f t="shared" si="147"/>
        <v>-28</v>
      </c>
    </row>
    <row r="8515" spans="11:34" ht="14.5" x14ac:dyDescent="0.35">
      <c r="K8515" s="4"/>
      <c r="AC8515" s="7">
        <v>2022</v>
      </c>
      <c r="AD8515" s="7">
        <v>12</v>
      </c>
      <c r="AE8515" s="7">
        <v>21</v>
      </c>
      <c r="AF8515" s="8">
        <v>0.70833333333333337</v>
      </c>
      <c r="AG8515" s="7">
        <v>-28.6</v>
      </c>
      <c r="AH8515" s="10">
        <f t="shared" si="147"/>
        <v>-29</v>
      </c>
    </row>
    <row r="8516" spans="11:34" ht="14.5" x14ac:dyDescent="0.35">
      <c r="K8516" s="4"/>
      <c r="AC8516" s="7">
        <v>2022</v>
      </c>
      <c r="AD8516" s="7">
        <v>12</v>
      </c>
      <c r="AE8516" s="7">
        <v>21</v>
      </c>
      <c r="AF8516" s="8">
        <v>0.75</v>
      </c>
      <c r="AG8516" s="7">
        <v>-29</v>
      </c>
      <c r="AH8516" s="10">
        <f t="shared" si="147"/>
        <v>-29</v>
      </c>
    </row>
    <row r="8517" spans="11:34" ht="14.5" x14ac:dyDescent="0.35">
      <c r="K8517" s="4"/>
      <c r="AC8517" s="7">
        <v>2022</v>
      </c>
      <c r="AD8517" s="7">
        <v>12</v>
      </c>
      <c r="AE8517" s="7">
        <v>21</v>
      </c>
      <c r="AF8517" s="8">
        <v>0.79166666666666663</v>
      </c>
      <c r="AG8517" s="7">
        <v>-29</v>
      </c>
      <c r="AH8517" s="10">
        <f t="shared" si="147"/>
        <v>-29</v>
      </c>
    </row>
    <row r="8518" spans="11:34" ht="14.5" x14ac:dyDescent="0.35">
      <c r="K8518" s="4"/>
      <c r="AC8518" s="7">
        <v>2022</v>
      </c>
      <c r="AD8518" s="7">
        <v>12</v>
      </c>
      <c r="AE8518" s="7">
        <v>21</v>
      </c>
      <c r="AF8518" s="8">
        <v>0.83333333333333337</v>
      </c>
      <c r="AG8518" s="7">
        <v>-28.9</v>
      </c>
      <c r="AH8518" s="10">
        <f t="shared" si="147"/>
        <v>-29</v>
      </c>
    </row>
    <row r="8519" spans="11:34" ht="14.5" x14ac:dyDescent="0.35">
      <c r="K8519" s="4"/>
      <c r="AC8519" s="7">
        <v>2022</v>
      </c>
      <c r="AD8519" s="7">
        <v>12</v>
      </c>
      <c r="AE8519" s="7">
        <v>21</v>
      </c>
      <c r="AF8519" s="8">
        <v>0.875</v>
      </c>
      <c r="AG8519" s="7">
        <v>-29</v>
      </c>
      <c r="AH8519" s="10">
        <f t="shared" si="147"/>
        <v>-29</v>
      </c>
    </row>
    <row r="8520" spans="11:34" ht="14.5" x14ac:dyDescent="0.35">
      <c r="K8520" s="4"/>
      <c r="AC8520" s="7">
        <v>2022</v>
      </c>
      <c r="AD8520" s="7">
        <v>12</v>
      </c>
      <c r="AE8520" s="7">
        <v>21</v>
      </c>
      <c r="AF8520" s="8">
        <v>0.91666666666666663</v>
      </c>
      <c r="AG8520" s="7">
        <v>-29.2</v>
      </c>
      <c r="AH8520" s="10">
        <f t="shared" si="147"/>
        <v>-29</v>
      </c>
    </row>
    <row r="8521" spans="11:34" ht="14.5" x14ac:dyDescent="0.35">
      <c r="K8521" s="4"/>
      <c r="AC8521" s="7">
        <v>2022</v>
      </c>
      <c r="AD8521" s="7">
        <v>12</v>
      </c>
      <c r="AE8521" s="7">
        <v>21</v>
      </c>
      <c r="AF8521" s="8">
        <v>0.95833333333333337</v>
      </c>
      <c r="AG8521" s="7">
        <v>-28.9</v>
      </c>
      <c r="AH8521" s="10">
        <f t="shared" si="147"/>
        <v>-29</v>
      </c>
    </row>
    <row r="8522" spans="11:34" ht="14.5" x14ac:dyDescent="0.35">
      <c r="K8522" s="4"/>
      <c r="AC8522" s="7">
        <v>2022</v>
      </c>
      <c r="AD8522" s="7">
        <v>12</v>
      </c>
      <c r="AE8522" s="7">
        <v>22</v>
      </c>
      <c r="AF8522" s="8">
        <v>0</v>
      </c>
      <c r="AG8522" s="7">
        <v>-28.5</v>
      </c>
      <c r="AH8522" s="10">
        <f t="shared" si="147"/>
        <v>-29</v>
      </c>
    </row>
    <row r="8523" spans="11:34" ht="14.5" x14ac:dyDescent="0.35">
      <c r="K8523" s="4"/>
      <c r="AC8523" s="7">
        <v>2022</v>
      </c>
      <c r="AD8523" s="7">
        <v>12</v>
      </c>
      <c r="AE8523" s="7">
        <v>22</v>
      </c>
      <c r="AF8523" s="8">
        <v>4.1666666666666664E-2</v>
      </c>
      <c r="AG8523" s="7">
        <v>-28.6</v>
      </c>
      <c r="AH8523" s="10">
        <f t="shared" ref="AH8523:AH8586" si="148">ROUND(AG8523,0)</f>
        <v>-29</v>
      </c>
    </row>
    <row r="8524" spans="11:34" ht="14.5" x14ac:dyDescent="0.35">
      <c r="K8524" s="4"/>
      <c r="AC8524" s="7">
        <v>2022</v>
      </c>
      <c r="AD8524" s="7">
        <v>12</v>
      </c>
      <c r="AE8524" s="7">
        <v>22</v>
      </c>
      <c r="AF8524" s="8">
        <v>8.3333333333333329E-2</v>
      </c>
      <c r="AG8524" s="7">
        <v>-29.9</v>
      </c>
      <c r="AH8524" s="10">
        <f t="shared" si="148"/>
        <v>-30</v>
      </c>
    </row>
    <row r="8525" spans="11:34" ht="14.5" x14ac:dyDescent="0.35">
      <c r="K8525" s="4"/>
      <c r="AC8525" s="7">
        <v>2022</v>
      </c>
      <c r="AD8525" s="7">
        <v>12</v>
      </c>
      <c r="AE8525" s="7">
        <v>22</v>
      </c>
      <c r="AF8525" s="8">
        <v>0.125</v>
      </c>
      <c r="AG8525" s="7">
        <v>-29.3</v>
      </c>
      <c r="AH8525" s="10">
        <f t="shared" si="148"/>
        <v>-29</v>
      </c>
    </row>
    <row r="8526" spans="11:34" ht="14.5" x14ac:dyDescent="0.35">
      <c r="K8526" s="4"/>
      <c r="AC8526" s="7">
        <v>2022</v>
      </c>
      <c r="AD8526" s="7">
        <v>12</v>
      </c>
      <c r="AE8526" s="7">
        <v>22</v>
      </c>
      <c r="AF8526" s="8">
        <v>0.16666666666666666</v>
      </c>
      <c r="AG8526" s="7">
        <v>-28.7</v>
      </c>
      <c r="AH8526" s="10">
        <f t="shared" si="148"/>
        <v>-29</v>
      </c>
    </row>
    <row r="8527" spans="11:34" ht="14.5" x14ac:dyDescent="0.35">
      <c r="K8527" s="4"/>
      <c r="AC8527" s="7">
        <v>2022</v>
      </c>
      <c r="AD8527" s="7">
        <v>12</v>
      </c>
      <c r="AE8527" s="7">
        <v>22</v>
      </c>
      <c r="AF8527" s="8">
        <v>0.20833333333333334</v>
      </c>
      <c r="AG8527" s="7">
        <v>-31</v>
      </c>
      <c r="AH8527" s="10">
        <f t="shared" si="148"/>
        <v>-31</v>
      </c>
    </row>
    <row r="8528" spans="11:34" ht="14.5" x14ac:dyDescent="0.35">
      <c r="K8528" s="4"/>
      <c r="AC8528" s="7">
        <v>2022</v>
      </c>
      <c r="AD8528" s="7">
        <v>12</v>
      </c>
      <c r="AE8528" s="7">
        <v>22</v>
      </c>
      <c r="AF8528" s="8">
        <v>0.25</v>
      </c>
      <c r="AG8528" s="7">
        <v>-31.6</v>
      </c>
      <c r="AH8528" s="10">
        <f t="shared" si="148"/>
        <v>-32</v>
      </c>
    </row>
    <row r="8529" spans="11:34" ht="14.5" x14ac:dyDescent="0.35">
      <c r="K8529" s="4"/>
      <c r="AC8529" s="7">
        <v>2022</v>
      </c>
      <c r="AD8529" s="7">
        <v>12</v>
      </c>
      <c r="AE8529" s="7">
        <v>22</v>
      </c>
      <c r="AF8529" s="8">
        <v>0.29166666666666669</v>
      </c>
      <c r="AG8529" s="7">
        <v>-31.4</v>
      </c>
      <c r="AH8529" s="10">
        <f t="shared" si="148"/>
        <v>-31</v>
      </c>
    </row>
    <row r="8530" spans="11:34" ht="14.5" x14ac:dyDescent="0.35">
      <c r="K8530" s="4"/>
      <c r="AC8530" s="7">
        <v>2022</v>
      </c>
      <c r="AD8530" s="7">
        <v>12</v>
      </c>
      <c r="AE8530" s="7">
        <v>22</v>
      </c>
      <c r="AF8530" s="8">
        <v>0.33333333333333331</v>
      </c>
      <c r="AG8530" s="7">
        <v>-31.7</v>
      </c>
      <c r="AH8530" s="10">
        <f t="shared" si="148"/>
        <v>-32</v>
      </c>
    </row>
    <row r="8531" spans="11:34" ht="14.5" x14ac:dyDescent="0.35">
      <c r="K8531" s="4"/>
      <c r="AC8531" s="7">
        <v>2022</v>
      </c>
      <c r="AD8531" s="7">
        <v>12</v>
      </c>
      <c r="AE8531" s="7">
        <v>22</v>
      </c>
      <c r="AF8531" s="8">
        <v>0.375</v>
      </c>
      <c r="AG8531" s="7">
        <v>-30.8</v>
      </c>
      <c r="AH8531" s="10">
        <f t="shared" si="148"/>
        <v>-31</v>
      </c>
    </row>
    <row r="8532" spans="11:34" ht="14.5" x14ac:dyDescent="0.35">
      <c r="K8532" s="4"/>
      <c r="AC8532" s="7">
        <v>2022</v>
      </c>
      <c r="AD8532" s="7">
        <v>12</v>
      </c>
      <c r="AE8532" s="7">
        <v>22</v>
      </c>
      <c r="AF8532" s="8">
        <v>0.41666666666666669</v>
      </c>
      <c r="AG8532" s="7">
        <v>-29.3</v>
      </c>
      <c r="AH8532" s="10">
        <f t="shared" si="148"/>
        <v>-29</v>
      </c>
    </row>
    <row r="8533" spans="11:34" ht="14.5" x14ac:dyDescent="0.35">
      <c r="K8533" s="4"/>
      <c r="AC8533" s="7">
        <v>2022</v>
      </c>
      <c r="AD8533" s="7">
        <v>12</v>
      </c>
      <c r="AE8533" s="7">
        <v>22</v>
      </c>
      <c r="AF8533" s="8">
        <v>0.45833333333333331</v>
      </c>
      <c r="AG8533" s="7">
        <v>-27</v>
      </c>
      <c r="AH8533" s="10">
        <f t="shared" si="148"/>
        <v>-27</v>
      </c>
    </row>
    <row r="8534" spans="11:34" ht="14.5" x14ac:dyDescent="0.35">
      <c r="K8534" s="4"/>
      <c r="AC8534" s="7">
        <v>2022</v>
      </c>
      <c r="AD8534" s="7">
        <v>12</v>
      </c>
      <c r="AE8534" s="7">
        <v>22</v>
      </c>
      <c r="AF8534" s="8">
        <v>0.5</v>
      </c>
      <c r="AG8534" s="7">
        <v>-24.3</v>
      </c>
      <c r="AH8534" s="10">
        <f t="shared" si="148"/>
        <v>-24</v>
      </c>
    </row>
    <row r="8535" spans="11:34" ht="14.5" x14ac:dyDescent="0.35">
      <c r="K8535" s="4"/>
      <c r="AC8535" s="7">
        <v>2022</v>
      </c>
      <c r="AD8535" s="7">
        <v>12</v>
      </c>
      <c r="AE8535" s="7">
        <v>22</v>
      </c>
      <c r="AF8535" s="8">
        <v>0.54166666666666663</v>
      </c>
      <c r="AG8535" s="7">
        <v>-23.3</v>
      </c>
      <c r="AH8535" s="10">
        <f t="shared" si="148"/>
        <v>-23</v>
      </c>
    </row>
    <row r="8536" spans="11:34" ht="14.5" x14ac:dyDescent="0.35">
      <c r="K8536" s="4"/>
      <c r="AC8536" s="7">
        <v>2022</v>
      </c>
      <c r="AD8536" s="7">
        <v>12</v>
      </c>
      <c r="AE8536" s="7">
        <v>22</v>
      </c>
      <c r="AF8536" s="8">
        <v>0.58333333333333337</v>
      </c>
      <c r="AG8536" s="7">
        <v>-23.1</v>
      </c>
      <c r="AH8536" s="10">
        <f t="shared" si="148"/>
        <v>-23</v>
      </c>
    </row>
    <row r="8537" spans="11:34" ht="14.5" x14ac:dyDescent="0.35">
      <c r="K8537" s="4"/>
      <c r="AC8537" s="7">
        <v>2022</v>
      </c>
      <c r="AD8537" s="7">
        <v>12</v>
      </c>
      <c r="AE8537" s="7">
        <v>22</v>
      </c>
      <c r="AF8537" s="8">
        <v>0.625</v>
      </c>
      <c r="AG8537" s="7">
        <v>-24</v>
      </c>
      <c r="AH8537" s="10">
        <f t="shared" si="148"/>
        <v>-24</v>
      </c>
    </row>
    <row r="8538" spans="11:34" ht="14.5" x14ac:dyDescent="0.35">
      <c r="K8538" s="4"/>
      <c r="AC8538" s="7">
        <v>2022</v>
      </c>
      <c r="AD8538" s="7">
        <v>12</v>
      </c>
      <c r="AE8538" s="7">
        <v>22</v>
      </c>
      <c r="AF8538" s="8">
        <v>0.66666666666666663</v>
      </c>
      <c r="AG8538" s="7">
        <v>-24</v>
      </c>
      <c r="AH8538" s="10">
        <f t="shared" si="148"/>
        <v>-24</v>
      </c>
    </row>
    <row r="8539" spans="11:34" ht="14.5" x14ac:dyDescent="0.35">
      <c r="K8539" s="4"/>
      <c r="AC8539" s="7">
        <v>2022</v>
      </c>
      <c r="AD8539" s="7">
        <v>12</v>
      </c>
      <c r="AE8539" s="7">
        <v>22</v>
      </c>
      <c r="AF8539" s="8">
        <v>0.70833333333333337</v>
      </c>
      <c r="AG8539" s="7">
        <v>-25.9</v>
      </c>
      <c r="AH8539" s="10">
        <f t="shared" si="148"/>
        <v>-26</v>
      </c>
    </row>
    <row r="8540" spans="11:34" ht="14.5" x14ac:dyDescent="0.35">
      <c r="K8540" s="4"/>
      <c r="AC8540" s="7">
        <v>2022</v>
      </c>
      <c r="AD8540" s="7">
        <v>12</v>
      </c>
      <c r="AE8540" s="7">
        <v>22</v>
      </c>
      <c r="AF8540" s="8">
        <v>0.75</v>
      </c>
      <c r="AG8540" s="7">
        <v>-27</v>
      </c>
      <c r="AH8540" s="10">
        <f t="shared" si="148"/>
        <v>-27</v>
      </c>
    </row>
    <row r="8541" spans="11:34" ht="14.5" x14ac:dyDescent="0.35">
      <c r="K8541" s="4"/>
      <c r="AC8541" s="7">
        <v>2022</v>
      </c>
      <c r="AD8541" s="7">
        <v>12</v>
      </c>
      <c r="AE8541" s="7">
        <v>22</v>
      </c>
      <c r="AF8541" s="8">
        <v>0.79166666666666663</v>
      </c>
      <c r="AG8541" s="7">
        <v>-27.7</v>
      </c>
      <c r="AH8541" s="10">
        <f t="shared" si="148"/>
        <v>-28</v>
      </c>
    </row>
    <row r="8542" spans="11:34" ht="14.5" x14ac:dyDescent="0.35">
      <c r="K8542" s="4"/>
      <c r="AC8542" s="7">
        <v>2022</v>
      </c>
      <c r="AD8542" s="7">
        <v>12</v>
      </c>
      <c r="AE8542" s="7">
        <v>22</v>
      </c>
      <c r="AF8542" s="8">
        <v>0.83333333333333337</v>
      </c>
      <c r="AG8542" s="7">
        <v>-28</v>
      </c>
      <c r="AH8542" s="10">
        <f t="shared" si="148"/>
        <v>-28</v>
      </c>
    </row>
    <row r="8543" spans="11:34" ht="14.5" x14ac:dyDescent="0.35">
      <c r="K8543" s="4"/>
      <c r="AC8543" s="7">
        <v>2022</v>
      </c>
      <c r="AD8543" s="7">
        <v>12</v>
      </c>
      <c r="AE8543" s="7">
        <v>22</v>
      </c>
      <c r="AF8543" s="8">
        <v>0.875</v>
      </c>
      <c r="AG8543" s="7">
        <v>-28</v>
      </c>
      <c r="AH8543" s="10">
        <f t="shared" si="148"/>
        <v>-28</v>
      </c>
    </row>
    <row r="8544" spans="11:34" ht="14.5" x14ac:dyDescent="0.35">
      <c r="K8544" s="4"/>
      <c r="AC8544" s="7">
        <v>2022</v>
      </c>
      <c r="AD8544" s="7">
        <v>12</v>
      </c>
      <c r="AE8544" s="7">
        <v>22</v>
      </c>
      <c r="AF8544" s="8">
        <v>0.91666666666666663</v>
      </c>
      <c r="AG8544" s="7">
        <v>-27.8</v>
      </c>
      <c r="AH8544" s="10">
        <f t="shared" si="148"/>
        <v>-28</v>
      </c>
    </row>
    <row r="8545" spans="11:34" ht="14.5" x14ac:dyDescent="0.35">
      <c r="K8545" s="4"/>
      <c r="AC8545" s="7">
        <v>2022</v>
      </c>
      <c r="AD8545" s="7">
        <v>12</v>
      </c>
      <c r="AE8545" s="7">
        <v>22</v>
      </c>
      <c r="AF8545" s="8">
        <v>0.95833333333333337</v>
      </c>
      <c r="AG8545" s="7">
        <v>-27.9</v>
      </c>
      <c r="AH8545" s="10">
        <f t="shared" si="148"/>
        <v>-28</v>
      </c>
    </row>
    <row r="8546" spans="11:34" ht="14.5" x14ac:dyDescent="0.35">
      <c r="K8546" s="4"/>
      <c r="AC8546" s="7">
        <v>2022</v>
      </c>
      <c r="AD8546" s="7">
        <v>12</v>
      </c>
      <c r="AE8546" s="7">
        <v>23</v>
      </c>
      <c r="AF8546" s="8">
        <v>0</v>
      </c>
      <c r="AG8546" s="7">
        <v>-27.7</v>
      </c>
      <c r="AH8546" s="10">
        <f t="shared" si="148"/>
        <v>-28</v>
      </c>
    </row>
    <row r="8547" spans="11:34" ht="14.5" x14ac:dyDescent="0.35">
      <c r="K8547" s="4"/>
      <c r="AC8547" s="7">
        <v>2022</v>
      </c>
      <c r="AD8547" s="7">
        <v>12</v>
      </c>
      <c r="AE8547" s="7">
        <v>23</v>
      </c>
      <c r="AF8547" s="8">
        <v>4.1666666666666664E-2</v>
      </c>
      <c r="AG8547" s="7">
        <v>-27.3</v>
      </c>
      <c r="AH8547" s="10">
        <f t="shared" si="148"/>
        <v>-27</v>
      </c>
    </row>
    <row r="8548" spans="11:34" ht="14.5" x14ac:dyDescent="0.35">
      <c r="K8548" s="4"/>
      <c r="AC8548" s="7">
        <v>2022</v>
      </c>
      <c r="AD8548" s="7">
        <v>12</v>
      </c>
      <c r="AE8548" s="7">
        <v>23</v>
      </c>
      <c r="AF8548" s="8">
        <v>8.3333333333333329E-2</v>
      </c>
      <c r="AG8548" s="7">
        <v>-27.5</v>
      </c>
      <c r="AH8548" s="10">
        <f t="shared" si="148"/>
        <v>-28</v>
      </c>
    </row>
    <row r="8549" spans="11:34" ht="14.5" x14ac:dyDescent="0.35">
      <c r="K8549" s="4"/>
      <c r="AC8549" s="7">
        <v>2022</v>
      </c>
      <c r="AD8549" s="7">
        <v>12</v>
      </c>
      <c r="AE8549" s="7">
        <v>23</v>
      </c>
      <c r="AF8549" s="8">
        <v>0.125</v>
      </c>
      <c r="AG8549" s="7">
        <v>-27.5</v>
      </c>
      <c r="AH8549" s="10">
        <f t="shared" si="148"/>
        <v>-28</v>
      </c>
    </row>
    <row r="8550" spans="11:34" ht="14.5" x14ac:dyDescent="0.35">
      <c r="K8550" s="4"/>
      <c r="AC8550" s="7">
        <v>2022</v>
      </c>
      <c r="AD8550" s="7">
        <v>12</v>
      </c>
      <c r="AE8550" s="7">
        <v>23</v>
      </c>
      <c r="AF8550" s="8">
        <v>0.16666666666666666</v>
      </c>
      <c r="AG8550" s="7">
        <v>-26.7</v>
      </c>
      <c r="AH8550" s="10">
        <f t="shared" si="148"/>
        <v>-27</v>
      </c>
    </row>
    <row r="8551" spans="11:34" ht="14.5" x14ac:dyDescent="0.35">
      <c r="K8551" s="4"/>
      <c r="AC8551" s="7">
        <v>2022</v>
      </c>
      <c r="AD8551" s="7">
        <v>12</v>
      </c>
      <c r="AE8551" s="7">
        <v>23</v>
      </c>
      <c r="AF8551" s="8">
        <v>0.20833333333333334</v>
      </c>
      <c r="AG8551" s="7">
        <v>-25.7</v>
      </c>
      <c r="AH8551" s="10">
        <f t="shared" si="148"/>
        <v>-26</v>
      </c>
    </row>
    <row r="8552" spans="11:34" ht="14.5" x14ac:dyDescent="0.35">
      <c r="K8552" s="4"/>
      <c r="AC8552" s="7">
        <v>2022</v>
      </c>
      <c r="AD8552" s="7">
        <v>12</v>
      </c>
      <c r="AE8552" s="7">
        <v>23</v>
      </c>
      <c r="AF8552" s="8">
        <v>0.25</v>
      </c>
      <c r="AG8552" s="7">
        <v>-25.8</v>
      </c>
      <c r="AH8552" s="10">
        <f t="shared" si="148"/>
        <v>-26</v>
      </c>
    </row>
    <row r="8553" spans="11:34" ht="14.5" x14ac:dyDescent="0.35">
      <c r="K8553" s="4"/>
      <c r="AC8553" s="7">
        <v>2022</v>
      </c>
      <c r="AD8553" s="7">
        <v>12</v>
      </c>
      <c r="AE8553" s="7">
        <v>23</v>
      </c>
      <c r="AF8553" s="8">
        <v>0.29166666666666669</v>
      </c>
      <c r="AG8553" s="7">
        <v>-25.6</v>
      </c>
      <c r="AH8553" s="10">
        <f t="shared" si="148"/>
        <v>-26</v>
      </c>
    </row>
    <row r="8554" spans="11:34" ht="14.5" x14ac:dyDescent="0.35">
      <c r="K8554" s="4"/>
      <c r="AC8554" s="7">
        <v>2022</v>
      </c>
      <c r="AD8554" s="7">
        <v>12</v>
      </c>
      <c r="AE8554" s="7">
        <v>23</v>
      </c>
      <c r="AF8554" s="8">
        <v>0.33333333333333331</v>
      </c>
      <c r="AG8554" s="7">
        <v>-24.8</v>
      </c>
      <c r="AH8554" s="10">
        <f t="shared" si="148"/>
        <v>-25</v>
      </c>
    </row>
    <row r="8555" spans="11:34" ht="14.5" x14ac:dyDescent="0.35">
      <c r="K8555" s="4"/>
      <c r="AC8555" s="7">
        <v>2022</v>
      </c>
      <c r="AD8555" s="7">
        <v>12</v>
      </c>
      <c r="AE8555" s="7">
        <v>23</v>
      </c>
      <c r="AF8555" s="8">
        <v>0.375</v>
      </c>
      <c r="AG8555" s="7">
        <v>-24.8</v>
      </c>
      <c r="AH8555" s="10">
        <f t="shared" si="148"/>
        <v>-25</v>
      </c>
    </row>
    <row r="8556" spans="11:34" ht="14.5" x14ac:dyDescent="0.35">
      <c r="K8556" s="4"/>
      <c r="AC8556" s="7">
        <v>2022</v>
      </c>
      <c r="AD8556" s="7">
        <v>12</v>
      </c>
      <c r="AE8556" s="7">
        <v>23</v>
      </c>
      <c r="AF8556" s="8">
        <v>0.41666666666666669</v>
      </c>
      <c r="AG8556" s="7">
        <v>-24.1</v>
      </c>
      <c r="AH8556" s="10">
        <f t="shared" si="148"/>
        <v>-24</v>
      </c>
    </row>
    <row r="8557" spans="11:34" ht="14.5" x14ac:dyDescent="0.35">
      <c r="K8557" s="4"/>
      <c r="AC8557" s="7">
        <v>2022</v>
      </c>
      <c r="AD8557" s="7">
        <v>12</v>
      </c>
      <c r="AE8557" s="7">
        <v>23</v>
      </c>
      <c r="AF8557" s="8">
        <v>0.45833333333333331</v>
      </c>
      <c r="AG8557" s="7">
        <v>-23.2</v>
      </c>
      <c r="AH8557" s="10">
        <f t="shared" si="148"/>
        <v>-23</v>
      </c>
    </row>
    <row r="8558" spans="11:34" ht="14.5" x14ac:dyDescent="0.35">
      <c r="K8558" s="4"/>
      <c r="AC8558" s="7">
        <v>2022</v>
      </c>
      <c r="AD8558" s="7">
        <v>12</v>
      </c>
      <c r="AE8558" s="7">
        <v>23</v>
      </c>
      <c r="AF8558" s="8">
        <v>0.5</v>
      </c>
      <c r="AG8558" s="7">
        <v>-21.6</v>
      </c>
      <c r="AH8558" s="10">
        <f t="shared" si="148"/>
        <v>-22</v>
      </c>
    </row>
    <row r="8559" spans="11:34" ht="14.5" x14ac:dyDescent="0.35">
      <c r="K8559" s="4"/>
      <c r="AC8559" s="7">
        <v>2022</v>
      </c>
      <c r="AD8559" s="7">
        <v>12</v>
      </c>
      <c r="AE8559" s="7">
        <v>23</v>
      </c>
      <c r="AF8559" s="8">
        <v>0.54166666666666663</v>
      </c>
      <c r="AG8559" s="7">
        <v>-19.8</v>
      </c>
      <c r="AH8559" s="10">
        <f t="shared" si="148"/>
        <v>-20</v>
      </c>
    </row>
    <row r="8560" spans="11:34" ht="14.5" x14ac:dyDescent="0.35">
      <c r="K8560" s="4"/>
      <c r="AC8560" s="7">
        <v>2022</v>
      </c>
      <c r="AD8560" s="7">
        <v>12</v>
      </c>
      <c r="AE8560" s="7">
        <v>23</v>
      </c>
      <c r="AF8560" s="8">
        <v>0.58333333333333337</v>
      </c>
      <c r="AG8560" s="7">
        <v>-18.8</v>
      </c>
      <c r="AH8560" s="10">
        <f t="shared" si="148"/>
        <v>-19</v>
      </c>
    </row>
    <row r="8561" spans="11:34" ht="14.5" x14ac:dyDescent="0.35">
      <c r="K8561" s="4"/>
      <c r="AC8561" s="7">
        <v>2022</v>
      </c>
      <c r="AD8561" s="7">
        <v>12</v>
      </c>
      <c r="AE8561" s="7">
        <v>23</v>
      </c>
      <c r="AF8561" s="8">
        <v>0.625</v>
      </c>
      <c r="AG8561" s="7">
        <v>-18.899999999999999</v>
      </c>
      <c r="AH8561" s="10">
        <f t="shared" si="148"/>
        <v>-19</v>
      </c>
    </row>
    <row r="8562" spans="11:34" ht="14.5" x14ac:dyDescent="0.35">
      <c r="K8562" s="4"/>
      <c r="AC8562" s="7">
        <v>2022</v>
      </c>
      <c r="AD8562" s="7">
        <v>12</v>
      </c>
      <c r="AE8562" s="7">
        <v>23</v>
      </c>
      <c r="AF8562" s="8">
        <v>0.66666666666666663</v>
      </c>
      <c r="AG8562" s="7">
        <v>-19.8</v>
      </c>
      <c r="AH8562" s="10">
        <f t="shared" si="148"/>
        <v>-20</v>
      </c>
    </row>
    <row r="8563" spans="11:34" ht="14.5" x14ac:dyDescent="0.35">
      <c r="K8563" s="4"/>
      <c r="AC8563" s="7">
        <v>2022</v>
      </c>
      <c r="AD8563" s="7">
        <v>12</v>
      </c>
      <c r="AE8563" s="7">
        <v>23</v>
      </c>
      <c r="AF8563" s="8">
        <v>0.70833333333333337</v>
      </c>
      <c r="AG8563" s="7">
        <v>-21.5</v>
      </c>
      <c r="AH8563" s="10">
        <f t="shared" si="148"/>
        <v>-22</v>
      </c>
    </row>
    <row r="8564" spans="11:34" ht="14.5" x14ac:dyDescent="0.35">
      <c r="K8564" s="4"/>
      <c r="AC8564" s="7">
        <v>2022</v>
      </c>
      <c r="AD8564" s="7">
        <v>12</v>
      </c>
      <c r="AE8564" s="7">
        <v>23</v>
      </c>
      <c r="AF8564" s="8">
        <v>0.75</v>
      </c>
      <c r="AG8564" s="7">
        <v>-21.8</v>
      </c>
      <c r="AH8564" s="10">
        <f t="shared" si="148"/>
        <v>-22</v>
      </c>
    </row>
    <row r="8565" spans="11:34" ht="14.5" x14ac:dyDescent="0.35">
      <c r="K8565" s="4"/>
      <c r="AC8565" s="7">
        <v>2022</v>
      </c>
      <c r="AD8565" s="7">
        <v>12</v>
      </c>
      <c r="AE8565" s="7">
        <v>23</v>
      </c>
      <c r="AF8565" s="8">
        <v>0.79166666666666663</v>
      </c>
      <c r="AG8565" s="7">
        <v>-20.9</v>
      </c>
      <c r="AH8565" s="10">
        <f t="shared" si="148"/>
        <v>-21</v>
      </c>
    </row>
    <row r="8566" spans="11:34" ht="14.5" x14ac:dyDescent="0.35">
      <c r="K8566" s="4"/>
      <c r="AC8566" s="7">
        <v>2022</v>
      </c>
      <c r="AD8566" s="7">
        <v>12</v>
      </c>
      <c r="AE8566" s="7">
        <v>23</v>
      </c>
      <c r="AF8566" s="8">
        <v>0.83333333333333337</v>
      </c>
      <c r="AG8566" s="7">
        <v>-21.8</v>
      </c>
      <c r="AH8566" s="10">
        <f t="shared" si="148"/>
        <v>-22</v>
      </c>
    </row>
    <row r="8567" spans="11:34" ht="14.5" x14ac:dyDescent="0.35">
      <c r="K8567" s="4"/>
      <c r="AC8567" s="7">
        <v>2022</v>
      </c>
      <c r="AD8567" s="7">
        <v>12</v>
      </c>
      <c r="AE8567" s="7">
        <v>23</v>
      </c>
      <c r="AF8567" s="8">
        <v>0.875</v>
      </c>
      <c r="AG8567" s="7">
        <v>-21.5</v>
      </c>
      <c r="AH8567" s="10">
        <f t="shared" si="148"/>
        <v>-22</v>
      </c>
    </row>
    <row r="8568" spans="11:34" ht="14.5" x14ac:dyDescent="0.35">
      <c r="K8568" s="4"/>
      <c r="AC8568" s="7">
        <v>2022</v>
      </c>
      <c r="AD8568" s="7">
        <v>12</v>
      </c>
      <c r="AE8568" s="7">
        <v>23</v>
      </c>
      <c r="AF8568" s="8">
        <v>0.91666666666666663</v>
      </c>
      <c r="AG8568" s="7">
        <v>-21.9</v>
      </c>
      <c r="AH8568" s="10">
        <f t="shared" si="148"/>
        <v>-22</v>
      </c>
    </row>
    <row r="8569" spans="11:34" ht="14.5" x14ac:dyDescent="0.35">
      <c r="K8569" s="4"/>
      <c r="AC8569" s="7">
        <v>2022</v>
      </c>
      <c r="AD8569" s="7">
        <v>12</v>
      </c>
      <c r="AE8569" s="7">
        <v>23</v>
      </c>
      <c r="AF8569" s="8">
        <v>0.95833333333333337</v>
      </c>
      <c r="AG8569" s="7">
        <v>-22.3</v>
      </c>
      <c r="AH8569" s="10">
        <f t="shared" si="148"/>
        <v>-22</v>
      </c>
    </row>
    <row r="8570" spans="11:34" ht="14.5" x14ac:dyDescent="0.35">
      <c r="K8570" s="4"/>
      <c r="AC8570" s="7">
        <v>2022</v>
      </c>
      <c r="AD8570" s="7">
        <v>12</v>
      </c>
      <c r="AE8570" s="7">
        <v>24</v>
      </c>
      <c r="AF8570" s="8">
        <v>0</v>
      </c>
      <c r="AG8570" s="7">
        <v>-22</v>
      </c>
      <c r="AH8570" s="10">
        <f t="shared" si="148"/>
        <v>-22</v>
      </c>
    </row>
    <row r="8571" spans="11:34" ht="14.5" x14ac:dyDescent="0.35">
      <c r="K8571" s="4"/>
      <c r="AC8571" s="7">
        <v>2022</v>
      </c>
      <c r="AD8571" s="7">
        <v>12</v>
      </c>
      <c r="AE8571" s="7">
        <v>24</v>
      </c>
      <c r="AF8571" s="8">
        <v>4.1666666666666664E-2</v>
      </c>
      <c r="AG8571" s="7">
        <v>-22.3</v>
      </c>
      <c r="AH8571" s="10">
        <f t="shared" si="148"/>
        <v>-22</v>
      </c>
    </row>
    <row r="8572" spans="11:34" ht="14.5" x14ac:dyDescent="0.35">
      <c r="K8572" s="4"/>
      <c r="AC8572" s="7">
        <v>2022</v>
      </c>
      <c r="AD8572" s="7">
        <v>12</v>
      </c>
      <c r="AE8572" s="7">
        <v>24</v>
      </c>
      <c r="AF8572" s="8">
        <v>8.3333333333333329E-2</v>
      </c>
      <c r="AG8572" s="7">
        <v>-22.1</v>
      </c>
      <c r="AH8572" s="10">
        <f t="shared" si="148"/>
        <v>-22</v>
      </c>
    </row>
    <row r="8573" spans="11:34" ht="14.5" x14ac:dyDescent="0.35">
      <c r="K8573" s="4"/>
      <c r="AC8573" s="7">
        <v>2022</v>
      </c>
      <c r="AD8573" s="7">
        <v>12</v>
      </c>
      <c r="AE8573" s="7">
        <v>24</v>
      </c>
      <c r="AF8573" s="8">
        <v>0.125</v>
      </c>
      <c r="AG8573" s="7">
        <v>-19.5</v>
      </c>
      <c r="AH8573" s="10">
        <f t="shared" si="148"/>
        <v>-20</v>
      </c>
    </row>
    <row r="8574" spans="11:34" ht="14.5" x14ac:dyDescent="0.35">
      <c r="K8574" s="4"/>
      <c r="AC8574" s="7">
        <v>2022</v>
      </c>
      <c r="AD8574" s="7">
        <v>12</v>
      </c>
      <c r="AE8574" s="7">
        <v>24</v>
      </c>
      <c r="AF8574" s="8">
        <v>0.16666666666666666</v>
      </c>
      <c r="AG8574" s="7">
        <v>-18.7</v>
      </c>
      <c r="AH8574" s="10">
        <f t="shared" si="148"/>
        <v>-19</v>
      </c>
    </row>
    <row r="8575" spans="11:34" ht="14.5" x14ac:dyDescent="0.35">
      <c r="K8575" s="4"/>
      <c r="AC8575" s="7">
        <v>2022</v>
      </c>
      <c r="AD8575" s="7">
        <v>12</v>
      </c>
      <c r="AE8575" s="7">
        <v>24</v>
      </c>
      <c r="AF8575" s="8">
        <v>0.20833333333333334</v>
      </c>
      <c r="AG8575" s="7">
        <v>-18.399999999999999</v>
      </c>
      <c r="AH8575" s="10">
        <f t="shared" si="148"/>
        <v>-18</v>
      </c>
    </row>
    <row r="8576" spans="11:34" ht="14.5" x14ac:dyDescent="0.35">
      <c r="K8576" s="4"/>
      <c r="AC8576" s="7">
        <v>2022</v>
      </c>
      <c r="AD8576" s="7">
        <v>12</v>
      </c>
      <c r="AE8576" s="7">
        <v>24</v>
      </c>
      <c r="AF8576" s="8">
        <v>0.25</v>
      </c>
      <c r="AG8576" s="7">
        <v>-17</v>
      </c>
      <c r="AH8576" s="10">
        <f t="shared" si="148"/>
        <v>-17</v>
      </c>
    </row>
    <row r="8577" spans="11:34" ht="14.5" x14ac:dyDescent="0.35">
      <c r="K8577" s="4"/>
      <c r="AC8577" s="7">
        <v>2022</v>
      </c>
      <c r="AD8577" s="7">
        <v>12</v>
      </c>
      <c r="AE8577" s="7">
        <v>24</v>
      </c>
      <c r="AF8577" s="8">
        <v>0.29166666666666669</v>
      </c>
      <c r="AG8577" s="7">
        <v>-16.100000000000001</v>
      </c>
      <c r="AH8577" s="10">
        <f t="shared" si="148"/>
        <v>-16</v>
      </c>
    </row>
    <row r="8578" spans="11:34" ht="14.5" x14ac:dyDescent="0.35">
      <c r="K8578" s="4"/>
      <c r="AC8578" s="7">
        <v>2022</v>
      </c>
      <c r="AD8578" s="7">
        <v>12</v>
      </c>
      <c r="AE8578" s="7">
        <v>24</v>
      </c>
      <c r="AF8578" s="8">
        <v>0.33333333333333331</v>
      </c>
      <c r="AG8578" s="7">
        <v>-16.2</v>
      </c>
      <c r="AH8578" s="10">
        <f t="shared" si="148"/>
        <v>-16</v>
      </c>
    </row>
    <row r="8579" spans="11:34" ht="14.5" x14ac:dyDescent="0.35">
      <c r="K8579" s="4"/>
      <c r="AC8579" s="7">
        <v>2022</v>
      </c>
      <c r="AD8579" s="7">
        <v>12</v>
      </c>
      <c r="AE8579" s="7">
        <v>24</v>
      </c>
      <c r="AF8579" s="8">
        <v>0.375</v>
      </c>
      <c r="AG8579" s="7">
        <v>-16.3</v>
      </c>
      <c r="AH8579" s="10">
        <f t="shared" si="148"/>
        <v>-16</v>
      </c>
    </row>
    <row r="8580" spans="11:34" ht="14.5" x14ac:dyDescent="0.35">
      <c r="K8580" s="4"/>
      <c r="AC8580" s="7">
        <v>2022</v>
      </c>
      <c r="AD8580" s="7">
        <v>12</v>
      </c>
      <c r="AE8580" s="7">
        <v>24</v>
      </c>
      <c r="AF8580" s="8">
        <v>0.41666666666666669</v>
      </c>
      <c r="AG8580" s="7">
        <v>-15.9</v>
      </c>
      <c r="AH8580" s="10">
        <f t="shared" si="148"/>
        <v>-16</v>
      </c>
    </row>
    <row r="8581" spans="11:34" ht="14.5" x14ac:dyDescent="0.35">
      <c r="K8581" s="4"/>
      <c r="AC8581" s="7">
        <v>2022</v>
      </c>
      <c r="AD8581" s="7">
        <v>12</v>
      </c>
      <c r="AE8581" s="7">
        <v>24</v>
      </c>
      <c r="AF8581" s="8">
        <v>0.45833333333333331</v>
      </c>
      <c r="AG8581" s="7">
        <v>-14.4</v>
      </c>
      <c r="AH8581" s="10">
        <f t="shared" si="148"/>
        <v>-14</v>
      </c>
    </row>
    <row r="8582" spans="11:34" ht="14.5" x14ac:dyDescent="0.35">
      <c r="K8582" s="4"/>
      <c r="AC8582" s="7">
        <v>2022</v>
      </c>
      <c r="AD8582" s="7">
        <v>12</v>
      </c>
      <c r="AE8582" s="7">
        <v>24</v>
      </c>
      <c r="AF8582" s="8">
        <v>0.5</v>
      </c>
      <c r="AG8582" s="7">
        <v>-12.1</v>
      </c>
      <c r="AH8582" s="10">
        <f t="shared" si="148"/>
        <v>-12</v>
      </c>
    </row>
    <row r="8583" spans="11:34" ht="14.5" x14ac:dyDescent="0.35">
      <c r="K8583" s="4"/>
      <c r="AC8583" s="7">
        <v>2022</v>
      </c>
      <c r="AD8583" s="7">
        <v>12</v>
      </c>
      <c r="AE8583" s="7">
        <v>24</v>
      </c>
      <c r="AF8583" s="8">
        <v>0.54166666666666663</v>
      </c>
      <c r="AG8583" s="7">
        <v>-10.3</v>
      </c>
      <c r="AH8583" s="10">
        <f t="shared" si="148"/>
        <v>-10</v>
      </c>
    </row>
    <row r="8584" spans="11:34" ht="14.5" x14ac:dyDescent="0.35">
      <c r="K8584" s="4"/>
      <c r="AC8584" s="7">
        <v>2022</v>
      </c>
      <c r="AD8584" s="7">
        <v>12</v>
      </c>
      <c r="AE8584" s="7">
        <v>24</v>
      </c>
      <c r="AF8584" s="8">
        <v>0.58333333333333337</v>
      </c>
      <c r="AG8584" s="7">
        <v>-9.5</v>
      </c>
      <c r="AH8584" s="10">
        <f t="shared" si="148"/>
        <v>-10</v>
      </c>
    </row>
    <row r="8585" spans="11:34" ht="14.5" x14ac:dyDescent="0.35">
      <c r="K8585" s="4"/>
      <c r="AC8585" s="7">
        <v>2022</v>
      </c>
      <c r="AD8585" s="7">
        <v>12</v>
      </c>
      <c r="AE8585" s="7">
        <v>24</v>
      </c>
      <c r="AF8585" s="8">
        <v>0.625</v>
      </c>
      <c r="AG8585" s="7">
        <v>-8.1</v>
      </c>
      <c r="AH8585" s="10">
        <f t="shared" si="148"/>
        <v>-8</v>
      </c>
    </row>
    <row r="8586" spans="11:34" ht="14.5" x14ac:dyDescent="0.35">
      <c r="K8586" s="4"/>
      <c r="AC8586" s="7">
        <v>2022</v>
      </c>
      <c r="AD8586" s="7">
        <v>12</v>
      </c>
      <c r="AE8586" s="7">
        <v>24</v>
      </c>
      <c r="AF8586" s="8">
        <v>0.66666666666666663</v>
      </c>
      <c r="AG8586" s="7">
        <v>-9.1</v>
      </c>
      <c r="AH8586" s="10">
        <f t="shared" si="148"/>
        <v>-9</v>
      </c>
    </row>
    <row r="8587" spans="11:34" ht="14.5" x14ac:dyDescent="0.35">
      <c r="K8587" s="4"/>
      <c r="AC8587" s="7">
        <v>2022</v>
      </c>
      <c r="AD8587" s="7">
        <v>12</v>
      </c>
      <c r="AE8587" s="7">
        <v>24</v>
      </c>
      <c r="AF8587" s="8">
        <v>0.70833333333333337</v>
      </c>
      <c r="AG8587" s="7">
        <v>-8.6999999999999993</v>
      </c>
      <c r="AH8587" s="10">
        <f t="shared" ref="AH8587:AH8650" si="149">ROUND(AG8587,0)</f>
        <v>-9</v>
      </c>
    </row>
    <row r="8588" spans="11:34" ht="14.5" x14ac:dyDescent="0.35">
      <c r="K8588" s="4"/>
      <c r="AC8588" s="7">
        <v>2022</v>
      </c>
      <c r="AD8588" s="7">
        <v>12</v>
      </c>
      <c r="AE8588" s="7">
        <v>24</v>
      </c>
      <c r="AF8588" s="8">
        <v>0.75</v>
      </c>
      <c r="AG8588" s="7">
        <v>-7</v>
      </c>
      <c r="AH8588" s="10">
        <f t="shared" si="149"/>
        <v>-7</v>
      </c>
    </row>
    <row r="8589" spans="11:34" ht="14.5" x14ac:dyDescent="0.35">
      <c r="K8589" s="4"/>
      <c r="AC8589" s="7">
        <v>2022</v>
      </c>
      <c r="AD8589" s="7">
        <v>12</v>
      </c>
      <c r="AE8589" s="7">
        <v>24</v>
      </c>
      <c r="AF8589" s="8">
        <v>0.79166666666666663</v>
      </c>
      <c r="AG8589" s="7">
        <v>-8.6</v>
      </c>
      <c r="AH8589" s="10">
        <f t="shared" si="149"/>
        <v>-9</v>
      </c>
    </row>
    <row r="8590" spans="11:34" ht="14.5" x14ac:dyDescent="0.35">
      <c r="K8590" s="4"/>
      <c r="AC8590" s="7">
        <v>2022</v>
      </c>
      <c r="AD8590" s="7">
        <v>12</v>
      </c>
      <c r="AE8590" s="7">
        <v>24</v>
      </c>
      <c r="AF8590" s="8">
        <v>0.83333333333333337</v>
      </c>
      <c r="AG8590" s="7">
        <v>-6.8</v>
      </c>
      <c r="AH8590" s="10">
        <f t="shared" si="149"/>
        <v>-7</v>
      </c>
    </row>
    <row r="8591" spans="11:34" ht="14.5" x14ac:dyDescent="0.35">
      <c r="K8591" s="4"/>
      <c r="AC8591" s="7">
        <v>2022</v>
      </c>
      <c r="AD8591" s="7">
        <v>12</v>
      </c>
      <c r="AE8591" s="7">
        <v>24</v>
      </c>
      <c r="AF8591" s="8">
        <v>0.875</v>
      </c>
      <c r="AG8591" s="7">
        <v>-2.6</v>
      </c>
      <c r="AH8591" s="10">
        <f t="shared" si="149"/>
        <v>-3</v>
      </c>
    </row>
    <row r="8592" spans="11:34" ht="14.5" x14ac:dyDescent="0.35">
      <c r="K8592" s="4"/>
      <c r="AC8592" s="7">
        <v>2022</v>
      </c>
      <c r="AD8592" s="7">
        <v>12</v>
      </c>
      <c r="AE8592" s="7">
        <v>24</v>
      </c>
      <c r="AF8592" s="8">
        <v>0.91666666666666663</v>
      </c>
      <c r="AG8592" s="7">
        <v>1.3</v>
      </c>
      <c r="AH8592" s="10">
        <f t="shared" si="149"/>
        <v>1</v>
      </c>
    </row>
    <row r="8593" spans="11:34" ht="14.5" x14ac:dyDescent="0.35">
      <c r="K8593" s="4"/>
      <c r="AC8593" s="7">
        <v>2022</v>
      </c>
      <c r="AD8593" s="7">
        <v>12</v>
      </c>
      <c r="AE8593" s="7">
        <v>24</v>
      </c>
      <c r="AF8593" s="8">
        <v>0.95833333333333337</v>
      </c>
      <c r="AG8593" s="7">
        <v>5.2</v>
      </c>
      <c r="AH8593" s="10">
        <f t="shared" si="149"/>
        <v>5</v>
      </c>
    </row>
    <row r="8594" spans="11:34" ht="14.5" x14ac:dyDescent="0.35">
      <c r="K8594" s="4"/>
      <c r="AC8594" s="7">
        <v>2022</v>
      </c>
      <c r="AD8594" s="7">
        <v>12</v>
      </c>
      <c r="AE8594" s="7">
        <v>25</v>
      </c>
      <c r="AF8594" s="8">
        <v>0</v>
      </c>
      <c r="AG8594" s="7">
        <v>4.0999999999999996</v>
      </c>
      <c r="AH8594" s="10">
        <f t="shared" si="149"/>
        <v>4</v>
      </c>
    </row>
    <row r="8595" spans="11:34" ht="14.5" x14ac:dyDescent="0.35">
      <c r="K8595" s="4"/>
      <c r="AC8595" s="7">
        <v>2022</v>
      </c>
      <c r="AD8595" s="7">
        <v>12</v>
      </c>
      <c r="AE8595" s="7">
        <v>25</v>
      </c>
      <c r="AF8595" s="8">
        <v>4.1666666666666664E-2</v>
      </c>
      <c r="AG8595" s="7">
        <v>3.8</v>
      </c>
      <c r="AH8595" s="10">
        <f t="shared" si="149"/>
        <v>4</v>
      </c>
    </row>
    <row r="8596" spans="11:34" ht="14.5" x14ac:dyDescent="0.35">
      <c r="K8596" s="4"/>
      <c r="AC8596" s="7">
        <v>2022</v>
      </c>
      <c r="AD8596" s="7">
        <v>12</v>
      </c>
      <c r="AE8596" s="7">
        <v>25</v>
      </c>
      <c r="AF8596" s="8">
        <v>8.3333333333333329E-2</v>
      </c>
      <c r="AG8596" s="7">
        <v>3.8</v>
      </c>
      <c r="AH8596" s="10">
        <f t="shared" si="149"/>
        <v>4</v>
      </c>
    </row>
    <row r="8597" spans="11:34" ht="14.5" x14ac:dyDescent="0.35">
      <c r="K8597" s="4"/>
      <c r="AC8597" s="7">
        <v>2022</v>
      </c>
      <c r="AD8597" s="7">
        <v>12</v>
      </c>
      <c r="AE8597" s="7">
        <v>25</v>
      </c>
      <c r="AF8597" s="8">
        <v>0.125</v>
      </c>
      <c r="AG8597" s="7">
        <v>3.5</v>
      </c>
      <c r="AH8597" s="10">
        <f t="shared" si="149"/>
        <v>4</v>
      </c>
    </row>
    <row r="8598" spans="11:34" ht="14.5" x14ac:dyDescent="0.35">
      <c r="K8598" s="4"/>
      <c r="AC8598" s="7">
        <v>2022</v>
      </c>
      <c r="AD8598" s="7">
        <v>12</v>
      </c>
      <c r="AE8598" s="7">
        <v>25</v>
      </c>
      <c r="AF8598" s="8">
        <v>0.16666666666666666</v>
      </c>
      <c r="AG8598" s="7">
        <v>3.1</v>
      </c>
      <c r="AH8598" s="10">
        <f t="shared" si="149"/>
        <v>3</v>
      </c>
    </row>
    <row r="8599" spans="11:34" ht="14.5" x14ac:dyDescent="0.35">
      <c r="K8599" s="4"/>
      <c r="AC8599" s="7">
        <v>2022</v>
      </c>
      <c r="AD8599" s="7">
        <v>12</v>
      </c>
      <c r="AE8599" s="7">
        <v>25</v>
      </c>
      <c r="AF8599" s="8">
        <v>0.20833333333333334</v>
      </c>
      <c r="AG8599" s="7">
        <v>3.3</v>
      </c>
      <c r="AH8599" s="10">
        <f t="shared" si="149"/>
        <v>3</v>
      </c>
    </row>
    <row r="8600" spans="11:34" ht="14.5" x14ac:dyDescent="0.35">
      <c r="K8600" s="4"/>
      <c r="AC8600" s="7">
        <v>2022</v>
      </c>
      <c r="AD8600" s="7">
        <v>12</v>
      </c>
      <c r="AE8600" s="7">
        <v>25</v>
      </c>
      <c r="AF8600" s="8">
        <v>0.25</v>
      </c>
      <c r="AG8600" s="7">
        <v>-1.3</v>
      </c>
      <c r="AH8600" s="10">
        <f t="shared" si="149"/>
        <v>-1</v>
      </c>
    </row>
    <row r="8601" spans="11:34" ht="14.5" x14ac:dyDescent="0.35">
      <c r="K8601" s="4"/>
      <c r="AC8601" s="7">
        <v>2022</v>
      </c>
      <c r="AD8601" s="7">
        <v>12</v>
      </c>
      <c r="AE8601" s="7">
        <v>25</v>
      </c>
      <c r="AF8601" s="8">
        <v>0.29166666666666669</v>
      </c>
      <c r="AG8601" s="7">
        <v>-6</v>
      </c>
      <c r="AH8601" s="10">
        <f t="shared" si="149"/>
        <v>-6</v>
      </c>
    </row>
    <row r="8602" spans="11:34" ht="14.5" x14ac:dyDescent="0.35">
      <c r="K8602" s="4"/>
      <c r="AC8602" s="7">
        <v>2022</v>
      </c>
      <c r="AD8602" s="7">
        <v>12</v>
      </c>
      <c r="AE8602" s="7">
        <v>25</v>
      </c>
      <c r="AF8602" s="8">
        <v>0.33333333333333331</v>
      </c>
      <c r="AG8602" s="7">
        <v>-6.1</v>
      </c>
      <c r="AH8602" s="10">
        <f t="shared" si="149"/>
        <v>-6</v>
      </c>
    </row>
    <row r="8603" spans="11:34" ht="14.5" x14ac:dyDescent="0.35">
      <c r="K8603" s="4"/>
      <c r="AC8603" s="7">
        <v>2022</v>
      </c>
      <c r="AD8603" s="7">
        <v>12</v>
      </c>
      <c r="AE8603" s="7">
        <v>25</v>
      </c>
      <c r="AF8603" s="8">
        <v>0.375</v>
      </c>
      <c r="AG8603" s="7">
        <v>-7.9</v>
      </c>
      <c r="AH8603" s="10">
        <f t="shared" si="149"/>
        <v>-8</v>
      </c>
    </row>
    <row r="8604" spans="11:34" ht="14.5" x14ac:dyDescent="0.35">
      <c r="K8604" s="4"/>
      <c r="AC8604" s="7">
        <v>2022</v>
      </c>
      <c r="AD8604" s="7">
        <v>12</v>
      </c>
      <c r="AE8604" s="7">
        <v>25</v>
      </c>
      <c r="AF8604" s="8">
        <v>0.41666666666666669</v>
      </c>
      <c r="AG8604" s="7">
        <v>-8.1999999999999993</v>
      </c>
      <c r="AH8604" s="10">
        <f t="shared" si="149"/>
        <v>-8</v>
      </c>
    </row>
    <row r="8605" spans="11:34" ht="14.5" x14ac:dyDescent="0.35">
      <c r="K8605" s="4"/>
      <c r="AC8605" s="7">
        <v>2022</v>
      </c>
      <c r="AD8605" s="7">
        <v>12</v>
      </c>
      <c r="AE8605" s="7">
        <v>25</v>
      </c>
      <c r="AF8605" s="8">
        <v>0.45833333333333331</v>
      </c>
      <c r="AG8605" s="7">
        <v>-7.1</v>
      </c>
      <c r="AH8605" s="10">
        <f t="shared" si="149"/>
        <v>-7</v>
      </c>
    </row>
    <row r="8606" spans="11:34" ht="14.5" x14ac:dyDescent="0.35">
      <c r="K8606" s="4"/>
      <c r="AC8606" s="7">
        <v>2022</v>
      </c>
      <c r="AD8606" s="7">
        <v>12</v>
      </c>
      <c r="AE8606" s="7">
        <v>25</v>
      </c>
      <c r="AF8606" s="8">
        <v>0.5</v>
      </c>
      <c r="AG8606" s="7">
        <v>-5.8</v>
      </c>
      <c r="AH8606" s="10">
        <f t="shared" si="149"/>
        <v>-6</v>
      </c>
    </row>
    <row r="8607" spans="11:34" ht="14.5" x14ac:dyDescent="0.35">
      <c r="K8607" s="4"/>
      <c r="AC8607" s="7">
        <v>2022</v>
      </c>
      <c r="AD8607" s="7">
        <v>12</v>
      </c>
      <c r="AE8607" s="7">
        <v>25</v>
      </c>
      <c r="AF8607" s="8">
        <v>0.54166666666666663</v>
      </c>
      <c r="AG8607" s="7">
        <v>4.3</v>
      </c>
      <c r="AH8607" s="10">
        <f t="shared" si="149"/>
        <v>4</v>
      </c>
    </row>
    <row r="8608" spans="11:34" ht="14.5" x14ac:dyDescent="0.35">
      <c r="K8608" s="4"/>
      <c r="AC8608" s="7">
        <v>2022</v>
      </c>
      <c r="AD8608" s="7">
        <v>12</v>
      </c>
      <c r="AE8608" s="7">
        <v>25</v>
      </c>
      <c r="AF8608" s="8">
        <v>0.58333333333333337</v>
      </c>
      <c r="AG8608" s="7">
        <v>4.2</v>
      </c>
      <c r="AH8608" s="10">
        <f t="shared" si="149"/>
        <v>4</v>
      </c>
    </row>
    <row r="8609" spans="11:34" ht="14.5" x14ac:dyDescent="0.35">
      <c r="K8609" s="4"/>
      <c r="AC8609" s="7">
        <v>2022</v>
      </c>
      <c r="AD8609" s="7">
        <v>12</v>
      </c>
      <c r="AE8609" s="7">
        <v>25</v>
      </c>
      <c r="AF8609" s="8">
        <v>0.625</v>
      </c>
      <c r="AG8609" s="7">
        <v>2.5</v>
      </c>
      <c r="AH8609" s="10">
        <f t="shared" si="149"/>
        <v>3</v>
      </c>
    </row>
    <row r="8610" spans="11:34" ht="14.5" x14ac:dyDescent="0.35">
      <c r="K8610" s="4"/>
      <c r="AC8610" s="7">
        <v>2022</v>
      </c>
      <c r="AD8610" s="7">
        <v>12</v>
      </c>
      <c r="AE8610" s="7">
        <v>25</v>
      </c>
      <c r="AF8610" s="8">
        <v>0.66666666666666663</v>
      </c>
      <c r="AG8610" s="7">
        <v>2.2000000000000002</v>
      </c>
      <c r="AH8610" s="10">
        <f t="shared" si="149"/>
        <v>2</v>
      </c>
    </row>
    <row r="8611" spans="11:34" ht="14.5" x14ac:dyDescent="0.35">
      <c r="K8611" s="4"/>
      <c r="AC8611" s="7">
        <v>2022</v>
      </c>
      <c r="AD8611" s="7">
        <v>12</v>
      </c>
      <c r="AE8611" s="7">
        <v>25</v>
      </c>
      <c r="AF8611" s="8">
        <v>0.70833333333333337</v>
      </c>
      <c r="AG8611" s="7">
        <v>0.5</v>
      </c>
      <c r="AH8611" s="10">
        <f t="shared" si="149"/>
        <v>1</v>
      </c>
    </row>
    <row r="8612" spans="11:34" ht="14.5" x14ac:dyDescent="0.35">
      <c r="K8612" s="4"/>
      <c r="AC8612" s="7">
        <v>2022</v>
      </c>
      <c r="AD8612" s="7">
        <v>12</v>
      </c>
      <c r="AE8612" s="7">
        <v>25</v>
      </c>
      <c r="AF8612" s="8">
        <v>0.75</v>
      </c>
      <c r="AG8612" s="7">
        <v>-1.2</v>
      </c>
      <c r="AH8612" s="10">
        <f t="shared" si="149"/>
        <v>-1</v>
      </c>
    </row>
    <row r="8613" spans="11:34" ht="14.5" x14ac:dyDescent="0.35">
      <c r="K8613" s="4"/>
      <c r="AC8613" s="7">
        <v>2022</v>
      </c>
      <c r="AD8613" s="7">
        <v>12</v>
      </c>
      <c r="AE8613" s="7">
        <v>25</v>
      </c>
      <c r="AF8613" s="8">
        <v>0.79166666666666663</v>
      </c>
      <c r="AG8613" s="7">
        <v>-2.8</v>
      </c>
      <c r="AH8613" s="10">
        <f t="shared" si="149"/>
        <v>-3</v>
      </c>
    </row>
    <row r="8614" spans="11:34" ht="14.5" x14ac:dyDescent="0.35">
      <c r="K8614" s="4"/>
      <c r="AC8614" s="7">
        <v>2022</v>
      </c>
      <c r="AD8614" s="7">
        <v>12</v>
      </c>
      <c r="AE8614" s="7">
        <v>25</v>
      </c>
      <c r="AF8614" s="8">
        <v>0.83333333333333337</v>
      </c>
      <c r="AG8614" s="7">
        <v>-3.7</v>
      </c>
      <c r="AH8614" s="10">
        <f t="shared" si="149"/>
        <v>-4</v>
      </c>
    </row>
    <row r="8615" spans="11:34" ht="14.5" x14ac:dyDescent="0.35">
      <c r="K8615" s="4"/>
      <c r="AC8615" s="7">
        <v>2022</v>
      </c>
      <c r="AD8615" s="7">
        <v>12</v>
      </c>
      <c r="AE8615" s="7">
        <v>25</v>
      </c>
      <c r="AF8615" s="8">
        <v>0.875</v>
      </c>
      <c r="AG8615" s="7">
        <v>-5.5</v>
      </c>
      <c r="AH8615" s="10">
        <f t="shared" si="149"/>
        <v>-6</v>
      </c>
    </row>
    <row r="8616" spans="11:34" ht="14.5" x14ac:dyDescent="0.35">
      <c r="K8616" s="4"/>
      <c r="AC8616" s="7">
        <v>2022</v>
      </c>
      <c r="AD8616" s="7">
        <v>12</v>
      </c>
      <c r="AE8616" s="7">
        <v>25</v>
      </c>
      <c r="AF8616" s="8">
        <v>0.91666666666666663</v>
      </c>
      <c r="AG8616" s="7">
        <v>-6</v>
      </c>
      <c r="AH8616" s="10">
        <f t="shared" si="149"/>
        <v>-6</v>
      </c>
    </row>
    <row r="8617" spans="11:34" ht="14.5" x14ac:dyDescent="0.35">
      <c r="K8617" s="4"/>
      <c r="AC8617" s="7">
        <v>2022</v>
      </c>
      <c r="AD8617" s="7">
        <v>12</v>
      </c>
      <c r="AE8617" s="7">
        <v>25</v>
      </c>
      <c r="AF8617" s="8">
        <v>0.95833333333333337</v>
      </c>
      <c r="AG8617" s="7">
        <v>-3.2</v>
      </c>
      <c r="AH8617" s="10">
        <f t="shared" si="149"/>
        <v>-3</v>
      </c>
    </row>
    <row r="8618" spans="11:34" ht="14.5" x14ac:dyDescent="0.35">
      <c r="K8618" s="4"/>
      <c r="AC8618" s="7">
        <v>2022</v>
      </c>
      <c r="AD8618" s="7">
        <v>12</v>
      </c>
      <c r="AE8618" s="7">
        <v>26</v>
      </c>
      <c r="AF8618" s="8">
        <v>0</v>
      </c>
      <c r="AG8618" s="7">
        <v>-3.9</v>
      </c>
      <c r="AH8618" s="10">
        <f t="shared" si="149"/>
        <v>-4</v>
      </c>
    </row>
    <row r="8619" spans="11:34" ht="14.5" x14ac:dyDescent="0.35">
      <c r="K8619" s="4"/>
      <c r="AC8619" s="7">
        <v>2022</v>
      </c>
      <c r="AD8619" s="7">
        <v>12</v>
      </c>
      <c r="AE8619" s="7">
        <v>26</v>
      </c>
      <c r="AF8619" s="8">
        <v>4.1666666666666664E-2</v>
      </c>
      <c r="AG8619" s="7">
        <v>-3.6</v>
      </c>
      <c r="AH8619" s="10">
        <f t="shared" si="149"/>
        <v>-4</v>
      </c>
    </row>
    <row r="8620" spans="11:34" ht="14.5" x14ac:dyDescent="0.35">
      <c r="K8620" s="4"/>
      <c r="AC8620" s="7">
        <v>2022</v>
      </c>
      <c r="AD8620" s="7">
        <v>12</v>
      </c>
      <c r="AE8620" s="7">
        <v>26</v>
      </c>
      <c r="AF8620" s="8">
        <v>8.3333333333333329E-2</v>
      </c>
      <c r="AG8620" s="7">
        <v>-2.9</v>
      </c>
      <c r="AH8620" s="10">
        <f t="shared" si="149"/>
        <v>-3</v>
      </c>
    </row>
    <row r="8621" spans="11:34" ht="14.5" x14ac:dyDescent="0.35">
      <c r="K8621" s="4"/>
      <c r="AC8621" s="7">
        <v>2022</v>
      </c>
      <c r="AD8621" s="7">
        <v>12</v>
      </c>
      <c r="AE8621" s="7">
        <v>26</v>
      </c>
      <c r="AF8621" s="8">
        <v>0.125</v>
      </c>
      <c r="AG8621" s="7">
        <v>-1</v>
      </c>
      <c r="AH8621" s="10">
        <f t="shared" si="149"/>
        <v>-1</v>
      </c>
    </row>
    <row r="8622" spans="11:34" ht="14.5" x14ac:dyDescent="0.35">
      <c r="K8622" s="4"/>
      <c r="AC8622" s="7">
        <v>2022</v>
      </c>
      <c r="AD8622" s="7">
        <v>12</v>
      </c>
      <c r="AE8622" s="7">
        <v>26</v>
      </c>
      <c r="AF8622" s="8">
        <v>0.16666666666666666</v>
      </c>
      <c r="AG8622" s="7">
        <v>0.6</v>
      </c>
      <c r="AH8622" s="10">
        <f t="shared" si="149"/>
        <v>1</v>
      </c>
    </row>
    <row r="8623" spans="11:34" ht="14.5" x14ac:dyDescent="0.35">
      <c r="K8623" s="4"/>
      <c r="AC8623" s="7">
        <v>2022</v>
      </c>
      <c r="AD8623" s="7">
        <v>12</v>
      </c>
      <c r="AE8623" s="7">
        <v>26</v>
      </c>
      <c r="AF8623" s="8">
        <v>0.20833333333333334</v>
      </c>
      <c r="AG8623" s="7">
        <v>0.3</v>
      </c>
      <c r="AH8623" s="10">
        <f t="shared" si="149"/>
        <v>0</v>
      </c>
    </row>
    <row r="8624" spans="11:34" ht="14.5" x14ac:dyDescent="0.35">
      <c r="K8624" s="4"/>
      <c r="AC8624" s="7">
        <v>2022</v>
      </c>
      <c r="AD8624" s="7">
        <v>12</v>
      </c>
      <c r="AE8624" s="7">
        <v>26</v>
      </c>
      <c r="AF8624" s="8">
        <v>0.25</v>
      </c>
      <c r="AG8624" s="7">
        <v>0.8</v>
      </c>
      <c r="AH8624" s="10">
        <f t="shared" si="149"/>
        <v>1</v>
      </c>
    </row>
    <row r="8625" spans="11:34" ht="14.5" x14ac:dyDescent="0.35">
      <c r="K8625" s="4"/>
      <c r="AC8625" s="7">
        <v>2022</v>
      </c>
      <c r="AD8625" s="7">
        <v>12</v>
      </c>
      <c r="AE8625" s="7">
        <v>26</v>
      </c>
      <c r="AF8625" s="8">
        <v>0.29166666666666669</v>
      </c>
      <c r="AG8625" s="7">
        <v>0.6</v>
      </c>
      <c r="AH8625" s="10">
        <f t="shared" si="149"/>
        <v>1</v>
      </c>
    </row>
    <row r="8626" spans="11:34" ht="14.5" x14ac:dyDescent="0.35">
      <c r="K8626" s="4"/>
      <c r="AC8626" s="7">
        <v>2022</v>
      </c>
      <c r="AD8626" s="7">
        <v>12</v>
      </c>
      <c r="AE8626" s="7">
        <v>26</v>
      </c>
      <c r="AF8626" s="8">
        <v>0.33333333333333331</v>
      </c>
      <c r="AG8626" s="7">
        <v>1</v>
      </c>
      <c r="AH8626" s="10">
        <f t="shared" si="149"/>
        <v>1</v>
      </c>
    </row>
    <row r="8627" spans="11:34" ht="14.5" x14ac:dyDescent="0.35">
      <c r="K8627" s="4"/>
      <c r="AC8627" s="7">
        <v>2022</v>
      </c>
      <c r="AD8627" s="7">
        <v>12</v>
      </c>
      <c r="AE8627" s="7">
        <v>26</v>
      </c>
      <c r="AF8627" s="8">
        <v>0.375</v>
      </c>
      <c r="AG8627" s="7">
        <v>-1.3</v>
      </c>
      <c r="AH8627" s="10">
        <f t="shared" si="149"/>
        <v>-1</v>
      </c>
    </row>
    <row r="8628" spans="11:34" ht="14.5" x14ac:dyDescent="0.35">
      <c r="K8628" s="4"/>
      <c r="AC8628" s="7">
        <v>2022</v>
      </c>
      <c r="AD8628" s="7">
        <v>12</v>
      </c>
      <c r="AE8628" s="7">
        <v>26</v>
      </c>
      <c r="AF8628" s="8">
        <v>0.41666666666666669</v>
      </c>
      <c r="AG8628" s="7">
        <v>-0.4</v>
      </c>
      <c r="AH8628" s="10">
        <f t="shared" si="149"/>
        <v>0</v>
      </c>
    </row>
    <row r="8629" spans="11:34" ht="14.5" x14ac:dyDescent="0.35">
      <c r="K8629" s="4"/>
      <c r="AC8629" s="7">
        <v>2022</v>
      </c>
      <c r="AD8629" s="7">
        <v>12</v>
      </c>
      <c r="AE8629" s="7">
        <v>26</v>
      </c>
      <c r="AF8629" s="8">
        <v>0.45833333333333331</v>
      </c>
      <c r="AG8629" s="7">
        <v>-0.1</v>
      </c>
      <c r="AH8629" s="10">
        <f t="shared" si="149"/>
        <v>0</v>
      </c>
    </row>
    <row r="8630" spans="11:34" ht="14.5" x14ac:dyDescent="0.35">
      <c r="K8630" s="4"/>
      <c r="AC8630" s="7">
        <v>2022</v>
      </c>
      <c r="AD8630" s="7">
        <v>12</v>
      </c>
      <c r="AE8630" s="7">
        <v>26</v>
      </c>
      <c r="AF8630" s="8">
        <v>0.5</v>
      </c>
      <c r="AG8630" s="7">
        <v>0.2</v>
      </c>
      <c r="AH8630" s="10">
        <f t="shared" si="149"/>
        <v>0</v>
      </c>
    </row>
    <row r="8631" spans="11:34" ht="14.5" x14ac:dyDescent="0.35">
      <c r="K8631" s="4"/>
      <c r="AC8631" s="7">
        <v>2022</v>
      </c>
      <c r="AD8631" s="7">
        <v>12</v>
      </c>
      <c r="AE8631" s="7">
        <v>26</v>
      </c>
      <c r="AF8631" s="8">
        <v>0.54166666666666663</v>
      </c>
      <c r="AG8631" s="7">
        <v>1.6</v>
      </c>
      <c r="AH8631" s="10">
        <f t="shared" si="149"/>
        <v>2</v>
      </c>
    </row>
    <row r="8632" spans="11:34" ht="14.5" x14ac:dyDescent="0.35">
      <c r="K8632" s="4"/>
      <c r="AC8632" s="7">
        <v>2022</v>
      </c>
      <c r="AD8632" s="7">
        <v>12</v>
      </c>
      <c r="AE8632" s="7">
        <v>26</v>
      </c>
      <c r="AF8632" s="8">
        <v>0.58333333333333337</v>
      </c>
      <c r="AG8632" s="7">
        <v>4.9000000000000004</v>
      </c>
      <c r="AH8632" s="10">
        <f t="shared" si="149"/>
        <v>5</v>
      </c>
    </row>
    <row r="8633" spans="11:34" ht="14.5" x14ac:dyDescent="0.35">
      <c r="K8633" s="4"/>
      <c r="AC8633" s="7">
        <v>2022</v>
      </c>
      <c r="AD8633" s="7">
        <v>12</v>
      </c>
      <c r="AE8633" s="7">
        <v>26</v>
      </c>
      <c r="AF8633" s="8">
        <v>0.625</v>
      </c>
      <c r="AG8633" s="7">
        <v>4.7</v>
      </c>
      <c r="AH8633" s="10">
        <f t="shared" si="149"/>
        <v>5</v>
      </c>
    </row>
    <row r="8634" spans="11:34" ht="14.5" x14ac:dyDescent="0.35">
      <c r="K8634" s="4"/>
      <c r="AC8634" s="7">
        <v>2022</v>
      </c>
      <c r="AD8634" s="7">
        <v>12</v>
      </c>
      <c r="AE8634" s="7">
        <v>26</v>
      </c>
      <c r="AF8634" s="8">
        <v>0.66666666666666663</v>
      </c>
      <c r="AG8634" s="7">
        <v>8.1999999999999993</v>
      </c>
      <c r="AH8634" s="10">
        <f t="shared" si="149"/>
        <v>8</v>
      </c>
    </row>
    <row r="8635" spans="11:34" ht="14.5" x14ac:dyDescent="0.35">
      <c r="K8635" s="4"/>
      <c r="AC8635" s="7">
        <v>2022</v>
      </c>
      <c r="AD8635" s="7">
        <v>12</v>
      </c>
      <c r="AE8635" s="7">
        <v>26</v>
      </c>
      <c r="AF8635" s="8">
        <v>0.70833333333333337</v>
      </c>
      <c r="AG8635" s="7">
        <v>7.6</v>
      </c>
      <c r="AH8635" s="10">
        <f t="shared" si="149"/>
        <v>8</v>
      </c>
    </row>
    <row r="8636" spans="11:34" ht="14.5" x14ac:dyDescent="0.35">
      <c r="K8636" s="4"/>
      <c r="AC8636" s="7">
        <v>2022</v>
      </c>
      <c r="AD8636" s="7">
        <v>12</v>
      </c>
      <c r="AE8636" s="7">
        <v>26</v>
      </c>
      <c r="AF8636" s="8">
        <v>0.75</v>
      </c>
      <c r="AG8636" s="7">
        <v>6.9</v>
      </c>
      <c r="AH8636" s="10">
        <f t="shared" si="149"/>
        <v>7</v>
      </c>
    </row>
    <row r="8637" spans="11:34" ht="14.5" x14ac:dyDescent="0.35">
      <c r="K8637" s="4"/>
      <c r="AC8637" s="7">
        <v>2022</v>
      </c>
      <c r="AD8637" s="7">
        <v>12</v>
      </c>
      <c r="AE8637" s="7">
        <v>26</v>
      </c>
      <c r="AF8637" s="8">
        <v>0.79166666666666663</v>
      </c>
      <c r="AG8637" s="7">
        <v>4.8</v>
      </c>
      <c r="AH8637" s="10">
        <f t="shared" si="149"/>
        <v>5</v>
      </c>
    </row>
    <row r="8638" spans="11:34" ht="14.5" x14ac:dyDescent="0.35">
      <c r="K8638" s="4"/>
      <c r="AC8638" s="7">
        <v>2022</v>
      </c>
      <c r="AD8638" s="7">
        <v>12</v>
      </c>
      <c r="AE8638" s="7">
        <v>26</v>
      </c>
      <c r="AF8638" s="8">
        <v>0.83333333333333337</v>
      </c>
      <c r="AG8638" s="7">
        <v>2.8</v>
      </c>
      <c r="AH8638" s="10">
        <f t="shared" si="149"/>
        <v>3</v>
      </c>
    </row>
    <row r="8639" spans="11:34" ht="14.5" x14ac:dyDescent="0.35">
      <c r="K8639" s="4"/>
      <c r="AC8639" s="7">
        <v>2022</v>
      </c>
      <c r="AD8639" s="7">
        <v>12</v>
      </c>
      <c r="AE8639" s="7">
        <v>26</v>
      </c>
      <c r="AF8639" s="8">
        <v>0.875</v>
      </c>
      <c r="AG8639" s="7">
        <v>5.2</v>
      </c>
      <c r="AH8639" s="10">
        <f t="shared" si="149"/>
        <v>5</v>
      </c>
    </row>
    <row r="8640" spans="11:34" ht="14.5" x14ac:dyDescent="0.35">
      <c r="K8640" s="4"/>
      <c r="AC8640" s="7">
        <v>2022</v>
      </c>
      <c r="AD8640" s="7">
        <v>12</v>
      </c>
      <c r="AE8640" s="7">
        <v>26</v>
      </c>
      <c r="AF8640" s="8">
        <v>0.91666666666666663</v>
      </c>
      <c r="AG8640" s="7">
        <v>4.5999999999999996</v>
      </c>
      <c r="AH8640" s="10">
        <f t="shared" si="149"/>
        <v>5</v>
      </c>
    </row>
    <row r="8641" spans="11:34" ht="14.5" x14ac:dyDescent="0.35">
      <c r="K8641" s="4"/>
      <c r="AC8641" s="7">
        <v>2022</v>
      </c>
      <c r="AD8641" s="7">
        <v>12</v>
      </c>
      <c r="AE8641" s="7">
        <v>26</v>
      </c>
      <c r="AF8641" s="8">
        <v>0.95833333333333337</v>
      </c>
      <c r="AG8641" s="7">
        <v>4.4000000000000004</v>
      </c>
      <c r="AH8641" s="10">
        <f t="shared" si="149"/>
        <v>4</v>
      </c>
    </row>
    <row r="8642" spans="11:34" ht="14.5" x14ac:dyDescent="0.35">
      <c r="K8642" s="4"/>
      <c r="AC8642" s="7">
        <v>2022</v>
      </c>
      <c r="AD8642" s="7">
        <v>12</v>
      </c>
      <c r="AE8642" s="7">
        <v>27</v>
      </c>
      <c r="AF8642" s="8">
        <v>0</v>
      </c>
      <c r="AG8642" s="7">
        <v>2.2999999999999998</v>
      </c>
      <c r="AH8642" s="10">
        <f t="shared" si="149"/>
        <v>2</v>
      </c>
    </row>
    <row r="8643" spans="11:34" ht="14.5" x14ac:dyDescent="0.35">
      <c r="K8643" s="4"/>
      <c r="AC8643" s="7">
        <v>2022</v>
      </c>
      <c r="AD8643" s="7">
        <v>12</v>
      </c>
      <c r="AE8643" s="7">
        <v>27</v>
      </c>
      <c r="AF8643" s="8">
        <v>4.1666666666666664E-2</v>
      </c>
      <c r="AG8643" s="7">
        <v>0.9</v>
      </c>
      <c r="AH8643" s="10">
        <f t="shared" si="149"/>
        <v>1</v>
      </c>
    </row>
    <row r="8644" spans="11:34" ht="14.5" x14ac:dyDescent="0.35">
      <c r="K8644" s="4"/>
      <c r="AC8644" s="7">
        <v>2022</v>
      </c>
      <c r="AD8644" s="7">
        <v>12</v>
      </c>
      <c r="AE8644" s="7">
        <v>27</v>
      </c>
      <c r="AF8644" s="8">
        <v>8.3333333333333329E-2</v>
      </c>
      <c r="AG8644" s="7">
        <v>1.9</v>
      </c>
      <c r="AH8644" s="10">
        <f t="shared" si="149"/>
        <v>2</v>
      </c>
    </row>
    <row r="8645" spans="11:34" ht="14.5" x14ac:dyDescent="0.35">
      <c r="K8645" s="4"/>
      <c r="AC8645" s="7">
        <v>2022</v>
      </c>
      <c r="AD8645" s="7">
        <v>12</v>
      </c>
      <c r="AE8645" s="7">
        <v>27</v>
      </c>
      <c r="AF8645" s="8">
        <v>0.125</v>
      </c>
      <c r="AG8645" s="7">
        <v>0.8</v>
      </c>
      <c r="AH8645" s="10">
        <f t="shared" si="149"/>
        <v>1</v>
      </c>
    </row>
    <row r="8646" spans="11:34" ht="14.5" x14ac:dyDescent="0.35">
      <c r="K8646" s="4"/>
      <c r="AC8646" s="7">
        <v>2022</v>
      </c>
      <c r="AD8646" s="7">
        <v>12</v>
      </c>
      <c r="AE8646" s="7">
        <v>27</v>
      </c>
      <c r="AF8646" s="8">
        <v>0.16666666666666666</v>
      </c>
      <c r="AG8646" s="7">
        <v>1.3</v>
      </c>
      <c r="AH8646" s="10">
        <f t="shared" si="149"/>
        <v>1</v>
      </c>
    </row>
    <row r="8647" spans="11:34" ht="14.5" x14ac:dyDescent="0.35">
      <c r="K8647" s="4"/>
      <c r="AC8647" s="7">
        <v>2022</v>
      </c>
      <c r="AD8647" s="7">
        <v>12</v>
      </c>
      <c r="AE8647" s="7">
        <v>27</v>
      </c>
      <c r="AF8647" s="8">
        <v>0.20833333333333334</v>
      </c>
      <c r="AG8647" s="7">
        <v>2</v>
      </c>
      <c r="AH8647" s="10">
        <f t="shared" si="149"/>
        <v>2</v>
      </c>
    </row>
    <row r="8648" spans="11:34" ht="14.5" x14ac:dyDescent="0.35">
      <c r="K8648" s="4"/>
      <c r="AC8648" s="7">
        <v>2022</v>
      </c>
      <c r="AD8648" s="7">
        <v>12</v>
      </c>
      <c r="AE8648" s="7">
        <v>27</v>
      </c>
      <c r="AF8648" s="8">
        <v>0.25</v>
      </c>
      <c r="AG8648" s="7">
        <v>1.5</v>
      </c>
      <c r="AH8648" s="10">
        <f t="shared" si="149"/>
        <v>2</v>
      </c>
    </row>
    <row r="8649" spans="11:34" ht="14.5" x14ac:dyDescent="0.35">
      <c r="K8649" s="4"/>
      <c r="AC8649" s="7">
        <v>2022</v>
      </c>
      <c r="AD8649" s="7">
        <v>12</v>
      </c>
      <c r="AE8649" s="7">
        <v>27</v>
      </c>
      <c r="AF8649" s="8">
        <v>0.29166666666666669</v>
      </c>
      <c r="AG8649" s="7">
        <v>1.4</v>
      </c>
      <c r="AH8649" s="10">
        <f t="shared" si="149"/>
        <v>1</v>
      </c>
    </row>
    <row r="8650" spans="11:34" ht="14.5" x14ac:dyDescent="0.35">
      <c r="K8650" s="4"/>
      <c r="AC8650" s="7">
        <v>2022</v>
      </c>
      <c r="AD8650" s="7">
        <v>12</v>
      </c>
      <c r="AE8650" s="7">
        <v>27</v>
      </c>
      <c r="AF8650" s="8">
        <v>0.33333333333333331</v>
      </c>
      <c r="AG8650" s="7">
        <v>1.1000000000000001</v>
      </c>
      <c r="AH8650" s="10">
        <f t="shared" si="149"/>
        <v>1</v>
      </c>
    </row>
    <row r="8651" spans="11:34" ht="14.5" x14ac:dyDescent="0.35">
      <c r="K8651" s="4"/>
      <c r="AC8651" s="7">
        <v>2022</v>
      </c>
      <c r="AD8651" s="7">
        <v>12</v>
      </c>
      <c r="AE8651" s="7">
        <v>27</v>
      </c>
      <c r="AF8651" s="8">
        <v>0.375</v>
      </c>
      <c r="AG8651" s="7">
        <v>1.6</v>
      </c>
      <c r="AH8651" s="10">
        <f t="shared" ref="AH8651:AH8714" si="150">ROUND(AG8651,0)</f>
        <v>2</v>
      </c>
    </row>
    <row r="8652" spans="11:34" ht="14.5" x14ac:dyDescent="0.35">
      <c r="K8652" s="4"/>
      <c r="AC8652" s="7">
        <v>2022</v>
      </c>
      <c r="AD8652" s="7">
        <v>12</v>
      </c>
      <c r="AE8652" s="7">
        <v>27</v>
      </c>
      <c r="AF8652" s="8">
        <v>0.41666666666666669</v>
      </c>
      <c r="AG8652" s="7">
        <v>1.4</v>
      </c>
      <c r="AH8652" s="10">
        <f t="shared" si="150"/>
        <v>1</v>
      </c>
    </row>
    <row r="8653" spans="11:34" ht="14.5" x14ac:dyDescent="0.35">
      <c r="K8653" s="4"/>
      <c r="AC8653" s="7">
        <v>2022</v>
      </c>
      <c r="AD8653" s="7">
        <v>12</v>
      </c>
      <c r="AE8653" s="7">
        <v>27</v>
      </c>
      <c r="AF8653" s="8">
        <v>0.45833333333333331</v>
      </c>
      <c r="AG8653" s="7">
        <v>1.5</v>
      </c>
      <c r="AH8653" s="10">
        <f t="shared" si="150"/>
        <v>2</v>
      </c>
    </row>
    <row r="8654" spans="11:34" ht="14.5" x14ac:dyDescent="0.35">
      <c r="K8654" s="4"/>
      <c r="AC8654" s="7">
        <v>2022</v>
      </c>
      <c r="AD8654" s="7">
        <v>12</v>
      </c>
      <c r="AE8654" s="7">
        <v>27</v>
      </c>
      <c r="AF8654" s="8">
        <v>0.5</v>
      </c>
      <c r="AG8654" s="7">
        <v>1.4</v>
      </c>
      <c r="AH8654" s="10">
        <f t="shared" si="150"/>
        <v>1</v>
      </c>
    </row>
    <row r="8655" spans="11:34" ht="14.5" x14ac:dyDescent="0.35">
      <c r="K8655" s="4"/>
      <c r="AC8655" s="7">
        <v>2022</v>
      </c>
      <c r="AD8655" s="7">
        <v>12</v>
      </c>
      <c r="AE8655" s="7">
        <v>27</v>
      </c>
      <c r="AF8655" s="8">
        <v>0.54166666666666663</v>
      </c>
      <c r="AG8655" s="7">
        <v>1.2</v>
      </c>
      <c r="AH8655" s="10">
        <f t="shared" si="150"/>
        <v>1</v>
      </c>
    </row>
    <row r="8656" spans="11:34" ht="14.5" x14ac:dyDescent="0.35">
      <c r="K8656" s="4"/>
      <c r="AC8656" s="7">
        <v>2022</v>
      </c>
      <c r="AD8656" s="7">
        <v>12</v>
      </c>
      <c r="AE8656" s="7">
        <v>27</v>
      </c>
      <c r="AF8656" s="8">
        <v>0.58333333333333337</v>
      </c>
      <c r="AG8656" s="7">
        <v>0.9</v>
      </c>
      <c r="AH8656" s="10">
        <f t="shared" si="150"/>
        <v>1</v>
      </c>
    </row>
    <row r="8657" spans="11:34" ht="14.5" x14ac:dyDescent="0.35">
      <c r="K8657" s="4"/>
      <c r="AC8657" s="7">
        <v>2022</v>
      </c>
      <c r="AD8657" s="7">
        <v>12</v>
      </c>
      <c r="AE8657" s="7">
        <v>27</v>
      </c>
      <c r="AF8657" s="8">
        <v>0.625</v>
      </c>
      <c r="AG8657" s="7">
        <v>1</v>
      </c>
      <c r="AH8657" s="10">
        <f t="shared" si="150"/>
        <v>1</v>
      </c>
    </row>
    <row r="8658" spans="11:34" ht="14.5" x14ac:dyDescent="0.35">
      <c r="K8658" s="4"/>
      <c r="AC8658" s="7">
        <v>2022</v>
      </c>
      <c r="AD8658" s="7">
        <v>12</v>
      </c>
      <c r="AE8658" s="7">
        <v>27</v>
      </c>
      <c r="AF8658" s="8">
        <v>0.66666666666666663</v>
      </c>
      <c r="AG8658" s="7">
        <v>1.2</v>
      </c>
      <c r="AH8658" s="10">
        <f t="shared" si="150"/>
        <v>1</v>
      </c>
    </row>
    <row r="8659" spans="11:34" ht="14.5" x14ac:dyDescent="0.35">
      <c r="K8659" s="4"/>
      <c r="AC8659" s="7">
        <v>2022</v>
      </c>
      <c r="AD8659" s="7">
        <v>12</v>
      </c>
      <c r="AE8659" s="7">
        <v>27</v>
      </c>
      <c r="AF8659" s="8">
        <v>0.70833333333333337</v>
      </c>
      <c r="AG8659" s="7">
        <v>0.4</v>
      </c>
      <c r="AH8659" s="10">
        <f t="shared" si="150"/>
        <v>0</v>
      </c>
    </row>
    <row r="8660" spans="11:34" ht="14.5" x14ac:dyDescent="0.35">
      <c r="K8660" s="4"/>
      <c r="AC8660" s="7">
        <v>2022</v>
      </c>
      <c r="AD8660" s="7">
        <v>12</v>
      </c>
      <c r="AE8660" s="7">
        <v>27</v>
      </c>
      <c r="AF8660" s="8">
        <v>0.75</v>
      </c>
      <c r="AG8660" s="7">
        <v>-0.1</v>
      </c>
      <c r="AH8660" s="10">
        <f t="shared" si="150"/>
        <v>0</v>
      </c>
    </row>
    <row r="8661" spans="11:34" ht="14.5" x14ac:dyDescent="0.35">
      <c r="K8661" s="4"/>
      <c r="AC8661" s="7">
        <v>2022</v>
      </c>
      <c r="AD8661" s="7">
        <v>12</v>
      </c>
      <c r="AE8661" s="7">
        <v>27</v>
      </c>
      <c r="AF8661" s="8">
        <v>0.79166666666666663</v>
      </c>
      <c r="AG8661" s="7">
        <v>-0.5</v>
      </c>
      <c r="AH8661" s="10">
        <f t="shared" si="150"/>
        <v>-1</v>
      </c>
    </row>
    <row r="8662" spans="11:34" ht="14.5" x14ac:dyDescent="0.35">
      <c r="K8662" s="4"/>
      <c r="AC8662" s="7">
        <v>2022</v>
      </c>
      <c r="AD8662" s="7">
        <v>12</v>
      </c>
      <c r="AE8662" s="7">
        <v>27</v>
      </c>
      <c r="AF8662" s="8">
        <v>0.83333333333333337</v>
      </c>
      <c r="AG8662" s="7">
        <v>-0.7</v>
      </c>
      <c r="AH8662" s="10">
        <f t="shared" si="150"/>
        <v>-1</v>
      </c>
    </row>
    <row r="8663" spans="11:34" ht="14.5" x14ac:dyDescent="0.35">
      <c r="K8663" s="4"/>
      <c r="AC8663" s="7">
        <v>2022</v>
      </c>
      <c r="AD8663" s="7">
        <v>12</v>
      </c>
      <c r="AE8663" s="7">
        <v>27</v>
      </c>
      <c r="AF8663" s="8">
        <v>0.875</v>
      </c>
      <c r="AG8663" s="7">
        <v>-1</v>
      </c>
      <c r="AH8663" s="10">
        <f t="shared" si="150"/>
        <v>-1</v>
      </c>
    </row>
    <row r="8664" spans="11:34" ht="14.5" x14ac:dyDescent="0.35">
      <c r="K8664" s="4"/>
      <c r="AC8664" s="7">
        <v>2022</v>
      </c>
      <c r="AD8664" s="7">
        <v>12</v>
      </c>
      <c r="AE8664" s="7">
        <v>27</v>
      </c>
      <c r="AF8664" s="8">
        <v>0.91666666666666663</v>
      </c>
      <c r="AG8664" s="7">
        <v>-1.8</v>
      </c>
      <c r="AH8664" s="10">
        <f t="shared" si="150"/>
        <v>-2</v>
      </c>
    </row>
    <row r="8665" spans="11:34" ht="14.5" x14ac:dyDescent="0.35">
      <c r="K8665" s="4"/>
      <c r="AC8665" s="7">
        <v>2022</v>
      </c>
      <c r="AD8665" s="7">
        <v>12</v>
      </c>
      <c r="AE8665" s="7">
        <v>27</v>
      </c>
      <c r="AF8665" s="8">
        <v>0.95833333333333337</v>
      </c>
      <c r="AG8665" s="7">
        <v>-2</v>
      </c>
      <c r="AH8665" s="10">
        <f t="shared" si="150"/>
        <v>-2</v>
      </c>
    </row>
    <row r="8666" spans="11:34" ht="14.5" x14ac:dyDescent="0.35">
      <c r="K8666" s="4"/>
      <c r="AC8666" s="7">
        <v>2022</v>
      </c>
      <c r="AD8666" s="7">
        <v>12</v>
      </c>
      <c r="AE8666" s="7">
        <v>28</v>
      </c>
      <c r="AF8666" s="8">
        <v>0</v>
      </c>
      <c r="AG8666" s="7">
        <v>-3</v>
      </c>
      <c r="AH8666" s="10">
        <f t="shared" si="150"/>
        <v>-3</v>
      </c>
    </row>
    <row r="8667" spans="11:34" ht="14.5" x14ac:dyDescent="0.35">
      <c r="K8667" s="4"/>
      <c r="AC8667" s="7">
        <v>2022</v>
      </c>
      <c r="AD8667" s="7">
        <v>12</v>
      </c>
      <c r="AE8667" s="7">
        <v>28</v>
      </c>
      <c r="AF8667" s="8">
        <v>4.1666666666666664E-2</v>
      </c>
      <c r="AG8667" s="7">
        <v>-4.3</v>
      </c>
      <c r="AH8667" s="10">
        <f t="shared" si="150"/>
        <v>-4</v>
      </c>
    </row>
    <row r="8668" spans="11:34" ht="14.5" x14ac:dyDescent="0.35">
      <c r="K8668" s="4"/>
      <c r="AC8668" s="7">
        <v>2022</v>
      </c>
      <c r="AD8668" s="7">
        <v>12</v>
      </c>
      <c r="AE8668" s="7">
        <v>28</v>
      </c>
      <c r="AF8668" s="8">
        <v>8.3333333333333329E-2</v>
      </c>
      <c r="AG8668" s="7">
        <v>-6.1</v>
      </c>
      <c r="AH8668" s="10">
        <f t="shared" si="150"/>
        <v>-6</v>
      </c>
    </row>
    <row r="8669" spans="11:34" ht="14.5" x14ac:dyDescent="0.35">
      <c r="K8669" s="4"/>
      <c r="AC8669" s="7">
        <v>2022</v>
      </c>
      <c r="AD8669" s="7">
        <v>12</v>
      </c>
      <c r="AE8669" s="7">
        <v>28</v>
      </c>
      <c r="AF8669" s="8">
        <v>0.125</v>
      </c>
      <c r="AG8669" s="7">
        <v>-6.2</v>
      </c>
      <c r="AH8669" s="10">
        <f t="shared" si="150"/>
        <v>-6</v>
      </c>
    </row>
    <row r="8670" spans="11:34" ht="14.5" x14ac:dyDescent="0.35">
      <c r="K8670" s="4"/>
      <c r="AC8670" s="7">
        <v>2022</v>
      </c>
      <c r="AD8670" s="7">
        <v>12</v>
      </c>
      <c r="AE8670" s="7">
        <v>28</v>
      </c>
      <c r="AF8670" s="8">
        <v>0.16666666666666666</v>
      </c>
      <c r="AG8670" s="7">
        <v>-6.7</v>
      </c>
      <c r="AH8670" s="10">
        <f t="shared" si="150"/>
        <v>-7</v>
      </c>
    </row>
    <row r="8671" spans="11:34" ht="14.5" x14ac:dyDescent="0.35">
      <c r="K8671" s="4"/>
      <c r="AC8671" s="7">
        <v>2022</v>
      </c>
      <c r="AD8671" s="7">
        <v>12</v>
      </c>
      <c r="AE8671" s="7">
        <v>28</v>
      </c>
      <c r="AF8671" s="8">
        <v>0.20833333333333334</v>
      </c>
      <c r="AG8671" s="7">
        <v>-7.2</v>
      </c>
      <c r="AH8671" s="10">
        <f t="shared" si="150"/>
        <v>-7</v>
      </c>
    </row>
    <row r="8672" spans="11:34" ht="14.5" x14ac:dyDescent="0.35">
      <c r="K8672" s="4"/>
      <c r="AC8672" s="7">
        <v>2022</v>
      </c>
      <c r="AD8672" s="7">
        <v>12</v>
      </c>
      <c r="AE8672" s="7">
        <v>28</v>
      </c>
      <c r="AF8672" s="8">
        <v>0.25</v>
      </c>
      <c r="AG8672" s="7">
        <v>-7.5</v>
      </c>
      <c r="AH8672" s="10">
        <f t="shared" si="150"/>
        <v>-8</v>
      </c>
    </row>
    <row r="8673" spans="11:34" ht="14.5" x14ac:dyDescent="0.35">
      <c r="K8673" s="4"/>
      <c r="AC8673" s="7">
        <v>2022</v>
      </c>
      <c r="AD8673" s="7">
        <v>12</v>
      </c>
      <c r="AE8673" s="7">
        <v>28</v>
      </c>
      <c r="AF8673" s="8">
        <v>0.29166666666666669</v>
      </c>
      <c r="AG8673" s="7">
        <v>-7.6</v>
      </c>
      <c r="AH8673" s="10">
        <f t="shared" si="150"/>
        <v>-8</v>
      </c>
    </row>
    <row r="8674" spans="11:34" ht="14.5" x14ac:dyDescent="0.35">
      <c r="K8674" s="4"/>
      <c r="AC8674" s="7">
        <v>2022</v>
      </c>
      <c r="AD8674" s="7">
        <v>12</v>
      </c>
      <c r="AE8674" s="7">
        <v>28</v>
      </c>
      <c r="AF8674" s="8">
        <v>0.33333333333333331</v>
      </c>
      <c r="AG8674" s="7">
        <v>-7.8</v>
      </c>
      <c r="AH8674" s="10">
        <f t="shared" si="150"/>
        <v>-8</v>
      </c>
    </row>
    <row r="8675" spans="11:34" ht="14.5" x14ac:dyDescent="0.35">
      <c r="K8675" s="4"/>
      <c r="AC8675" s="7">
        <v>2022</v>
      </c>
      <c r="AD8675" s="7">
        <v>12</v>
      </c>
      <c r="AE8675" s="7">
        <v>28</v>
      </c>
      <c r="AF8675" s="8">
        <v>0.375</v>
      </c>
      <c r="AG8675" s="7">
        <v>-7.6</v>
      </c>
      <c r="AH8675" s="10">
        <f t="shared" si="150"/>
        <v>-8</v>
      </c>
    </row>
    <row r="8676" spans="11:34" ht="14.5" x14ac:dyDescent="0.35">
      <c r="K8676" s="4"/>
      <c r="AC8676" s="7">
        <v>2022</v>
      </c>
      <c r="AD8676" s="7">
        <v>12</v>
      </c>
      <c r="AE8676" s="7">
        <v>28</v>
      </c>
      <c r="AF8676" s="8">
        <v>0.41666666666666669</v>
      </c>
      <c r="AG8676" s="7">
        <v>-7</v>
      </c>
      <c r="AH8676" s="10">
        <f t="shared" si="150"/>
        <v>-7</v>
      </c>
    </row>
    <row r="8677" spans="11:34" ht="14.5" x14ac:dyDescent="0.35">
      <c r="K8677" s="4"/>
      <c r="AC8677" s="7">
        <v>2022</v>
      </c>
      <c r="AD8677" s="7">
        <v>12</v>
      </c>
      <c r="AE8677" s="7">
        <v>28</v>
      </c>
      <c r="AF8677" s="8">
        <v>0.45833333333333331</v>
      </c>
      <c r="AG8677" s="7">
        <v>-7</v>
      </c>
      <c r="AH8677" s="10">
        <f t="shared" si="150"/>
        <v>-7</v>
      </c>
    </row>
    <row r="8678" spans="11:34" ht="14.5" x14ac:dyDescent="0.35">
      <c r="K8678" s="4"/>
      <c r="AC8678" s="7">
        <v>2022</v>
      </c>
      <c r="AD8678" s="7">
        <v>12</v>
      </c>
      <c r="AE8678" s="7">
        <v>28</v>
      </c>
      <c r="AF8678" s="8">
        <v>0.5</v>
      </c>
      <c r="AG8678" s="7">
        <v>-6.3</v>
      </c>
      <c r="AH8678" s="10">
        <f t="shared" si="150"/>
        <v>-6</v>
      </c>
    </row>
    <row r="8679" spans="11:34" ht="14.5" x14ac:dyDescent="0.35">
      <c r="K8679" s="4"/>
      <c r="AC8679" s="7">
        <v>2022</v>
      </c>
      <c r="AD8679" s="7">
        <v>12</v>
      </c>
      <c r="AE8679" s="7">
        <v>28</v>
      </c>
      <c r="AF8679" s="8">
        <v>0.54166666666666663</v>
      </c>
      <c r="AG8679" s="7">
        <v>-6.1</v>
      </c>
      <c r="AH8679" s="10">
        <f t="shared" si="150"/>
        <v>-6</v>
      </c>
    </row>
    <row r="8680" spans="11:34" ht="14.5" x14ac:dyDescent="0.35">
      <c r="K8680" s="4"/>
      <c r="AC8680" s="7">
        <v>2022</v>
      </c>
      <c r="AD8680" s="7">
        <v>12</v>
      </c>
      <c r="AE8680" s="7">
        <v>28</v>
      </c>
      <c r="AF8680" s="8">
        <v>0.58333333333333337</v>
      </c>
      <c r="AG8680" s="7">
        <v>-5.4</v>
      </c>
      <c r="AH8680" s="10">
        <f t="shared" si="150"/>
        <v>-5</v>
      </c>
    </row>
    <row r="8681" spans="11:34" ht="14.5" x14ac:dyDescent="0.35">
      <c r="K8681" s="4"/>
      <c r="AC8681" s="7">
        <v>2022</v>
      </c>
      <c r="AD8681" s="7">
        <v>12</v>
      </c>
      <c r="AE8681" s="7">
        <v>28</v>
      </c>
      <c r="AF8681" s="8">
        <v>0.625</v>
      </c>
      <c r="AG8681" s="7">
        <v>-4.9000000000000004</v>
      </c>
      <c r="AH8681" s="10">
        <f t="shared" si="150"/>
        <v>-5</v>
      </c>
    </row>
    <row r="8682" spans="11:34" ht="14.5" x14ac:dyDescent="0.35">
      <c r="K8682" s="4"/>
      <c r="AC8682" s="7">
        <v>2022</v>
      </c>
      <c r="AD8682" s="7">
        <v>12</v>
      </c>
      <c r="AE8682" s="7">
        <v>28</v>
      </c>
      <c r="AF8682" s="8">
        <v>0.66666666666666663</v>
      </c>
      <c r="AG8682" s="7">
        <v>-5.5</v>
      </c>
      <c r="AH8682" s="10">
        <f t="shared" si="150"/>
        <v>-6</v>
      </c>
    </row>
    <row r="8683" spans="11:34" ht="14.5" x14ac:dyDescent="0.35">
      <c r="K8683" s="4"/>
      <c r="AC8683" s="7">
        <v>2022</v>
      </c>
      <c r="AD8683" s="7">
        <v>12</v>
      </c>
      <c r="AE8683" s="7">
        <v>28</v>
      </c>
      <c r="AF8683" s="8">
        <v>0.70833333333333337</v>
      </c>
      <c r="AG8683" s="7">
        <v>-5.0999999999999996</v>
      </c>
      <c r="AH8683" s="10">
        <f t="shared" si="150"/>
        <v>-5</v>
      </c>
    </row>
    <row r="8684" spans="11:34" ht="14.5" x14ac:dyDescent="0.35">
      <c r="K8684" s="4"/>
      <c r="AC8684" s="7">
        <v>2022</v>
      </c>
      <c r="AD8684" s="7">
        <v>12</v>
      </c>
      <c r="AE8684" s="7">
        <v>28</v>
      </c>
      <c r="AF8684" s="8">
        <v>0.75</v>
      </c>
      <c r="AG8684" s="7">
        <v>-5.4</v>
      </c>
      <c r="AH8684" s="10">
        <f t="shared" si="150"/>
        <v>-5</v>
      </c>
    </row>
    <row r="8685" spans="11:34" ht="14.5" x14ac:dyDescent="0.35">
      <c r="K8685" s="4"/>
      <c r="AC8685" s="7">
        <v>2022</v>
      </c>
      <c r="AD8685" s="7">
        <v>12</v>
      </c>
      <c r="AE8685" s="7">
        <v>28</v>
      </c>
      <c r="AF8685" s="8">
        <v>0.79166666666666663</v>
      </c>
      <c r="AG8685" s="7">
        <v>-4.5999999999999996</v>
      </c>
      <c r="AH8685" s="10">
        <f t="shared" si="150"/>
        <v>-5</v>
      </c>
    </row>
    <row r="8686" spans="11:34" ht="14.5" x14ac:dyDescent="0.35">
      <c r="K8686" s="4"/>
      <c r="AC8686" s="7">
        <v>2022</v>
      </c>
      <c r="AD8686" s="7">
        <v>12</v>
      </c>
      <c r="AE8686" s="7">
        <v>28</v>
      </c>
      <c r="AF8686" s="8">
        <v>0.83333333333333337</v>
      </c>
      <c r="AG8686" s="7">
        <v>-4.3</v>
      </c>
      <c r="AH8686" s="10">
        <f t="shared" si="150"/>
        <v>-4</v>
      </c>
    </row>
    <row r="8687" spans="11:34" ht="14.5" x14ac:dyDescent="0.35">
      <c r="K8687" s="4"/>
      <c r="AC8687" s="7">
        <v>2022</v>
      </c>
      <c r="AD8687" s="7">
        <v>12</v>
      </c>
      <c r="AE8687" s="7">
        <v>28</v>
      </c>
      <c r="AF8687" s="8">
        <v>0.875</v>
      </c>
      <c r="AG8687" s="7">
        <v>-5.0999999999999996</v>
      </c>
      <c r="AH8687" s="10">
        <f t="shared" si="150"/>
        <v>-5</v>
      </c>
    </row>
    <row r="8688" spans="11:34" ht="14.5" x14ac:dyDescent="0.35">
      <c r="K8688" s="4"/>
      <c r="AC8688" s="7">
        <v>2022</v>
      </c>
      <c r="AD8688" s="7">
        <v>12</v>
      </c>
      <c r="AE8688" s="7">
        <v>28</v>
      </c>
      <c r="AF8688" s="8">
        <v>0.91666666666666663</v>
      </c>
      <c r="AG8688" s="7">
        <v>-4</v>
      </c>
      <c r="AH8688" s="10">
        <f t="shared" si="150"/>
        <v>-4</v>
      </c>
    </row>
    <row r="8689" spans="11:34" ht="14.5" x14ac:dyDescent="0.35">
      <c r="K8689" s="4"/>
      <c r="AC8689" s="7">
        <v>2022</v>
      </c>
      <c r="AD8689" s="7">
        <v>12</v>
      </c>
      <c r="AE8689" s="7">
        <v>28</v>
      </c>
      <c r="AF8689" s="8">
        <v>0.95833333333333337</v>
      </c>
      <c r="AG8689" s="7">
        <v>-5.3</v>
      </c>
      <c r="AH8689" s="10">
        <f t="shared" si="150"/>
        <v>-5</v>
      </c>
    </row>
    <row r="8690" spans="11:34" ht="14.5" x14ac:dyDescent="0.35">
      <c r="K8690" s="4"/>
      <c r="AC8690" s="7">
        <v>2022</v>
      </c>
      <c r="AD8690" s="7">
        <v>12</v>
      </c>
      <c r="AE8690" s="7">
        <v>29</v>
      </c>
      <c r="AF8690" s="8">
        <v>0</v>
      </c>
      <c r="AG8690" s="7">
        <v>-5.5</v>
      </c>
      <c r="AH8690" s="10">
        <f t="shared" si="150"/>
        <v>-6</v>
      </c>
    </row>
    <row r="8691" spans="11:34" ht="14.5" x14ac:dyDescent="0.35">
      <c r="K8691" s="4"/>
      <c r="AC8691" s="7">
        <v>2022</v>
      </c>
      <c r="AD8691" s="7">
        <v>12</v>
      </c>
      <c r="AE8691" s="7">
        <v>29</v>
      </c>
      <c r="AF8691" s="8">
        <v>4.1666666666666664E-2</v>
      </c>
      <c r="AG8691" s="7">
        <v>-4.5</v>
      </c>
      <c r="AH8691" s="10">
        <f t="shared" si="150"/>
        <v>-5</v>
      </c>
    </row>
    <row r="8692" spans="11:34" ht="14.5" x14ac:dyDescent="0.35">
      <c r="K8692" s="4"/>
      <c r="AC8692" s="7">
        <v>2022</v>
      </c>
      <c r="AD8692" s="7">
        <v>12</v>
      </c>
      <c r="AE8692" s="7">
        <v>29</v>
      </c>
      <c r="AF8692" s="8">
        <v>8.3333333333333329E-2</v>
      </c>
      <c r="AG8692" s="7">
        <v>-4.4000000000000004</v>
      </c>
      <c r="AH8692" s="10">
        <f t="shared" si="150"/>
        <v>-4</v>
      </c>
    </row>
    <row r="8693" spans="11:34" ht="14.5" x14ac:dyDescent="0.35">
      <c r="K8693" s="4"/>
      <c r="AC8693" s="7">
        <v>2022</v>
      </c>
      <c r="AD8693" s="7">
        <v>12</v>
      </c>
      <c r="AE8693" s="7">
        <v>29</v>
      </c>
      <c r="AF8693" s="8">
        <v>0.125</v>
      </c>
      <c r="AG8693" s="7">
        <v>-4.8</v>
      </c>
      <c r="AH8693" s="10">
        <f t="shared" si="150"/>
        <v>-5</v>
      </c>
    </row>
    <row r="8694" spans="11:34" ht="14.5" x14ac:dyDescent="0.35">
      <c r="K8694" s="4"/>
      <c r="AC8694" s="7">
        <v>2022</v>
      </c>
      <c r="AD8694" s="7">
        <v>12</v>
      </c>
      <c r="AE8694" s="7">
        <v>29</v>
      </c>
      <c r="AF8694" s="8">
        <v>0.16666666666666666</v>
      </c>
      <c r="AG8694" s="7">
        <v>-5</v>
      </c>
      <c r="AH8694" s="10">
        <f t="shared" si="150"/>
        <v>-5</v>
      </c>
    </row>
    <row r="8695" spans="11:34" ht="14.5" x14ac:dyDescent="0.35">
      <c r="K8695" s="4"/>
      <c r="AC8695" s="7">
        <v>2022</v>
      </c>
      <c r="AD8695" s="7">
        <v>12</v>
      </c>
      <c r="AE8695" s="7">
        <v>29</v>
      </c>
      <c r="AF8695" s="8">
        <v>0.20833333333333334</v>
      </c>
      <c r="AG8695" s="7">
        <v>-5.7</v>
      </c>
      <c r="AH8695" s="10">
        <f t="shared" si="150"/>
        <v>-6</v>
      </c>
    </row>
    <row r="8696" spans="11:34" ht="14.5" x14ac:dyDescent="0.35">
      <c r="K8696" s="4"/>
      <c r="AC8696" s="7">
        <v>2022</v>
      </c>
      <c r="AD8696" s="7">
        <v>12</v>
      </c>
      <c r="AE8696" s="7">
        <v>29</v>
      </c>
      <c r="AF8696" s="8">
        <v>0.25</v>
      </c>
      <c r="AG8696" s="7">
        <v>-7.1</v>
      </c>
      <c r="AH8696" s="10">
        <f t="shared" si="150"/>
        <v>-7</v>
      </c>
    </row>
    <row r="8697" spans="11:34" ht="14.5" x14ac:dyDescent="0.35">
      <c r="K8697" s="4"/>
      <c r="AC8697" s="7">
        <v>2022</v>
      </c>
      <c r="AD8697" s="7">
        <v>12</v>
      </c>
      <c r="AE8697" s="7">
        <v>29</v>
      </c>
      <c r="AF8697" s="8">
        <v>0.29166666666666669</v>
      </c>
      <c r="AG8697" s="7">
        <v>-7.4</v>
      </c>
      <c r="AH8697" s="10">
        <f t="shared" si="150"/>
        <v>-7</v>
      </c>
    </row>
    <row r="8698" spans="11:34" ht="14.5" x14ac:dyDescent="0.35">
      <c r="K8698" s="4"/>
      <c r="AC8698" s="7">
        <v>2022</v>
      </c>
      <c r="AD8698" s="7">
        <v>12</v>
      </c>
      <c r="AE8698" s="7">
        <v>29</v>
      </c>
      <c r="AF8698" s="8">
        <v>0.33333333333333331</v>
      </c>
      <c r="AG8698" s="7">
        <v>-7.3</v>
      </c>
      <c r="AH8698" s="10">
        <f t="shared" si="150"/>
        <v>-7</v>
      </c>
    </row>
    <row r="8699" spans="11:34" ht="14.5" x14ac:dyDescent="0.35">
      <c r="K8699" s="4"/>
      <c r="AC8699" s="7">
        <v>2022</v>
      </c>
      <c r="AD8699" s="7">
        <v>12</v>
      </c>
      <c r="AE8699" s="7">
        <v>29</v>
      </c>
      <c r="AF8699" s="8">
        <v>0.375</v>
      </c>
      <c r="AG8699" s="7">
        <v>-11.9</v>
      </c>
      <c r="AH8699" s="10">
        <f t="shared" si="150"/>
        <v>-12</v>
      </c>
    </row>
    <row r="8700" spans="11:34" ht="14.5" x14ac:dyDescent="0.35">
      <c r="K8700" s="4"/>
      <c r="AC8700" s="7">
        <v>2022</v>
      </c>
      <c r="AD8700" s="7">
        <v>12</v>
      </c>
      <c r="AE8700" s="7">
        <v>29</v>
      </c>
      <c r="AF8700" s="8">
        <v>0.41666666666666669</v>
      </c>
      <c r="AG8700" s="7">
        <v>-10.6</v>
      </c>
      <c r="AH8700" s="10">
        <f t="shared" si="150"/>
        <v>-11</v>
      </c>
    </row>
    <row r="8701" spans="11:34" ht="14.5" x14ac:dyDescent="0.35">
      <c r="K8701" s="4"/>
      <c r="AC8701" s="7">
        <v>2022</v>
      </c>
      <c r="AD8701" s="7">
        <v>12</v>
      </c>
      <c r="AE8701" s="7">
        <v>29</v>
      </c>
      <c r="AF8701" s="8">
        <v>0.45833333333333331</v>
      </c>
      <c r="AG8701" s="7">
        <v>-9.9</v>
      </c>
      <c r="AH8701" s="10">
        <f t="shared" si="150"/>
        <v>-10</v>
      </c>
    </row>
    <row r="8702" spans="11:34" ht="14.5" x14ac:dyDescent="0.35">
      <c r="K8702" s="4"/>
      <c r="AC8702" s="7">
        <v>2022</v>
      </c>
      <c r="AD8702" s="7">
        <v>12</v>
      </c>
      <c r="AE8702" s="7">
        <v>29</v>
      </c>
      <c r="AF8702" s="8">
        <v>0.5</v>
      </c>
      <c r="AG8702" s="7">
        <v>-6.3</v>
      </c>
      <c r="AH8702" s="10">
        <f t="shared" si="150"/>
        <v>-6</v>
      </c>
    </row>
    <row r="8703" spans="11:34" ht="14.5" x14ac:dyDescent="0.35">
      <c r="K8703" s="4"/>
      <c r="AC8703" s="7">
        <v>2022</v>
      </c>
      <c r="AD8703" s="7">
        <v>12</v>
      </c>
      <c r="AE8703" s="7">
        <v>29</v>
      </c>
      <c r="AF8703" s="8">
        <v>0.54166666666666663</v>
      </c>
      <c r="AG8703" s="7">
        <v>-5.3</v>
      </c>
      <c r="AH8703" s="10">
        <f t="shared" si="150"/>
        <v>-5</v>
      </c>
    </row>
    <row r="8704" spans="11:34" ht="14.5" x14ac:dyDescent="0.35">
      <c r="K8704" s="4"/>
      <c r="AC8704" s="7">
        <v>2022</v>
      </c>
      <c r="AD8704" s="7">
        <v>12</v>
      </c>
      <c r="AE8704" s="7">
        <v>29</v>
      </c>
      <c r="AF8704" s="8">
        <v>0.58333333333333337</v>
      </c>
      <c r="AG8704" s="7">
        <v>-4.4000000000000004</v>
      </c>
      <c r="AH8704" s="10">
        <f t="shared" si="150"/>
        <v>-4</v>
      </c>
    </row>
    <row r="8705" spans="11:34" ht="14.5" x14ac:dyDescent="0.35">
      <c r="K8705" s="4"/>
      <c r="AC8705" s="7">
        <v>2022</v>
      </c>
      <c r="AD8705" s="7">
        <v>12</v>
      </c>
      <c r="AE8705" s="7">
        <v>29</v>
      </c>
      <c r="AF8705" s="8">
        <v>0.625</v>
      </c>
      <c r="AG8705" s="7">
        <v>-6.5</v>
      </c>
      <c r="AH8705" s="10">
        <f t="shared" si="150"/>
        <v>-7</v>
      </c>
    </row>
    <row r="8706" spans="11:34" ht="14.5" x14ac:dyDescent="0.35">
      <c r="K8706" s="4"/>
      <c r="AC8706" s="7">
        <v>2022</v>
      </c>
      <c r="AD8706" s="7">
        <v>12</v>
      </c>
      <c r="AE8706" s="7">
        <v>29</v>
      </c>
      <c r="AF8706" s="8">
        <v>0.66666666666666663</v>
      </c>
      <c r="AG8706" s="7">
        <v>-5.7</v>
      </c>
      <c r="AH8706" s="10">
        <f t="shared" si="150"/>
        <v>-6</v>
      </c>
    </row>
    <row r="8707" spans="11:34" ht="14.5" x14ac:dyDescent="0.35">
      <c r="K8707" s="4"/>
      <c r="AC8707" s="7">
        <v>2022</v>
      </c>
      <c r="AD8707" s="7">
        <v>12</v>
      </c>
      <c r="AE8707" s="7">
        <v>29</v>
      </c>
      <c r="AF8707" s="8">
        <v>0.70833333333333337</v>
      </c>
      <c r="AG8707" s="7">
        <v>-9.1</v>
      </c>
      <c r="AH8707" s="10">
        <f t="shared" si="150"/>
        <v>-9</v>
      </c>
    </row>
    <row r="8708" spans="11:34" ht="14.5" x14ac:dyDescent="0.35">
      <c r="K8708" s="4"/>
      <c r="AC8708" s="7">
        <v>2022</v>
      </c>
      <c r="AD8708" s="7">
        <v>12</v>
      </c>
      <c r="AE8708" s="7">
        <v>29</v>
      </c>
      <c r="AF8708" s="8">
        <v>0.75</v>
      </c>
      <c r="AG8708" s="7">
        <v>-9.3000000000000007</v>
      </c>
      <c r="AH8708" s="10">
        <f t="shared" si="150"/>
        <v>-9</v>
      </c>
    </row>
    <row r="8709" spans="11:34" ht="14.5" x14ac:dyDescent="0.35">
      <c r="K8709" s="4"/>
      <c r="AC8709" s="7">
        <v>2022</v>
      </c>
      <c r="AD8709" s="7">
        <v>12</v>
      </c>
      <c r="AE8709" s="7">
        <v>29</v>
      </c>
      <c r="AF8709" s="8">
        <v>0.79166666666666663</v>
      </c>
      <c r="AG8709" s="7">
        <v>-8.1999999999999993</v>
      </c>
      <c r="AH8709" s="10">
        <f t="shared" si="150"/>
        <v>-8</v>
      </c>
    </row>
    <row r="8710" spans="11:34" ht="14.5" x14ac:dyDescent="0.35">
      <c r="K8710" s="4"/>
      <c r="AC8710" s="7">
        <v>2022</v>
      </c>
      <c r="AD8710" s="7">
        <v>12</v>
      </c>
      <c r="AE8710" s="7">
        <v>29</v>
      </c>
      <c r="AF8710" s="8">
        <v>0.83333333333333337</v>
      </c>
      <c r="AG8710" s="7">
        <v>-8.1999999999999993</v>
      </c>
      <c r="AH8710" s="10">
        <f t="shared" si="150"/>
        <v>-8</v>
      </c>
    </row>
    <row r="8711" spans="11:34" ht="14.5" x14ac:dyDescent="0.35">
      <c r="K8711" s="4"/>
      <c r="AC8711" s="7">
        <v>2022</v>
      </c>
      <c r="AD8711" s="7">
        <v>12</v>
      </c>
      <c r="AE8711" s="7">
        <v>29</v>
      </c>
      <c r="AF8711" s="8">
        <v>0.875</v>
      </c>
      <c r="AG8711" s="7">
        <v>-8.5</v>
      </c>
      <c r="AH8711" s="10">
        <f t="shared" si="150"/>
        <v>-9</v>
      </c>
    </row>
    <row r="8712" spans="11:34" ht="14.5" x14ac:dyDescent="0.35">
      <c r="K8712" s="4"/>
      <c r="AC8712" s="7">
        <v>2022</v>
      </c>
      <c r="AD8712" s="7">
        <v>12</v>
      </c>
      <c r="AE8712" s="7">
        <v>29</v>
      </c>
      <c r="AF8712" s="8">
        <v>0.91666666666666663</v>
      </c>
      <c r="AG8712" s="7">
        <v>-9.1</v>
      </c>
      <c r="AH8712" s="10">
        <f t="shared" si="150"/>
        <v>-9</v>
      </c>
    </row>
    <row r="8713" spans="11:34" ht="14.5" x14ac:dyDescent="0.35">
      <c r="K8713" s="4"/>
      <c r="AC8713" s="7">
        <v>2022</v>
      </c>
      <c r="AD8713" s="7">
        <v>12</v>
      </c>
      <c r="AE8713" s="7">
        <v>29</v>
      </c>
      <c r="AF8713" s="8">
        <v>0.95833333333333337</v>
      </c>
      <c r="AG8713" s="7">
        <v>-6.1</v>
      </c>
      <c r="AH8713" s="10">
        <f t="shared" si="150"/>
        <v>-6</v>
      </c>
    </row>
    <row r="8714" spans="11:34" ht="14.5" x14ac:dyDescent="0.35">
      <c r="K8714" s="4"/>
      <c r="AC8714" s="7">
        <v>2022</v>
      </c>
      <c r="AD8714" s="7">
        <v>12</v>
      </c>
      <c r="AE8714" s="7">
        <v>30</v>
      </c>
      <c r="AF8714" s="8">
        <v>0</v>
      </c>
      <c r="AG8714" s="7">
        <v>-6</v>
      </c>
      <c r="AH8714" s="10">
        <f t="shared" si="150"/>
        <v>-6</v>
      </c>
    </row>
    <row r="8715" spans="11:34" ht="14.5" x14ac:dyDescent="0.35">
      <c r="K8715" s="4"/>
      <c r="AC8715" s="7">
        <v>2022</v>
      </c>
      <c r="AD8715" s="7">
        <v>12</v>
      </c>
      <c r="AE8715" s="7">
        <v>30</v>
      </c>
      <c r="AF8715" s="8">
        <v>4.1666666666666664E-2</v>
      </c>
      <c r="AG8715" s="7">
        <v>-5.0999999999999996</v>
      </c>
      <c r="AH8715" s="10">
        <f t="shared" ref="AH8715:AH8761" si="151">ROUND(AG8715,0)</f>
        <v>-5</v>
      </c>
    </row>
    <row r="8716" spans="11:34" ht="14.5" x14ac:dyDescent="0.35">
      <c r="K8716" s="4"/>
      <c r="AC8716" s="7">
        <v>2022</v>
      </c>
      <c r="AD8716" s="7">
        <v>12</v>
      </c>
      <c r="AE8716" s="7">
        <v>30</v>
      </c>
      <c r="AF8716" s="8">
        <v>8.3333333333333329E-2</v>
      </c>
      <c r="AG8716" s="7">
        <v>-2.5</v>
      </c>
      <c r="AH8716" s="10">
        <f t="shared" si="151"/>
        <v>-3</v>
      </c>
    </row>
    <row r="8717" spans="11:34" ht="14.5" x14ac:dyDescent="0.35">
      <c r="K8717" s="4"/>
      <c r="AC8717" s="7">
        <v>2022</v>
      </c>
      <c r="AD8717" s="7">
        <v>12</v>
      </c>
      <c r="AE8717" s="7">
        <v>30</v>
      </c>
      <c r="AF8717" s="8">
        <v>0.125</v>
      </c>
      <c r="AG8717" s="7">
        <v>-4.0999999999999996</v>
      </c>
      <c r="AH8717" s="10">
        <f t="shared" si="151"/>
        <v>-4</v>
      </c>
    </row>
    <row r="8718" spans="11:34" ht="14.5" x14ac:dyDescent="0.35">
      <c r="K8718" s="4"/>
      <c r="AC8718" s="7">
        <v>2022</v>
      </c>
      <c r="AD8718" s="7">
        <v>12</v>
      </c>
      <c r="AE8718" s="7">
        <v>30</v>
      </c>
      <c r="AF8718" s="8">
        <v>0.16666666666666666</v>
      </c>
      <c r="AG8718" s="7">
        <v>-1.4</v>
      </c>
      <c r="AH8718" s="10">
        <f t="shared" si="151"/>
        <v>-1</v>
      </c>
    </row>
    <row r="8719" spans="11:34" ht="14.5" x14ac:dyDescent="0.35">
      <c r="K8719" s="4"/>
      <c r="AC8719" s="7">
        <v>2022</v>
      </c>
      <c r="AD8719" s="7">
        <v>12</v>
      </c>
      <c r="AE8719" s="7">
        <v>30</v>
      </c>
      <c r="AF8719" s="8">
        <v>0.20833333333333334</v>
      </c>
      <c r="AG8719" s="7">
        <v>-2.9</v>
      </c>
      <c r="AH8719" s="10">
        <f t="shared" si="151"/>
        <v>-3</v>
      </c>
    </row>
    <row r="8720" spans="11:34" ht="14.5" x14ac:dyDescent="0.35">
      <c r="K8720" s="4"/>
      <c r="AC8720" s="7">
        <v>2022</v>
      </c>
      <c r="AD8720" s="7">
        <v>12</v>
      </c>
      <c r="AE8720" s="7">
        <v>30</v>
      </c>
      <c r="AF8720" s="8">
        <v>0.25</v>
      </c>
      <c r="AG8720" s="7">
        <v>-6.7</v>
      </c>
      <c r="AH8720" s="10">
        <f t="shared" si="151"/>
        <v>-7</v>
      </c>
    </row>
    <row r="8721" spans="11:34" ht="14.5" x14ac:dyDescent="0.35">
      <c r="K8721" s="4"/>
      <c r="AC8721" s="7">
        <v>2022</v>
      </c>
      <c r="AD8721" s="7">
        <v>12</v>
      </c>
      <c r="AE8721" s="7">
        <v>30</v>
      </c>
      <c r="AF8721" s="8">
        <v>0.29166666666666669</v>
      </c>
      <c r="AG8721" s="7">
        <v>-5.7</v>
      </c>
      <c r="AH8721" s="10">
        <f t="shared" si="151"/>
        <v>-6</v>
      </c>
    </row>
    <row r="8722" spans="11:34" ht="14.5" x14ac:dyDescent="0.35">
      <c r="K8722" s="4"/>
      <c r="AC8722" s="7">
        <v>2022</v>
      </c>
      <c r="AD8722" s="7">
        <v>12</v>
      </c>
      <c r="AE8722" s="7">
        <v>30</v>
      </c>
      <c r="AF8722" s="8">
        <v>0.33333333333333331</v>
      </c>
      <c r="AG8722" s="7">
        <v>-5.7</v>
      </c>
      <c r="AH8722" s="10">
        <f t="shared" si="151"/>
        <v>-6</v>
      </c>
    </row>
    <row r="8723" spans="11:34" ht="14.5" x14ac:dyDescent="0.35">
      <c r="K8723" s="4"/>
      <c r="AC8723" s="7">
        <v>2022</v>
      </c>
      <c r="AD8723" s="7">
        <v>12</v>
      </c>
      <c r="AE8723" s="7">
        <v>30</v>
      </c>
      <c r="AF8723" s="8">
        <v>0.375</v>
      </c>
      <c r="AG8723" s="7">
        <v>-6.2</v>
      </c>
      <c r="AH8723" s="10">
        <f t="shared" si="151"/>
        <v>-6</v>
      </c>
    </row>
    <row r="8724" spans="11:34" ht="14.5" x14ac:dyDescent="0.35">
      <c r="K8724" s="4"/>
      <c r="AC8724" s="7">
        <v>2022</v>
      </c>
      <c r="AD8724" s="7">
        <v>12</v>
      </c>
      <c r="AE8724" s="7">
        <v>30</v>
      </c>
      <c r="AF8724" s="8">
        <v>0.41666666666666669</v>
      </c>
      <c r="AG8724" s="7">
        <v>-5.6</v>
      </c>
      <c r="AH8724" s="10">
        <f t="shared" si="151"/>
        <v>-6</v>
      </c>
    </row>
    <row r="8725" spans="11:34" ht="14.5" x14ac:dyDescent="0.35">
      <c r="K8725" s="4"/>
      <c r="AC8725" s="7">
        <v>2022</v>
      </c>
      <c r="AD8725" s="7">
        <v>12</v>
      </c>
      <c r="AE8725" s="7">
        <v>30</v>
      </c>
      <c r="AF8725" s="8">
        <v>0.45833333333333331</v>
      </c>
      <c r="AG8725" s="7">
        <v>-6.9</v>
      </c>
      <c r="AH8725" s="10">
        <f t="shared" si="151"/>
        <v>-7</v>
      </c>
    </row>
    <row r="8726" spans="11:34" ht="14.5" x14ac:dyDescent="0.35">
      <c r="K8726" s="4"/>
      <c r="AC8726" s="7">
        <v>2022</v>
      </c>
      <c r="AD8726" s="7">
        <v>12</v>
      </c>
      <c r="AE8726" s="7">
        <v>30</v>
      </c>
      <c r="AF8726" s="8">
        <v>0.5</v>
      </c>
      <c r="AG8726" s="7">
        <v>-2.6</v>
      </c>
      <c r="AH8726" s="10">
        <f t="shared" si="151"/>
        <v>-3</v>
      </c>
    </row>
    <row r="8727" spans="11:34" ht="14.5" x14ac:dyDescent="0.35">
      <c r="K8727" s="4"/>
      <c r="AC8727" s="7">
        <v>2022</v>
      </c>
      <c r="AD8727" s="7">
        <v>12</v>
      </c>
      <c r="AE8727" s="7">
        <v>30</v>
      </c>
      <c r="AF8727" s="8">
        <v>0.54166666666666663</v>
      </c>
      <c r="AG8727" s="7">
        <v>-0.6</v>
      </c>
      <c r="AH8727" s="10">
        <f t="shared" si="151"/>
        <v>-1</v>
      </c>
    </row>
    <row r="8728" spans="11:34" ht="14.5" x14ac:dyDescent="0.35">
      <c r="K8728" s="4"/>
      <c r="AC8728" s="7">
        <v>2022</v>
      </c>
      <c r="AD8728" s="7">
        <v>12</v>
      </c>
      <c r="AE8728" s="7">
        <v>30</v>
      </c>
      <c r="AF8728" s="8">
        <v>0.58333333333333337</v>
      </c>
      <c r="AG8728" s="7">
        <v>1.2</v>
      </c>
      <c r="AH8728" s="10">
        <f t="shared" si="151"/>
        <v>1</v>
      </c>
    </row>
    <row r="8729" spans="11:34" ht="14.5" x14ac:dyDescent="0.35">
      <c r="K8729" s="4"/>
      <c r="AC8729" s="7">
        <v>2022</v>
      </c>
      <c r="AD8729" s="7">
        <v>12</v>
      </c>
      <c r="AE8729" s="7">
        <v>30</v>
      </c>
      <c r="AF8729" s="8">
        <v>0.625</v>
      </c>
      <c r="AG8729" s="7">
        <v>-0.1</v>
      </c>
      <c r="AH8729" s="10">
        <f t="shared" si="151"/>
        <v>0</v>
      </c>
    </row>
    <row r="8730" spans="11:34" ht="14.5" x14ac:dyDescent="0.35">
      <c r="K8730" s="4"/>
      <c r="AC8730" s="7">
        <v>2022</v>
      </c>
      <c r="AD8730" s="7">
        <v>12</v>
      </c>
      <c r="AE8730" s="7">
        <v>30</v>
      </c>
      <c r="AF8730" s="8">
        <v>0.66666666666666663</v>
      </c>
      <c r="AG8730" s="7">
        <v>-1.6</v>
      </c>
      <c r="AH8730" s="10">
        <f t="shared" si="151"/>
        <v>-2</v>
      </c>
    </row>
    <row r="8731" spans="11:34" ht="14.5" x14ac:dyDescent="0.35">
      <c r="K8731" s="4"/>
      <c r="AC8731" s="7">
        <v>2022</v>
      </c>
      <c r="AD8731" s="7">
        <v>12</v>
      </c>
      <c r="AE8731" s="7">
        <v>30</v>
      </c>
      <c r="AF8731" s="8">
        <v>0.70833333333333337</v>
      </c>
      <c r="AG8731" s="7">
        <v>-1.6</v>
      </c>
      <c r="AH8731" s="10">
        <f t="shared" si="151"/>
        <v>-2</v>
      </c>
    </row>
    <row r="8732" spans="11:34" ht="14.5" x14ac:dyDescent="0.35">
      <c r="K8732" s="4"/>
      <c r="AC8732" s="7">
        <v>2022</v>
      </c>
      <c r="AD8732" s="7">
        <v>12</v>
      </c>
      <c r="AE8732" s="7">
        <v>30</v>
      </c>
      <c r="AF8732" s="8">
        <v>0.75</v>
      </c>
      <c r="AG8732" s="7">
        <v>-1.2</v>
      </c>
      <c r="AH8732" s="10">
        <f t="shared" si="151"/>
        <v>-1</v>
      </c>
    </row>
    <row r="8733" spans="11:34" ht="14.5" x14ac:dyDescent="0.35">
      <c r="K8733" s="4"/>
      <c r="AC8733" s="7">
        <v>2022</v>
      </c>
      <c r="AD8733" s="7">
        <v>12</v>
      </c>
      <c r="AE8733" s="7">
        <v>30</v>
      </c>
      <c r="AF8733" s="8">
        <v>0.79166666666666663</v>
      </c>
      <c r="AG8733" s="7">
        <v>-0.6</v>
      </c>
      <c r="AH8733" s="10">
        <f t="shared" si="151"/>
        <v>-1</v>
      </c>
    </row>
    <row r="8734" spans="11:34" ht="14.5" x14ac:dyDescent="0.35">
      <c r="K8734" s="4"/>
      <c r="AC8734" s="7">
        <v>2022</v>
      </c>
      <c r="AD8734" s="7">
        <v>12</v>
      </c>
      <c r="AE8734" s="7">
        <v>30</v>
      </c>
      <c r="AF8734" s="8">
        <v>0.83333333333333337</v>
      </c>
      <c r="AG8734" s="7">
        <v>-1.9</v>
      </c>
      <c r="AH8734" s="10">
        <f t="shared" si="151"/>
        <v>-2</v>
      </c>
    </row>
    <row r="8735" spans="11:34" ht="14.5" x14ac:dyDescent="0.35">
      <c r="K8735" s="4"/>
      <c r="AC8735" s="7">
        <v>2022</v>
      </c>
      <c r="AD8735" s="7">
        <v>12</v>
      </c>
      <c r="AE8735" s="7">
        <v>30</v>
      </c>
      <c r="AF8735" s="8">
        <v>0.875</v>
      </c>
      <c r="AG8735" s="7">
        <v>-0.9</v>
      </c>
      <c r="AH8735" s="10">
        <f t="shared" si="151"/>
        <v>-1</v>
      </c>
    </row>
    <row r="8736" spans="11:34" ht="14.5" x14ac:dyDescent="0.35">
      <c r="K8736" s="4"/>
      <c r="AC8736" s="7">
        <v>2022</v>
      </c>
      <c r="AD8736" s="7">
        <v>12</v>
      </c>
      <c r="AE8736" s="7">
        <v>30</v>
      </c>
      <c r="AF8736" s="8">
        <v>0.91666666666666663</v>
      </c>
      <c r="AG8736" s="7">
        <v>-1.3</v>
      </c>
      <c r="AH8736" s="10">
        <f t="shared" si="151"/>
        <v>-1</v>
      </c>
    </row>
    <row r="8737" spans="11:34" ht="14.5" x14ac:dyDescent="0.35">
      <c r="K8737" s="4"/>
      <c r="AC8737" s="7">
        <v>2022</v>
      </c>
      <c r="AD8737" s="7">
        <v>12</v>
      </c>
      <c r="AE8737" s="7">
        <v>30</v>
      </c>
      <c r="AF8737" s="8">
        <v>0.95833333333333337</v>
      </c>
      <c r="AG8737" s="7">
        <v>-3.3</v>
      </c>
      <c r="AH8737" s="10">
        <f t="shared" si="151"/>
        <v>-3</v>
      </c>
    </row>
    <row r="8738" spans="11:34" ht="14.5" x14ac:dyDescent="0.35">
      <c r="K8738" s="4"/>
      <c r="AC8738" s="7">
        <v>2022</v>
      </c>
      <c r="AD8738" s="7">
        <v>12</v>
      </c>
      <c r="AE8738" s="7">
        <v>31</v>
      </c>
      <c r="AF8738" s="8">
        <v>0</v>
      </c>
      <c r="AG8738" s="7">
        <v>-3</v>
      </c>
      <c r="AH8738" s="10">
        <f t="shared" si="151"/>
        <v>-3</v>
      </c>
    </row>
    <row r="8739" spans="11:34" ht="14.5" x14ac:dyDescent="0.35">
      <c r="K8739" s="4"/>
      <c r="AC8739" s="7">
        <v>2022</v>
      </c>
      <c r="AD8739" s="7">
        <v>12</v>
      </c>
      <c r="AE8739" s="7">
        <v>31</v>
      </c>
      <c r="AF8739" s="8">
        <v>4.1666666666666664E-2</v>
      </c>
      <c r="AG8739" s="7">
        <v>-3.4</v>
      </c>
      <c r="AH8739" s="10">
        <f t="shared" si="151"/>
        <v>-3</v>
      </c>
    </row>
    <row r="8740" spans="11:34" ht="14.5" x14ac:dyDescent="0.35">
      <c r="K8740" s="4"/>
      <c r="AC8740" s="7">
        <v>2022</v>
      </c>
      <c r="AD8740" s="7">
        <v>12</v>
      </c>
      <c r="AE8740" s="7">
        <v>31</v>
      </c>
      <c r="AF8740" s="8">
        <v>8.3333333333333329E-2</v>
      </c>
      <c r="AG8740" s="7">
        <v>-4.2</v>
      </c>
      <c r="AH8740" s="10">
        <f t="shared" si="151"/>
        <v>-4</v>
      </c>
    </row>
    <row r="8741" spans="11:34" ht="14.5" x14ac:dyDescent="0.35">
      <c r="K8741" s="4"/>
      <c r="AC8741" s="7">
        <v>2022</v>
      </c>
      <c r="AD8741" s="7">
        <v>12</v>
      </c>
      <c r="AE8741" s="7">
        <v>31</v>
      </c>
      <c r="AF8741" s="8">
        <v>0.125</v>
      </c>
      <c r="AG8741" s="7">
        <v>-2.8</v>
      </c>
      <c r="AH8741" s="10">
        <f t="shared" si="151"/>
        <v>-3</v>
      </c>
    </row>
    <row r="8742" spans="11:34" ht="14.5" x14ac:dyDescent="0.35">
      <c r="K8742" s="4"/>
      <c r="AC8742" s="7">
        <v>2022</v>
      </c>
      <c r="AD8742" s="7">
        <v>12</v>
      </c>
      <c r="AE8742" s="7">
        <v>31</v>
      </c>
      <c r="AF8742" s="8">
        <v>0.16666666666666666</v>
      </c>
      <c r="AG8742" s="7">
        <v>-7.2</v>
      </c>
      <c r="AH8742" s="10">
        <f t="shared" si="151"/>
        <v>-7</v>
      </c>
    </row>
    <row r="8743" spans="11:34" ht="14.5" x14ac:dyDescent="0.35">
      <c r="K8743" s="4"/>
      <c r="AC8743" s="7">
        <v>2022</v>
      </c>
      <c r="AD8743" s="7">
        <v>12</v>
      </c>
      <c r="AE8743" s="7">
        <v>31</v>
      </c>
      <c r="AF8743" s="8">
        <v>0.20833333333333334</v>
      </c>
      <c r="AG8743" s="7">
        <v>-8.8000000000000007</v>
      </c>
      <c r="AH8743" s="10">
        <f t="shared" si="151"/>
        <v>-9</v>
      </c>
    </row>
    <row r="8744" spans="11:34" ht="14.5" x14ac:dyDescent="0.35">
      <c r="K8744" s="4"/>
      <c r="AC8744" s="7">
        <v>2022</v>
      </c>
      <c r="AD8744" s="7">
        <v>12</v>
      </c>
      <c r="AE8744" s="7">
        <v>31</v>
      </c>
      <c r="AF8744" s="8">
        <v>0.25</v>
      </c>
      <c r="AG8744" s="7">
        <v>-7.9</v>
      </c>
      <c r="AH8744" s="10">
        <f t="shared" si="151"/>
        <v>-8</v>
      </c>
    </row>
    <row r="8745" spans="11:34" ht="14.5" x14ac:dyDescent="0.35">
      <c r="K8745" s="4"/>
      <c r="AC8745" s="7">
        <v>2022</v>
      </c>
      <c r="AD8745" s="7">
        <v>12</v>
      </c>
      <c r="AE8745" s="7">
        <v>31</v>
      </c>
      <c r="AF8745" s="8">
        <v>0.29166666666666669</v>
      </c>
      <c r="AG8745" s="7">
        <v>-8.3000000000000007</v>
      </c>
      <c r="AH8745" s="10">
        <f t="shared" si="151"/>
        <v>-8</v>
      </c>
    </row>
    <row r="8746" spans="11:34" ht="14.5" x14ac:dyDescent="0.35">
      <c r="K8746" s="4"/>
      <c r="AC8746" s="7">
        <v>2022</v>
      </c>
      <c r="AD8746" s="7">
        <v>12</v>
      </c>
      <c r="AE8746" s="7">
        <v>31</v>
      </c>
      <c r="AF8746" s="8">
        <v>0.33333333333333331</v>
      </c>
      <c r="AG8746" s="7">
        <v>-10.8</v>
      </c>
      <c r="AH8746" s="10">
        <f t="shared" si="151"/>
        <v>-11</v>
      </c>
    </row>
    <row r="8747" spans="11:34" ht="14.5" x14ac:dyDescent="0.35">
      <c r="K8747" s="4"/>
      <c r="AC8747" s="7">
        <v>2022</v>
      </c>
      <c r="AD8747" s="7">
        <v>12</v>
      </c>
      <c r="AE8747" s="7">
        <v>31</v>
      </c>
      <c r="AF8747" s="8">
        <v>0.375</v>
      </c>
      <c r="AG8747" s="7">
        <v>-11.3</v>
      </c>
      <c r="AH8747" s="10">
        <f t="shared" si="151"/>
        <v>-11</v>
      </c>
    </row>
    <row r="8748" spans="11:34" ht="14.5" x14ac:dyDescent="0.35">
      <c r="K8748" s="4"/>
      <c r="AC8748" s="7">
        <v>2022</v>
      </c>
      <c r="AD8748" s="7">
        <v>12</v>
      </c>
      <c r="AE8748" s="7">
        <v>31</v>
      </c>
      <c r="AF8748" s="8">
        <v>0.41666666666666669</v>
      </c>
      <c r="AG8748" s="7">
        <v>-8.1</v>
      </c>
      <c r="AH8748" s="10">
        <f t="shared" si="151"/>
        <v>-8</v>
      </c>
    </row>
    <row r="8749" spans="11:34" ht="14.5" x14ac:dyDescent="0.35">
      <c r="K8749" s="4"/>
      <c r="AC8749" s="7">
        <v>2022</v>
      </c>
      <c r="AD8749" s="7">
        <v>12</v>
      </c>
      <c r="AE8749" s="7">
        <v>31</v>
      </c>
      <c r="AF8749" s="8">
        <v>0.45833333333333331</v>
      </c>
      <c r="AG8749" s="7">
        <v>-6</v>
      </c>
      <c r="AH8749" s="10">
        <f t="shared" si="151"/>
        <v>-6</v>
      </c>
    </row>
    <row r="8750" spans="11:34" ht="14.5" x14ac:dyDescent="0.35">
      <c r="K8750" s="4"/>
      <c r="AC8750" s="7">
        <v>2022</v>
      </c>
      <c r="AD8750" s="7">
        <v>12</v>
      </c>
      <c r="AE8750" s="7">
        <v>31</v>
      </c>
      <c r="AF8750" s="8">
        <v>0.5</v>
      </c>
      <c r="AG8750" s="7">
        <v>-3.4</v>
      </c>
      <c r="AH8750" s="10">
        <f t="shared" si="151"/>
        <v>-3</v>
      </c>
    </row>
    <row r="8751" spans="11:34" ht="14.5" x14ac:dyDescent="0.35">
      <c r="K8751" s="4"/>
      <c r="AC8751" s="7">
        <v>2022</v>
      </c>
      <c r="AD8751" s="7">
        <v>12</v>
      </c>
      <c r="AE8751" s="7">
        <v>31</v>
      </c>
      <c r="AF8751" s="8">
        <v>0.54166666666666663</v>
      </c>
      <c r="AG8751" s="7">
        <v>-0.7</v>
      </c>
      <c r="AH8751" s="10">
        <f t="shared" si="151"/>
        <v>-1</v>
      </c>
    </row>
    <row r="8752" spans="11:34" ht="14.5" x14ac:dyDescent="0.35">
      <c r="K8752" s="4"/>
      <c r="AC8752" s="7">
        <v>2022</v>
      </c>
      <c r="AD8752" s="7">
        <v>12</v>
      </c>
      <c r="AE8752" s="7">
        <v>31</v>
      </c>
      <c r="AF8752" s="8">
        <v>0.58333333333333337</v>
      </c>
      <c r="AG8752" s="7">
        <v>-1.9</v>
      </c>
      <c r="AH8752" s="10">
        <f t="shared" si="151"/>
        <v>-2</v>
      </c>
    </row>
    <row r="8753" spans="11:34" ht="14.5" x14ac:dyDescent="0.35">
      <c r="K8753" s="4"/>
      <c r="AC8753" s="7">
        <v>2022</v>
      </c>
      <c r="AD8753" s="7">
        <v>12</v>
      </c>
      <c r="AE8753" s="7">
        <v>31</v>
      </c>
      <c r="AF8753" s="8">
        <v>0.625</v>
      </c>
      <c r="AG8753" s="7">
        <v>-1.8</v>
      </c>
      <c r="AH8753" s="10">
        <f t="shared" si="151"/>
        <v>-2</v>
      </c>
    </row>
    <row r="8754" spans="11:34" ht="14.5" x14ac:dyDescent="0.35">
      <c r="K8754" s="4"/>
      <c r="AC8754" s="7">
        <v>2022</v>
      </c>
      <c r="AD8754" s="7">
        <v>12</v>
      </c>
      <c r="AE8754" s="7">
        <v>31</v>
      </c>
      <c r="AF8754" s="8">
        <v>0.66666666666666663</v>
      </c>
      <c r="AG8754" s="7">
        <v>-4.5</v>
      </c>
      <c r="AH8754" s="10">
        <f t="shared" si="151"/>
        <v>-5</v>
      </c>
    </row>
    <row r="8755" spans="11:34" ht="14.5" x14ac:dyDescent="0.35">
      <c r="K8755" s="4"/>
      <c r="AC8755" s="7">
        <v>2022</v>
      </c>
      <c r="AD8755" s="7">
        <v>12</v>
      </c>
      <c r="AE8755" s="7">
        <v>31</v>
      </c>
      <c r="AF8755" s="8">
        <v>0.70833333333333337</v>
      </c>
      <c r="AG8755" s="7">
        <v>-5.8</v>
      </c>
      <c r="AH8755" s="10">
        <f t="shared" si="151"/>
        <v>-6</v>
      </c>
    </row>
    <row r="8756" spans="11:34" ht="14.5" x14ac:dyDescent="0.35">
      <c r="K8756" s="4"/>
      <c r="AC8756" s="7">
        <v>2022</v>
      </c>
      <c r="AD8756" s="7">
        <v>12</v>
      </c>
      <c r="AE8756" s="7">
        <v>31</v>
      </c>
      <c r="AF8756" s="8">
        <v>0.75</v>
      </c>
      <c r="AG8756" s="7">
        <v>-7.7</v>
      </c>
      <c r="AH8756" s="10">
        <f t="shared" si="151"/>
        <v>-8</v>
      </c>
    </row>
    <row r="8757" spans="11:34" ht="14.5" x14ac:dyDescent="0.35">
      <c r="K8757" s="4"/>
      <c r="AC8757" s="7">
        <v>2022</v>
      </c>
      <c r="AD8757" s="7">
        <v>12</v>
      </c>
      <c r="AE8757" s="7">
        <v>31</v>
      </c>
      <c r="AF8757" s="8">
        <v>0.79166666666666663</v>
      </c>
      <c r="AG8757" s="7">
        <v>-6.7</v>
      </c>
      <c r="AH8757" s="10">
        <f t="shared" si="151"/>
        <v>-7</v>
      </c>
    </row>
    <row r="8758" spans="11:34" ht="14.5" x14ac:dyDescent="0.35">
      <c r="K8758" s="4"/>
      <c r="AC8758" s="7">
        <v>2022</v>
      </c>
      <c r="AD8758" s="7">
        <v>12</v>
      </c>
      <c r="AE8758" s="7">
        <v>31</v>
      </c>
      <c r="AF8758" s="8">
        <v>0.83333333333333337</v>
      </c>
      <c r="AG8758" s="7">
        <v>-6.4</v>
      </c>
      <c r="AH8758" s="10">
        <f t="shared" si="151"/>
        <v>-6</v>
      </c>
    </row>
    <row r="8759" spans="11:34" ht="14.5" x14ac:dyDescent="0.35">
      <c r="K8759" s="4"/>
      <c r="AC8759" s="7">
        <v>2022</v>
      </c>
      <c r="AD8759" s="7">
        <v>12</v>
      </c>
      <c r="AE8759" s="7">
        <v>31</v>
      </c>
      <c r="AF8759" s="8">
        <v>0.875</v>
      </c>
      <c r="AG8759" s="7">
        <v>-6.2</v>
      </c>
      <c r="AH8759" s="10">
        <f t="shared" si="151"/>
        <v>-6</v>
      </c>
    </row>
    <row r="8760" spans="11:34" ht="14.5" x14ac:dyDescent="0.35">
      <c r="K8760" s="4"/>
      <c r="AC8760" s="7">
        <v>2022</v>
      </c>
      <c r="AD8760" s="7">
        <v>12</v>
      </c>
      <c r="AE8760" s="7">
        <v>31</v>
      </c>
      <c r="AF8760" s="8">
        <v>0.91666666666666663</v>
      </c>
      <c r="AG8760" s="7">
        <v>-4.7</v>
      </c>
      <c r="AH8760" s="10">
        <f t="shared" si="151"/>
        <v>-5</v>
      </c>
    </row>
    <row r="8761" spans="11:34" ht="14.5" x14ac:dyDescent="0.35">
      <c r="K8761" s="4"/>
      <c r="AC8761" s="7">
        <v>2022</v>
      </c>
      <c r="AD8761" s="7">
        <v>12</v>
      </c>
      <c r="AE8761" s="7">
        <v>31</v>
      </c>
      <c r="AF8761" s="8">
        <v>0.95833333333333337</v>
      </c>
      <c r="AG8761" s="7">
        <v>-3.1</v>
      </c>
      <c r="AH8761" s="10">
        <f t="shared" si="151"/>
        <v>-3</v>
      </c>
    </row>
    <row r="8762" spans="11:34" ht="14.5" x14ac:dyDescent="0.35">
      <c r="K8762" s="4"/>
      <c r="AC8762" s="7"/>
      <c r="AD8762" s="7"/>
      <c r="AE8762" s="7"/>
      <c r="AF8762" s="8"/>
      <c r="AG8762" s="7"/>
    </row>
    <row r="8763" spans="11:34" ht="14.5" x14ac:dyDescent="0.35">
      <c r="K8763" s="4"/>
      <c r="AC8763" s="7"/>
      <c r="AD8763" s="7"/>
      <c r="AE8763" s="7"/>
      <c r="AF8763" s="8"/>
      <c r="AG8763" s="7"/>
    </row>
    <row r="8764" spans="11:34" ht="14.5" x14ac:dyDescent="0.35">
      <c r="K8764" s="4"/>
      <c r="AC8764" s="7"/>
      <c r="AD8764" s="7"/>
      <c r="AE8764" s="7"/>
      <c r="AF8764" s="8"/>
      <c r="AG8764" s="7"/>
    </row>
    <row r="8765" spans="11:34" ht="14.5" x14ac:dyDescent="0.35">
      <c r="K8765" s="4"/>
      <c r="AC8765" s="7"/>
      <c r="AD8765" s="7"/>
      <c r="AE8765" s="7"/>
      <c r="AF8765" s="8"/>
      <c r="AG8765" s="7"/>
    </row>
    <row r="8766" spans="11:34" ht="14.5" x14ac:dyDescent="0.35">
      <c r="K8766" s="4"/>
      <c r="AC8766" s="7"/>
      <c r="AD8766" s="7"/>
      <c r="AE8766" s="7"/>
      <c r="AF8766" s="8"/>
      <c r="AG8766" s="7"/>
    </row>
    <row r="8767" spans="11:34" ht="14.5" x14ac:dyDescent="0.35">
      <c r="K8767" s="4"/>
      <c r="AC8767" s="7"/>
      <c r="AD8767" s="7"/>
      <c r="AE8767" s="7"/>
      <c r="AF8767" s="8"/>
      <c r="AG8767" s="7"/>
    </row>
    <row r="8768" spans="11:34" ht="14.5" x14ac:dyDescent="0.35">
      <c r="K8768" s="4"/>
      <c r="AC8768" s="7"/>
      <c r="AD8768" s="7"/>
      <c r="AE8768" s="7"/>
      <c r="AF8768" s="8"/>
      <c r="AG8768" s="7"/>
    </row>
    <row r="8769" spans="11:33" ht="14.5" x14ac:dyDescent="0.35">
      <c r="K8769" s="4"/>
      <c r="AC8769" s="7"/>
      <c r="AD8769" s="7"/>
      <c r="AE8769" s="7"/>
      <c r="AF8769" s="8"/>
      <c r="AG8769" s="7"/>
    </row>
    <row r="8770" spans="11:33" ht="14.5" x14ac:dyDescent="0.35">
      <c r="K8770" s="4"/>
      <c r="AC8770" s="7"/>
      <c r="AD8770" s="7"/>
      <c r="AE8770" s="7"/>
      <c r="AF8770" s="8"/>
      <c r="AG8770" s="7"/>
    </row>
    <row r="8771" spans="11:33" ht="14.5" x14ac:dyDescent="0.35">
      <c r="K8771" s="4"/>
      <c r="AC8771" s="7"/>
      <c r="AD8771" s="7"/>
      <c r="AE8771" s="7"/>
      <c r="AF8771" s="8"/>
      <c r="AG8771" s="7"/>
    </row>
    <row r="8772" spans="11:33" ht="14.5" x14ac:dyDescent="0.35">
      <c r="K8772" s="4"/>
      <c r="AC8772" s="7"/>
      <c r="AD8772" s="7"/>
      <c r="AE8772" s="7"/>
      <c r="AF8772" s="8"/>
      <c r="AG8772" s="7"/>
    </row>
    <row r="8773" spans="11:33" ht="14.5" x14ac:dyDescent="0.35">
      <c r="K8773" s="4"/>
      <c r="AC8773" s="7"/>
      <c r="AD8773" s="7"/>
      <c r="AE8773" s="7"/>
      <c r="AF8773" s="8"/>
      <c r="AG8773" s="7"/>
    </row>
    <row r="8774" spans="11:33" ht="14.5" x14ac:dyDescent="0.35">
      <c r="K8774" s="4"/>
      <c r="AC8774" s="7"/>
      <c r="AD8774" s="7"/>
      <c r="AE8774" s="7"/>
      <c r="AF8774" s="8"/>
      <c r="AG8774" s="7"/>
    </row>
    <row r="8775" spans="11:33" ht="14.5" x14ac:dyDescent="0.35">
      <c r="K8775" s="4"/>
      <c r="AC8775" s="7"/>
      <c r="AD8775" s="7"/>
      <c r="AE8775" s="7"/>
      <c r="AF8775" s="8"/>
      <c r="AG8775" s="7"/>
    </row>
    <row r="8776" spans="11:33" ht="14.5" x14ac:dyDescent="0.35">
      <c r="K8776" s="4"/>
      <c r="AC8776" s="7"/>
      <c r="AD8776" s="7"/>
      <c r="AE8776" s="7"/>
      <c r="AF8776" s="8"/>
      <c r="AG8776" s="7"/>
    </row>
    <row r="8777" spans="11:33" ht="14.5" x14ac:dyDescent="0.35">
      <c r="K8777" s="4"/>
      <c r="AC8777" s="7"/>
      <c r="AD8777" s="7"/>
      <c r="AE8777" s="7"/>
      <c r="AF8777" s="8"/>
      <c r="AG8777" s="7"/>
    </row>
    <row r="8778" spans="11:33" ht="14.5" x14ac:dyDescent="0.35">
      <c r="K8778" s="4"/>
      <c r="AC8778" s="7"/>
      <c r="AD8778" s="7"/>
      <c r="AE8778" s="7"/>
      <c r="AF8778" s="8"/>
      <c r="AG8778" s="7"/>
    </row>
    <row r="8779" spans="11:33" ht="14.5" x14ac:dyDescent="0.35">
      <c r="K8779" s="4"/>
      <c r="AC8779" s="7"/>
      <c r="AD8779" s="7"/>
      <c r="AE8779" s="7"/>
      <c r="AF8779" s="8"/>
      <c r="AG8779" s="7"/>
    </row>
    <row r="8780" spans="11:33" ht="14.5" x14ac:dyDescent="0.35">
      <c r="K8780" s="4"/>
      <c r="AC8780" s="7"/>
      <c r="AD8780" s="7"/>
      <c r="AE8780" s="7"/>
      <c r="AF8780" s="8"/>
      <c r="AG8780" s="7"/>
    </row>
    <row r="8781" spans="11:33" ht="14.5" x14ac:dyDescent="0.35">
      <c r="K8781" s="4"/>
      <c r="AC8781" s="7"/>
      <c r="AD8781" s="7"/>
      <c r="AE8781" s="7"/>
      <c r="AF8781" s="8"/>
      <c r="AG8781" s="7"/>
    </row>
    <row r="8782" spans="11:33" ht="14.5" x14ac:dyDescent="0.35">
      <c r="K8782" s="4"/>
      <c r="AC8782" s="7"/>
      <c r="AD8782" s="7"/>
      <c r="AE8782" s="7"/>
      <c r="AF8782" s="8"/>
      <c r="AG8782" s="7"/>
    </row>
    <row r="8783" spans="11:33" ht="14.5" x14ac:dyDescent="0.35">
      <c r="K8783" s="4"/>
      <c r="AC8783" s="7"/>
      <c r="AD8783" s="7"/>
      <c r="AE8783" s="7"/>
      <c r="AF8783" s="8"/>
      <c r="AG8783" s="7"/>
    </row>
    <row r="8784" spans="11:33" ht="14.5" x14ac:dyDescent="0.35">
      <c r="K8784" s="4"/>
      <c r="AC8784" s="7"/>
      <c r="AD8784" s="7"/>
      <c r="AE8784" s="7"/>
      <c r="AF8784" s="8"/>
      <c r="AG8784" s="7"/>
    </row>
    <row r="8785" spans="11:33" ht="14.5" x14ac:dyDescent="0.35">
      <c r="K8785" s="4"/>
      <c r="AC8785" s="7"/>
      <c r="AD8785" s="7"/>
      <c r="AE8785" s="7"/>
      <c r="AF8785" s="8"/>
      <c r="AG8785" s="7"/>
    </row>
    <row r="8786" spans="11:33" ht="14.5" x14ac:dyDescent="0.35">
      <c r="K8786" s="4"/>
      <c r="AC8786" s="7"/>
      <c r="AD8786" s="7"/>
      <c r="AE8786" s="7"/>
      <c r="AF8786" s="8"/>
      <c r="AG8786" s="7"/>
    </row>
    <row r="8787" spans="11:33" ht="14.5" x14ac:dyDescent="0.35">
      <c r="K8787" s="4"/>
      <c r="AC8787" s="7"/>
      <c r="AD8787" s="7"/>
      <c r="AE8787" s="7"/>
      <c r="AF8787" s="8"/>
      <c r="AG8787" s="7"/>
    </row>
    <row r="8788" spans="11:33" ht="14.5" x14ac:dyDescent="0.35">
      <c r="K8788" s="4"/>
      <c r="AC8788" s="7"/>
      <c r="AD8788" s="7"/>
      <c r="AE8788" s="7"/>
      <c r="AF8788" s="8"/>
      <c r="AG8788" s="7"/>
    </row>
    <row r="8789" spans="11:33" ht="14.5" x14ac:dyDescent="0.35">
      <c r="K8789" s="4"/>
      <c r="AC8789" s="7"/>
      <c r="AD8789" s="7"/>
      <c r="AE8789" s="7"/>
      <c r="AF8789" s="8"/>
      <c r="AG8789" s="7"/>
    </row>
    <row r="8790" spans="11:33" ht="14.5" x14ac:dyDescent="0.35">
      <c r="K8790" s="4"/>
      <c r="AC8790" s="7"/>
      <c r="AD8790" s="7"/>
      <c r="AE8790" s="7"/>
      <c r="AF8790" s="8"/>
      <c r="AG8790" s="7"/>
    </row>
    <row r="8791" spans="11:33" ht="14.5" x14ac:dyDescent="0.35">
      <c r="K8791" s="4"/>
      <c r="AC8791" s="7"/>
      <c r="AD8791" s="7"/>
      <c r="AE8791" s="7"/>
      <c r="AF8791" s="8"/>
      <c r="AG8791" s="7"/>
    </row>
    <row r="8792" spans="11:33" ht="14.5" x14ac:dyDescent="0.35">
      <c r="K8792" s="4"/>
      <c r="AC8792" s="7"/>
      <c r="AD8792" s="7"/>
      <c r="AE8792" s="7"/>
      <c r="AF8792" s="8"/>
      <c r="AG8792" s="7"/>
    </row>
    <row r="8793" spans="11:33" ht="14.5" x14ac:dyDescent="0.35">
      <c r="K8793" s="4"/>
      <c r="AC8793" s="7"/>
      <c r="AD8793" s="7"/>
      <c r="AE8793" s="7"/>
      <c r="AF8793" s="8"/>
      <c r="AG8793" s="7"/>
    </row>
    <row r="8794" spans="11:33" ht="14.5" x14ac:dyDescent="0.35">
      <c r="K8794" s="4"/>
      <c r="AC8794" s="7"/>
      <c r="AD8794" s="7"/>
      <c r="AE8794" s="7"/>
      <c r="AF8794" s="8"/>
      <c r="AG8794" s="7"/>
    </row>
    <row r="8795" spans="11:33" ht="14.5" x14ac:dyDescent="0.35">
      <c r="K8795" s="4"/>
      <c r="AC8795" s="7"/>
      <c r="AD8795" s="7"/>
      <c r="AE8795" s="7"/>
      <c r="AF8795" s="8"/>
      <c r="AG8795" s="7"/>
    </row>
    <row r="8796" spans="11:33" ht="14.5" x14ac:dyDescent="0.35">
      <c r="K8796" s="4"/>
      <c r="AC8796" s="7"/>
      <c r="AD8796" s="7"/>
      <c r="AE8796" s="7"/>
      <c r="AF8796" s="8"/>
      <c r="AG8796" s="7"/>
    </row>
    <row r="8797" spans="11:33" ht="14.5" x14ac:dyDescent="0.35">
      <c r="K8797" s="4"/>
      <c r="AC8797" s="7"/>
      <c r="AD8797" s="7"/>
      <c r="AE8797" s="7"/>
      <c r="AF8797" s="8"/>
      <c r="AG8797" s="7"/>
    </row>
    <row r="8798" spans="11:33" ht="14.5" x14ac:dyDescent="0.35">
      <c r="K8798" s="4"/>
      <c r="AC8798" s="7"/>
      <c r="AD8798" s="7"/>
      <c r="AE8798" s="7"/>
      <c r="AF8798" s="8"/>
      <c r="AG8798" s="7"/>
    </row>
    <row r="8799" spans="11:33" ht="14.5" x14ac:dyDescent="0.35">
      <c r="K8799" s="4"/>
      <c r="AC8799" s="7"/>
      <c r="AD8799" s="7"/>
      <c r="AE8799" s="7"/>
      <c r="AF8799" s="8"/>
      <c r="AG8799" s="7"/>
    </row>
    <row r="8800" spans="11:33" ht="14.5" x14ac:dyDescent="0.35">
      <c r="K8800" s="4"/>
      <c r="AC8800" s="7"/>
      <c r="AD8800" s="7"/>
      <c r="AE8800" s="7"/>
      <c r="AF8800" s="8"/>
      <c r="AG8800" s="7"/>
    </row>
    <row r="8801" spans="11:33" ht="14.5" x14ac:dyDescent="0.35">
      <c r="K8801" s="4"/>
      <c r="AC8801" s="7"/>
      <c r="AD8801" s="7"/>
      <c r="AE8801" s="7"/>
      <c r="AF8801" s="8"/>
      <c r="AG8801" s="7"/>
    </row>
    <row r="8802" spans="11:33" ht="14.5" x14ac:dyDescent="0.35">
      <c r="K8802" s="4"/>
      <c r="AC8802" s="7"/>
      <c r="AD8802" s="7"/>
      <c r="AE8802" s="7"/>
      <c r="AF8802" s="8"/>
      <c r="AG8802" s="7"/>
    </row>
    <row r="8803" spans="11:33" ht="14.5" x14ac:dyDescent="0.35">
      <c r="K8803" s="4"/>
      <c r="AC8803" s="7"/>
      <c r="AD8803" s="7"/>
      <c r="AE8803" s="7"/>
      <c r="AF8803" s="8"/>
      <c r="AG8803" s="7"/>
    </row>
    <row r="8804" spans="11:33" ht="14.5" x14ac:dyDescent="0.35">
      <c r="K8804" s="4"/>
      <c r="AC8804" s="7"/>
      <c r="AD8804" s="7"/>
      <c r="AE8804" s="7"/>
      <c r="AF8804" s="8"/>
      <c r="AG8804" s="7"/>
    </row>
    <row r="8805" spans="11:33" ht="14.5" x14ac:dyDescent="0.35">
      <c r="K8805" s="4"/>
      <c r="AC8805" s="7"/>
      <c r="AD8805" s="7"/>
      <c r="AE8805" s="7"/>
      <c r="AF8805" s="8"/>
      <c r="AG8805" s="7"/>
    </row>
    <row r="8806" spans="11:33" ht="14.5" x14ac:dyDescent="0.35">
      <c r="K8806" s="4"/>
      <c r="AC8806" s="7"/>
      <c r="AD8806" s="7"/>
      <c r="AE8806" s="7"/>
      <c r="AF8806" s="8"/>
      <c r="AG8806" s="7"/>
    </row>
    <row r="8807" spans="11:33" ht="14.5" x14ac:dyDescent="0.35">
      <c r="K8807" s="4"/>
      <c r="AC8807" s="7"/>
      <c r="AD8807" s="7"/>
      <c r="AE8807" s="7"/>
      <c r="AF8807" s="8"/>
      <c r="AG8807" s="7"/>
    </row>
    <row r="8808" spans="11:33" ht="14.5" x14ac:dyDescent="0.35">
      <c r="K8808" s="4"/>
      <c r="AC8808" s="7"/>
      <c r="AD8808" s="7"/>
      <c r="AE8808" s="7"/>
      <c r="AF8808" s="8"/>
      <c r="AG8808" s="7"/>
    </row>
    <row r="8809" spans="11:33" ht="14.5" x14ac:dyDescent="0.35">
      <c r="K8809" s="4"/>
      <c r="AC8809" s="7"/>
      <c r="AD8809" s="7"/>
      <c r="AE8809" s="7"/>
      <c r="AF8809" s="8"/>
      <c r="AG8809" s="7"/>
    </row>
    <row r="8810" spans="11:33" ht="14.5" x14ac:dyDescent="0.35">
      <c r="K8810" s="4"/>
      <c r="AC8810" s="7"/>
      <c r="AD8810" s="7"/>
      <c r="AE8810" s="7"/>
      <c r="AF8810" s="8"/>
      <c r="AG8810" s="7"/>
    </row>
    <row r="8811" spans="11:33" ht="14.5" x14ac:dyDescent="0.35">
      <c r="K8811" s="4"/>
      <c r="AC8811" s="7"/>
      <c r="AD8811" s="7"/>
      <c r="AE8811" s="7"/>
      <c r="AF8811" s="8"/>
      <c r="AG8811" s="7"/>
    </row>
    <row r="8812" spans="11:33" ht="14.5" x14ac:dyDescent="0.35">
      <c r="K8812" s="4"/>
      <c r="AC8812" s="7"/>
      <c r="AD8812" s="7"/>
      <c r="AE8812" s="7"/>
      <c r="AF8812" s="8"/>
      <c r="AG8812" s="7"/>
    </row>
    <row r="8813" spans="11:33" ht="14.5" x14ac:dyDescent="0.35">
      <c r="K8813" s="4"/>
      <c r="AC8813" s="7"/>
      <c r="AD8813" s="7"/>
      <c r="AE8813" s="7"/>
      <c r="AF8813" s="8"/>
      <c r="AG8813" s="7"/>
    </row>
    <row r="8814" spans="11:33" ht="14.5" x14ac:dyDescent="0.35">
      <c r="K8814" s="4"/>
      <c r="AC8814" s="7"/>
      <c r="AD8814" s="7"/>
      <c r="AE8814" s="7"/>
      <c r="AF8814" s="8"/>
      <c r="AG8814" s="7"/>
    </row>
    <row r="8815" spans="11:33" ht="14.5" x14ac:dyDescent="0.35">
      <c r="K8815" s="4"/>
      <c r="AC8815" s="7"/>
      <c r="AD8815" s="7"/>
      <c r="AE8815" s="7"/>
      <c r="AF8815" s="8"/>
      <c r="AG8815" s="7"/>
    </row>
    <row r="8816" spans="11:33" ht="14.5" x14ac:dyDescent="0.35">
      <c r="K8816" s="4"/>
      <c r="AC8816" s="7"/>
      <c r="AD8816" s="7"/>
      <c r="AE8816" s="7"/>
      <c r="AF8816" s="8"/>
      <c r="AG8816" s="7"/>
    </row>
    <row r="8817" spans="11:33" ht="14.5" x14ac:dyDescent="0.35">
      <c r="K8817" s="4"/>
      <c r="AC8817" s="7"/>
      <c r="AD8817" s="7"/>
      <c r="AE8817" s="7"/>
      <c r="AF8817" s="8"/>
      <c r="AG8817" s="7"/>
    </row>
    <row r="8818" spans="11:33" ht="14.5" x14ac:dyDescent="0.35">
      <c r="K8818" s="4"/>
      <c r="AC8818" s="7"/>
      <c r="AD8818" s="7"/>
      <c r="AE8818" s="7"/>
      <c r="AF8818" s="8"/>
      <c r="AG8818" s="7"/>
    </row>
    <row r="8819" spans="11:33" ht="14.5" x14ac:dyDescent="0.35">
      <c r="K8819" s="4"/>
      <c r="AC8819" s="7"/>
      <c r="AD8819" s="7"/>
      <c r="AE8819" s="7"/>
      <c r="AF8819" s="8"/>
      <c r="AG8819" s="7"/>
    </row>
    <row r="8820" spans="11:33" ht="14.5" x14ac:dyDescent="0.35">
      <c r="K8820" s="4"/>
      <c r="AC8820" s="7"/>
      <c r="AD8820" s="7"/>
      <c r="AE8820" s="7"/>
      <c r="AF8820" s="8"/>
      <c r="AG8820" s="7"/>
    </row>
    <row r="8821" spans="11:33" ht="14.5" x14ac:dyDescent="0.35">
      <c r="K8821" s="4"/>
      <c r="AC8821" s="7"/>
      <c r="AD8821" s="7"/>
      <c r="AE8821" s="7"/>
      <c r="AF8821" s="8"/>
      <c r="AG8821" s="7"/>
    </row>
    <row r="8822" spans="11:33" ht="14.5" x14ac:dyDescent="0.35">
      <c r="K8822" s="4"/>
      <c r="AC8822" s="7"/>
      <c r="AD8822" s="7"/>
      <c r="AE8822" s="7"/>
      <c r="AF8822" s="8"/>
      <c r="AG8822" s="7"/>
    </row>
    <row r="8823" spans="11:33" ht="14.5" x14ac:dyDescent="0.35">
      <c r="K8823" s="4"/>
      <c r="AC8823" s="7"/>
      <c r="AD8823" s="7"/>
      <c r="AE8823" s="7"/>
      <c r="AF8823" s="8"/>
      <c r="AG8823" s="7"/>
    </row>
    <row r="8824" spans="11:33" ht="14.5" x14ac:dyDescent="0.35">
      <c r="K8824" s="4"/>
      <c r="AC8824" s="7"/>
      <c r="AD8824" s="7"/>
      <c r="AE8824" s="7"/>
      <c r="AF8824" s="8"/>
      <c r="AG8824" s="7"/>
    </row>
    <row r="8825" spans="11:33" ht="14.5" x14ac:dyDescent="0.35">
      <c r="K8825" s="4"/>
      <c r="AC8825" s="7"/>
      <c r="AD8825" s="7"/>
      <c r="AE8825" s="7"/>
      <c r="AF8825" s="8"/>
      <c r="AG8825" s="7"/>
    </row>
    <row r="8826" spans="11:33" ht="14.5" x14ac:dyDescent="0.35">
      <c r="K8826" s="4"/>
      <c r="AC8826" s="7"/>
      <c r="AD8826" s="7"/>
      <c r="AE8826" s="7"/>
      <c r="AF8826" s="8"/>
      <c r="AG8826" s="7"/>
    </row>
    <row r="8827" spans="11:33" ht="14.5" x14ac:dyDescent="0.35">
      <c r="K8827" s="4"/>
      <c r="AC8827" s="7"/>
      <c r="AD8827" s="7"/>
      <c r="AE8827" s="7"/>
      <c r="AF8827" s="8"/>
      <c r="AG8827" s="7"/>
    </row>
    <row r="8828" spans="11:33" ht="14.5" x14ac:dyDescent="0.35">
      <c r="K8828" s="4"/>
      <c r="AC8828" s="7"/>
      <c r="AD8828" s="7"/>
      <c r="AE8828" s="7"/>
      <c r="AF8828" s="8"/>
      <c r="AG8828" s="7"/>
    </row>
    <row r="8829" spans="11:33" ht="14.5" x14ac:dyDescent="0.35">
      <c r="K8829" s="4"/>
      <c r="AC8829" s="7"/>
      <c r="AD8829" s="7"/>
      <c r="AE8829" s="7"/>
      <c r="AF8829" s="8"/>
      <c r="AG8829" s="7"/>
    </row>
    <row r="8830" spans="11:33" ht="14.5" x14ac:dyDescent="0.35">
      <c r="K8830" s="4"/>
      <c r="AC8830" s="7"/>
      <c r="AD8830" s="7"/>
      <c r="AE8830" s="7"/>
      <c r="AF8830" s="8"/>
      <c r="AG8830" s="7"/>
    </row>
    <row r="8831" spans="11:33" ht="14.5" x14ac:dyDescent="0.35">
      <c r="K8831" s="4"/>
      <c r="AC8831" s="7"/>
      <c r="AD8831" s="7"/>
      <c r="AE8831" s="7"/>
      <c r="AF8831" s="8"/>
      <c r="AG8831" s="7"/>
    </row>
    <row r="8832" spans="11:33" ht="14.5" x14ac:dyDescent="0.35">
      <c r="K8832" s="4"/>
      <c r="AC8832" s="7"/>
      <c r="AD8832" s="7"/>
      <c r="AE8832" s="7"/>
      <c r="AF8832" s="8"/>
      <c r="AG8832" s="7"/>
    </row>
    <row r="8833" spans="11:33" ht="14.5" x14ac:dyDescent="0.35">
      <c r="K8833" s="4"/>
      <c r="AC8833" s="7"/>
      <c r="AD8833" s="7"/>
      <c r="AE8833" s="7"/>
      <c r="AF8833" s="8"/>
      <c r="AG8833" s="7"/>
    </row>
    <row r="8834" spans="11:33" ht="14.5" x14ac:dyDescent="0.35">
      <c r="K8834" s="4"/>
      <c r="AC8834" s="7"/>
      <c r="AD8834" s="7"/>
      <c r="AE8834" s="7"/>
      <c r="AF8834" s="8"/>
      <c r="AG8834" s="7"/>
    </row>
    <row r="8835" spans="11:33" ht="14.5" x14ac:dyDescent="0.35">
      <c r="K8835" s="4"/>
      <c r="AC8835" s="7"/>
      <c r="AD8835" s="7"/>
      <c r="AE8835" s="7"/>
      <c r="AF8835" s="8"/>
      <c r="AG8835" s="7"/>
    </row>
    <row r="8836" spans="11:33" ht="14.5" x14ac:dyDescent="0.35">
      <c r="K8836" s="4"/>
      <c r="AC8836" s="7"/>
      <c r="AD8836" s="7"/>
      <c r="AE8836" s="7"/>
      <c r="AF8836" s="8"/>
      <c r="AG8836" s="7"/>
    </row>
    <row r="8837" spans="11:33" ht="14.5" x14ac:dyDescent="0.35">
      <c r="K8837" s="4"/>
      <c r="AC8837" s="7"/>
      <c r="AD8837" s="7"/>
      <c r="AE8837" s="7"/>
      <c r="AF8837" s="8"/>
      <c r="AG8837" s="7"/>
    </row>
    <row r="8838" spans="11:33" ht="14.5" x14ac:dyDescent="0.35">
      <c r="K8838" s="4"/>
      <c r="AC8838" s="7"/>
      <c r="AD8838" s="7"/>
      <c r="AE8838" s="7"/>
      <c r="AF8838" s="8"/>
      <c r="AG8838" s="7"/>
    </row>
    <row r="8839" spans="11:33" ht="14.5" x14ac:dyDescent="0.35">
      <c r="K8839" s="4"/>
      <c r="AC8839" s="7"/>
      <c r="AD8839" s="7"/>
      <c r="AE8839" s="7"/>
      <c r="AF8839" s="8"/>
      <c r="AG8839" s="7"/>
    </row>
    <row r="8840" spans="11:33" ht="14.5" x14ac:dyDescent="0.35">
      <c r="K8840" s="4"/>
      <c r="AC8840" s="7"/>
      <c r="AD8840" s="7"/>
      <c r="AE8840" s="7"/>
      <c r="AF8840" s="8"/>
      <c r="AG8840" s="7"/>
    </row>
    <row r="8841" spans="11:33" ht="14.5" x14ac:dyDescent="0.35">
      <c r="K8841" s="4"/>
      <c r="AC8841" s="7"/>
      <c r="AD8841" s="7"/>
      <c r="AE8841" s="7"/>
      <c r="AF8841" s="8"/>
      <c r="AG8841" s="7"/>
    </row>
    <row r="8842" spans="11:33" ht="14.5" x14ac:dyDescent="0.35">
      <c r="K8842" s="4"/>
      <c r="AC8842" s="7"/>
      <c r="AD8842" s="7"/>
      <c r="AE8842" s="7"/>
      <c r="AF8842" s="8"/>
      <c r="AG8842" s="7"/>
    </row>
    <row r="8843" spans="11:33" ht="14.5" x14ac:dyDescent="0.35">
      <c r="K8843" s="4"/>
      <c r="AC8843" s="7"/>
      <c r="AD8843" s="7"/>
      <c r="AE8843" s="7"/>
      <c r="AF8843" s="8"/>
      <c r="AG8843" s="7"/>
    </row>
    <row r="8844" spans="11:33" ht="14.5" x14ac:dyDescent="0.35">
      <c r="K8844" s="4"/>
      <c r="AC8844" s="7"/>
      <c r="AD8844" s="7"/>
      <c r="AE8844" s="7"/>
      <c r="AF8844" s="8"/>
      <c r="AG8844" s="7"/>
    </row>
    <row r="8845" spans="11:33" ht="14.5" x14ac:dyDescent="0.35">
      <c r="K8845" s="4"/>
      <c r="AC8845" s="7"/>
      <c r="AD8845" s="7"/>
      <c r="AE8845" s="7"/>
      <c r="AF8845" s="8"/>
      <c r="AG8845" s="7"/>
    </row>
    <row r="8846" spans="11:33" ht="14.5" x14ac:dyDescent="0.35">
      <c r="K8846" s="4"/>
      <c r="AC8846" s="7"/>
      <c r="AD8846" s="7"/>
      <c r="AE8846" s="7"/>
      <c r="AF8846" s="8"/>
      <c r="AG8846" s="7"/>
    </row>
    <row r="8847" spans="11:33" ht="14.5" x14ac:dyDescent="0.35">
      <c r="K8847" s="4"/>
      <c r="AC8847" s="7"/>
      <c r="AD8847" s="7"/>
      <c r="AE8847" s="7"/>
      <c r="AF8847" s="8"/>
      <c r="AG8847" s="7"/>
    </row>
    <row r="8848" spans="11:33" ht="14.5" x14ac:dyDescent="0.35">
      <c r="K8848" s="4"/>
      <c r="AC8848" s="7"/>
      <c r="AD8848" s="7"/>
      <c r="AE8848" s="7"/>
      <c r="AF8848" s="8"/>
      <c r="AG8848" s="7"/>
    </row>
    <row r="8849" spans="11:33" ht="14.5" x14ac:dyDescent="0.35">
      <c r="K8849" s="4"/>
      <c r="AC8849" s="7"/>
      <c r="AD8849" s="7"/>
      <c r="AE8849" s="7"/>
      <c r="AF8849" s="8"/>
      <c r="AG8849" s="7"/>
    </row>
    <row r="8850" spans="11:33" ht="14.5" x14ac:dyDescent="0.35">
      <c r="K8850" s="4"/>
      <c r="AC8850" s="7"/>
      <c r="AD8850" s="7"/>
      <c r="AE8850" s="7"/>
      <c r="AF8850" s="8"/>
      <c r="AG8850" s="7"/>
    </row>
    <row r="8851" spans="11:33" ht="14.5" x14ac:dyDescent="0.35">
      <c r="K8851" s="4"/>
      <c r="AC8851" s="7"/>
      <c r="AD8851" s="7"/>
      <c r="AE8851" s="7"/>
      <c r="AF8851" s="8"/>
      <c r="AG8851" s="7"/>
    </row>
    <row r="8852" spans="11:33" ht="14.5" x14ac:dyDescent="0.35">
      <c r="K8852" s="4"/>
      <c r="AC8852" s="7"/>
      <c r="AD8852" s="7"/>
      <c r="AE8852" s="7"/>
      <c r="AF8852" s="8"/>
      <c r="AG8852" s="7"/>
    </row>
    <row r="8853" spans="11:33" ht="14.5" x14ac:dyDescent="0.35">
      <c r="K8853" s="4"/>
      <c r="AC8853" s="7"/>
      <c r="AD8853" s="7"/>
      <c r="AE8853" s="7"/>
      <c r="AF8853" s="8"/>
      <c r="AG8853" s="7"/>
    </row>
    <row r="8854" spans="11:33" ht="14.5" x14ac:dyDescent="0.35">
      <c r="K8854" s="4"/>
      <c r="AC8854" s="7"/>
      <c r="AD8854" s="7"/>
      <c r="AE8854" s="7"/>
      <c r="AF8854" s="8"/>
      <c r="AG8854" s="7"/>
    </row>
    <row r="8855" spans="11:33" ht="14.5" x14ac:dyDescent="0.35">
      <c r="K8855" s="4"/>
      <c r="AC8855" s="7"/>
      <c r="AD8855" s="7"/>
      <c r="AE8855" s="7"/>
      <c r="AF8855" s="8"/>
      <c r="AG8855" s="7"/>
    </row>
    <row r="8856" spans="11:33" ht="14.5" x14ac:dyDescent="0.35">
      <c r="K8856" s="4"/>
      <c r="AC8856" s="7"/>
      <c r="AD8856" s="7"/>
      <c r="AE8856" s="7"/>
      <c r="AF8856" s="8"/>
      <c r="AG8856" s="7"/>
    </row>
    <row r="8857" spans="11:33" ht="14.5" x14ac:dyDescent="0.35">
      <c r="K8857" s="4"/>
      <c r="AC8857" s="7"/>
      <c r="AD8857" s="7"/>
      <c r="AE8857" s="7"/>
      <c r="AF8857" s="8"/>
      <c r="AG8857" s="7"/>
    </row>
    <row r="8858" spans="11:33" ht="14.5" x14ac:dyDescent="0.35">
      <c r="K8858" s="4"/>
      <c r="AC8858" s="7"/>
      <c r="AD8858" s="7"/>
      <c r="AE8858" s="7"/>
      <c r="AF8858" s="8"/>
      <c r="AG8858" s="7"/>
    </row>
    <row r="8859" spans="11:33" ht="14.5" x14ac:dyDescent="0.35">
      <c r="K8859" s="4"/>
      <c r="AC8859" s="7"/>
      <c r="AD8859" s="7"/>
      <c r="AE8859" s="7"/>
      <c r="AF8859" s="8"/>
      <c r="AG8859" s="7"/>
    </row>
    <row r="8860" spans="11:33" ht="14.5" x14ac:dyDescent="0.35">
      <c r="K8860" s="4"/>
      <c r="AC8860" s="7"/>
      <c r="AD8860" s="7"/>
      <c r="AE8860" s="7"/>
      <c r="AF8860" s="8"/>
      <c r="AG8860" s="7"/>
    </row>
    <row r="8861" spans="11:33" ht="14.5" x14ac:dyDescent="0.35">
      <c r="K8861" s="4"/>
      <c r="AC8861" s="7"/>
      <c r="AD8861" s="7"/>
      <c r="AE8861" s="7"/>
      <c r="AF8861" s="8"/>
      <c r="AG8861" s="7"/>
    </row>
    <row r="8862" spans="11:33" ht="14.5" x14ac:dyDescent="0.35">
      <c r="K8862" s="4"/>
      <c r="AC8862" s="7"/>
      <c r="AD8862" s="7"/>
      <c r="AE8862" s="7"/>
      <c r="AF8862" s="8"/>
      <c r="AG8862" s="7"/>
    </row>
    <row r="8863" spans="11:33" ht="14.5" x14ac:dyDescent="0.35">
      <c r="K8863" s="4"/>
      <c r="AC8863" s="7"/>
      <c r="AD8863" s="7"/>
      <c r="AE8863" s="7"/>
      <c r="AF8863" s="8"/>
      <c r="AG8863" s="7"/>
    </row>
    <row r="8864" spans="11:33" ht="14.5" x14ac:dyDescent="0.35">
      <c r="K8864" s="4"/>
      <c r="AC8864" s="7"/>
      <c r="AD8864" s="7"/>
      <c r="AE8864" s="7"/>
      <c r="AF8864" s="8"/>
      <c r="AG8864" s="7"/>
    </row>
    <row r="8865" spans="11:33" ht="14.5" x14ac:dyDescent="0.35">
      <c r="K8865" s="4"/>
      <c r="AC8865" s="7"/>
      <c r="AD8865" s="7"/>
      <c r="AE8865" s="7"/>
      <c r="AF8865" s="8"/>
      <c r="AG8865" s="7"/>
    </row>
    <row r="8866" spans="11:33" ht="14.5" x14ac:dyDescent="0.35">
      <c r="K8866" s="4"/>
      <c r="AC8866" s="7"/>
      <c r="AD8866" s="7"/>
      <c r="AE8866" s="7"/>
      <c r="AF8866" s="8"/>
      <c r="AG8866" s="7"/>
    </row>
    <row r="8867" spans="11:33" ht="14.5" x14ac:dyDescent="0.35">
      <c r="K8867" s="4"/>
      <c r="AC8867" s="7"/>
      <c r="AD8867" s="7"/>
      <c r="AE8867" s="7"/>
      <c r="AF8867" s="8"/>
      <c r="AG8867" s="7"/>
    </row>
    <row r="8868" spans="11:33" ht="14.5" x14ac:dyDescent="0.35">
      <c r="K8868" s="4"/>
      <c r="AC8868" s="7"/>
      <c r="AD8868" s="7"/>
      <c r="AE8868" s="7"/>
      <c r="AF8868" s="8"/>
      <c r="AG8868" s="7"/>
    </row>
    <row r="8869" spans="11:33" ht="14.5" x14ac:dyDescent="0.35">
      <c r="K8869" s="4"/>
      <c r="AC8869" s="7"/>
      <c r="AD8869" s="7"/>
      <c r="AE8869" s="7"/>
      <c r="AF8869" s="8"/>
      <c r="AG8869" s="7"/>
    </row>
    <row r="8870" spans="11:33" ht="14.5" x14ac:dyDescent="0.35">
      <c r="K8870" s="4"/>
      <c r="AC8870" s="7"/>
      <c r="AD8870" s="7"/>
      <c r="AE8870" s="7"/>
      <c r="AF8870" s="8"/>
      <c r="AG8870" s="7"/>
    </row>
    <row r="8871" spans="11:33" ht="14.5" x14ac:dyDescent="0.35">
      <c r="K8871" s="4"/>
      <c r="AC8871" s="7"/>
      <c r="AD8871" s="7"/>
      <c r="AE8871" s="7"/>
      <c r="AF8871" s="8"/>
      <c r="AG8871" s="7"/>
    </row>
    <row r="8872" spans="11:33" ht="14.5" x14ac:dyDescent="0.35">
      <c r="K8872" s="4"/>
      <c r="AC8872" s="7"/>
      <c r="AD8872" s="7"/>
      <c r="AE8872" s="7"/>
      <c r="AF8872" s="8"/>
      <c r="AG8872" s="7"/>
    </row>
    <row r="8873" spans="11:33" ht="14.5" x14ac:dyDescent="0.35">
      <c r="K8873" s="4"/>
      <c r="AC8873" s="7"/>
      <c r="AD8873" s="7"/>
      <c r="AE8873" s="7"/>
      <c r="AF8873" s="8"/>
      <c r="AG8873" s="7"/>
    </row>
    <row r="8874" spans="11:33" ht="14.5" x14ac:dyDescent="0.35">
      <c r="K8874" s="4"/>
      <c r="AC8874" s="7"/>
      <c r="AD8874" s="7"/>
      <c r="AE8874" s="7"/>
      <c r="AF8874" s="8"/>
      <c r="AG8874" s="7"/>
    </row>
    <row r="8875" spans="11:33" ht="14.5" x14ac:dyDescent="0.35">
      <c r="K8875" s="4"/>
      <c r="AC8875" s="7"/>
      <c r="AD8875" s="7"/>
      <c r="AE8875" s="7"/>
      <c r="AF8875" s="8"/>
      <c r="AG8875" s="7"/>
    </row>
    <row r="8876" spans="11:33" ht="14.5" x14ac:dyDescent="0.35">
      <c r="K8876" s="4"/>
      <c r="AC8876" s="7"/>
      <c r="AD8876" s="7"/>
      <c r="AE8876" s="7"/>
      <c r="AF8876" s="8"/>
      <c r="AG8876" s="7"/>
    </row>
    <row r="8877" spans="11:33" ht="14.5" x14ac:dyDescent="0.35">
      <c r="K8877" s="4"/>
      <c r="AC8877" s="7"/>
      <c r="AD8877" s="7"/>
      <c r="AE8877" s="7"/>
      <c r="AF8877" s="8"/>
      <c r="AG8877" s="7"/>
    </row>
    <row r="8878" spans="11:33" ht="14.5" x14ac:dyDescent="0.35">
      <c r="K8878" s="4"/>
      <c r="AC8878" s="7"/>
      <c r="AD8878" s="7"/>
      <c r="AE8878" s="7"/>
      <c r="AF8878" s="8"/>
      <c r="AG8878" s="7"/>
    </row>
    <row r="8879" spans="11:33" ht="14.5" x14ac:dyDescent="0.35">
      <c r="K8879" s="4"/>
      <c r="AC8879" s="7"/>
      <c r="AD8879" s="7"/>
      <c r="AE8879" s="7"/>
      <c r="AF8879" s="8"/>
      <c r="AG8879" s="7"/>
    </row>
    <row r="8880" spans="11:33" ht="14.5" x14ac:dyDescent="0.35">
      <c r="K8880" s="4"/>
      <c r="AC8880" s="7"/>
      <c r="AD8880" s="7"/>
      <c r="AE8880" s="7"/>
      <c r="AF8880" s="8"/>
      <c r="AG8880" s="7"/>
    </row>
    <row r="8881" spans="11:33" ht="14.5" x14ac:dyDescent="0.35">
      <c r="K8881" s="4"/>
      <c r="AC8881" s="7"/>
      <c r="AD8881" s="7"/>
      <c r="AE8881" s="7"/>
      <c r="AF8881" s="8"/>
      <c r="AG8881" s="7"/>
    </row>
    <row r="8882" spans="11:33" ht="14.5" x14ac:dyDescent="0.35">
      <c r="K8882" s="4"/>
      <c r="AC8882" s="7"/>
      <c r="AD8882" s="7"/>
      <c r="AE8882" s="7"/>
      <c r="AF8882" s="8"/>
      <c r="AG8882" s="7"/>
    </row>
    <row r="8883" spans="11:33" ht="14.5" x14ac:dyDescent="0.35">
      <c r="K8883" s="4"/>
      <c r="AC8883" s="7"/>
      <c r="AD8883" s="7"/>
      <c r="AE8883" s="7"/>
      <c r="AF8883" s="8"/>
      <c r="AG8883" s="7"/>
    </row>
    <row r="8884" spans="11:33" ht="14.5" x14ac:dyDescent="0.35">
      <c r="K8884" s="4"/>
      <c r="AC8884" s="7"/>
      <c r="AD8884" s="7"/>
      <c r="AE8884" s="7"/>
      <c r="AF8884" s="8"/>
      <c r="AG8884" s="7"/>
    </row>
    <row r="8885" spans="11:33" ht="14.5" x14ac:dyDescent="0.35">
      <c r="K8885" s="4"/>
      <c r="AC8885" s="7"/>
      <c r="AD8885" s="7"/>
      <c r="AE8885" s="7"/>
      <c r="AF8885" s="8"/>
      <c r="AG8885" s="7"/>
    </row>
    <row r="8886" spans="11:33" ht="14.5" x14ac:dyDescent="0.35">
      <c r="K8886" s="4"/>
      <c r="AC8886" s="7"/>
      <c r="AD8886" s="7"/>
      <c r="AE8886" s="7"/>
      <c r="AF8886" s="8"/>
      <c r="AG8886" s="7"/>
    </row>
    <row r="8887" spans="11:33" ht="14.5" x14ac:dyDescent="0.35">
      <c r="K8887" s="4"/>
      <c r="AC8887" s="7"/>
      <c r="AD8887" s="7"/>
      <c r="AE8887" s="7"/>
      <c r="AF8887" s="8"/>
      <c r="AG8887" s="7"/>
    </row>
    <row r="8888" spans="11:33" ht="14.5" x14ac:dyDescent="0.35">
      <c r="K8888" s="4"/>
      <c r="AC8888" s="7"/>
      <c r="AD8888" s="7"/>
      <c r="AE8888" s="7"/>
      <c r="AF8888" s="8"/>
      <c r="AG8888" s="7"/>
    </row>
    <row r="8889" spans="11:33" ht="14.5" x14ac:dyDescent="0.35">
      <c r="K8889" s="4"/>
      <c r="AC8889" s="7"/>
      <c r="AD8889" s="7"/>
      <c r="AE8889" s="7"/>
      <c r="AF8889" s="8"/>
      <c r="AG8889" s="7"/>
    </row>
    <row r="8890" spans="11:33" ht="14.5" x14ac:dyDescent="0.35">
      <c r="K8890" s="4"/>
      <c r="AC8890" s="7"/>
      <c r="AD8890" s="7"/>
      <c r="AE8890" s="7"/>
      <c r="AF8890" s="8"/>
      <c r="AG8890" s="7"/>
    </row>
    <row r="8891" spans="11:33" ht="14.5" x14ac:dyDescent="0.35">
      <c r="K8891" s="4"/>
      <c r="AC8891" s="7"/>
      <c r="AD8891" s="7"/>
      <c r="AE8891" s="7"/>
      <c r="AF8891" s="8"/>
      <c r="AG8891" s="7"/>
    </row>
    <row r="8892" spans="11:33" ht="14.5" x14ac:dyDescent="0.35">
      <c r="K8892" s="4"/>
      <c r="AC8892" s="7"/>
      <c r="AD8892" s="7"/>
      <c r="AE8892" s="7"/>
      <c r="AF8892" s="8"/>
      <c r="AG8892" s="7"/>
    </row>
    <row r="8893" spans="11:33" ht="14.5" x14ac:dyDescent="0.35">
      <c r="K8893" s="4"/>
      <c r="AC8893" s="7"/>
      <c r="AD8893" s="7"/>
      <c r="AE8893" s="7"/>
      <c r="AF8893" s="8"/>
      <c r="AG8893" s="7"/>
    </row>
    <row r="8894" spans="11:33" ht="14.5" x14ac:dyDescent="0.35">
      <c r="K8894" s="4"/>
      <c r="AC8894" s="7"/>
      <c r="AD8894" s="7"/>
      <c r="AE8894" s="7"/>
      <c r="AF8894" s="8"/>
      <c r="AG8894" s="7"/>
    </row>
    <row r="8895" spans="11:33" ht="14.5" x14ac:dyDescent="0.35">
      <c r="K8895" s="4"/>
      <c r="AC8895" s="7"/>
      <c r="AD8895" s="7"/>
      <c r="AE8895" s="7"/>
      <c r="AF8895" s="8"/>
      <c r="AG8895" s="7"/>
    </row>
    <row r="8896" spans="11:33" ht="14.5" x14ac:dyDescent="0.35">
      <c r="K8896" s="4"/>
      <c r="AC8896" s="7"/>
      <c r="AD8896" s="7"/>
      <c r="AE8896" s="7"/>
      <c r="AF8896" s="8"/>
      <c r="AG8896" s="7"/>
    </row>
    <row r="8897" spans="11:33" ht="14.5" x14ac:dyDescent="0.35">
      <c r="K8897" s="4"/>
      <c r="AC8897" s="7"/>
      <c r="AD8897" s="7"/>
      <c r="AE8897" s="7"/>
      <c r="AF8897" s="8"/>
      <c r="AG8897" s="7"/>
    </row>
    <row r="8898" spans="11:33" ht="14.5" x14ac:dyDescent="0.35">
      <c r="K8898" s="4"/>
      <c r="AC8898" s="7"/>
      <c r="AD8898" s="7"/>
      <c r="AE8898" s="7"/>
      <c r="AF8898" s="8"/>
      <c r="AG8898" s="7"/>
    </row>
    <row r="8899" spans="11:33" ht="14.5" x14ac:dyDescent="0.35">
      <c r="K8899" s="4"/>
      <c r="AC8899" s="7"/>
      <c r="AD8899" s="7"/>
      <c r="AE8899" s="7"/>
      <c r="AF8899" s="8"/>
      <c r="AG8899" s="7"/>
    </row>
    <row r="8900" spans="11:33" ht="14.5" x14ac:dyDescent="0.35">
      <c r="K8900" s="4"/>
      <c r="AC8900" s="7"/>
      <c r="AD8900" s="7"/>
      <c r="AE8900" s="7"/>
      <c r="AF8900" s="8"/>
      <c r="AG8900" s="7"/>
    </row>
    <row r="8901" spans="11:33" ht="14.5" x14ac:dyDescent="0.35">
      <c r="K8901" s="4"/>
      <c r="AC8901" s="7"/>
      <c r="AD8901" s="7"/>
      <c r="AE8901" s="7"/>
      <c r="AF8901" s="8"/>
      <c r="AG8901" s="7"/>
    </row>
    <row r="8902" spans="11:33" ht="14.5" x14ac:dyDescent="0.35">
      <c r="K8902" s="4"/>
      <c r="AC8902" s="7"/>
      <c r="AD8902" s="7"/>
      <c r="AE8902" s="7"/>
      <c r="AF8902" s="8"/>
      <c r="AG8902" s="7"/>
    </row>
    <row r="8903" spans="11:33" ht="14.5" x14ac:dyDescent="0.35">
      <c r="K8903" s="4"/>
      <c r="AC8903" s="7"/>
      <c r="AD8903" s="7"/>
      <c r="AE8903" s="7"/>
      <c r="AF8903" s="8"/>
      <c r="AG8903" s="7"/>
    </row>
    <row r="8904" spans="11:33" ht="14.5" x14ac:dyDescent="0.35">
      <c r="K8904" s="4"/>
      <c r="AC8904" s="7"/>
      <c r="AD8904" s="7"/>
      <c r="AE8904" s="7"/>
      <c r="AF8904" s="8"/>
      <c r="AG8904" s="7"/>
    </row>
    <row r="8905" spans="11:33" ht="14.5" x14ac:dyDescent="0.35">
      <c r="K8905" s="4"/>
      <c r="AC8905" s="7"/>
      <c r="AD8905" s="7"/>
      <c r="AE8905" s="7"/>
      <c r="AF8905" s="8"/>
      <c r="AG8905" s="7"/>
    </row>
    <row r="8906" spans="11:33" ht="14.5" x14ac:dyDescent="0.35">
      <c r="K8906" s="4"/>
      <c r="AC8906" s="7"/>
      <c r="AD8906" s="7"/>
      <c r="AE8906" s="7"/>
      <c r="AF8906" s="8"/>
      <c r="AG8906" s="7"/>
    </row>
    <row r="8907" spans="11:33" ht="14.5" x14ac:dyDescent="0.35">
      <c r="K8907" s="4"/>
      <c r="AC8907" s="7"/>
      <c r="AD8907" s="7"/>
      <c r="AE8907" s="7"/>
      <c r="AF8907" s="8"/>
      <c r="AG8907" s="7"/>
    </row>
    <row r="8908" spans="11:33" ht="14.5" x14ac:dyDescent="0.35">
      <c r="K8908" s="4"/>
      <c r="AC8908" s="7"/>
      <c r="AD8908" s="7"/>
      <c r="AE8908" s="7"/>
      <c r="AF8908" s="8"/>
      <c r="AG8908" s="7"/>
    </row>
    <row r="8909" spans="11:33" ht="14.5" x14ac:dyDescent="0.35">
      <c r="K8909" s="4"/>
      <c r="AC8909" s="7"/>
      <c r="AD8909" s="7"/>
      <c r="AE8909" s="7"/>
      <c r="AF8909" s="8"/>
      <c r="AG8909" s="7"/>
    </row>
    <row r="8910" spans="11:33" ht="14.5" x14ac:dyDescent="0.35">
      <c r="K8910" s="4"/>
      <c r="AC8910" s="7"/>
      <c r="AD8910" s="7"/>
      <c r="AE8910" s="7"/>
      <c r="AF8910" s="8"/>
      <c r="AG8910" s="7"/>
    </row>
    <row r="8911" spans="11:33" ht="14.5" x14ac:dyDescent="0.35">
      <c r="K8911" s="4"/>
      <c r="AC8911" s="7"/>
      <c r="AD8911" s="7"/>
      <c r="AE8911" s="7"/>
      <c r="AF8911" s="8"/>
      <c r="AG8911" s="7"/>
    </row>
    <row r="8912" spans="11:33" ht="14.5" x14ac:dyDescent="0.35">
      <c r="K8912" s="4"/>
      <c r="AC8912" s="7"/>
      <c r="AD8912" s="7"/>
      <c r="AE8912" s="7"/>
      <c r="AF8912" s="8"/>
      <c r="AG8912" s="7"/>
    </row>
    <row r="8913" spans="11:33" ht="14.5" x14ac:dyDescent="0.35">
      <c r="K8913" s="4"/>
      <c r="AC8913" s="7"/>
      <c r="AD8913" s="7"/>
      <c r="AE8913" s="7"/>
      <c r="AF8913" s="8"/>
      <c r="AG8913" s="7"/>
    </row>
    <row r="8914" spans="11:33" ht="14.5" x14ac:dyDescent="0.35">
      <c r="K8914" s="4"/>
      <c r="AC8914" s="7"/>
      <c r="AD8914" s="7"/>
      <c r="AE8914" s="7"/>
      <c r="AF8914" s="8"/>
      <c r="AG8914" s="7"/>
    </row>
    <row r="8915" spans="11:33" ht="14.5" x14ac:dyDescent="0.35">
      <c r="K8915" s="4"/>
      <c r="AC8915" s="7"/>
      <c r="AD8915" s="7"/>
      <c r="AE8915" s="7"/>
      <c r="AF8915" s="8"/>
      <c r="AG8915" s="7"/>
    </row>
    <row r="8916" spans="11:33" ht="14.5" x14ac:dyDescent="0.35">
      <c r="K8916" s="4"/>
      <c r="AC8916" s="7"/>
      <c r="AD8916" s="7"/>
      <c r="AE8916" s="7"/>
      <c r="AF8916" s="8"/>
      <c r="AG8916" s="7"/>
    </row>
    <row r="8917" spans="11:33" ht="14.5" x14ac:dyDescent="0.35">
      <c r="K8917" s="4"/>
      <c r="AC8917" s="7"/>
      <c r="AD8917" s="7"/>
      <c r="AE8917" s="7"/>
      <c r="AF8917" s="8"/>
      <c r="AG8917" s="7"/>
    </row>
    <row r="8918" spans="11:33" ht="14.5" x14ac:dyDescent="0.35">
      <c r="K8918" s="4"/>
      <c r="AC8918" s="7"/>
      <c r="AD8918" s="7"/>
      <c r="AE8918" s="7"/>
      <c r="AF8918" s="8"/>
      <c r="AG8918" s="7"/>
    </row>
    <row r="8919" spans="11:33" ht="14.5" x14ac:dyDescent="0.35">
      <c r="K8919" s="4"/>
      <c r="AC8919" s="7"/>
      <c r="AD8919" s="7"/>
      <c r="AE8919" s="7"/>
      <c r="AF8919" s="8"/>
      <c r="AG8919" s="7"/>
    </row>
    <row r="8920" spans="11:33" ht="14.5" x14ac:dyDescent="0.35">
      <c r="K8920" s="4"/>
      <c r="AC8920" s="7"/>
      <c r="AD8920" s="7"/>
      <c r="AE8920" s="7"/>
      <c r="AF8920" s="8"/>
      <c r="AG8920" s="7"/>
    </row>
    <row r="8921" spans="11:33" ht="14.5" x14ac:dyDescent="0.35">
      <c r="K8921" s="4"/>
      <c r="AC8921" s="7"/>
      <c r="AD8921" s="7"/>
      <c r="AE8921" s="7"/>
      <c r="AF8921" s="8"/>
      <c r="AG8921" s="7"/>
    </row>
    <row r="8922" spans="11:33" ht="14.5" x14ac:dyDescent="0.35">
      <c r="K8922" s="4"/>
      <c r="AC8922" s="7"/>
      <c r="AD8922" s="7"/>
      <c r="AE8922" s="7"/>
      <c r="AF8922" s="8"/>
      <c r="AG8922" s="7"/>
    </row>
    <row r="8923" spans="11:33" ht="14.5" x14ac:dyDescent="0.35">
      <c r="K8923" s="4"/>
      <c r="AC8923" s="7"/>
      <c r="AD8923" s="7"/>
      <c r="AE8923" s="7"/>
      <c r="AF8923" s="8"/>
      <c r="AG8923" s="7"/>
    </row>
    <row r="8924" spans="11:33" ht="14.5" x14ac:dyDescent="0.35">
      <c r="K8924" s="4"/>
      <c r="AC8924" s="7"/>
      <c r="AD8924" s="7"/>
      <c r="AE8924" s="7"/>
      <c r="AF8924" s="8"/>
      <c r="AG8924" s="7"/>
    </row>
    <row r="8925" spans="11:33" ht="14.5" x14ac:dyDescent="0.35">
      <c r="K8925" s="4"/>
      <c r="AC8925" s="7"/>
      <c r="AD8925" s="7"/>
      <c r="AE8925" s="7"/>
      <c r="AF8925" s="8"/>
      <c r="AG8925" s="7"/>
    </row>
    <row r="8926" spans="11:33" ht="14.5" x14ac:dyDescent="0.35">
      <c r="K8926" s="4"/>
      <c r="AC8926" s="7"/>
      <c r="AD8926" s="7"/>
      <c r="AE8926" s="7"/>
      <c r="AF8926" s="8"/>
      <c r="AG8926" s="7"/>
    </row>
    <row r="8927" spans="11:33" ht="14.5" x14ac:dyDescent="0.35">
      <c r="K8927" s="4"/>
      <c r="AC8927" s="7"/>
      <c r="AD8927" s="7"/>
      <c r="AE8927" s="7"/>
      <c r="AF8927" s="8"/>
      <c r="AG8927" s="7"/>
    </row>
    <row r="8928" spans="11:33" ht="14.5" x14ac:dyDescent="0.35">
      <c r="K8928" s="4"/>
      <c r="AC8928" s="7"/>
      <c r="AD8928" s="7"/>
      <c r="AE8928" s="7"/>
      <c r="AF8928" s="8"/>
      <c r="AG8928" s="7"/>
    </row>
    <row r="8929" spans="11:33" ht="14.5" x14ac:dyDescent="0.35">
      <c r="K8929" s="4"/>
      <c r="AC8929" s="7"/>
      <c r="AD8929" s="7"/>
      <c r="AE8929" s="7"/>
      <c r="AF8929" s="8"/>
      <c r="AG8929" s="7"/>
    </row>
    <row r="8930" spans="11:33" ht="14.5" x14ac:dyDescent="0.35">
      <c r="K8930" s="4"/>
      <c r="AC8930" s="7"/>
      <c r="AD8930" s="7"/>
      <c r="AE8930" s="7"/>
      <c r="AF8930" s="8"/>
      <c r="AG8930" s="7"/>
    </row>
    <row r="8931" spans="11:33" ht="14.5" x14ac:dyDescent="0.35">
      <c r="K8931" s="4"/>
      <c r="AC8931" s="7"/>
      <c r="AD8931" s="7"/>
      <c r="AE8931" s="7"/>
      <c r="AF8931" s="8"/>
      <c r="AG8931" s="7"/>
    </row>
    <row r="8932" spans="11:33" ht="14.5" x14ac:dyDescent="0.35">
      <c r="K8932" s="4"/>
      <c r="AC8932" s="7"/>
      <c r="AD8932" s="7"/>
      <c r="AE8932" s="7"/>
      <c r="AF8932" s="8"/>
      <c r="AG8932" s="7"/>
    </row>
    <row r="8933" spans="11:33" ht="14.5" x14ac:dyDescent="0.35">
      <c r="K8933" s="4"/>
      <c r="AC8933" s="7"/>
      <c r="AD8933" s="7"/>
      <c r="AE8933" s="7"/>
      <c r="AF8933" s="8"/>
      <c r="AG8933" s="7"/>
    </row>
    <row r="8934" spans="11:33" ht="14.5" x14ac:dyDescent="0.35">
      <c r="K8934" s="4"/>
      <c r="AC8934" s="7"/>
      <c r="AD8934" s="7"/>
      <c r="AE8934" s="7"/>
      <c r="AF8934" s="8"/>
      <c r="AG8934" s="7"/>
    </row>
    <row r="8935" spans="11:33" ht="14.5" x14ac:dyDescent="0.35">
      <c r="K8935" s="4"/>
      <c r="AC8935" s="7"/>
      <c r="AD8935" s="7"/>
      <c r="AE8935" s="7"/>
      <c r="AF8935" s="8"/>
      <c r="AG8935" s="7"/>
    </row>
    <row r="8936" spans="11:33" ht="14.5" x14ac:dyDescent="0.35">
      <c r="K8936" s="4"/>
      <c r="AC8936" s="7"/>
      <c r="AD8936" s="7"/>
      <c r="AE8936" s="7"/>
      <c r="AF8936" s="8"/>
      <c r="AG8936" s="7"/>
    </row>
    <row r="8937" spans="11:33" ht="14.5" x14ac:dyDescent="0.35">
      <c r="K8937" s="4"/>
      <c r="AC8937" s="7"/>
      <c r="AD8937" s="7"/>
      <c r="AE8937" s="7"/>
      <c r="AF8937" s="8"/>
      <c r="AG8937" s="7"/>
    </row>
    <row r="8938" spans="11:33" ht="14.5" x14ac:dyDescent="0.35">
      <c r="K8938" s="4"/>
      <c r="AC8938" s="7"/>
      <c r="AD8938" s="7"/>
      <c r="AE8938" s="7"/>
      <c r="AF8938" s="8"/>
      <c r="AG8938" s="7"/>
    </row>
    <row r="8939" spans="11:33" ht="14.5" x14ac:dyDescent="0.35">
      <c r="K8939" s="4"/>
      <c r="AC8939" s="7"/>
      <c r="AD8939" s="7"/>
      <c r="AE8939" s="7"/>
      <c r="AF8939" s="8"/>
      <c r="AG8939" s="7"/>
    </row>
    <row r="8940" spans="11:33" ht="14.5" x14ac:dyDescent="0.35">
      <c r="K8940" s="4"/>
      <c r="AC8940" s="7"/>
      <c r="AD8940" s="7"/>
      <c r="AE8940" s="7"/>
      <c r="AF8940" s="8"/>
      <c r="AG8940" s="7"/>
    </row>
    <row r="8941" spans="11:33" ht="14.5" x14ac:dyDescent="0.35">
      <c r="K8941" s="4"/>
      <c r="AC8941" s="7"/>
      <c r="AD8941" s="7"/>
      <c r="AE8941" s="7"/>
      <c r="AF8941" s="8"/>
      <c r="AG8941" s="7"/>
    </row>
    <row r="8942" spans="11:33" ht="14.5" x14ac:dyDescent="0.35">
      <c r="K8942" s="4"/>
      <c r="AC8942" s="7"/>
      <c r="AD8942" s="7"/>
      <c r="AE8942" s="7"/>
      <c r="AF8942" s="8"/>
      <c r="AG8942" s="7"/>
    </row>
    <row r="8943" spans="11:33" ht="14.5" x14ac:dyDescent="0.35">
      <c r="K8943" s="4"/>
      <c r="AC8943" s="7"/>
      <c r="AD8943" s="7"/>
      <c r="AE8943" s="7"/>
      <c r="AF8943" s="8"/>
      <c r="AG8943" s="7"/>
    </row>
    <row r="8944" spans="11:33" ht="14.5" x14ac:dyDescent="0.35">
      <c r="K8944" s="4"/>
      <c r="AC8944" s="7"/>
      <c r="AD8944" s="7"/>
      <c r="AE8944" s="7"/>
      <c r="AF8944" s="8"/>
      <c r="AG8944" s="7"/>
    </row>
    <row r="8945" spans="11:33" ht="14.5" x14ac:dyDescent="0.35">
      <c r="K8945" s="4"/>
      <c r="AC8945" s="7"/>
      <c r="AD8945" s="7"/>
      <c r="AE8945" s="7"/>
      <c r="AF8945" s="8"/>
      <c r="AG8945" s="7"/>
    </row>
    <row r="8946" spans="11:33" ht="14.5" x14ac:dyDescent="0.35">
      <c r="K8946" s="4"/>
      <c r="AC8946" s="7"/>
      <c r="AD8946" s="7"/>
      <c r="AE8946" s="7"/>
      <c r="AF8946" s="8"/>
      <c r="AG8946" s="7"/>
    </row>
    <row r="8947" spans="11:33" ht="14.5" x14ac:dyDescent="0.35">
      <c r="K8947" s="4"/>
      <c r="AC8947" s="7"/>
      <c r="AD8947" s="7"/>
      <c r="AE8947" s="7"/>
      <c r="AF8947" s="8"/>
      <c r="AG8947" s="7"/>
    </row>
    <row r="8948" spans="11:33" ht="14.5" x14ac:dyDescent="0.35">
      <c r="K8948" s="4"/>
      <c r="AC8948" s="7"/>
      <c r="AD8948" s="7"/>
      <c r="AE8948" s="7"/>
      <c r="AF8948" s="8"/>
      <c r="AG8948" s="7"/>
    </row>
    <row r="8949" spans="11:33" ht="14.5" x14ac:dyDescent="0.35">
      <c r="K8949" s="4"/>
      <c r="AC8949" s="7"/>
      <c r="AD8949" s="7"/>
      <c r="AE8949" s="7"/>
      <c r="AF8949" s="8"/>
      <c r="AG8949" s="7"/>
    </row>
    <row r="8950" spans="11:33" ht="14.5" x14ac:dyDescent="0.35">
      <c r="K8950" s="4"/>
      <c r="AC8950" s="7"/>
      <c r="AD8950" s="7"/>
      <c r="AE8950" s="7"/>
      <c r="AF8950" s="8"/>
      <c r="AG8950" s="7"/>
    </row>
    <row r="8951" spans="11:33" ht="14.5" x14ac:dyDescent="0.35">
      <c r="K8951" s="4"/>
      <c r="AC8951" s="7"/>
      <c r="AD8951" s="7"/>
      <c r="AE8951" s="7"/>
      <c r="AF8951" s="8"/>
      <c r="AG8951" s="7"/>
    </row>
    <row r="8952" spans="11:33" ht="14.5" x14ac:dyDescent="0.35">
      <c r="K8952" s="4"/>
      <c r="AC8952" s="7"/>
      <c r="AD8952" s="7"/>
      <c r="AE8952" s="7"/>
      <c r="AF8952" s="8"/>
      <c r="AG8952" s="7"/>
    </row>
    <row r="8953" spans="11:33" ht="14.5" x14ac:dyDescent="0.35">
      <c r="K8953" s="4"/>
      <c r="AC8953" s="7"/>
      <c r="AD8953" s="7"/>
      <c r="AE8953" s="7"/>
      <c r="AF8953" s="8"/>
      <c r="AG8953" s="7"/>
    </row>
    <row r="8954" spans="11:33" ht="14.5" x14ac:dyDescent="0.35">
      <c r="K8954" s="4"/>
      <c r="AC8954" s="7"/>
      <c r="AD8954" s="7"/>
      <c r="AE8954" s="7"/>
      <c r="AF8954" s="8"/>
      <c r="AG8954" s="7"/>
    </row>
    <row r="8955" spans="11:33" ht="14.5" x14ac:dyDescent="0.35">
      <c r="K8955" s="4"/>
      <c r="AC8955" s="7"/>
      <c r="AD8955" s="7"/>
      <c r="AE8955" s="7"/>
      <c r="AF8955" s="8"/>
      <c r="AG8955" s="7"/>
    </row>
    <row r="8956" spans="11:33" ht="14.5" x14ac:dyDescent="0.35">
      <c r="K8956" s="4"/>
      <c r="AC8956" s="7"/>
      <c r="AD8956" s="7"/>
      <c r="AE8956" s="7"/>
      <c r="AF8956" s="8"/>
      <c r="AG8956" s="7"/>
    </row>
    <row r="8957" spans="11:33" ht="14.5" x14ac:dyDescent="0.35">
      <c r="K8957" s="4"/>
      <c r="AC8957" s="7"/>
      <c r="AD8957" s="7"/>
      <c r="AE8957" s="7"/>
      <c r="AF8957" s="8"/>
      <c r="AG8957" s="7"/>
    </row>
    <row r="8958" spans="11:33" ht="14.5" x14ac:dyDescent="0.35">
      <c r="K8958" s="4"/>
      <c r="AC8958" s="7"/>
      <c r="AD8958" s="7"/>
      <c r="AE8958" s="7"/>
      <c r="AF8958" s="8"/>
      <c r="AG8958" s="7"/>
    </row>
    <row r="8959" spans="11:33" ht="14.5" x14ac:dyDescent="0.35">
      <c r="K8959" s="4"/>
      <c r="AC8959" s="7"/>
      <c r="AD8959" s="7"/>
      <c r="AE8959" s="7"/>
      <c r="AF8959" s="8"/>
      <c r="AG8959" s="7"/>
    </row>
    <row r="8960" spans="11:33" ht="14.5" x14ac:dyDescent="0.35">
      <c r="K8960" s="4"/>
      <c r="AC8960" s="7"/>
      <c r="AD8960" s="7"/>
      <c r="AE8960" s="7"/>
      <c r="AF8960" s="8"/>
      <c r="AG8960" s="7"/>
    </row>
    <row r="8961" spans="11:33" ht="14.5" x14ac:dyDescent="0.35">
      <c r="K8961" s="4"/>
      <c r="AC8961" s="7"/>
      <c r="AD8961" s="7"/>
      <c r="AE8961" s="7"/>
      <c r="AF8961" s="8"/>
      <c r="AG8961" s="7"/>
    </row>
    <row r="8962" spans="11:33" ht="14.5" x14ac:dyDescent="0.35">
      <c r="K8962" s="4"/>
      <c r="AC8962" s="7"/>
      <c r="AD8962" s="7"/>
      <c r="AE8962" s="7"/>
      <c r="AF8962" s="8"/>
      <c r="AG8962" s="7"/>
    </row>
    <row r="8963" spans="11:33" ht="14.5" x14ac:dyDescent="0.35">
      <c r="K8963" s="4"/>
      <c r="AC8963" s="7"/>
      <c r="AD8963" s="7"/>
      <c r="AE8963" s="7"/>
      <c r="AF8963" s="8"/>
      <c r="AG8963" s="7"/>
    </row>
    <row r="8964" spans="11:33" ht="14.5" x14ac:dyDescent="0.35">
      <c r="K8964" s="4"/>
      <c r="AC8964" s="7"/>
      <c r="AD8964" s="7"/>
      <c r="AE8964" s="7"/>
      <c r="AF8964" s="8"/>
      <c r="AG8964" s="7"/>
    </row>
    <row r="8965" spans="11:33" ht="14.5" x14ac:dyDescent="0.35">
      <c r="K8965" s="4"/>
      <c r="AC8965" s="7"/>
      <c r="AD8965" s="7"/>
      <c r="AE8965" s="7"/>
      <c r="AF8965" s="8"/>
      <c r="AG8965" s="7"/>
    </row>
    <row r="8966" spans="11:33" ht="14.5" x14ac:dyDescent="0.35">
      <c r="K8966" s="4"/>
      <c r="AC8966" s="7"/>
      <c r="AD8966" s="7"/>
      <c r="AE8966" s="7"/>
      <c r="AF8966" s="8"/>
      <c r="AG8966" s="7"/>
    </row>
    <row r="8967" spans="11:33" ht="14.5" x14ac:dyDescent="0.35">
      <c r="K8967" s="4"/>
      <c r="AC8967" s="7"/>
      <c r="AD8967" s="7"/>
      <c r="AE8967" s="7"/>
      <c r="AF8967" s="8"/>
      <c r="AG8967" s="7"/>
    </row>
    <row r="8968" spans="11:33" ht="14.5" x14ac:dyDescent="0.35">
      <c r="K8968" s="4"/>
      <c r="AC8968" s="7"/>
      <c r="AD8968" s="7"/>
      <c r="AE8968" s="7"/>
      <c r="AF8968" s="8"/>
      <c r="AG8968" s="7"/>
    </row>
    <row r="8969" spans="11:33" ht="14.5" x14ac:dyDescent="0.35">
      <c r="K8969" s="4"/>
      <c r="AC8969" s="7"/>
      <c r="AD8969" s="7"/>
      <c r="AE8969" s="7"/>
      <c r="AF8969" s="8"/>
      <c r="AG8969" s="7"/>
    </row>
    <row r="8970" spans="11:33" ht="14.5" x14ac:dyDescent="0.35">
      <c r="K8970" s="4"/>
      <c r="AC8970" s="7"/>
      <c r="AD8970" s="7"/>
      <c r="AE8970" s="7"/>
      <c r="AF8970" s="8"/>
      <c r="AG8970" s="7"/>
    </row>
    <row r="8971" spans="11:33" ht="14.5" x14ac:dyDescent="0.35">
      <c r="K8971" s="4"/>
      <c r="AC8971" s="7"/>
      <c r="AD8971" s="7"/>
      <c r="AE8971" s="7"/>
      <c r="AF8971" s="8"/>
      <c r="AG8971" s="7"/>
    </row>
    <row r="8972" spans="11:33" ht="14.5" x14ac:dyDescent="0.35">
      <c r="K8972" s="4"/>
      <c r="AC8972" s="7"/>
      <c r="AD8972" s="7"/>
      <c r="AE8972" s="7"/>
      <c r="AF8972" s="8"/>
      <c r="AG8972" s="7"/>
    </row>
    <row r="8973" spans="11:33" ht="14.5" x14ac:dyDescent="0.35">
      <c r="K8973" s="4"/>
      <c r="AC8973" s="7"/>
      <c r="AD8973" s="7"/>
      <c r="AE8973" s="7"/>
      <c r="AF8973" s="8"/>
      <c r="AG8973" s="7"/>
    </row>
    <row r="8974" spans="11:33" ht="14.5" x14ac:dyDescent="0.35">
      <c r="K8974" s="4"/>
      <c r="AC8974" s="7"/>
      <c r="AD8974" s="7"/>
      <c r="AE8974" s="7"/>
      <c r="AF8974" s="8"/>
      <c r="AG8974" s="7"/>
    </row>
    <row r="8975" spans="11:33" ht="14.5" x14ac:dyDescent="0.35">
      <c r="K8975" s="4"/>
      <c r="AC8975" s="7"/>
      <c r="AD8975" s="7"/>
      <c r="AE8975" s="7"/>
      <c r="AF8975" s="8"/>
      <c r="AG8975" s="7"/>
    </row>
    <row r="8976" spans="11:33" ht="14.5" x14ac:dyDescent="0.35">
      <c r="K8976" s="4"/>
      <c r="AC8976" s="7"/>
      <c r="AD8976" s="7"/>
      <c r="AE8976" s="7"/>
      <c r="AF8976" s="8"/>
      <c r="AG8976" s="7"/>
    </row>
    <row r="8977" spans="11:33" ht="14.5" x14ac:dyDescent="0.35">
      <c r="K8977" s="4"/>
      <c r="AC8977" s="7"/>
      <c r="AD8977" s="7"/>
      <c r="AE8977" s="7"/>
      <c r="AF8977" s="8"/>
      <c r="AG8977" s="7"/>
    </row>
    <row r="8978" spans="11:33" ht="14.5" x14ac:dyDescent="0.35">
      <c r="K8978" s="4"/>
      <c r="AC8978" s="7"/>
      <c r="AD8978" s="7"/>
      <c r="AE8978" s="7"/>
      <c r="AF8978" s="8"/>
      <c r="AG8978" s="7"/>
    </row>
    <row r="8979" spans="11:33" ht="14.5" x14ac:dyDescent="0.35">
      <c r="K8979" s="4"/>
      <c r="AC8979" s="7"/>
      <c r="AD8979" s="7"/>
      <c r="AE8979" s="7"/>
      <c r="AF8979" s="8"/>
      <c r="AG8979" s="7"/>
    </row>
    <row r="8980" spans="11:33" ht="14.5" x14ac:dyDescent="0.35">
      <c r="K8980" s="4"/>
      <c r="AC8980" s="7"/>
      <c r="AD8980" s="7"/>
      <c r="AE8980" s="7"/>
      <c r="AF8980" s="8"/>
      <c r="AG8980" s="7"/>
    </row>
    <row r="8981" spans="11:33" ht="14.5" x14ac:dyDescent="0.35">
      <c r="K8981" s="4"/>
      <c r="AC8981" s="7"/>
      <c r="AD8981" s="7"/>
      <c r="AE8981" s="7"/>
      <c r="AF8981" s="8"/>
      <c r="AG8981" s="7"/>
    </row>
    <row r="8982" spans="11:33" ht="14.5" x14ac:dyDescent="0.35">
      <c r="K8982" s="4"/>
      <c r="AC8982" s="7"/>
      <c r="AD8982" s="7"/>
      <c r="AE8982" s="7"/>
      <c r="AF8982" s="8"/>
      <c r="AG8982" s="7"/>
    </row>
    <row r="8983" spans="11:33" ht="14.5" x14ac:dyDescent="0.35">
      <c r="K8983" s="4"/>
      <c r="AC8983" s="7"/>
      <c r="AD8983" s="7"/>
      <c r="AE8983" s="7"/>
      <c r="AF8983" s="8"/>
      <c r="AG8983" s="7"/>
    </row>
    <row r="8984" spans="11:33" ht="14.5" x14ac:dyDescent="0.35">
      <c r="K8984" s="4"/>
      <c r="AC8984" s="7"/>
      <c r="AD8984" s="7"/>
      <c r="AE8984" s="7"/>
      <c r="AF8984" s="8"/>
      <c r="AG8984" s="7"/>
    </row>
    <row r="8985" spans="11:33" ht="14.5" x14ac:dyDescent="0.35">
      <c r="K8985" s="4"/>
      <c r="AC8985" s="7"/>
      <c r="AD8985" s="7"/>
      <c r="AE8985" s="7"/>
      <c r="AF8985" s="8"/>
      <c r="AG8985" s="7"/>
    </row>
    <row r="8986" spans="11:33" ht="14.5" x14ac:dyDescent="0.35">
      <c r="K8986" s="4"/>
      <c r="AC8986" s="7"/>
      <c r="AD8986" s="7"/>
      <c r="AE8986" s="7"/>
      <c r="AF8986" s="8"/>
      <c r="AG8986" s="7"/>
    </row>
    <row r="8987" spans="11:33" ht="14.5" x14ac:dyDescent="0.35">
      <c r="K8987" s="4"/>
      <c r="AC8987" s="7"/>
      <c r="AD8987" s="7"/>
      <c r="AE8987" s="7"/>
      <c r="AF8987" s="8"/>
      <c r="AG8987" s="7"/>
    </row>
    <row r="8988" spans="11:33" ht="14.5" x14ac:dyDescent="0.35">
      <c r="K8988" s="4"/>
      <c r="AC8988" s="7"/>
      <c r="AD8988" s="7"/>
      <c r="AE8988" s="7"/>
      <c r="AF8988" s="8"/>
      <c r="AG8988" s="7"/>
    </row>
    <row r="8989" spans="11:33" ht="14.5" x14ac:dyDescent="0.35">
      <c r="K8989" s="4"/>
      <c r="AC8989" s="7"/>
      <c r="AD8989" s="7"/>
      <c r="AE8989" s="7"/>
      <c r="AF8989" s="8"/>
      <c r="AG8989" s="7"/>
    </row>
    <row r="8990" spans="11:33" ht="14.5" x14ac:dyDescent="0.35">
      <c r="K8990" s="4"/>
      <c r="AC8990" s="7"/>
      <c r="AD8990" s="7"/>
      <c r="AE8990" s="7"/>
      <c r="AF8990" s="8"/>
      <c r="AG8990" s="7"/>
    </row>
    <row r="8991" spans="11:33" ht="14.5" x14ac:dyDescent="0.35">
      <c r="K8991" s="4"/>
      <c r="AC8991" s="7"/>
      <c r="AD8991" s="7"/>
      <c r="AE8991" s="7"/>
      <c r="AF8991" s="8"/>
      <c r="AG8991" s="7"/>
    </row>
    <row r="8992" spans="11:33" ht="14.5" x14ac:dyDescent="0.35">
      <c r="K8992" s="4"/>
      <c r="AC8992" s="7"/>
      <c r="AD8992" s="7"/>
      <c r="AE8992" s="7"/>
      <c r="AF8992" s="8"/>
      <c r="AG8992" s="7"/>
    </row>
    <row r="8993" spans="11:33" ht="14.5" x14ac:dyDescent="0.35">
      <c r="K8993" s="4"/>
      <c r="AC8993" s="7"/>
      <c r="AD8993" s="7"/>
      <c r="AE8993" s="7"/>
      <c r="AF8993" s="8"/>
      <c r="AG8993" s="7"/>
    </row>
    <row r="8994" spans="11:33" ht="14.5" x14ac:dyDescent="0.35">
      <c r="K8994" s="4"/>
      <c r="AC8994" s="7"/>
      <c r="AD8994" s="7"/>
      <c r="AE8994" s="7"/>
      <c r="AF8994" s="8"/>
      <c r="AG8994" s="7"/>
    </row>
    <row r="8995" spans="11:33" ht="14.5" x14ac:dyDescent="0.35">
      <c r="K8995" s="4"/>
      <c r="AC8995" s="7"/>
      <c r="AD8995" s="7"/>
      <c r="AE8995" s="7"/>
      <c r="AF8995" s="8"/>
      <c r="AG8995" s="7"/>
    </row>
    <row r="8996" spans="11:33" ht="14.5" x14ac:dyDescent="0.35">
      <c r="K8996" s="4"/>
      <c r="AC8996" s="7"/>
      <c r="AD8996" s="7"/>
      <c r="AE8996" s="7"/>
      <c r="AF8996" s="8"/>
      <c r="AG8996" s="7"/>
    </row>
    <row r="8997" spans="11:33" ht="14.5" x14ac:dyDescent="0.35">
      <c r="K8997" s="4"/>
      <c r="AC8997" s="7"/>
      <c r="AD8997" s="7"/>
      <c r="AE8997" s="7"/>
      <c r="AF8997" s="8"/>
      <c r="AG8997" s="7"/>
    </row>
    <row r="8998" spans="11:33" ht="14.5" x14ac:dyDescent="0.35">
      <c r="K8998" s="4"/>
      <c r="AC8998" s="7"/>
      <c r="AD8998" s="7"/>
      <c r="AE8998" s="7"/>
      <c r="AF8998" s="8"/>
      <c r="AG8998" s="7"/>
    </row>
    <row r="8999" spans="11:33" ht="14.5" x14ac:dyDescent="0.35">
      <c r="K8999" s="4"/>
      <c r="AC8999" s="7"/>
      <c r="AD8999" s="7"/>
      <c r="AE8999" s="7"/>
      <c r="AF8999" s="8"/>
      <c r="AG8999" s="7"/>
    </row>
    <row r="9000" spans="11:33" ht="14.5" x14ac:dyDescent="0.35">
      <c r="K9000" s="4"/>
      <c r="AC9000" s="7"/>
      <c r="AD9000" s="7"/>
      <c r="AE9000" s="7"/>
      <c r="AF9000" s="8"/>
      <c r="AG9000" s="7"/>
    </row>
    <row r="9001" spans="11:33" ht="14.5" x14ac:dyDescent="0.35">
      <c r="K9001" s="4"/>
      <c r="AC9001" s="7"/>
      <c r="AD9001" s="7"/>
      <c r="AE9001" s="7"/>
      <c r="AF9001" s="8"/>
      <c r="AG9001" s="7"/>
    </row>
    <row r="9002" spans="11:33" ht="14.5" x14ac:dyDescent="0.35">
      <c r="K9002" s="4"/>
      <c r="AC9002" s="7"/>
      <c r="AD9002" s="7"/>
      <c r="AE9002" s="7"/>
      <c r="AF9002" s="8"/>
      <c r="AG9002" s="7"/>
    </row>
    <row r="9003" spans="11:33" ht="14.5" x14ac:dyDescent="0.35">
      <c r="K9003" s="4"/>
      <c r="AC9003" s="7"/>
      <c r="AD9003" s="7"/>
      <c r="AE9003" s="7"/>
      <c r="AF9003" s="8"/>
      <c r="AG9003" s="7"/>
    </row>
    <row r="9004" spans="11:33" ht="14.5" x14ac:dyDescent="0.35">
      <c r="K9004" s="4"/>
      <c r="AC9004" s="7"/>
      <c r="AD9004" s="7"/>
      <c r="AE9004" s="7"/>
      <c r="AF9004" s="8"/>
      <c r="AG9004" s="7"/>
    </row>
    <row r="9005" spans="11:33" ht="14.5" x14ac:dyDescent="0.35">
      <c r="K9005" s="4"/>
      <c r="AC9005" s="7"/>
      <c r="AD9005" s="7"/>
      <c r="AE9005" s="7"/>
      <c r="AF9005" s="8"/>
      <c r="AG9005" s="7"/>
    </row>
    <row r="9006" spans="11:33" ht="14.5" x14ac:dyDescent="0.35">
      <c r="K9006" s="4"/>
      <c r="AC9006" s="7"/>
      <c r="AD9006" s="7"/>
      <c r="AE9006" s="7"/>
      <c r="AF9006" s="8"/>
      <c r="AG9006" s="7"/>
    </row>
    <row r="9007" spans="11:33" ht="14.5" x14ac:dyDescent="0.35">
      <c r="K9007" s="4"/>
      <c r="AC9007" s="7"/>
      <c r="AD9007" s="7"/>
      <c r="AE9007" s="7"/>
      <c r="AF9007" s="8"/>
      <c r="AG9007" s="7"/>
    </row>
    <row r="9008" spans="11:33" ht="14.5" x14ac:dyDescent="0.35">
      <c r="K9008" s="4"/>
      <c r="AC9008" s="7"/>
      <c r="AD9008" s="7"/>
      <c r="AE9008" s="7"/>
      <c r="AF9008" s="8"/>
      <c r="AG9008" s="7"/>
    </row>
    <row r="9009" spans="11:33" ht="14.5" x14ac:dyDescent="0.35">
      <c r="K9009" s="4"/>
      <c r="AC9009" s="7"/>
      <c r="AD9009" s="7"/>
      <c r="AE9009" s="7"/>
      <c r="AF9009" s="8"/>
      <c r="AG9009" s="7"/>
    </row>
    <row r="9010" spans="11:33" ht="14.5" x14ac:dyDescent="0.35">
      <c r="K9010" s="4"/>
      <c r="AC9010" s="7"/>
      <c r="AD9010" s="7"/>
      <c r="AE9010" s="7"/>
      <c r="AF9010" s="8"/>
      <c r="AG9010" s="7"/>
    </row>
    <row r="9011" spans="11:33" ht="14.5" x14ac:dyDescent="0.35">
      <c r="K9011" s="4"/>
      <c r="AC9011" s="7"/>
      <c r="AD9011" s="7"/>
      <c r="AE9011" s="7"/>
      <c r="AF9011" s="8"/>
      <c r="AG9011" s="7"/>
    </row>
    <row r="9012" spans="11:33" ht="14.5" x14ac:dyDescent="0.35">
      <c r="K9012" s="4"/>
      <c r="AC9012" s="7"/>
      <c r="AD9012" s="7"/>
      <c r="AE9012" s="7"/>
      <c r="AF9012" s="8"/>
      <c r="AG9012" s="7"/>
    </row>
    <row r="9013" spans="11:33" ht="14.5" x14ac:dyDescent="0.35">
      <c r="K9013" s="4"/>
      <c r="AC9013" s="7"/>
      <c r="AD9013" s="7"/>
      <c r="AE9013" s="7"/>
      <c r="AF9013" s="8"/>
      <c r="AG9013" s="7"/>
    </row>
    <row r="9014" spans="11:33" ht="14.5" x14ac:dyDescent="0.35">
      <c r="K9014" s="4"/>
      <c r="AC9014" s="7"/>
      <c r="AD9014" s="7"/>
      <c r="AE9014" s="7"/>
      <c r="AF9014" s="8"/>
      <c r="AG9014" s="7"/>
    </row>
    <row r="9015" spans="11:33" ht="14.5" x14ac:dyDescent="0.35">
      <c r="K9015" s="4"/>
      <c r="AC9015" s="7"/>
      <c r="AD9015" s="7"/>
      <c r="AE9015" s="7"/>
      <c r="AF9015" s="8"/>
      <c r="AG9015" s="7"/>
    </row>
    <row r="9016" spans="11:33" ht="14.5" x14ac:dyDescent="0.35">
      <c r="K9016" s="4"/>
      <c r="AC9016" s="7"/>
      <c r="AD9016" s="7"/>
      <c r="AE9016" s="7"/>
      <c r="AF9016" s="8"/>
      <c r="AG9016" s="7"/>
    </row>
    <row r="9017" spans="11:33" ht="14.5" x14ac:dyDescent="0.35">
      <c r="K9017" s="4"/>
      <c r="AC9017" s="7"/>
      <c r="AD9017" s="7"/>
      <c r="AE9017" s="7"/>
      <c r="AF9017" s="8"/>
      <c r="AG9017" s="7"/>
    </row>
    <row r="9018" spans="11:33" ht="14.5" x14ac:dyDescent="0.35">
      <c r="K9018" s="4"/>
      <c r="AC9018" s="7"/>
      <c r="AD9018" s="7"/>
      <c r="AE9018" s="7"/>
      <c r="AF9018" s="8"/>
      <c r="AG9018" s="7"/>
    </row>
    <row r="9019" spans="11:33" ht="14.5" x14ac:dyDescent="0.35">
      <c r="K9019" s="4"/>
      <c r="AC9019" s="7"/>
      <c r="AD9019" s="7"/>
      <c r="AE9019" s="7"/>
      <c r="AF9019" s="8"/>
      <c r="AG9019" s="7"/>
    </row>
    <row r="9020" spans="11:33" ht="14.5" x14ac:dyDescent="0.35">
      <c r="K9020" s="4"/>
      <c r="AC9020" s="7"/>
      <c r="AD9020" s="7"/>
      <c r="AE9020" s="7"/>
      <c r="AF9020" s="8"/>
      <c r="AG9020" s="7"/>
    </row>
    <row r="9021" spans="11:33" ht="14.5" x14ac:dyDescent="0.35">
      <c r="K9021" s="4"/>
      <c r="AC9021" s="7"/>
      <c r="AD9021" s="7"/>
      <c r="AE9021" s="7"/>
      <c r="AF9021" s="8"/>
      <c r="AG9021" s="7"/>
    </row>
    <row r="9022" spans="11:33" ht="14.5" x14ac:dyDescent="0.35">
      <c r="K9022" s="4"/>
      <c r="AC9022" s="7"/>
      <c r="AD9022" s="7"/>
      <c r="AE9022" s="7"/>
      <c r="AF9022" s="8"/>
      <c r="AG9022" s="7"/>
    </row>
    <row r="9023" spans="11:33" ht="14.5" x14ac:dyDescent="0.35">
      <c r="K9023" s="4"/>
      <c r="AC9023" s="7"/>
      <c r="AD9023" s="7"/>
      <c r="AE9023" s="7"/>
      <c r="AF9023" s="8"/>
      <c r="AG9023" s="7"/>
    </row>
    <row r="9024" spans="11:33" ht="14.5" x14ac:dyDescent="0.35">
      <c r="K9024" s="4"/>
      <c r="AC9024" s="7"/>
      <c r="AD9024" s="7"/>
      <c r="AE9024" s="7"/>
      <c r="AF9024" s="8"/>
      <c r="AG9024" s="7"/>
    </row>
    <row r="9025" spans="11:33" ht="14.5" x14ac:dyDescent="0.35">
      <c r="K9025" s="4"/>
      <c r="AC9025" s="7"/>
      <c r="AD9025" s="7"/>
      <c r="AE9025" s="7"/>
      <c r="AF9025" s="8"/>
      <c r="AG9025" s="7"/>
    </row>
    <row r="9026" spans="11:33" ht="14.5" x14ac:dyDescent="0.35">
      <c r="K9026" s="4"/>
      <c r="AC9026" s="7"/>
      <c r="AD9026" s="7"/>
      <c r="AE9026" s="7"/>
      <c r="AF9026" s="8"/>
      <c r="AG9026" s="7"/>
    </row>
    <row r="9027" spans="11:33" ht="14.5" x14ac:dyDescent="0.35">
      <c r="K9027" s="4"/>
      <c r="AC9027" s="7"/>
      <c r="AD9027" s="7"/>
      <c r="AE9027" s="7"/>
      <c r="AF9027" s="8"/>
      <c r="AG9027" s="7"/>
    </row>
    <row r="9028" spans="11:33" ht="14.5" x14ac:dyDescent="0.35">
      <c r="K9028" s="4"/>
      <c r="AC9028" s="7"/>
      <c r="AD9028" s="7"/>
      <c r="AE9028" s="7"/>
      <c r="AF9028" s="8"/>
      <c r="AG9028" s="7"/>
    </row>
    <row r="9029" spans="11:33" ht="14.5" x14ac:dyDescent="0.35">
      <c r="K9029" s="4"/>
      <c r="AC9029" s="7"/>
      <c r="AD9029" s="7"/>
      <c r="AE9029" s="7"/>
      <c r="AF9029" s="8"/>
      <c r="AG9029" s="7"/>
    </row>
    <row r="9030" spans="11:33" ht="14.5" x14ac:dyDescent="0.35">
      <c r="K9030" s="4"/>
      <c r="AC9030" s="7"/>
      <c r="AD9030" s="7"/>
      <c r="AE9030" s="7"/>
      <c r="AF9030" s="8"/>
      <c r="AG9030" s="7"/>
    </row>
    <row r="9031" spans="11:33" ht="14.5" x14ac:dyDescent="0.35">
      <c r="K9031" s="4"/>
      <c r="AC9031" s="7"/>
      <c r="AD9031" s="7"/>
      <c r="AE9031" s="7"/>
      <c r="AF9031" s="8"/>
      <c r="AG9031" s="7"/>
    </row>
    <row r="9032" spans="11:33" ht="14.5" x14ac:dyDescent="0.35">
      <c r="K9032" s="4"/>
      <c r="AC9032" s="7"/>
      <c r="AD9032" s="7"/>
      <c r="AE9032" s="7"/>
      <c r="AF9032" s="8"/>
      <c r="AG9032" s="7"/>
    </row>
    <row r="9033" spans="11:33" ht="14.5" x14ac:dyDescent="0.35">
      <c r="K9033" s="4"/>
      <c r="AC9033" s="7"/>
      <c r="AD9033" s="7"/>
      <c r="AE9033" s="7"/>
      <c r="AF9033" s="8"/>
      <c r="AG9033" s="7"/>
    </row>
    <row r="9034" spans="11:33" ht="14.5" x14ac:dyDescent="0.35">
      <c r="K9034" s="4"/>
      <c r="AC9034" s="7"/>
      <c r="AD9034" s="7"/>
      <c r="AE9034" s="7"/>
      <c r="AF9034" s="8"/>
      <c r="AG9034" s="7"/>
    </row>
    <row r="9035" spans="11:33" ht="14.5" x14ac:dyDescent="0.35">
      <c r="K9035" s="4"/>
      <c r="AC9035" s="7"/>
      <c r="AD9035" s="7"/>
      <c r="AE9035" s="7"/>
      <c r="AF9035" s="8"/>
      <c r="AG9035" s="7"/>
    </row>
    <row r="9036" spans="11:33" ht="14.5" x14ac:dyDescent="0.35">
      <c r="K9036" s="4"/>
      <c r="AC9036" s="7"/>
      <c r="AD9036" s="7"/>
      <c r="AE9036" s="7"/>
      <c r="AF9036" s="8"/>
      <c r="AG9036" s="7"/>
    </row>
    <row r="9037" spans="11:33" ht="14.5" x14ac:dyDescent="0.35">
      <c r="K9037" s="4"/>
      <c r="AC9037" s="7"/>
      <c r="AD9037" s="7"/>
      <c r="AE9037" s="7"/>
      <c r="AF9037" s="8"/>
      <c r="AG9037" s="7"/>
    </row>
    <row r="9038" spans="11:33" ht="14.5" x14ac:dyDescent="0.35">
      <c r="K9038" s="4"/>
      <c r="AC9038" s="7"/>
      <c r="AD9038" s="7"/>
      <c r="AE9038" s="7"/>
      <c r="AF9038" s="8"/>
      <c r="AG9038" s="7"/>
    </row>
    <row r="9039" spans="11:33" ht="14.5" x14ac:dyDescent="0.35">
      <c r="K9039" s="4"/>
      <c r="AC9039" s="7"/>
      <c r="AD9039" s="7"/>
      <c r="AE9039" s="7"/>
      <c r="AF9039" s="8"/>
      <c r="AG9039" s="7"/>
    </row>
    <row r="9040" spans="11:33" ht="14.5" x14ac:dyDescent="0.35">
      <c r="K9040" s="4"/>
      <c r="AC9040" s="7"/>
      <c r="AD9040" s="7"/>
      <c r="AE9040" s="7"/>
      <c r="AF9040" s="8"/>
      <c r="AG9040" s="7"/>
    </row>
    <row r="9041" spans="11:33" ht="14.5" x14ac:dyDescent="0.35">
      <c r="K9041" s="4"/>
      <c r="AC9041" s="7"/>
      <c r="AD9041" s="7"/>
      <c r="AE9041" s="7"/>
      <c r="AF9041" s="8"/>
      <c r="AG9041" s="7"/>
    </row>
    <row r="9042" spans="11:33" ht="14.5" x14ac:dyDescent="0.35">
      <c r="K9042" s="4"/>
      <c r="AC9042" s="7"/>
      <c r="AD9042" s="7"/>
      <c r="AE9042" s="7"/>
      <c r="AF9042" s="8"/>
      <c r="AG9042" s="7"/>
    </row>
    <row r="9043" spans="11:33" ht="14.5" x14ac:dyDescent="0.35">
      <c r="K9043" s="4"/>
      <c r="AC9043" s="7"/>
      <c r="AD9043" s="7"/>
      <c r="AE9043" s="7"/>
      <c r="AF9043" s="8"/>
      <c r="AG9043" s="7"/>
    </row>
    <row r="9044" spans="11:33" ht="14.5" x14ac:dyDescent="0.35">
      <c r="K9044" s="4"/>
      <c r="AC9044" s="7"/>
      <c r="AD9044" s="7"/>
      <c r="AE9044" s="7"/>
      <c r="AF9044" s="8"/>
      <c r="AG9044" s="7"/>
    </row>
    <row r="9045" spans="11:33" ht="14.5" x14ac:dyDescent="0.35">
      <c r="K9045" s="4"/>
      <c r="AC9045" s="7"/>
      <c r="AD9045" s="7"/>
      <c r="AE9045" s="7"/>
      <c r="AF9045" s="8"/>
      <c r="AG9045" s="7"/>
    </row>
    <row r="9046" spans="11:33" ht="14.5" x14ac:dyDescent="0.35">
      <c r="K9046" s="4"/>
      <c r="AC9046" s="7"/>
      <c r="AD9046" s="7"/>
      <c r="AE9046" s="7"/>
      <c r="AF9046" s="8"/>
      <c r="AG9046" s="7"/>
    </row>
    <row r="9047" spans="11:33" ht="14.5" x14ac:dyDescent="0.35">
      <c r="K9047" s="4"/>
      <c r="AC9047" s="7"/>
      <c r="AD9047" s="7"/>
      <c r="AE9047" s="7"/>
      <c r="AF9047" s="8"/>
      <c r="AG9047" s="7"/>
    </row>
    <row r="9048" spans="11:33" ht="14.5" x14ac:dyDescent="0.35">
      <c r="K9048" s="4"/>
      <c r="AC9048" s="7"/>
      <c r="AD9048" s="7"/>
      <c r="AE9048" s="7"/>
      <c r="AF9048" s="8"/>
      <c r="AG9048" s="7"/>
    </row>
    <row r="9049" spans="11:33" ht="14.5" x14ac:dyDescent="0.35">
      <c r="K9049" s="4"/>
      <c r="AC9049" s="7"/>
      <c r="AD9049" s="7"/>
      <c r="AE9049" s="7"/>
      <c r="AF9049" s="8"/>
      <c r="AG9049" s="7"/>
    </row>
    <row r="9050" spans="11:33" ht="14.5" x14ac:dyDescent="0.35">
      <c r="K9050" s="4"/>
      <c r="AC9050" s="7"/>
      <c r="AD9050" s="7"/>
      <c r="AE9050" s="7"/>
      <c r="AF9050" s="8"/>
      <c r="AG9050" s="7"/>
    </row>
    <row r="9051" spans="11:33" ht="14.5" x14ac:dyDescent="0.35">
      <c r="K9051" s="4"/>
      <c r="AC9051" s="7"/>
      <c r="AD9051" s="7"/>
      <c r="AE9051" s="7"/>
      <c r="AF9051" s="8"/>
      <c r="AG9051" s="7"/>
    </row>
    <row r="9052" spans="11:33" ht="14.5" x14ac:dyDescent="0.35">
      <c r="K9052" s="4"/>
      <c r="AC9052" s="7"/>
      <c r="AD9052" s="7"/>
      <c r="AE9052" s="7"/>
      <c r="AF9052" s="8"/>
      <c r="AG9052" s="7"/>
    </row>
    <row r="9053" spans="11:33" ht="14.5" x14ac:dyDescent="0.35">
      <c r="K9053" s="4"/>
      <c r="AC9053" s="7"/>
      <c r="AD9053" s="7"/>
      <c r="AE9053" s="7"/>
      <c r="AF9053" s="8"/>
      <c r="AG9053" s="7"/>
    </row>
    <row r="9054" spans="11:33" ht="14.5" x14ac:dyDescent="0.35">
      <c r="K9054" s="4"/>
      <c r="AC9054" s="7"/>
      <c r="AD9054" s="7"/>
      <c r="AE9054" s="7"/>
      <c r="AF9054" s="8"/>
      <c r="AG9054" s="7"/>
    </row>
    <row r="9055" spans="11:33" ht="14.5" x14ac:dyDescent="0.35">
      <c r="K9055" s="4"/>
      <c r="AC9055" s="7"/>
      <c r="AD9055" s="7"/>
      <c r="AE9055" s="7"/>
      <c r="AF9055" s="8"/>
      <c r="AG9055" s="7"/>
    </row>
    <row r="9056" spans="11:33" ht="14.5" x14ac:dyDescent="0.35">
      <c r="K9056" s="4"/>
      <c r="AC9056" s="7"/>
      <c r="AD9056" s="7"/>
      <c r="AE9056" s="7"/>
      <c r="AF9056" s="8"/>
      <c r="AG9056" s="7"/>
    </row>
    <row r="9057" spans="11:33" ht="14.5" x14ac:dyDescent="0.35">
      <c r="K9057" s="4"/>
      <c r="AC9057" s="7"/>
      <c r="AD9057" s="7"/>
      <c r="AE9057" s="7"/>
      <c r="AF9057" s="8"/>
      <c r="AG9057" s="7"/>
    </row>
    <row r="9058" spans="11:33" ht="14.5" x14ac:dyDescent="0.35">
      <c r="K9058" s="4"/>
      <c r="AC9058" s="7"/>
      <c r="AD9058" s="7"/>
      <c r="AE9058" s="7"/>
      <c r="AF9058" s="8"/>
      <c r="AG9058" s="7"/>
    </row>
    <row r="9059" spans="11:33" ht="14.5" x14ac:dyDescent="0.35">
      <c r="K9059" s="4"/>
      <c r="AC9059" s="7"/>
      <c r="AD9059" s="7"/>
      <c r="AE9059" s="7"/>
      <c r="AF9059" s="8"/>
      <c r="AG9059" s="7"/>
    </row>
    <row r="9060" spans="11:33" ht="14.5" x14ac:dyDescent="0.35">
      <c r="K9060" s="4"/>
      <c r="AC9060" s="7"/>
      <c r="AD9060" s="7"/>
      <c r="AE9060" s="7"/>
      <c r="AF9060" s="8"/>
      <c r="AG9060" s="7"/>
    </row>
    <row r="9061" spans="11:33" ht="14.5" x14ac:dyDescent="0.35">
      <c r="K9061" s="4"/>
      <c r="AC9061" s="7"/>
      <c r="AD9061" s="7"/>
      <c r="AE9061" s="7"/>
      <c r="AF9061" s="8"/>
      <c r="AG9061" s="7"/>
    </row>
    <row r="9062" spans="11:33" ht="14.5" x14ac:dyDescent="0.35">
      <c r="K9062" s="4"/>
      <c r="AC9062" s="7"/>
      <c r="AD9062" s="7"/>
      <c r="AE9062" s="7"/>
      <c r="AF9062" s="8"/>
      <c r="AG9062" s="7"/>
    </row>
    <row r="9063" spans="11:33" ht="14.5" x14ac:dyDescent="0.35">
      <c r="K9063" s="4"/>
      <c r="AC9063" s="7"/>
      <c r="AD9063" s="7"/>
      <c r="AE9063" s="7"/>
      <c r="AF9063" s="8"/>
      <c r="AG9063" s="7"/>
    </row>
    <row r="9064" spans="11:33" ht="14.5" x14ac:dyDescent="0.35">
      <c r="K9064" s="4"/>
      <c r="AC9064" s="7"/>
      <c r="AD9064" s="7"/>
      <c r="AE9064" s="7"/>
      <c r="AF9064" s="8"/>
      <c r="AG9064" s="7"/>
    </row>
    <row r="9065" spans="11:33" ht="14.5" x14ac:dyDescent="0.35">
      <c r="K9065" s="4"/>
      <c r="AC9065" s="7"/>
      <c r="AD9065" s="7"/>
      <c r="AE9065" s="7"/>
      <c r="AF9065" s="8"/>
      <c r="AG9065" s="7"/>
    </row>
    <row r="9066" spans="11:33" ht="14.5" x14ac:dyDescent="0.35">
      <c r="K9066" s="4"/>
      <c r="AC9066" s="7"/>
      <c r="AD9066" s="7"/>
      <c r="AE9066" s="7"/>
      <c r="AF9066" s="8"/>
      <c r="AG9066" s="7"/>
    </row>
    <row r="9067" spans="11:33" ht="14.5" x14ac:dyDescent="0.35">
      <c r="K9067" s="4"/>
      <c r="AC9067" s="7"/>
      <c r="AD9067" s="7"/>
      <c r="AE9067" s="7"/>
      <c r="AF9067" s="8"/>
      <c r="AG9067" s="7"/>
    </row>
    <row r="9068" spans="11:33" ht="14.5" x14ac:dyDescent="0.35">
      <c r="K9068" s="4"/>
      <c r="AC9068" s="7"/>
      <c r="AD9068" s="7"/>
      <c r="AE9068" s="7"/>
      <c r="AF9068" s="8"/>
      <c r="AG9068" s="7"/>
    </row>
    <row r="9069" spans="11:33" ht="14.5" x14ac:dyDescent="0.35">
      <c r="K9069" s="4"/>
      <c r="AC9069" s="7"/>
      <c r="AD9069" s="7"/>
      <c r="AE9069" s="7"/>
      <c r="AF9069" s="8"/>
      <c r="AG9069" s="7"/>
    </row>
    <row r="9070" spans="11:33" ht="14.5" x14ac:dyDescent="0.35">
      <c r="K9070" s="4"/>
      <c r="AC9070" s="7"/>
      <c r="AD9070" s="7"/>
      <c r="AE9070" s="7"/>
      <c r="AF9070" s="8"/>
      <c r="AG9070" s="7"/>
    </row>
    <row r="9071" spans="11:33" ht="14.5" x14ac:dyDescent="0.35">
      <c r="K9071" s="4"/>
      <c r="AC9071" s="7"/>
      <c r="AD9071" s="7"/>
      <c r="AE9071" s="7"/>
      <c r="AF9071" s="8"/>
      <c r="AG9071" s="7"/>
    </row>
    <row r="9072" spans="11:33" ht="14.5" x14ac:dyDescent="0.35">
      <c r="K9072" s="4"/>
      <c r="AC9072" s="7"/>
      <c r="AD9072" s="7"/>
      <c r="AE9072" s="7"/>
      <c r="AF9072" s="8"/>
      <c r="AG9072" s="7"/>
    </row>
    <row r="9073" spans="11:33" ht="14.5" x14ac:dyDescent="0.35">
      <c r="K9073" s="4"/>
      <c r="AC9073" s="7"/>
      <c r="AD9073" s="7"/>
      <c r="AE9073" s="7"/>
      <c r="AF9073" s="8"/>
      <c r="AG9073" s="7"/>
    </row>
    <row r="9074" spans="11:33" ht="14.5" x14ac:dyDescent="0.35">
      <c r="K9074" s="4"/>
      <c r="AC9074" s="7"/>
      <c r="AD9074" s="7"/>
      <c r="AE9074" s="7"/>
      <c r="AF9074" s="8"/>
      <c r="AG9074" s="7"/>
    </row>
    <row r="9075" spans="11:33" ht="14.5" x14ac:dyDescent="0.35">
      <c r="K9075" s="4"/>
      <c r="AC9075" s="7"/>
      <c r="AD9075" s="7"/>
      <c r="AE9075" s="7"/>
      <c r="AF9075" s="8"/>
      <c r="AG9075" s="7"/>
    </row>
    <row r="9076" spans="11:33" ht="14.5" x14ac:dyDescent="0.35">
      <c r="K9076" s="4"/>
      <c r="AC9076" s="7"/>
      <c r="AD9076" s="7"/>
      <c r="AE9076" s="7"/>
      <c r="AF9076" s="8"/>
      <c r="AG9076" s="7"/>
    </row>
    <row r="9077" spans="11:33" ht="14.5" x14ac:dyDescent="0.35">
      <c r="K9077" s="4"/>
      <c r="AC9077" s="7"/>
      <c r="AD9077" s="7"/>
      <c r="AE9077" s="7"/>
      <c r="AF9077" s="8"/>
      <c r="AG9077" s="7"/>
    </row>
    <row r="9078" spans="11:33" ht="14.5" x14ac:dyDescent="0.35">
      <c r="K9078" s="4"/>
      <c r="AC9078" s="7"/>
      <c r="AD9078" s="7"/>
      <c r="AE9078" s="7"/>
      <c r="AF9078" s="8"/>
      <c r="AG9078" s="7"/>
    </row>
    <row r="9079" spans="11:33" ht="14.5" x14ac:dyDescent="0.35">
      <c r="K9079" s="4"/>
      <c r="AC9079" s="7"/>
      <c r="AD9079" s="7"/>
      <c r="AE9079" s="7"/>
      <c r="AF9079" s="8"/>
      <c r="AG9079" s="7"/>
    </row>
    <row r="9080" spans="11:33" ht="14.5" x14ac:dyDescent="0.35">
      <c r="K9080" s="4"/>
      <c r="AC9080" s="7"/>
      <c r="AD9080" s="7"/>
      <c r="AE9080" s="7"/>
      <c r="AF9080" s="8"/>
      <c r="AG9080" s="7"/>
    </row>
    <row r="9081" spans="11:33" ht="14.5" x14ac:dyDescent="0.35">
      <c r="K9081" s="4"/>
      <c r="AC9081" s="7"/>
      <c r="AD9081" s="7"/>
      <c r="AE9081" s="7"/>
      <c r="AF9081" s="8"/>
      <c r="AG9081" s="7"/>
    </row>
    <row r="9082" spans="11:33" ht="14.5" x14ac:dyDescent="0.35">
      <c r="K9082" s="4"/>
      <c r="AC9082" s="7"/>
      <c r="AD9082" s="7"/>
      <c r="AE9082" s="7"/>
      <c r="AF9082" s="8"/>
      <c r="AG9082" s="7"/>
    </row>
    <row r="9083" spans="11:33" ht="14.5" x14ac:dyDescent="0.35">
      <c r="K9083" s="4"/>
      <c r="AC9083" s="7"/>
      <c r="AD9083" s="7"/>
      <c r="AE9083" s="7"/>
      <c r="AF9083" s="8"/>
      <c r="AG9083" s="7"/>
    </row>
    <row r="9084" spans="11:33" ht="14.5" x14ac:dyDescent="0.35">
      <c r="K9084" s="4"/>
      <c r="AC9084" s="7"/>
      <c r="AD9084" s="7"/>
      <c r="AE9084" s="7"/>
      <c r="AF9084" s="8"/>
      <c r="AG9084" s="7"/>
    </row>
    <row r="9085" spans="11:33" ht="14.5" x14ac:dyDescent="0.35">
      <c r="K9085" s="4"/>
      <c r="AC9085" s="7"/>
      <c r="AD9085" s="7"/>
      <c r="AE9085" s="7"/>
      <c r="AF9085" s="8"/>
      <c r="AG9085" s="7"/>
    </row>
    <row r="9086" spans="11:33" ht="14.5" x14ac:dyDescent="0.35">
      <c r="K9086" s="4"/>
      <c r="AC9086" s="7"/>
      <c r="AD9086" s="7"/>
      <c r="AE9086" s="7"/>
      <c r="AF9086" s="8"/>
      <c r="AG9086" s="7"/>
    </row>
    <row r="9087" spans="11:33" ht="14.5" x14ac:dyDescent="0.35">
      <c r="K9087" s="4"/>
      <c r="AC9087" s="7"/>
      <c r="AD9087" s="7"/>
      <c r="AE9087" s="7"/>
      <c r="AF9087" s="8"/>
      <c r="AG9087" s="7"/>
    </row>
    <row r="9088" spans="11:33" ht="14.5" x14ac:dyDescent="0.35">
      <c r="K9088" s="4"/>
      <c r="AC9088" s="7"/>
      <c r="AD9088" s="7"/>
      <c r="AE9088" s="7"/>
      <c r="AF9088" s="8"/>
      <c r="AG9088" s="7"/>
    </row>
    <row r="9089" spans="11:33" ht="14.5" x14ac:dyDescent="0.35">
      <c r="K9089" s="4"/>
      <c r="AC9089" s="7"/>
      <c r="AD9089" s="7"/>
      <c r="AE9089" s="7"/>
      <c r="AF9089" s="8"/>
      <c r="AG9089" s="7"/>
    </row>
    <row r="9090" spans="11:33" ht="14.5" x14ac:dyDescent="0.35">
      <c r="K9090" s="4"/>
      <c r="AC9090" s="7"/>
      <c r="AD9090" s="7"/>
      <c r="AE9090" s="7"/>
      <c r="AF9090" s="8"/>
      <c r="AG9090" s="7"/>
    </row>
    <row r="9091" spans="11:33" ht="14.5" x14ac:dyDescent="0.35">
      <c r="K9091" s="4"/>
      <c r="AC9091" s="7"/>
      <c r="AD9091" s="7"/>
      <c r="AE9091" s="7"/>
      <c r="AF9091" s="8"/>
      <c r="AG9091" s="7"/>
    </row>
    <row r="9092" spans="11:33" ht="14.5" x14ac:dyDescent="0.35">
      <c r="K9092" s="4"/>
      <c r="AC9092" s="7"/>
      <c r="AD9092" s="7"/>
      <c r="AE9092" s="7"/>
      <c r="AF9092" s="8"/>
      <c r="AG9092" s="7"/>
    </row>
    <row r="9093" spans="11:33" ht="14.5" x14ac:dyDescent="0.35">
      <c r="K9093" s="4"/>
      <c r="AC9093" s="7"/>
      <c r="AD9093" s="7"/>
      <c r="AE9093" s="7"/>
      <c r="AF9093" s="8"/>
      <c r="AG9093" s="7"/>
    </row>
    <row r="9094" spans="11:33" ht="14.5" x14ac:dyDescent="0.35">
      <c r="K9094" s="4"/>
      <c r="AC9094" s="7"/>
      <c r="AD9094" s="7"/>
      <c r="AE9094" s="7"/>
      <c r="AF9094" s="8"/>
      <c r="AG9094" s="7"/>
    </row>
    <row r="9095" spans="11:33" ht="14.5" x14ac:dyDescent="0.35">
      <c r="K9095" s="4"/>
      <c r="AC9095" s="7"/>
      <c r="AD9095" s="7"/>
      <c r="AE9095" s="7"/>
      <c r="AF9095" s="8"/>
      <c r="AG9095" s="7"/>
    </row>
    <row r="9096" spans="11:33" ht="14.5" x14ac:dyDescent="0.35">
      <c r="K9096" s="4"/>
      <c r="AC9096" s="7"/>
      <c r="AD9096" s="7"/>
      <c r="AE9096" s="7"/>
      <c r="AF9096" s="8"/>
      <c r="AG9096" s="7"/>
    </row>
    <row r="9097" spans="11:33" ht="14.5" x14ac:dyDescent="0.35">
      <c r="K9097" s="4"/>
      <c r="AC9097" s="7"/>
      <c r="AD9097" s="7"/>
      <c r="AE9097" s="7"/>
      <c r="AF9097" s="8"/>
      <c r="AG9097" s="7"/>
    </row>
    <row r="9098" spans="11:33" ht="14.5" x14ac:dyDescent="0.35">
      <c r="K9098" s="4"/>
      <c r="AC9098" s="7"/>
      <c r="AD9098" s="7"/>
      <c r="AE9098" s="7"/>
      <c r="AF9098" s="8"/>
      <c r="AG9098" s="7"/>
    </row>
    <row r="9099" spans="11:33" ht="14.5" x14ac:dyDescent="0.35">
      <c r="K9099" s="4"/>
      <c r="AC9099" s="7"/>
      <c r="AD9099" s="7"/>
      <c r="AE9099" s="7"/>
      <c r="AF9099" s="8"/>
      <c r="AG9099" s="7"/>
    </row>
    <row r="9100" spans="11:33" ht="14.5" x14ac:dyDescent="0.35">
      <c r="K9100" s="4"/>
      <c r="AC9100" s="7"/>
      <c r="AD9100" s="7"/>
      <c r="AE9100" s="7"/>
      <c r="AF9100" s="8"/>
      <c r="AG9100" s="7"/>
    </row>
    <row r="9101" spans="11:33" ht="14.5" x14ac:dyDescent="0.35">
      <c r="K9101" s="4"/>
      <c r="AC9101" s="7"/>
      <c r="AD9101" s="7"/>
      <c r="AE9101" s="7"/>
      <c r="AF9101" s="8"/>
      <c r="AG9101" s="7"/>
    </row>
    <row r="9102" spans="11:33" ht="14.5" x14ac:dyDescent="0.35">
      <c r="K9102" s="4"/>
      <c r="AC9102" s="7"/>
      <c r="AD9102" s="7"/>
      <c r="AE9102" s="7"/>
      <c r="AF9102" s="8"/>
      <c r="AG9102" s="7"/>
    </row>
    <row r="9103" spans="11:33" ht="14.5" x14ac:dyDescent="0.35">
      <c r="K9103" s="4"/>
      <c r="AC9103" s="7"/>
      <c r="AD9103" s="7"/>
      <c r="AE9103" s="7"/>
      <c r="AF9103" s="8"/>
      <c r="AG9103" s="7"/>
    </row>
    <row r="9104" spans="11:33" ht="14.5" x14ac:dyDescent="0.35">
      <c r="K9104" s="4"/>
      <c r="AC9104" s="7"/>
      <c r="AD9104" s="7"/>
      <c r="AE9104" s="7"/>
      <c r="AF9104" s="8"/>
      <c r="AG9104" s="7"/>
    </row>
    <row r="9105" spans="11:33" ht="14.5" x14ac:dyDescent="0.35">
      <c r="K9105" s="4"/>
      <c r="AC9105" s="7"/>
      <c r="AD9105" s="7"/>
      <c r="AE9105" s="7"/>
      <c r="AF9105" s="8"/>
      <c r="AG9105" s="7"/>
    </row>
    <row r="9106" spans="11:33" ht="14.5" x14ac:dyDescent="0.35">
      <c r="K9106" s="4"/>
      <c r="AC9106" s="7"/>
      <c r="AD9106" s="7"/>
      <c r="AE9106" s="7"/>
      <c r="AF9106" s="8"/>
      <c r="AG9106" s="7"/>
    </row>
    <row r="9107" spans="11:33" ht="14.5" x14ac:dyDescent="0.35">
      <c r="K9107" s="4"/>
      <c r="AC9107" s="7"/>
      <c r="AD9107" s="7"/>
      <c r="AE9107" s="7"/>
      <c r="AF9107" s="8"/>
      <c r="AG9107" s="7"/>
    </row>
    <row r="9108" spans="11:33" ht="14.5" x14ac:dyDescent="0.35">
      <c r="K9108" s="4"/>
      <c r="AC9108" s="7"/>
      <c r="AD9108" s="7"/>
      <c r="AE9108" s="7"/>
      <c r="AF9108" s="8"/>
      <c r="AG9108" s="7"/>
    </row>
    <row r="9109" spans="11:33" ht="14.5" x14ac:dyDescent="0.35">
      <c r="K9109" s="4"/>
      <c r="AC9109" s="7"/>
      <c r="AD9109" s="7"/>
      <c r="AE9109" s="7"/>
      <c r="AF9109" s="8"/>
      <c r="AG9109" s="7"/>
    </row>
    <row r="9110" spans="11:33" ht="14.5" x14ac:dyDescent="0.35">
      <c r="K9110" s="4"/>
      <c r="AC9110" s="7"/>
      <c r="AD9110" s="7"/>
      <c r="AE9110" s="7"/>
      <c r="AF9110" s="8"/>
      <c r="AG9110" s="7"/>
    </row>
    <row r="9111" spans="11:33" ht="14.5" x14ac:dyDescent="0.35">
      <c r="K9111" s="4"/>
      <c r="AC9111" s="7"/>
      <c r="AD9111" s="7"/>
      <c r="AE9111" s="7"/>
      <c r="AF9111" s="8"/>
      <c r="AG9111" s="7"/>
    </row>
    <row r="9112" spans="11:33" ht="14.5" x14ac:dyDescent="0.35">
      <c r="K9112" s="4"/>
      <c r="AC9112" s="7"/>
      <c r="AD9112" s="7"/>
      <c r="AE9112" s="7"/>
      <c r="AF9112" s="8"/>
      <c r="AG9112" s="7"/>
    </row>
    <row r="9113" spans="11:33" ht="14.5" x14ac:dyDescent="0.35">
      <c r="K9113" s="4"/>
      <c r="AC9113" s="7"/>
      <c r="AD9113" s="7"/>
      <c r="AE9113" s="7"/>
      <c r="AF9113" s="8"/>
      <c r="AG9113" s="7"/>
    </row>
    <row r="9114" spans="11:33" ht="14.5" x14ac:dyDescent="0.35">
      <c r="K9114" s="4"/>
      <c r="AC9114" s="7"/>
      <c r="AD9114" s="7"/>
      <c r="AE9114" s="7"/>
      <c r="AF9114" s="8"/>
      <c r="AG9114" s="7"/>
    </row>
    <row r="9115" spans="11:33" ht="14.5" x14ac:dyDescent="0.35">
      <c r="K9115" s="4"/>
      <c r="AC9115" s="7"/>
      <c r="AD9115" s="7"/>
      <c r="AE9115" s="7"/>
      <c r="AF9115" s="8"/>
      <c r="AG9115" s="7"/>
    </row>
    <row r="9116" spans="11:33" ht="14.5" x14ac:dyDescent="0.35">
      <c r="K9116" s="4"/>
      <c r="AC9116" s="7"/>
      <c r="AD9116" s="7"/>
      <c r="AE9116" s="7"/>
      <c r="AF9116" s="8"/>
      <c r="AG9116" s="7"/>
    </row>
    <row r="9117" spans="11:33" ht="14.5" x14ac:dyDescent="0.35">
      <c r="K9117" s="4"/>
      <c r="AC9117" s="7"/>
      <c r="AD9117" s="7"/>
      <c r="AE9117" s="7"/>
      <c r="AF9117" s="8"/>
      <c r="AG9117" s="7"/>
    </row>
    <row r="9118" spans="11:33" ht="14.5" x14ac:dyDescent="0.35">
      <c r="K9118" s="4"/>
      <c r="AC9118" s="7"/>
      <c r="AD9118" s="7"/>
      <c r="AE9118" s="7"/>
      <c r="AF9118" s="8"/>
      <c r="AG9118" s="7"/>
    </row>
    <row r="9119" spans="11:33" ht="14.5" x14ac:dyDescent="0.35">
      <c r="K9119" s="4"/>
      <c r="AC9119" s="7"/>
      <c r="AD9119" s="7"/>
      <c r="AE9119" s="7"/>
      <c r="AF9119" s="8"/>
      <c r="AG9119" s="7"/>
    </row>
    <row r="9120" spans="11:33" ht="14.5" x14ac:dyDescent="0.35">
      <c r="K9120" s="4"/>
      <c r="AC9120" s="7"/>
      <c r="AD9120" s="7"/>
      <c r="AE9120" s="7"/>
      <c r="AF9120" s="8"/>
      <c r="AG9120" s="7"/>
    </row>
    <row r="9121" spans="11:33" ht="14.5" x14ac:dyDescent="0.35">
      <c r="K9121" s="4"/>
      <c r="AC9121" s="7"/>
      <c r="AD9121" s="7"/>
      <c r="AE9121" s="7"/>
      <c r="AF9121" s="8"/>
      <c r="AG9121" s="7"/>
    </row>
    <row r="9122" spans="11:33" ht="14.5" x14ac:dyDescent="0.35">
      <c r="K9122" s="4"/>
      <c r="AC9122" s="7"/>
      <c r="AD9122" s="7"/>
      <c r="AE9122" s="7"/>
      <c r="AF9122" s="8"/>
      <c r="AG9122" s="7"/>
    </row>
    <row r="9123" spans="11:33" ht="14.5" x14ac:dyDescent="0.35">
      <c r="K9123" s="4"/>
      <c r="AC9123" s="7"/>
      <c r="AD9123" s="7"/>
      <c r="AE9123" s="7"/>
      <c r="AF9123" s="8"/>
      <c r="AG9123" s="7"/>
    </row>
    <row r="9124" spans="11:33" ht="14.5" x14ac:dyDescent="0.35">
      <c r="K9124" s="4"/>
      <c r="AC9124" s="7"/>
      <c r="AD9124" s="7"/>
      <c r="AE9124" s="7"/>
      <c r="AF9124" s="8"/>
      <c r="AG9124" s="7"/>
    </row>
    <row r="9125" spans="11:33" ht="14.5" x14ac:dyDescent="0.35">
      <c r="K9125" s="4"/>
      <c r="AC9125" s="7"/>
      <c r="AD9125" s="7"/>
      <c r="AE9125" s="7"/>
      <c r="AF9125" s="8"/>
      <c r="AG9125" s="7"/>
    </row>
    <row r="9126" spans="11:33" ht="14.5" x14ac:dyDescent="0.35">
      <c r="K9126" s="4"/>
      <c r="AC9126" s="7"/>
      <c r="AD9126" s="7"/>
      <c r="AE9126" s="7"/>
      <c r="AF9126" s="8"/>
      <c r="AG9126" s="7"/>
    </row>
    <row r="9127" spans="11:33" ht="14.5" x14ac:dyDescent="0.35">
      <c r="K9127" s="4"/>
      <c r="AC9127" s="7"/>
      <c r="AD9127" s="7"/>
      <c r="AE9127" s="7"/>
      <c r="AF9127" s="8"/>
      <c r="AG9127" s="7"/>
    </row>
    <row r="9128" spans="11:33" ht="14.5" x14ac:dyDescent="0.35">
      <c r="K9128" s="4"/>
      <c r="AC9128" s="7"/>
      <c r="AD9128" s="7"/>
      <c r="AE9128" s="7"/>
      <c r="AF9128" s="8"/>
      <c r="AG9128" s="7"/>
    </row>
    <row r="9129" spans="11:33" ht="14.5" x14ac:dyDescent="0.35">
      <c r="K9129" s="4"/>
      <c r="AC9129" s="7"/>
      <c r="AD9129" s="7"/>
      <c r="AE9129" s="7"/>
      <c r="AF9129" s="8"/>
      <c r="AG9129" s="7"/>
    </row>
    <row r="9130" spans="11:33" ht="14.5" x14ac:dyDescent="0.35">
      <c r="K9130" s="4"/>
      <c r="AC9130" s="7"/>
      <c r="AD9130" s="7"/>
      <c r="AE9130" s="7"/>
      <c r="AF9130" s="8"/>
      <c r="AG9130" s="7"/>
    </row>
    <row r="9131" spans="11:33" ht="14.5" x14ac:dyDescent="0.35">
      <c r="K9131" s="4"/>
      <c r="AC9131" s="7"/>
      <c r="AD9131" s="7"/>
      <c r="AE9131" s="7"/>
      <c r="AF9131" s="8"/>
      <c r="AG9131" s="7"/>
    </row>
    <row r="9132" spans="11:33" ht="14.5" x14ac:dyDescent="0.35">
      <c r="K9132" s="4"/>
      <c r="AC9132" s="7"/>
      <c r="AD9132" s="7"/>
      <c r="AE9132" s="7"/>
      <c r="AF9132" s="8"/>
      <c r="AG9132" s="7"/>
    </row>
    <row r="9133" spans="11:33" ht="14.5" x14ac:dyDescent="0.35">
      <c r="K9133" s="4"/>
      <c r="AC9133" s="7"/>
      <c r="AD9133" s="7"/>
      <c r="AE9133" s="7"/>
      <c r="AF9133" s="8"/>
      <c r="AG9133" s="7"/>
    </row>
    <row r="9134" spans="11:33" ht="14.5" x14ac:dyDescent="0.35">
      <c r="K9134" s="4"/>
      <c r="AC9134" s="7"/>
      <c r="AD9134" s="7"/>
      <c r="AE9134" s="7"/>
      <c r="AF9134" s="8"/>
      <c r="AG9134" s="7"/>
    </row>
    <row r="9135" spans="11:33" ht="14.5" x14ac:dyDescent="0.35">
      <c r="K9135" s="4"/>
      <c r="AC9135" s="7"/>
      <c r="AD9135" s="7"/>
      <c r="AE9135" s="7"/>
      <c r="AF9135" s="8"/>
      <c r="AG9135" s="7"/>
    </row>
    <row r="9136" spans="11:33" ht="14.5" x14ac:dyDescent="0.35">
      <c r="K9136" s="4"/>
      <c r="AC9136" s="7"/>
      <c r="AD9136" s="7"/>
      <c r="AE9136" s="7"/>
      <c r="AF9136" s="8"/>
      <c r="AG9136" s="7"/>
    </row>
    <row r="9137" spans="11:33" ht="14.5" x14ac:dyDescent="0.35">
      <c r="K9137" s="4"/>
      <c r="AC9137" s="7"/>
      <c r="AD9137" s="7"/>
      <c r="AE9137" s="7"/>
      <c r="AF9137" s="8"/>
      <c r="AG9137" s="7"/>
    </row>
    <row r="9138" spans="11:33" ht="14.5" x14ac:dyDescent="0.35">
      <c r="K9138" s="4"/>
      <c r="AC9138" s="7"/>
      <c r="AD9138" s="7"/>
      <c r="AE9138" s="7"/>
      <c r="AF9138" s="8"/>
      <c r="AG9138" s="7"/>
    </row>
    <row r="9139" spans="11:33" ht="14.5" x14ac:dyDescent="0.35">
      <c r="K9139" s="4"/>
      <c r="AC9139" s="7"/>
      <c r="AD9139" s="7"/>
      <c r="AE9139" s="7"/>
      <c r="AF9139" s="8"/>
      <c r="AG9139" s="7"/>
    </row>
    <row r="9140" spans="11:33" ht="14.5" x14ac:dyDescent="0.35">
      <c r="K9140" s="4"/>
      <c r="AC9140" s="7"/>
      <c r="AD9140" s="7"/>
      <c r="AE9140" s="7"/>
      <c r="AF9140" s="8"/>
      <c r="AG9140" s="7"/>
    </row>
    <row r="9141" spans="11:33" ht="14.5" x14ac:dyDescent="0.35">
      <c r="K9141" s="4"/>
      <c r="AC9141" s="7"/>
      <c r="AD9141" s="7"/>
      <c r="AE9141" s="7"/>
      <c r="AF9141" s="8"/>
      <c r="AG9141" s="7"/>
    </row>
    <row r="9142" spans="11:33" ht="14.5" x14ac:dyDescent="0.35">
      <c r="K9142" s="4"/>
      <c r="AC9142" s="7"/>
      <c r="AD9142" s="7"/>
      <c r="AE9142" s="7"/>
      <c r="AF9142" s="8"/>
      <c r="AG9142" s="7"/>
    </row>
    <row r="9143" spans="11:33" ht="14.5" x14ac:dyDescent="0.35">
      <c r="K9143" s="4"/>
      <c r="AC9143" s="7"/>
      <c r="AD9143" s="7"/>
      <c r="AE9143" s="7"/>
      <c r="AF9143" s="8"/>
      <c r="AG9143" s="7"/>
    </row>
    <row r="9144" spans="11:33" ht="14.5" x14ac:dyDescent="0.35">
      <c r="K9144" s="4"/>
      <c r="AC9144" s="7"/>
      <c r="AD9144" s="7"/>
      <c r="AE9144" s="7"/>
      <c r="AF9144" s="8"/>
      <c r="AG9144" s="7"/>
    </row>
    <row r="9145" spans="11:33" ht="14.5" x14ac:dyDescent="0.35">
      <c r="K9145" s="4"/>
      <c r="AC9145" s="7"/>
      <c r="AD9145" s="7"/>
      <c r="AE9145" s="7"/>
      <c r="AF9145" s="8"/>
      <c r="AG9145" s="7"/>
    </row>
    <row r="9146" spans="11:33" ht="14.5" x14ac:dyDescent="0.35">
      <c r="K9146" s="4"/>
      <c r="AC9146" s="7"/>
      <c r="AD9146" s="7"/>
      <c r="AE9146" s="7"/>
      <c r="AF9146" s="8"/>
      <c r="AG9146" s="7"/>
    </row>
    <row r="9147" spans="11:33" ht="14.5" x14ac:dyDescent="0.35">
      <c r="K9147" s="4"/>
      <c r="AC9147" s="7"/>
      <c r="AD9147" s="7"/>
      <c r="AE9147" s="7"/>
      <c r="AF9147" s="8"/>
      <c r="AG9147" s="7"/>
    </row>
    <row r="9148" spans="11:33" ht="14.5" x14ac:dyDescent="0.35">
      <c r="K9148" s="4"/>
      <c r="AC9148" s="7"/>
      <c r="AD9148" s="7"/>
      <c r="AE9148" s="7"/>
      <c r="AF9148" s="8"/>
      <c r="AG9148" s="7"/>
    </row>
    <row r="9149" spans="11:33" ht="14.5" x14ac:dyDescent="0.35">
      <c r="K9149" s="4"/>
      <c r="AC9149" s="7"/>
      <c r="AD9149" s="7"/>
      <c r="AE9149" s="7"/>
      <c r="AF9149" s="8"/>
      <c r="AG9149" s="7"/>
    </row>
    <row r="9150" spans="11:33" ht="14.5" x14ac:dyDescent="0.35">
      <c r="K9150" s="4"/>
      <c r="AC9150" s="7"/>
      <c r="AD9150" s="7"/>
      <c r="AE9150" s="7"/>
      <c r="AF9150" s="8"/>
      <c r="AG9150" s="7"/>
    </row>
    <row r="9151" spans="11:33" ht="14.5" x14ac:dyDescent="0.35">
      <c r="K9151" s="4"/>
      <c r="AC9151" s="7"/>
      <c r="AD9151" s="7"/>
      <c r="AE9151" s="7"/>
      <c r="AF9151" s="8"/>
      <c r="AG9151" s="7"/>
    </row>
    <row r="9152" spans="11:33" ht="14.5" x14ac:dyDescent="0.35">
      <c r="K9152" s="4"/>
      <c r="AC9152" s="7"/>
      <c r="AD9152" s="7"/>
      <c r="AE9152" s="7"/>
      <c r="AF9152" s="8"/>
      <c r="AG9152" s="7"/>
    </row>
    <row r="9153" spans="11:33" ht="14.5" x14ac:dyDescent="0.35">
      <c r="K9153" s="4"/>
      <c r="AC9153" s="7"/>
      <c r="AD9153" s="7"/>
      <c r="AE9153" s="7"/>
      <c r="AF9153" s="8"/>
      <c r="AG9153" s="7"/>
    </row>
    <row r="9154" spans="11:33" ht="14.5" x14ac:dyDescent="0.35">
      <c r="K9154" s="4"/>
      <c r="AC9154" s="7"/>
      <c r="AD9154" s="7"/>
      <c r="AE9154" s="7"/>
      <c r="AF9154" s="8"/>
      <c r="AG9154" s="7"/>
    </row>
    <row r="9155" spans="11:33" ht="14.5" x14ac:dyDescent="0.35">
      <c r="K9155" s="4"/>
      <c r="AC9155" s="7"/>
      <c r="AD9155" s="7"/>
      <c r="AE9155" s="7"/>
      <c r="AF9155" s="8"/>
      <c r="AG9155" s="7"/>
    </row>
    <row r="9156" spans="11:33" ht="14.5" x14ac:dyDescent="0.35">
      <c r="K9156" s="4"/>
      <c r="AC9156" s="7"/>
      <c r="AD9156" s="7"/>
      <c r="AE9156" s="7"/>
      <c r="AF9156" s="8"/>
      <c r="AG9156" s="7"/>
    </row>
    <row r="9157" spans="11:33" ht="14.5" x14ac:dyDescent="0.35">
      <c r="K9157" s="4"/>
      <c r="AC9157" s="7"/>
      <c r="AD9157" s="7"/>
      <c r="AE9157" s="7"/>
      <c r="AF9157" s="8"/>
      <c r="AG9157" s="7"/>
    </row>
    <row r="9158" spans="11:33" ht="14.5" x14ac:dyDescent="0.35">
      <c r="K9158" s="4"/>
      <c r="AC9158" s="7"/>
      <c r="AD9158" s="7"/>
      <c r="AE9158" s="7"/>
      <c r="AF9158" s="8"/>
      <c r="AG9158" s="7"/>
    </row>
    <row r="9159" spans="11:33" ht="14.5" x14ac:dyDescent="0.35">
      <c r="K9159" s="4"/>
      <c r="AC9159" s="7"/>
      <c r="AD9159" s="7"/>
      <c r="AE9159" s="7"/>
      <c r="AF9159" s="8"/>
      <c r="AG9159" s="7"/>
    </row>
    <row r="9160" spans="11:33" ht="14.5" x14ac:dyDescent="0.35">
      <c r="K9160" s="4"/>
      <c r="AC9160" s="7"/>
      <c r="AD9160" s="7"/>
      <c r="AE9160" s="7"/>
      <c r="AF9160" s="8"/>
      <c r="AG9160" s="7"/>
    </row>
    <row r="9161" spans="11:33" ht="14.5" x14ac:dyDescent="0.35">
      <c r="K9161" s="4"/>
      <c r="AC9161" s="7"/>
      <c r="AD9161" s="7"/>
      <c r="AE9161" s="7"/>
      <c r="AF9161" s="8"/>
      <c r="AG9161" s="7"/>
    </row>
    <row r="9162" spans="11:33" ht="14.5" x14ac:dyDescent="0.35">
      <c r="K9162" s="4"/>
      <c r="AC9162" s="7"/>
      <c r="AD9162" s="7"/>
      <c r="AE9162" s="7"/>
      <c r="AF9162" s="8"/>
      <c r="AG9162" s="7"/>
    </row>
    <row r="9163" spans="11:33" ht="14.5" x14ac:dyDescent="0.35">
      <c r="K9163" s="4"/>
      <c r="AC9163" s="7"/>
      <c r="AD9163" s="7"/>
      <c r="AE9163" s="7"/>
      <c r="AF9163" s="8"/>
      <c r="AG9163" s="7"/>
    </row>
    <row r="9164" spans="11:33" ht="14.5" x14ac:dyDescent="0.35">
      <c r="K9164" s="4"/>
      <c r="AC9164" s="7"/>
      <c r="AD9164" s="7"/>
      <c r="AE9164" s="7"/>
      <c r="AF9164" s="8"/>
      <c r="AG9164" s="7"/>
    </row>
    <row r="9165" spans="11:33" ht="14.5" x14ac:dyDescent="0.35">
      <c r="K9165" s="4"/>
      <c r="AC9165" s="7"/>
      <c r="AD9165" s="7"/>
      <c r="AE9165" s="7"/>
      <c r="AF9165" s="8"/>
      <c r="AG9165" s="7"/>
    </row>
    <row r="9166" spans="11:33" ht="14.5" x14ac:dyDescent="0.35">
      <c r="K9166" s="4"/>
      <c r="AC9166" s="7"/>
      <c r="AD9166" s="7"/>
      <c r="AE9166" s="7"/>
      <c r="AF9166" s="8"/>
      <c r="AG9166" s="7"/>
    </row>
    <row r="9167" spans="11:33" ht="14.5" x14ac:dyDescent="0.35">
      <c r="K9167" s="4"/>
      <c r="AC9167" s="7"/>
      <c r="AD9167" s="7"/>
      <c r="AE9167" s="7"/>
      <c r="AF9167" s="8"/>
      <c r="AG9167" s="7"/>
    </row>
    <row r="9168" spans="11:33" ht="14.5" x14ac:dyDescent="0.35">
      <c r="K9168" s="4"/>
      <c r="AC9168" s="7"/>
      <c r="AD9168" s="7"/>
      <c r="AE9168" s="7"/>
      <c r="AF9168" s="8"/>
      <c r="AG9168" s="7"/>
    </row>
    <row r="9169" spans="11:33" ht="14.5" x14ac:dyDescent="0.35">
      <c r="K9169" s="4"/>
      <c r="AC9169" s="7"/>
      <c r="AD9169" s="7"/>
      <c r="AE9169" s="7"/>
      <c r="AF9169" s="8"/>
      <c r="AG9169" s="7"/>
    </row>
    <row r="9170" spans="11:33" ht="14.5" x14ac:dyDescent="0.35">
      <c r="K9170" s="4"/>
      <c r="AC9170" s="7"/>
      <c r="AD9170" s="7"/>
      <c r="AE9170" s="7"/>
      <c r="AF9170" s="8"/>
      <c r="AG9170" s="7"/>
    </row>
    <row r="9171" spans="11:33" ht="14.5" x14ac:dyDescent="0.35">
      <c r="K9171" s="4"/>
      <c r="AC9171" s="7"/>
      <c r="AD9171" s="7"/>
      <c r="AE9171" s="7"/>
      <c r="AF9171" s="8"/>
      <c r="AG9171" s="7"/>
    </row>
    <row r="9172" spans="11:33" ht="14.5" x14ac:dyDescent="0.35">
      <c r="K9172" s="4"/>
      <c r="AC9172" s="7"/>
      <c r="AD9172" s="7"/>
      <c r="AE9172" s="7"/>
      <c r="AF9172" s="8"/>
      <c r="AG9172" s="7"/>
    </row>
    <row r="9173" spans="11:33" ht="14.5" x14ac:dyDescent="0.35">
      <c r="K9173" s="4"/>
      <c r="AC9173" s="7"/>
      <c r="AD9173" s="7"/>
      <c r="AE9173" s="7"/>
      <c r="AF9173" s="8"/>
      <c r="AG9173" s="7"/>
    </row>
    <row r="9174" spans="11:33" ht="14.5" x14ac:dyDescent="0.35">
      <c r="K9174" s="4"/>
      <c r="AC9174" s="7"/>
      <c r="AD9174" s="7"/>
      <c r="AE9174" s="7"/>
      <c r="AF9174" s="8"/>
      <c r="AG9174" s="7"/>
    </row>
    <row r="9175" spans="11:33" ht="14.5" x14ac:dyDescent="0.35">
      <c r="K9175" s="4"/>
      <c r="AC9175" s="7"/>
      <c r="AD9175" s="7"/>
      <c r="AE9175" s="7"/>
      <c r="AF9175" s="8"/>
      <c r="AG9175" s="7"/>
    </row>
    <row r="9176" spans="11:33" ht="14.5" x14ac:dyDescent="0.35">
      <c r="K9176" s="4"/>
      <c r="AC9176" s="7"/>
      <c r="AD9176" s="7"/>
      <c r="AE9176" s="7"/>
      <c r="AF9176" s="8"/>
      <c r="AG9176" s="7"/>
    </row>
    <row r="9177" spans="11:33" ht="14.5" x14ac:dyDescent="0.35">
      <c r="K9177" s="4"/>
      <c r="AC9177" s="7"/>
      <c r="AD9177" s="7"/>
      <c r="AE9177" s="7"/>
      <c r="AF9177" s="8"/>
      <c r="AG9177" s="7"/>
    </row>
    <row r="9178" spans="11:33" ht="14.5" x14ac:dyDescent="0.35">
      <c r="K9178" s="4"/>
      <c r="AC9178" s="7"/>
      <c r="AD9178" s="7"/>
      <c r="AE9178" s="7"/>
      <c r="AF9178" s="8"/>
      <c r="AG9178" s="7"/>
    </row>
    <row r="9179" spans="11:33" ht="14.5" x14ac:dyDescent="0.35">
      <c r="K9179" s="4"/>
      <c r="AC9179" s="7"/>
      <c r="AD9179" s="7"/>
      <c r="AE9179" s="7"/>
      <c r="AF9179" s="8"/>
      <c r="AG9179" s="7"/>
    </row>
    <row r="9180" spans="11:33" ht="14.5" x14ac:dyDescent="0.35">
      <c r="K9180" s="4"/>
      <c r="AC9180" s="7"/>
      <c r="AD9180" s="7"/>
      <c r="AE9180" s="7"/>
      <c r="AF9180" s="8"/>
      <c r="AG9180" s="7"/>
    </row>
    <row r="9181" spans="11:33" ht="14.5" x14ac:dyDescent="0.35">
      <c r="K9181" s="4"/>
      <c r="AC9181" s="7"/>
      <c r="AD9181" s="7"/>
      <c r="AE9181" s="7"/>
      <c r="AF9181" s="8"/>
      <c r="AG9181" s="7"/>
    </row>
    <row r="9182" spans="11:33" ht="14.5" x14ac:dyDescent="0.35">
      <c r="K9182" s="4"/>
      <c r="AC9182" s="7"/>
      <c r="AD9182" s="7"/>
      <c r="AE9182" s="7"/>
      <c r="AF9182" s="8"/>
      <c r="AG9182" s="7"/>
    </row>
    <row r="9183" spans="11:33" ht="14.5" x14ac:dyDescent="0.35">
      <c r="K9183" s="4"/>
      <c r="AC9183" s="7"/>
      <c r="AD9183" s="7"/>
      <c r="AE9183" s="7"/>
      <c r="AF9183" s="8"/>
      <c r="AG9183" s="7"/>
    </row>
    <row r="9184" spans="11:33" ht="14.5" x14ac:dyDescent="0.35">
      <c r="K9184" s="4"/>
      <c r="AC9184" s="7"/>
      <c r="AD9184" s="7"/>
      <c r="AE9184" s="7"/>
      <c r="AF9184" s="8"/>
      <c r="AG9184" s="7"/>
    </row>
    <row r="9185" spans="11:33" ht="14.5" x14ac:dyDescent="0.35">
      <c r="K9185" s="4"/>
      <c r="AC9185" s="7"/>
      <c r="AD9185" s="7"/>
      <c r="AE9185" s="7"/>
      <c r="AF9185" s="8"/>
      <c r="AG9185" s="7"/>
    </row>
    <row r="9186" spans="11:33" ht="14.5" x14ac:dyDescent="0.35">
      <c r="K9186" s="4"/>
      <c r="AC9186" s="7"/>
      <c r="AD9186" s="7"/>
      <c r="AE9186" s="7"/>
      <c r="AF9186" s="8"/>
      <c r="AG9186" s="7"/>
    </row>
    <row r="9187" spans="11:33" ht="14.5" x14ac:dyDescent="0.35">
      <c r="K9187" s="4"/>
      <c r="AC9187" s="7"/>
      <c r="AD9187" s="7"/>
      <c r="AE9187" s="7"/>
      <c r="AF9187" s="8"/>
      <c r="AG9187" s="7"/>
    </row>
    <row r="9188" spans="11:33" ht="14.5" x14ac:dyDescent="0.35">
      <c r="K9188" s="4"/>
      <c r="AC9188" s="7"/>
      <c r="AD9188" s="7"/>
      <c r="AE9188" s="7"/>
      <c r="AF9188" s="8"/>
      <c r="AG9188" s="7"/>
    </row>
    <row r="9189" spans="11:33" ht="14.5" x14ac:dyDescent="0.35">
      <c r="K9189" s="4"/>
      <c r="AC9189" s="7"/>
      <c r="AD9189" s="7"/>
      <c r="AE9189" s="7"/>
      <c r="AF9189" s="8"/>
      <c r="AG9189" s="7"/>
    </row>
    <row r="9190" spans="11:33" ht="14.5" x14ac:dyDescent="0.35">
      <c r="K9190" s="4"/>
      <c r="AC9190" s="7"/>
      <c r="AD9190" s="7"/>
      <c r="AE9190" s="7"/>
      <c r="AF9190" s="8"/>
      <c r="AG9190" s="7"/>
    </row>
    <row r="9191" spans="11:33" ht="14.5" x14ac:dyDescent="0.35">
      <c r="K9191" s="4"/>
      <c r="AC9191" s="7"/>
      <c r="AD9191" s="7"/>
      <c r="AE9191" s="7"/>
      <c r="AF9191" s="8"/>
      <c r="AG9191" s="7"/>
    </row>
    <row r="9192" spans="11:33" ht="14.5" x14ac:dyDescent="0.35">
      <c r="K9192" s="4"/>
      <c r="AC9192" s="7"/>
      <c r="AD9192" s="7"/>
      <c r="AE9192" s="7"/>
      <c r="AF9192" s="8"/>
      <c r="AG9192" s="7"/>
    </row>
    <row r="9193" spans="11:33" ht="14.5" x14ac:dyDescent="0.35">
      <c r="K9193" s="4"/>
      <c r="AC9193" s="7"/>
      <c r="AD9193" s="7"/>
      <c r="AE9193" s="7"/>
      <c r="AF9193" s="8"/>
      <c r="AG9193" s="7"/>
    </row>
    <row r="9194" spans="11:33" ht="14.5" x14ac:dyDescent="0.35">
      <c r="K9194" s="4"/>
      <c r="AC9194" s="7"/>
      <c r="AD9194" s="7"/>
      <c r="AE9194" s="7"/>
      <c r="AF9194" s="8"/>
      <c r="AG9194" s="7"/>
    </row>
    <row r="9195" spans="11:33" ht="14.5" x14ac:dyDescent="0.35">
      <c r="K9195" s="4"/>
      <c r="AC9195" s="7"/>
      <c r="AD9195" s="7"/>
      <c r="AE9195" s="7"/>
      <c r="AF9195" s="8"/>
      <c r="AG9195" s="7"/>
    </row>
    <row r="9196" spans="11:33" ht="14.5" x14ac:dyDescent="0.35">
      <c r="K9196" s="4"/>
      <c r="AC9196" s="7"/>
      <c r="AD9196" s="7"/>
      <c r="AE9196" s="7"/>
      <c r="AF9196" s="8"/>
      <c r="AG9196" s="7"/>
    </row>
    <row r="9197" spans="11:33" ht="14.5" x14ac:dyDescent="0.35">
      <c r="K9197" s="4"/>
      <c r="AC9197" s="7"/>
      <c r="AD9197" s="7"/>
      <c r="AE9197" s="7"/>
      <c r="AF9197" s="8"/>
      <c r="AG9197" s="7"/>
    </row>
    <row r="9198" spans="11:33" ht="14.5" x14ac:dyDescent="0.35">
      <c r="K9198" s="4"/>
      <c r="AC9198" s="7"/>
      <c r="AD9198" s="7"/>
      <c r="AE9198" s="7"/>
      <c r="AF9198" s="8"/>
      <c r="AG9198" s="7"/>
    </row>
    <row r="9199" spans="11:33" ht="14.5" x14ac:dyDescent="0.35">
      <c r="K9199" s="4"/>
      <c r="AC9199" s="7"/>
      <c r="AD9199" s="7"/>
      <c r="AE9199" s="7"/>
      <c r="AF9199" s="8"/>
      <c r="AG9199" s="7"/>
    </row>
    <row r="9200" spans="11:33" ht="14.5" x14ac:dyDescent="0.35">
      <c r="K9200" s="4"/>
      <c r="AC9200" s="7"/>
      <c r="AD9200" s="7"/>
      <c r="AE9200" s="7"/>
      <c r="AF9200" s="8"/>
      <c r="AG9200" s="7"/>
    </row>
    <row r="9201" spans="11:33" ht="14.5" x14ac:dyDescent="0.35">
      <c r="K9201" s="4"/>
      <c r="AC9201" s="7"/>
      <c r="AD9201" s="7"/>
      <c r="AE9201" s="7"/>
      <c r="AF9201" s="8"/>
      <c r="AG9201" s="7"/>
    </row>
    <row r="9202" spans="11:33" ht="14.5" x14ac:dyDescent="0.35">
      <c r="K9202" s="4"/>
      <c r="AC9202" s="7"/>
      <c r="AD9202" s="7"/>
      <c r="AE9202" s="7"/>
      <c r="AF9202" s="8"/>
      <c r="AG9202" s="7"/>
    </row>
    <row r="9203" spans="11:33" ht="14.5" x14ac:dyDescent="0.35">
      <c r="K9203" s="4"/>
      <c r="AC9203" s="7"/>
      <c r="AD9203" s="7"/>
      <c r="AE9203" s="7"/>
      <c r="AF9203" s="8"/>
      <c r="AG9203" s="7"/>
    </row>
    <row r="9204" spans="11:33" ht="14.5" x14ac:dyDescent="0.35">
      <c r="K9204" s="4"/>
      <c r="AC9204" s="7"/>
      <c r="AD9204" s="7"/>
      <c r="AE9204" s="7"/>
      <c r="AF9204" s="8"/>
      <c r="AG9204" s="7"/>
    </row>
    <row r="9205" spans="11:33" ht="14.5" x14ac:dyDescent="0.35">
      <c r="K9205" s="4"/>
      <c r="AC9205" s="7"/>
      <c r="AD9205" s="7"/>
      <c r="AE9205" s="7"/>
      <c r="AF9205" s="8"/>
      <c r="AG9205" s="7"/>
    </row>
    <row r="9206" spans="11:33" ht="14.5" x14ac:dyDescent="0.35">
      <c r="K9206" s="4"/>
      <c r="AC9206" s="7"/>
      <c r="AD9206" s="7"/>
      <c r="AE9206" s="7"/>
      <c r="AF9206" s="8"/>
      <c r="AG9206" s="7"/>
    </row>
    <row r="9207" spans="11:33" ht="14.5" x14ac:dyDescent="0.35">
      <c r="K9207" s="4"/>
      <c r="AC9207" s="7"/>
      <c r="AD9207" s="7"/>
      <c r="AE9207" s="7"/>
      <c r="AF9207" s="8"/>
      <c r="AG9207" s="7"/>
    </row>
    <row r="9208" spans="11:33" ht="14.5" x14ac:dyDescent="0.35">
      <c r="K9208" s="4"/>
      <c r="AC9208" s="7"/>
      <c r="AD9208" s="7"/>
      <c r="AE9208" s="7"/>
      <c r="AF9208" s="8"/>
      <c r="AG9208" s="7"/>
    </row>
    <row r="9209" spans="11:33" ht="14.5" x14ac:dyDescent="0.35">
      <c r="K9209" s="4"/>
      <c r="AC9209" s="7"/>
      <c r="AD9209" s="7"/>
      <c r="AE9209" s="7"/>
      <c r="AF9209" s="8"/>
      <c r="AG9209" s="7"/>
    </row>
    <row r="9210" spans="11:33" ht="14.5" x14ac:dyDescent="0.35">
      <c r="K9210" s="4"/>
      <c r="AC9210" s="7"/>
      <c r="AD9210" s="7"/>
      <c r="AE9210" s="7"/>
      <c r="AF9210" s="8"/>
      <c r="AG9210" s="7"/>
    </row>
    <row r="9211" spans="11:33" ht="14.5" x14ac:dyDescent="0.35">
      <c r="K9211" s="4"/>
      <c r="AC9211" s="7"/>
      <c r="AD9211" s="7"/>
      <c r="AE9211" s="7"/>
      <c r="AF9211" s="8"/>
      <c r="AG9211" s="7"/>
    </row>
    <row r="9212" spans="11:33" ht="14.5" x14ac:dyDescent="0.35">
      <c r="K9212" s="4"/>
      <c r="AC9212" s="7"/>
      <c r="AD9212" s="7"/>
      <c r="AE9212" s="7"/>
      <c r="AF9212" s="8"/>
      <c r="AG9212" s="7"/>
    </row>
    <row r="9213" spans="11:33" ht="14.5" x14ac:dyDescent="0.35">
      <c r="K9213" s="4"/>
      <c r="AC9213" s="7"/>
      <c r="AD9213" s="7"/>
      <c r="AE9213" s="7"/>
      <c r="AF9213" s="8"/>
      <c r="AG9213" s="7"/>
    </row>
    <row r="9214" spans="11:33" ht="14.5" x14ac:dyDescent="0.35">
      <c r="K9214" s="4"/>
      <c r="AC9214" s="7"/>
      <c r="AD9214" s="7"/>
      <c r="AE9214" s="7"/>
      <c r="AF9214" s="8"/>
      <c r="AG9214" s="7"/>
    </row>
    <row r="9215" spans="11:33" ht="14.5" x14ac:dyDescent="0.35">
      <c r="K9215" s="4"/>
      <c r="AC9215" s="7"/>
      <c r="AD9215" s="7"/>
      <c r="AE9215" s="7"/>
      <c r="AF9215" s="8"/>
      <c r="AG9215" s="7"/>
    </row>
    <row r="9216" spans="11:33" ht="14.5" x14ac:dyDescent="0.35">
      <c r="K9216" s="4"/>
      <c r="AC9216" s="7"/>
      <c r="AD9216" s="7"/>
      <c r="AE9216" s="7"/>
      <c r="AF9216" s="8"/>
      <c r="AG9216" s="7"/>
    </row>
    <row r="9217" spans="11:33" ht="14.5" x14ac:dyDescent="0.35">
      <c r="K9217" s="4"/>
      <c r="AC9217" s="7"/>
      <c r="AD9217" s="7"/>
      <c r="AE9217" s="7"/>
      <c r="AF9217" s="8"/>
      <c r="AG9217" s="7"/>
    </row>
    <row r="9218" spans="11:33" ht="14.5" x14ac:dyDescent="0.35">
      <c r="K9218" s="4"/>
      <c r="AC9218" s="7"/>
      <c r="AD9218" s="7"/>
      <c r="AE9218" s="7"/>
      <c r="AF9218" s="8"/>
      <c r="AG9218" s="7"/>
    </row>
    <row r="9219" spans="11:33" ht="14.5" x14ac:dyDescent="0.35">
      <c r="K9219" s="4"/>
      <c r="AC9219" s="7"/>
      <c r="AD9219" s="7"/>
      <c r="AE9219" s="7"/>
      <c r="AF9219" s="8"/>
      <c r="AG9219" s="7"/>
    </row>
    <row r="9220" spans="11:33" ht="14.5" x14ac:dyDescent="0.35">
      <c r="K9220" s="4"/>
      <c r="AC9220" s="7"/>
      <c r="AD9220" s="7"/>
      <c r="AE9220" s="7"/>
      <c r="AF9220" s="8"/>
      <c r="AG9220" s="7"/>
    </row>
    <row r="9221" spans="11:33" ht="14.5" x14ac:dyDescent="0.35">
      <c r="K9221" s="4"/>
      <c r="AC9221" s="7"/>
      <c r="AD9221" s="7"/>
      <c r="AE9221" s="7"/>
      <c r="AF9221" s="8"/>
      <c r="AG9221" s="7"/>
    </row>
    <row r="9222" spans="11:33" ht="14.5" x14ac:dyDescent="0.35">
      <c r="K9222" s="4"/>
      <c r="AC9222" s="7"/>
      <c r="AD9222" s="7"/>
      <c r="AE9222" s="7"/>
      <c r="AF9222" s="8"/>
      <c r="AG9222" s="7"/>
    </row>
    <row r="9223" spans="11:33" ht="14.5" x14ac:dyDescent="0.35">
      <c r="K9223" s="4"/>
      <c r="AC9223" s="7"/>
      <c r="AD9223" s="7"/>
      <c r="AE9223" s="7"/>
      <c r="AF9223" s="8"/>
      <c r="AG9223" s="7"/>
    </row>
    <row r="9224" spans="11:33" ht="14.5" x14ac:dyDescent="0.35">
      <c r="K9224" s="4"/>
      <c r="AC9224" s="7"/>
      <c r="AD9224" s="7"/>
      <c r="AE9224" s="7"/>
      <c r="AF9224" s="8"/>
      <c r="AG9224" s="7"/>
    </row>
    <row r="9225" spans="11:33" ht="14.5" x14ac:dyDescent="0.35">
      <c r="K9225" s="4"/>
      <c r="AC9225" s="7"/>
      <c r="AD9225" s="7"/>
      <c r="AE9225" s="7"/>
      <c r="AF9225" s="8"/>
      <c r="AG9225" s="7"/>
    </row>
    <row r="9226" spans="11:33" ht="14.5" x14ac:dyDescent="0.35">
      <c r="K9226" s="4"/>
      <c r="AC9226" s="7"/>
      <c r="AD9226" s="7"/>
      <c r="AE9226" s="7"/>
      <c r="AF9226" s="8"/>
      <c r="AG9226" s="7"/>
    </row>
    <row r="9227" spans="11:33" ht="14.5" x14ac:dyDescent="0.35">
      <c r="K9227" s="4"/>
      <c r="AC9227" s="7"/>
      <c r="AD9227" s="7"/>
      <c r="AE9227" s="7"/>
      <c r="AF9227" s="8"/>
      <c r="AG9227" s="7"/>
    </row>
    <row r="9228" spans="11:33" ht="14.5" x14ac:dyDescent="0.35">
      <c r="K9228" s="4"/>
      <c r="AC9228" s="7"/>
      <c r="AD9228" s="7"/>
      <c r="AE9228" s="7"/>
      <c r="AF9228" s="8"/>
      <c r="AG9228" s="7"/>
    </row>
    <row r="9229" spans="11:33" ht="14.5" x14ac:dyDescent="0.35">
      <c r="K9229" s="4"/>
      <c r="AC9229" s="7"/>
      <c r="AD9229" s="7"/>
      <c r="AE9229" s="7"/>
      <c r="AF9229" s="8"/>
      <c r="AG9229" s="7"/>
    </row>
    <row r="9230" spans="11:33" ht="14.5" x14ac:dyDescent="0.35">
      <c r="K9230" s="4"/>
      <c r="AC9230" s="7"/>
      <c r="AD9230" s="7"/>
      <c r="AE9230" s="7"/>
      <c r="AF9230" s="8"/>
      <c r="AG9230" s="7"/>
    </row>
    <row r="9231" spans="11:33" ht="14.5" x14ac:dyDescent="0.35">
      <c r="K9231" s="4"/>
      <c r="AC9231" s="7"/>
      <c r="AD9231" s="7"/>
      <c r="AE9231" s="7"/>
      <c r="AF9231" s="8"/>
      <c r="AG9231" s="7"/>
    </row>
    <row r="9232" spans="11:33" ht="14.5" x14ac:dyDescent="0.35">
      <c r="K9232" s="4"/>
      <c r="AC9232" s="7"/>
      <c r="AD9232" s="7"/>
      <c r="AE9232" s="7"/>
      <c r="AF9232" s="8"/>
      <c r="AG9232" s="7"/>
    </row>
    <row r="9233" spans="11:33" ht="14.5" x14ac:dyDescent="0.35">
      <c r="K9233" s="4"/>
      <c r="AC9233" s="7"/>
      <c r="AD9233" s="7"/>
      <c r="AE9233" s="7"/>
      <c r="AF9233" s="8"/>
      <c r="AG9233" s="7"/>
    </row>
    <row r="9234" spans="11:33" ht="14.5" x14ac:dyDescent="0.35">
      <c r="K9234" s="4"/>
      <c r="AC9234" s="7"/>
      <c r="AD9234" s="7"/>
      <c r="AE9234" s="7"/>
      <c r="AF9234" s="8"/>
      <c r="AG9234" s="7"/>
    </row>
    <row r="9235" spans="11:33" ht="14.5" x14ac:dyDescent="0.35">
      <c r="K9235" s="4"/>
      <c r="AC9235" s="7"/>
      <c r="AD9235" s="7"/>
      <c r="AE9235" s="7"/>
      <c r="AF9235" s="8"/>
      <c r="AG9235" s="7"/>
    </row>
    <row r="9236" spans="11:33" ht="14.5" x14ac:dyDescent="0.35">
      <c r="K9236" s="4"/>
      <c r="AC9236" s="7"/>
      <c r="AD9236" s="7"/>
      <c r="AE9236" s="7"/>
      <c r="AF9236" s="8"/>
      <c r="AG9236" s="7"/>
    </row>
    <row r="9237" spans="11:33" ht="14.5" x14ac:dyDescent="0.35">
      <c r="K9237" s="4"/>
      <c r="AC9237" s="7"/>
      <c r="AD9237" s="7"/>
      <c r="AE9237" s="7"/>
      <c r="AF9237" s="8"/>
      <c r="AG9237" s="7"/>
    </row>
    <row r="9238" spans="11:33" ht="14.5" x14ac:dyDescent="0.35">
      <c r="K9238" s="4"/>
      <c r="AC9238" s="7"/>
      <c r="AD9238" s="7"/>
      <c r="AE9238" s="7"/>
      <c r="AF9238" s="8"/>
      <c r="AG9238" s="7"/>
    </row>
    <row r="9239" spans="11:33" ht="14.5" x14ac:dyDescent="0.35">
      <c r="K9239" s="4"/>
      <c r="AC9239" s="7"/>
      <c r="AD9239" s="7"/>
      <c r="AE9239" s="7"/>
      <c r="AF9239" s="8"/>
      <c r="AG9239" s="7"/>
    </row>
    <row r="9240" spans="11:33" ht="14.5" x14ac:dyDescent="0.35">
      <c r="K9240" s="4"/>
      <c r="AC9240" s="7"/>
      <c r="AD9240" s="7"/>
      <c r="AE9240" s="7"/>
      <c r="AF9240" s="8"/>
      <c r="AG9240" s="7"/>
    </row>
    <row r="9241" spans="11:33" ht="14.5" x14ac:dyDescent="0.35">
      <c r="K9241" s="4"/>
      <c r="AC9241" s="7"/>
      <c r="AD9241" s="7"/>
      <c r="AE9241" s="7"/>
      <c r="AF9241" s="8"/>
      <c r="AG9241" s="7"/>
    </row>
    <row r="9242" spans="11:33" ht="14.5" x14ac:dyDescent="0.35">
      <c r="K9242" s="4"/>
      <c r="AC9242" s="7"/>
      <c r="AD9242" s="7"/>
      <c r="AE9242" s="7"/>
      <c r="AF9242" s="8"/>
      <c r="AG9242" s="7"/>
    </row>
    <row r="9243" spans="11:33" ht="14.5" x14ac:dyDescent="0.35">
      <c r="K9243" s="4"/>
      <c r="AC9243" s="7"/>
      <c r="AD9243" s="7"/>
      <c r="AE9243" s="7"/>
      <c r="AF9243" s="8"/>
      <c r="AG9243" s="7"/>
    </row>
    <row r="9244" spans="11:33" ht="14.5" x14ac:dyDescent="0.35">
      <c r="K9244" s="4"/>
      <c r="AC9244" s="7"/>
      <c r="AD9244" s="7"/>
      <c r="AE9244" s="7"/>
      <c r="AF9244" s="8"/>
      <c r="AG9244" s="7"/>
    </row>
    <row r="9245" spans="11:33" ht="14.5" x14ac:dyDescent="0.35">
      <c r="K9245" s="4"/>
      <c r="AC9245" s="7"/>
      <c r="AD9245" s="7"/>
      <c r="AE9245" s="7"/>
      <c r="AF9245" s="8"/>
      <c r="AG9245" s="7"/>
    </row>
    <row r="9246" spans="11:33" ht="14.5" x14ac:dyDescent="0.35">
      <c r="K9246" s="4"/>
      <c r="AC9246" s="7"/>
      <c r="AD9246" s="7"/>
      <c r="AE9246" s="7"/>
      <c r="AF9246" s="8"/>
      <c r="AG9246" s="7"/>
    </row>
    <row r="9247" spans="11:33" ht="14.5" x14ac:dyDescent="0.35">
      <c r="K9247" s="4"/>
      <c r="AC9247" s="7"/>
      <c r="AD9247" s="7"/>
      <c r="AE9247" s="7"/>
      <c r="AF9247" s="8"/>
      <c r="AG9247" s="7"/>
    </row>
    <row r="9248" spans="11:33" ht="14.5" x14ac:dyDescent="0.35">
      <c r="K9248" s="4"/>
      <c r="AC9248" s="7"/>
      <c r="AD9248" s="7"/>
      <c r="AE9248" s="7"/>
      <c r="AF9248" s="8"/>
      <c r="AG9248" s="7"/>
    </row>
    <row r="9249" spans="11:33" ht="14.5" x14ac:dyDescent="0.35">
      <c r="K9249" s="4"/>
      <c r="AC9249" s="7"/>
      <c r="AD9249" s="7"/>
      <c r="AE9249" s="7"/>
      <c r="AF9249" s="8"/>
      <c r="AG9249" s="7"/>
    </row>
    <row r="9250" spans="11:33" ht="14.5" x14ac:dyDescent="0.35">
      <c r="K9250" s="4"/>
      <c r="AC9250" s="7"/>
      <c r="AD9250" s="7"/>
      <c r="AE9250" s="7"/>
      <c r="AF9250" s="8"/>
      <c r="AG9250" s="7"/>
    </row>
    <row r="9251" spans="11:33" ht="14.5" x14ac:dyDescent="0.35">
      <c r="K9251" s="4"/>
      <c r="AC9251" s="7"/>
      <c r="AD9251" s="7"/>
      <c r="AE9251" s="7"/>
      <c r="AF9251" s="8"/>
      <c r="AG9251" s="7"/>
    </row>
    <row r="9252" spans="11:33" ht="14.5" x14ac:dyDescent="0.35">
      <c r="K9252" s="4"/>
      <c r="AC9252" s="7"/>
      <c r="AD9252" s="7"/>
      <c r="AE9252" s="7"/>
      <c r="AF9252" s="8"/>
      <c r="AG9252" s="7"/>
    </row>
    <row r="9253" spans="11:33" ht="14.5" x14ac:dyDescent="0.35">
      <c r="K9253" s="4"/>
      <c r="AC9253" s="7"/>
      <c r="AD9253" s="7"/>
      <c r="AE9253" s="7"/>
      <c r="AF9253" s="8"/>
      <c r="AG9253" s="7"/>
    </row>
    <row r="9254" spans="11:33" ht="14.5" x14ac:dyDescent="0.35">
      <c r="K9254" s="4"/>
      <c r="AC9254" s="7"/>
      <c r="AD9254" s="7"/>
      <c r="AE9254" s="7"/>
      <c r="AF9254" s="8"/>
      <c r="AG9254" s="7"/>
    </row>
    <row r="9255" spans="11:33" ht="14.5" x14ac:dyDescent="0.35">
      <c r="K9255" s="4"/>
      <c r="AC9255" s="7"/>
      <c r="AD9255" s="7"/>
      <c r="AE9255" s="7"/>
      <c r="AF9255" s="8"/>
      <c r="AG9255" s="7"/>
    </row>
    <row r="9256" spans="11:33" ht="14.5" x14ac:dyDescent="0.35">
      <c r="K9256" s="4"/>
      <c r="AC9256" s="7"/>
      <c r="AD9256" s="7"/>
      <c r="AE9256" s="7"/>
      <c r="AF9256" s="8"/>
      <c r="AG9256" s="7"/>
    </row>
    <row r="9257" spans="11:33" ht="14.5" x14ac:dyDescent="0.35">
      <c r="K9257" s="4"/>
      <c r="AC9257" s="7"/>
      <c r="AD9257" s="7"/>
      <c r="AE9257" s="7"/>
      <c r="AF9257" s="8"/>
      <c r="AG9257" s="7"/>
    </row>
    <row r="9258" spans="11:33" ht="14.5" x14ac:dyDescent="0.35">
      <c r="K9258" s="4"/>
      <c r="AC9258" s="7"/>
      <c r="AD9258" s="7"/>
      <c r="AE9258" s="7"/>
      <c r="AF9258" s="8"/>
      <c r="AG9258" s="7"/>
    </row>
    <row r="9259" spans="11:33" ht="14.5" x14ac:dyDescent="0.35">
      <c r="K9259" s="4"/>
      <c r="AC9259" s="7"/>
      <c r="AD9259" s="7"/>
      <c r="AE9259" s="7"/>
      <c r="AF9259" s="8"/>
      <c r="AG9259" s="7"/>
    </row>
    <row r="9260" spans="11:33" ht="14.5" x14ac:dyDescent="0.35">
      <c r="K9260" s="4"/>
      <c r="AC9260" s="7"/>
      <c r="AD9260" s="7"/>
      <c r="AE9260" s="7"/>
      <c r="AF9260" s="8"/>
      <c r="AG9260" s="7"/>
    </row>
    <row r="9261" spans="11:33" ht="14.5" x14ac:dyDescent="0.35">
      <c r="K9261" s="4"/>
      <c r="AC9261" s="7"/>
      <c r="AD9261" s="7"/>
      <c r="AE9261" s="7"/>
      <c r="AF9261" s="8"/>
      <c r="AG9261" s="7"/>
    </row>
    <row r="9262" spans="11:33" ht="14.5" x14ac:dyDescent="0.35">
      <c r="K9262" s="4"/>
      <c r="AC9262" s="7"/>
      <c r="AD9262" s="7"/>
      <c r="AE9262" s="7"/>
      <c r="AF9262" s="8"/>
      <c r="AG9262" s="7"/>
    </row>
    <row r="9263" spans="11:33" ht="14.5" x14ac:dyDescent="0.35">
      <c r="K9263" s="4"/>
      <c r="AC9263" s="7"/>
      <c r="AD9263" s="7"/>
      <c r="AE9263" s="7"/>
      <c r="AF9263" s="8"/>
      <c r="AG9263" s="7"/>
    </row>
    <row r="9264" spans="11:33" ht="14.5" x14ac:dyDescent="0.35">
      <c r="K9264" s="4"/>
      <c r="AC9264" s="7"/>
      <c r="AD9264" s="7"/>
      <c r="AE9264" s="7"/>
      <c r="AF9264" s="8"/>
      <c r="AG9264" s="7"/>
    </row>
    <row r="9265" spans="11:33" ht="14.5" x14ac:dyDescent="0.35">
      <c r="K9265" s="4"/>
      <c r="AC9265" s="7"/>
      <c r="AD9265" s="7"/>
      <c r="AE9265" s="7"/>
      <c r="AF9265" s="8"/>
      <c r="AG9265" s="7"/>
    </row>
    <row r="9266" spans="11:33" ht="14.5" x14ac:dyDescent="0.35">
      <c r="K9266" s="4"/>
      <c r="AC9266" s="7"/>
      <c r="AD9266" s="7"/>
      <c r="AE9266" s="7"/>
      <c r="AF9266" s="8"/>
      <c r="AG9266" s="7"/>
    </row>
    <row r="9267" spans="11:33" ht="14.5" x14ac:dyDescent="0.35">
      <c r="K9267" s="4"/>
      <c r="AC9267" s="7"/>
      <c r="AD9267" s="7"/>
      <c r="AE9267" s="7"/>
      <c r="AF9267" s="8"/>
      <c r="AG9267" s="7"/>
    </row>
    <row r="9268" spans="11:33" ht="14.5" x14ac:dyDescent="0.35">
      <c r="K9268" s="4"/>
      <c r="AC9268" s="7"/>
      <c r="AD9268" s="7"/>
      <c r="AE9268" s="7"/>
      <c r="AF9268" s="8"/>
      <c r="AG9268" s="7"/>
    </row>
    <row r="9269" spans="11:33" ht="14.5" x14ac:dyDescent="0.35">
      <c r="K9269" s="4"/>
      <c r="AC9269" s="7"/>
      <c r="AD9269" s="7"/>
      <c r="AE9269" s="7"/>
      <c r="AF9269" s="8"/>
      <c r="AG9269" s="7"/>
    </row>
    <row r="9270" spans="11:33" ht="14.5" x14ac:dyDescent="0.35">
      <c r="K9270" s="4"/>
      <c r="AC9270" s="7"/>
      <c r="AD9270" s="7"/>
      <c r="AE9270" s="7"/>
      <c r="AF9270" s="8"/>
      <c r="AG9270" s="7"/>
    </row>
    <row r="9271" spans="11:33" ht="14.5" x14ac:dyDescent="0.35">
      <c r="K9271" s="4"/>
      <c r="AC9271" s="7"/>
      <c r="AD9271" s="7"/>
      <c r="AE9271" s="7"/>
      <c r="AF9271" s="8"/>
      <c r="AG9271" s="7"/>
    </row>
    <row r="9272" spans="11:33" ht="14.5" x14ac:dyDescent="0.35">
      <c r="K9272" s="4"/>
      <c r="AC9272" s="7"/>
      <c r="AD9272" s="7"/>
      <c r="AE9272" s="7"/>
      <c r="AF9272" s="8"/>
      <c r="AG9272" s="7"/>
    </row>
    <row r="9273" spans="11:33" ht="14.5" x14ac:dyDescent="0.35">
      <c r="K9273" s="4"/>
      <c r="AC9273" s="7"/>
      <c r="AD9273" s="7"/>
      <c r="AE9273" s="7"/>
      <c r="AF9273" s="8"/>
      <c r="AG9273" s="7"/>
    </row>
    <row r="9274" spans="11:33" ht="14.5" x14ac:dyDescent="0.35">
      <c r="K9274" s="4"/>
      <c r="AC9274" s="7"/>
      <c r="AD9274" s="7"/>
      <c r="AE9274" s="7"/>
      <c r="AF9274" s="8"/>
      <c r="AG9274" s="7"/>
    </row>
    <row r="9275" spans="11:33" ht="14.5" x14ac:dyDescent="0.35">
      <c r="K9275" s="4"/>
      <c r="AC9275" s="7"/>
      <c r="AD9275" s="7"/>
      <c r="AE9275" s="7"/>
      <c r="AF9275" s="8"/>
      <c r="AG9275" s="7"/>
    </row>
    <row r="9276" spans="11:33" ht="14.5" x14ac:dyDescent="0.35">
      <c r="K9276" s="4"/>
      <c r="AC9276" s="7"/>
      <c r="AD9276" s="7"/>
      <c r="AE9276" s="7"/>
      <c r="AF9276" s="8"/>
      <c r="AG9276" s="7"/>
    </row>
    <row r="9277" spans="11:33" ht="14.5" x14ac:dyDescent="0.35">
      <c r="K9277" s="4"/>
      <c r="AC9277" s="7"/>
      <c r="AD9277" s="7"/>
      <c r="AE9277" s="7"/>
      <c r="AF9277" s="8"/>
      <c r="AG9277" s="7"/>
    </row>
    <row r="9278" spans="11:33" ht="14.5" x14ac:dyDescent="0.35">
      <c r="K9278" s="4"/>
      <c r="AC9278" s="7"/>
      <c r="AD9278" s="7"/>
      <c r="AE9278" s="7"/>
      <c r="AF9278" s="8"/>
      <c r="AG9278" s="7"/>
    </row>
    <row r="9279" spans="11:33" ht="14.5" x14ac:dyDescent="0.35">
      <c r="K9279" s="4"/>
      <c r="AC9279" s="7"/>
      <c r="AD9279" s="7"/>
      <c r="AE9279" s="7"/>
      <c r="AF9279" s="8"/>
      <c r="AG9279" s="7"/>
    </row>
    <row r="9280" spans="11:33" ht="14.5" x14ac:dyDescent="0.35">
      <c r="K9280" s="4"/>
      <c r="AC9280" s="7"/>
      <c r="AD9280" s="7"/>
      <c r="AE9280" s="7"/>
      <c r="AF9280" s="8"/>
      <c r="AG9280" s="7"/>
    </row>
    <row r="9281" spans="11:33" ht="14.5" x14ac:dyDescent="0.35">
      <c r="K9281" s="4"/>
      <c r="AC9281" s="7"/>
      <c r="AD9281" s="7"/>
      <c r="AE9281" s="7"/>
      <c r="AF9281" s="8"/>
      <c r="AG9281" s="7"/>
    </row>
    <row r="9282" spans="11:33" ht="14.5" x14ac:dyDescent="0.35">
      <c r="K9282" s="4"/>
      <c r="AC9282" s="7"/>
      <c r="AD9282" s="7"/>
      <c r="AE9282" s="7"/>
      <c r="AF9282" s="8"/>
      <c r="AG9282" s="7"/>
    </row>
    <row r="9283" spans="11:33" ht="14.5" x14ac:dyDescent="0.35">
      <c r="K9283" s="4"/>
      <c r="AC9283" s="7"/>
      <c r="AD9283" s="7"/>
      <c r="AE9283" s="7"/>
      <c r="AF9283" s="8"/>
      <c r="AG9283" s="7"/>
    </row>
    <row r="9284" spans="11:33" ht="14.5" x14ac:dyDescent="0.35">
      <c r="K9284" s="4"/>
      <c r="AC9284" s="7"/>
      <c r="AD9284" s="7"/>
      <c r="AE9284" s="7"/>
      <c r="AF9284" s="8"/>
      <c r="AG9284" s="7"/>
    </row>
    <row r="9285" spans="11:33" ht="14.5" x14ac:dyDescent="0.35">
      <c r="K9285" s="4"/>
      <c r="AC9285" s="7"/>
      <c r="AD9285" s="7"/>
      <c r="AE9285" s="7"/>
      <c r="AF9285" s="8"/>
      <c r="AG9285" s="7"/>
    </row>
    <row r="9286" spans="11:33" ht="14.5" x14ac:dyDescent="0.35">
      <c r="K9286" s="4"/>
      <c r="AC9286" s="7"/>
      <c r="AD9286" s="7"/>
      <c r="AE9286" s="7"/>
      <c r="AF9286" s="8"/>
      <c r="AG9286" s="7"/>
    </row>
    <row r="9287" spans="11:33" ht="14.5" x14ac:dyDescent="0.35">
      <c r="K9287" s="4"/>
      <c r="AC9287" s="7"/>
      <c r="AD9287" s="7"/>
      <c r="AE9287" s="7"/>
      <c r="AF9287" s="8"/>
      <c r="AG9287" s="7"/>
    </row>
    <row r="9288" spans="11:33" ht="14.5" x14ac:dyDescent="0.35">
      <c r="K9288" s="4"/>
      <c r="AC9288" s="7"/>
      <c r="AD9288" s="7"/>
      <c r="AE9288" s="7"/>
      <c r="AF9288" s="8"/>
      <c r="AG9288" s="7"/>
    </row>
    <row r="9289" spans="11:33" ht="14.5" x14ac:dyDescent="0.35">
      <c r="K9289" s="4"/>
      <c r="AC9289" s="7"/>
      <c r="AD9289" s="7"/>
      <c r="AE9289" s="7"/>
      <c r="AF9289" s="8"/>
      <c r="AG9289" s="7"/>
    </row>
    <row r="9290" spans="11:33" ht="14.5" x14ac:dyDescent="0.35">
      <c r="K9290" s="4"/>
      <c r="AC9290" s="7"/>
      <c r="AD9290" s="7"/>
      <c r="AE9290" s="7"/>
      <c r="AF9290" s="8"/>
      <c r="AG9290" s="7"/>
    </row>
    <row r="9291" spans="11:33" ht="14.5" x14ac:dyDescent="0.35">
      <c r="K9291" s="4"/>
      <c r="AC9291" s="7"/>
      <c r="AD9291" s="7"/>
      <c r="AE9291" s="7"/>
      <c r="AF9291" s="8"/>
      <c r="AG9291" s="7"/>
    </row>
    <row r="9292" spans="11:33" ht="14.5" x14ac:dyDescent="0.35">
      <c r="K9292" s="4"/>
      <c r="AC9292" s="7"/>
      <c r="AD9292" s="7"/>
      <c r="AE9292" s="7"/>
      <c r="AF9292" s="8"/>
      <c r="AG9292" s="7"/>
    </row>
    <row r="9293" spans="11:33" ht="14.5" x14ac:dyDescent="0.35">
      <c r="K9293" s="4"/>
      <c r="AC9293" s="7"/>
      <c r="AD9293" s="7"/>
      <c r="AE9293" s="7"/>
      <c r="AF9293" s="8"/>
      <c r="AG9293" s="7"/>
    </row>
    <row r="9294" spans="11:33" ht="14.5" x14ac:dyDescent="0.35">
      <c r="K9294" s="4"/>
      <c r="AC9294" s="7"/>
      <c r="AD9294" s="7"/>
      <c r="AE9294" s="7"/>
      <c r="AF9294" s="8"/>
      <c r="AG9294" s="7"/>
    </row>
    <row r="9295" spans="11:33" ht="14.5" x14ac:dyDescent="0.35">
      <c r="K9295" s="4"/>
      <c r="AC9295" s="7"/>
      <c r="AD9295" s="7"/>
      <c r="AE9295" s="7"/>
      <c r="AF9295" s="8"/>
      <c r="AG9295" s="7"/>
    </row>
    <row r="9296" spans="11:33" ht="14.5" x14ac:dyDescent="0.35">
      <c r="K9296" s="4"/>
      <c r="AC9296" s="7"/>
      <c r="AD9296" s="7"/>
      <c r="AE9296" s="7"/>
      <c r="AF9296" s="8"/>
      <c r="AG9296" s="7"/>
    </row>
    <row r="9297" spans="11:33" ht="14.5" x14ac:dyDescent="0.35">
      <c r="K9297" s="4"/>
      <c r="AC9297" s="7"/>
      <c r="AD9297" s="7"/>
      <c r="AE9297" s="7"/>
      <c r="AF9297" s="8"/>
      <c r="AG9297" s="7"/>
    </row>
    <row r="9298" spans="11:33" ht="14.5" x14ac:dyDescent="0.35">
      <c r="K9298" s="4"/>
      <c r="AC9298" s="7"/>
      <c r="AD9298" s="7"/>
      <c r="AE9298" s="7"/>
      <c r="AF9298" s="8"/>
      <c r="AG9298" s="7"/>
    </row>
    <row r="9299" spans="11:33" ht="14.5" x14ac:dyDescent="0.35">
      <c r="K9299" s="4"/>
      <c r="AC9299" s="7"/>
      <c r="AD9299" s="7"/>
      <c r="AE9299" s="7"/>
      <c r="AF9299" s="8"/>
      <c r="AG9299" s="7"/>
    </row>
    <row r="9300" spans="11:33" ht="14.5" x14ac:dyDescent="0.35">
      <c r="K9300" s="4"/>
      <c r="AC9300" s="7"/>
      <c r="AD9300" s="7"/>
      <c r="AE9300" s="7"/>
      <c r="AF9300" s="8"/>
      <c r="AG9300" s="7"/>
    </row>
    <row r="9301" spans="11:33" ht="14.5" x14ac:dyDescent="0.35">
      <c r="K9301" s="4"/>
      <c r="AC9301" s="7"/>
      <c r="AD9301" s="7"/>
      <c r="AE9301" s="7"/>
      <c r="AF9301" s="8"/>
      <c r="AG9301" s="7"/>
    </row>
    <row r="9302" spans="11:33" ht="14.5" x14ac:dyDescent="0.35">
      <c r="K9302" s="4"/>
      <c r="AC9302" s="7"/>
      <c r="AD9302" s="7"/>
      <c r="AE9302" s="7"/>
      <c r="AF9302" s="8"/>
      <c r="AG9302" s="7"/>
    </row>
    <row r="9303" spans="11:33" ht="14.5" x14ac:dyDescent="0.35">
      <c r="K9303" s="4"/>
      <c r="AC9303" s="7"/>
      <c r="AD9303" s="7"/>
      <c r="AE9303" s="7"/>
      <c r="AF9303" s="8"/>
      <c r="AG9303" s="7"/>
    </row>
    <row r="9304" spans="11:33" ht="14.5" x14ac:dyDescent="0.35">
      <c r="K9304" s="4"/>
      <c r="AC9304" s="7"/>
      <c r="AD9304" s="7"/>
      <c r="AE9304" s="7"/>
      <c r="AF9304" s="8"/>
      <c r="AG9304" s="7"/>
    </row>
    <row r="9305" spans="11:33" ht="14.5" x14ac:dyDescent="0.35">
      <c r="K9305" s="4"/>
      <c r="AC9305" s="7"/>
      <c r="AD9305" s="7"/>
      <c r="AE9305" s="7"/>
      <c r="AF9305" s="8"/>
      <c r="AG9305" s="7"/>
    </row>
    <row r="9306" spans="11:33" ht="14.5" x14ac:dyDescent="0.35">
      <c r="K9306" s="4"/>
      <c r="AC9306" s="7"/>
      <c r="AD9306" s="7"/>
      <c r="AE9306" s="7"/>
      <c r="AF9306" s="8"/>
      <c r="AG9306" s="7"/>
    </row>
    <row r="9307" spans="11:33" ht="14.5" x14ac:dyDescent="0.35">
      <c r="K9307" s="4"/>
      <c r="AC9307" s="7"/>
      <c r="AD9307" s="7"/>
      <c r="AE9307" s="7"/>
      <c r="AF9307" s="8"/>
      <c r="AG9307" s="7"/>
    </row>
    <row r="9308" spans="11:33" ht="14.5" x14ac:dyDescent="0.35">
      <c r="K9308" s="4"/>
      <c r="AC9308" s="7"/>
      <c r="AD9308" s="7"/>
      <c r="AE9308" s="7"/>
      <c r="AF9308" s="8"/>
      <c r="AG9308" s="7"/>
    </row>
    <row r="9309" spans="11:33" ht="14.5" x14ac:dyDescent="0.35">
      <c r="K9309" s="4"/>
      <c r="AC9309" s="7"/>
      <c r="AD9309" s="7"/>
      <c r="AE9309" s="7"/>
      <c r="AF9309" s="8"/>
      <c r="AG9309" s="7"/>
    </row>
    <row r="9310" spans="11:33" ht="14.5" x14ac:dyDescent="0.35">
      <c r="K9310" s="4"/>
      <c r="AC9310" s="7"/>
      <c r="AD9310" s="7"/>
      <c r="AE9310" s="7"/>
      <c r="AF9310" s="8"/>
      <c r="AG9310" s="7"/>
    </row>
    <row r="9311" spans="11:33" ht="14.5" x14ac:dyDescent="0.35">
      <c r="K9311" s="4"/>
      <c r="AC9311" s="7"/>
      <c r="AD9311" s="7"/>
      <c r="AE9311" s="7"/>
      <c r="AF9311" s="8"/>
      <c r="AG9311" s="7"/>
    </row>
    <row r="9312" spans="11:33" ht="14.5" x14ac:dyDescent="0.35">
      <c r="K9312" s="4"/>
      <c r="AC9312" s="7"/>
      <c r="AD9312" s="7"/>
      <c r="AE9312" s="7"/>
      <c r="AF9312" s="8"/>
      <c r="AG9312" s="7"/>
    </row>
    <row r="9313" spans="11:33" ht="14.5" x14ac:dyDescent="0.35">
      <c r="K9313" s="4"/>
      <c r="AC9313" s="7"/>
      <c r="AD9313" s="7"/>
      <c r="AE9313" s="7"/>
      <c r="AF9313" s="8"/>
      <c r="AG9313" s="7"/>
    </row>
    <row r="9314" spans="11:33" ht="14.5" x14ac:dyDescent="0.35">
      <c r="K9314" s="4"/>
      <c r="AC9314" s="7"/>
      <c r="AD9314" s="7"/>
      <c r="AE9314" s="7"/>
      <c r="AF9314" s="8"/>
      <c r="AG9314" s="7"/>
    </row>
    <row r="9315" spans="11:33" ht="14.5" x14ac:dyDescent="0.35">
      <c r="K9315" s="4"/>
      <c r="AC9315" s="7"/>
      <c r="AD9315" s="7"/>
      <c r="AE9315" s="7"/>
      <c r="AF9315" s="8"/>
      <c r="AG9315" s="7"/>
    </row>
    <row r="9316" spans="11:33" ht="14.5" x14ac:dyDescent="0.35">
      <c r="K9316" s="4"/>
      <c r="AC9316" s="7"/>
      <c r="AD9316" s="7"/>
      <c r="AE9316" s="7"/>
      <c r="AF9316" s="8"/>
      <c r="AG9316" s="7"/>
    </row>
    <row r="9317" spans="11:33" ht="14.5" x14ac:dyDescent="0.35">
      <c r="K9317" s="4"/>
      <c r="AC9317" s="7"/>
      <c r="AD9317" s="7"/>
      <c r="AE9317" s="7"/>
      <c r="AF9317" s="8"/>
      <c r="AG9317" s="7"/>
    </row>
    <row r="9318" spans="11:33" ht="14.5" x14ac:dyDescent="0.35">
      <c r="K9318" s="4"/>
      <c r="AC9318" s="7"/>
      <c r="AD9318" s="7"/>
      <c r="AE9318" s="7"/>
      <c r="AF9318" s="8"/>
      <c r="AG9318" s="7"/>
    </row>
    <row r="9319" spans="11:33" ht="14.5" x14ac:dyDescent="0.35">
      <c r="K9319" s="4"/>
      <c r="AC9319" s="7"/>
      <c r="AD9319" s="7"/>
      <c r="AE9319" s="7"/>
      <c r="AF9319" s="8"/>
      <c r="AG9319" s="7"/>
    </row>
    <row r="9320" spans="11:33" ht="14.5" x14ac:dyDescent="0.35">
      <c r="K9320" s="4"/>
      <c r="AC9320" s="7"/>
      <c r="AD9320" s="7"/>
      <c r="AE9320" s="7"/>
      <c r="AF9320" s="8"/>
      <c r="AG9320" s="7"/>
    </row>
    <row r="9321" spans="11:33" ht="14.5" x14ac:dyDescent="0.35">
      <c r="K9321" s="4"/>
      <c r="AC9321" s="7"/>
      <c r="AD9321" s="7"/>
      <c r="AE9321" s="7"/>
      <c r="AF9321" s="8"/>
      <c r="AG9321" s="7"/>
    </row>
    <row r="9322" spans="11:33" ht="14.5" x14ac:dyDescent="0.35">
      <c r="K9322" s="4"/>
      <c r="AC9322" s="7"/>
      <c r="AD9322" s="7"/>
      <c r="AE9322" s="7"/>
      <c r="AF9322" s="8"/>
      <c r="AG9322" s="7"/>
    </row>
    <row r="9323" spans="11:33" ht="14.5" x14ac:dyDescent="0.35">
      <c r="K9323" s="4"/>
      <c r="AC9323" s="7"/>
      <c r="AD9323" s="7"/>
      <c r="AE9323" s="7"/>
      <c r="AF9323" s="8"/>
      <c r="AG9323" s="7"/>
    </row>
    <row r="9324" spans="11:33" ht="14.5" x14ac:dyDescent="0.35">
      <c r="K9324" s="4"/>
      <c r="AC9324" s="7"/>
      <c r="AD9324" s="7"/>
      <c r="AE9324" s="7"/>
      <c r="AF9324" s="8"/>
      <c r="AG9324" s="7"/>
    </row>
    <row r="9325" spans="11:33" ht="14.5" x14ac:dyDescent="0.35">
      <c r="K9325" s="4"/>
      <c r="AC9325" s="7"/>
      <c r="AD9325" s="7"/>
      <c r="AE9325" s="7"/>
      <c r="AF9325" s="8"/>
      <c r="AG9325" s="7"/>
    </row>
    <row r="9326" spans="11:33" ht="14.5" x14ac:dyDescent="0.35">
      <c r="K9326" s="4"/>
      <c r="AC9326" s="7"/>
      <c r="AD9326" s="7"/>
      <c r="AE9326" s="7"/>
      <c r="AF9326" s="8"/>
      <c r="AG9326" s="7"/>
    </row>
    <row r="9327" spans="11:33" ht="14.5" x14ac:dyDescent="0.35">
      <c r="K9327" s="4"/>
      <c r="AC9327" s="7"/>
      <c r="AD9327" s="7"/>
      <c r="AE9327" s="7"/>
      <c r="AF9327" s="8"/>
      <c r="AG9327" s="7"/>
    </row>
    <row r="9328" spans="11:33" ht="14.5" x14ac:dyDescent="0.35">
      <c r="K9328" s="4"/>
      <c r="AC9328" s="7"/>
      <c r="AD9328" s="7"/>
      <c r="AE9328" s="7"/>
      <c r="AF9328" s="8"/>
      <c r="AG9328" s="7"/>
    </row>
    <row r="9329" spans="11:33" ht="14.5" x14ac:dyDescent="0.35">
      <c r="K9329" s="4"/>
      <c r="AC9329" s="7"/>
      <c r="AD9329" s="7"/>
      <c r="AE9329" s="7"/>
      <c r="AF9329" s="8"/>
      <c r="AG9329" s="7"/>
    </row>
    <row r="9330" spans="11:33" ht="14.5" x14ac:dyDescent="0.35">
      <c r="K9330" s="4"/>
      <c r="AC9330" s="7"/>
      <c r="AD9330" s="7"/>
      <c r="AE9330" s="7"/>
      <c r="AF9330" s="8"/>
      <c r="AG9330" s="7"/>
    </row>
    <row r="9331" spans="11:33" ht="14.5" x14ac:dyDescent="0.35">
      <c r="K9331" s="4"/>
      <c r="AC9331" s="7"/>
      <c r="AD9331" s="7"/>
      <c r="AE9331" s="7"/>
      <c r="AF9331" s="8"/>
      <c r="AG9331" s="7"/>
    </row>
    <row r="9332" spans="11:33" ht="14.5" x14ac:dyDescent="0.35">
      <c r="K9332" s="4"/>
      <c r="AC9332" s="7"/>
      <c r="AD9332" s="7"/>
      <c r="AE9332" s="7"/>
      <c r="AF9332" s="8"/>
      <c r="AG9332" s="7"/>
    </row>
    <row r="9333" spans="11:33" ht="14.5" x14ac:dyDescent="0.35">
      <c r="K9333" s="4"/>
      <c r="AC9333" s="7"/>
      <c r="AD9333" s="7"/>
      <c r="AE9333" s="7"/>
      <c r="AF9333" s="8"/>
      <c r="AG9333" s="7"/>
    </row>
    <row r="9334" spans="11:33" ht="14.5" x14ac:dyDescent="0.35">
      <c r="K9334" s="4"/>
      <c r="AC9334" s="7"/>
      <c r="AD9334" s="7"/>
      <c r="AE9334" s="7"/>
      <c r="AF9334" s="8"/>
      <c r="AG9334" s="7"/>
    </row>
    <row r="9335" spans="11:33" ht="14.5" x14ac:dyDescent="0.35">
      <c r="K9335" s="4"/>
      <c r="AC9335" s="7"/>
      <c r="AD9335" s="7"/>
      <c r="AE9335" s="7"/>
      <c r="AF9335" s="8"/>
      <c r="AG9335" s="7"/>
    </row>
    <row r="9336" spans="11:33" ht="14.5" x14ac:dyDescent="0.35">
      <c r="K9336" s="4"/>
      <c r="AC9336" s="7"/>
      <c r="AD9336" s="7"/>
      <c r="AE9336" s="7"/>
      <c r="AF9336" s="8"/>
      <c r="AG9336" s="7"/>
    </row>
    <row r="9337" spans="11:33" ht="14.5" x14ac:dyDescent="0.35">
      <c r="K9337" s="4"/>
      <c r="AC9337" s="7"/>
      <c r="AD9337" s="7"/>
      <c r="AE9337" s="7"/>
      <c r="AF9337" s="8"/>
      <c r="AG9337" s="7"/>
    </row>
    <row r="9338" spans="11:33" ht="14.5" x14ac:dyDescent="0.35">
      <c r="K9338" s="4"/>
      <c r="AC9338" s="7"/>
      <c r="AD9338" s="7"/>
      <c r="AE9338" s="7"/>
      <c r="AF9338" s="8"/>
      <c r="AG9338" s="7"/>
    </row>
    <row r="9339" spans="11:33" ht="14.5" x14ac:dyDescent="0.35">
      <c r="K9339" s="4"/>
      <c r="AC9339" s="7"/>
      <c r="AD9339" s="7"/>
      <c r="AE9339" s="7"/>
      <c r="AF9339" s="8"/>
      <c r="AG9339" s="7"/>
    </row>
    <row r="9340" spans="11:33" ht="14.5" x14ac:dyDescent="0.35">
      <c r="K9340" s="4"/>
      <c r="AC9340" s="7"/>
      <c r="AD9340" s="7"/>
      <c r="AE9340" s="7"/>
      <c r="AF9340" s="8"/>
      <c r="AG9340" s="7"/>
    </row>
    <row r="9341" spans="11:33" ht="14.5" x14ac:dyDescent="0.35">
      <c r="K9341" s="4"/>
      <c r="AC9341" s="7"/>
      <c r="AD9341" s="7"/>
      <c r="AE9341" s="7"/>
      <c r="AF9341" s="8"/>
      <c r="AG9341" s="7"/>
    </row>
    <row r="9342" spans="11:33" ht="14.5" x14ac:dyDescent="0.35">
      <c r="K9342" s="4"/>
      <c r="AC9342" s="7"/>
      <c r="AD9342" s="7"/>
      <c r="AE9342" s="7"/>
      <c r="AF9342" s="8"/>
      <c r="AG9342" s="7"/>
    </row>
    <row r="9343" spans="11:33" ht="14.5" x14ac:dyDescent="0.35">
      <c r="K9343" s="4"/>
      <c r="AC9343" s="7"/>
      <c r="AD9343" s="7"/>
      <c r="AE9343" s="7"/>
      <c r="AF9343" s="8"/>
      <c r="AG9343" s="7"/>
    </row>
    <row r="9344" spans="11:33" ht="14.5" x14ac:dyDescent="0.35">
      <c r="K9344" s="4"/>
      <c r="AC9344" s="7"/>
      <c r="AD9344" s="7"/>
      <c r="AE9344" s="7"/>
      <c r="AF9344" s="8"/>
      <c r="AG9344" s="7"/>
    </row>
    <row r="9345" spans="11:33" ht="14.5" x14ac:dyDescent="0.35">
      <c r="K9345" s="4"/>
      <c r="AC9345" s="7"/>
      <c r="AD9345" s="7"/>
      <c r="AE9345" s="7"/>
      <c r="AF9345" s="8"/>
      <c r="AG9345" s="7"/>
    </row>
    <row r="9346" spans="11:33" ht="14.5" x14ac:dyDescent="0.35">
      <c r="K9346" s="4"/>
      <c r="AC9346" s="7"/>
      <c r="AD9346" s="7"/>
      <c r="AE9346" s="7"/>
      <c r="AF9346" s="8"/>
      <c r="AG9346" s="7"/>
    </row>
    <row r="9347" spans="11:33" ht="14.5" x14ac:dyDescent="0.35">
      <c r="K9347" s="4"/>
      <c r="AC9347" s="7"/>
      <c r="AD9347" s="7"/>
      <c r="AE9347" s="7"/>
      <c r="AF9347" s="8"/>
      <c r="AG9347" s="7"/>
    </row>
    <row r="9348" spans="11:33" ht="14.5" x14ac:dyDescent="0.35">
      <c r="K9348" s="4"/>
      <c r="AC9348" s="7"/>
      <c r="AD9348" s="7"/>
      <c r="AE9348" s="7"/>
      <c r="AF9348" s="8"/>
      <c r="AG9348" s="7"/>
    </row>
    <row r="9349" spans="11:33" ht="14.5" x14ac:dyDescent="0.35">
      <c r="K9349" s="4"/>
      <c r="AC9349" s="7"/>
      <c r="AD9349" s="7"/>
      <c r="AE9349" s="7"/>
      <c r="AF9349" s="8"/>
      <c r="AG9349" s="7"/>
    </row>
    <row r="9350" spans="11:33" ht="14.5" x14ac:dyDescent="0.35">
      <c r="K9350" s="4"/>
      <c r="AC9350" s="7"/>
      <c r="AD9350" s="7"/>
      <c r="AE9350" s="7"/>
      <c r="AF9350" s="8"/>
      <c r="AG9350" s="7"/>
    </row>
    <row r="9351" spans="11:33" ht="14.5" x14ac:dyDescent="0.35">
      <c r="K9351" s="4"/>
      <c r="AC9351" s="7"/>
      <c r="AD9351" s="7"/>
      <c r="AE9351" s="7"/>
      <c r="AF9351" s="8"/>
      <c r="AG9351" s="7"/>
    </row>
    <row r="9352" spans="11:33" ht="14.5" x14ac:dyDescent="0.35">
      <c r="K9352" s="4"/>
      <c r="AC9352" s="7"/>
      <c r="AD9352" s="7"/>
      <c r="AE9352" s="7"/>
      <c r="AF9352" s="8"/>
      <c r="AG9352" s="7"/>
    </row>
    <row r="9353" spans="11:33" ht="14.5" x14ac:dyDescent="0.35">
      <c r="K9353" s="4"/>
      <c r="AC9353" s="7"/>
      <c r="AD9353" s="7"/>
      <c r="AE9353" s="7"/>
      <c r="AF9353" s="8"/>
      <c r="AG9353" s="7"/>
    </row>
    <row r="9354" spans="11:33" ht="14.5" x14ac:dyDescent="0.35">
      <c r="K9354" s="4"/>
      <c r="AC9354" s="7"/>
      <c r="AD9354" s="7"/>
      <c r="AE9354" s="7"/>
      <c r="AF9354" s="8"/>
      <c r="AG9354" s="7"/>
    </row>
    <row r="9355" spans="11:33" ht="14.5" x14ac:dyDescent="0.35">
      <c r="K9355" s="4"/>
      <c r="AC9355" s="7"/>
      <c r="AD9355" s="7"/>
      <c r="AE9355" s="7"/>
      <c r="AF9355" s="8"/>
      <c r="AG9355" s="7"/>
    </row>
    <row r="9356" spans="11:33" ht="14.5" x14ac:dyDescent="0.35">
      <c r="K9356" s="4"/>
      <c r="AC9356" s="7"/>
      <c r="AD9356" s="7"/>
      <c r="AE9356" s="7"/>
      <c r="AF9356" s="8"/>
      <c r="AG9356" s="7"/>
    </row>
    <row r="9357" spans="11:33" ht="14.5" x14ac:dyDescent="0.35">
      <c r="K9357" s="4"/>
      <c r="AC9357" s="7"/>
      <c r="AD9357" s="7"/>
      <c r="AE9357" s="7"/>
      <c r="AF9357" s="8"/>
      <c r="AG9357" s="7"/>
    </row>
    <row r="9358" spans="11:33" ht="14.5" x14ac:dyDescent="0.35">
      <c r="K9358" s="4"/>
      <c r="AC9358" s="7"/>
      <c r="AD9358" s="7"/>
      <c r="AE9358" s="7"/>
      <c r="AF9358" s="8"/>
      <c r="AG9358" s="7"/>
    </row>
    <row r="9359" spans="11:33" ht="14.5" x14ac:dyDescent="0.35">
      <c r="K9359" s="4"/>
      <c r="AC9359" s="7"/>
      <c r="AD9359" s="7"/>
      <c r="AE9359" s="7"/>
      <c r="AF9359" s="8"/>
      <c r="AG9359" s="7"/>
    </row>
    <row r="9360" spans="11:33" ht="14.5" x14ac:dyDescent="0.35">
      <c r="K9360" s="4"/>
      <c r="AC9360" s="7"/>
      <c r="AD9360" s="7"/>
      <c r="AE9360" s="7"/>
      <c r="AF9360" s="8"/>
      <c r="AG9360" s="7"/>
    </row>
    <row r="9361" spans="11:33" ht="14.5" x14ac:dyDescent="0.35">
      <c r="K9361" s="4"/>
      <c r="AC9361" s="7"/>
      <c r="AD9361" s="7"/>
      <c r="AE9361" s="7"/>
      <c r="AF9361" s="8"/>
      <c r="AG9361" s="7"/>
    </row>
    <row r="9362" spans="11:33" ht="14.5" x14ac:dyDescent="0.35">
      <c r="K9362" s="4"/>
      <c r="AC9362" s="7"/>
      <c r="AD9362" s="7"/>
      <c r="AE9362" s="7"/>
      <c r="AF9362" s="8"/>
      <c r="AG9362" s="7"/>
    </row>
    <row r="9363" spans="11:33" ht="14.5" x14ac:dyDescent="0.35">
      <c r="K9363" s="4"/>
      <c r="AC9363" s="7"/>
      <c r="AD9363" s="7"/>
      <c r="AE9363" s="7"/>
      <c r="AF9363" s="8"/>
      <c r="AG9363" s="7"/>
    </row>
    <row r="9364" spans="11:33" ht="14.5" x14ac:dyDescent="0.35">
      <c r="K9364" s="4"/>
      <c r="AC9364" s="7"/>
      <c r="AD9364" s="7"/>
      <c r="AE9364" s="7"/>
      <c r="AF9364" s="8"/>
      <c r="AG9364" s="7"/>
    </row>
    <row r="9365" spans="11:33" ht="14.5" x14ac:dyDescent="0.35">
      <c r="K9365" s="4"/>
      <c r="AC9365" s="7"/>
      <c r="AD9365" s="7"/>
      <c r="AE9365" s="7"/>
      <c r="AF9365" s="8"/>
      <c r="AG9365" s="7"/>
    </row>
    <row r="9366" spans="11:33" ht="14.5" x14ac:dyDescent="0.35">
      <c r="K9366" s="4"/>
      <c r="AC9366" s="7"/>
      <c r="AD9366" s="7"/>
      <c r="AE9366" s="7"/>
      <c r="AF9366" s="8"/>
      <c r="AG9366" s="7"/>
    </row>
    <row r="9367" spans="11:33" ht="14.5" x14ac:dyDescent="0.35">
      <c r="K9367" s="4"/>
      <c r="AC9367" s="7"/>
      <c r="AD9367" s="7"/>
      <c r="AE9367" s="7"/>
      <c r="AF9367" s="8"/>
      <c r="AG9367" s="7"/>
    </row>
    <row r="9368" spans="11:33" ht="14.5" x14ac:dyDescent="0.35">
      <c r="K9368" s="4"/>
      <c r="AC9368" s="7"/>
      <c r="AD9368" s="7"/>
      <c r="AE9368" s="7"/>
      <c r="AF9368" s="8"/>
      <c r="AG9368" s="7"/>
    </row>
    <row r="9369" spans="11:33" ht="14.5" x14ac:dyDescent="0.35">
      <c r="K9369" s="4"/>
      <c r="AC9369" s="7"/>
      <c r="AD9369" s="7"/>
      <c r="AE9369" s="7"/>
      <c r="AF9369" s="8"/>
      <c r="AG9369" s="7"/>
    </row>
    <row r="9370" spans="11:33" ht="14.5" x14ac:dyDescent="0.35">
      <c r="K9370" s="4"/>
      <c r="AC9370" s="7"/>
      <c r="AD9370" s="7"/>
      <c r="AE9370" s="7"/>
      <c r="AF9370" s="8"/>
      <c r="AG9370" s="7"/>
    </row>
    <row r="9371" spans="11:33" ht="14.5" x14ac:dyDescent="0.35">
      <c r="K9371" s="4"/>
      <c r="AC9371" s="7"/>
      <c r="AD9371" s="7"/>
      <c r="AE9371" s="7"/>
      <c r="AF9371" s="8"/>
      <c r="AG9371" s="7"/>
    </row>
    <row r="9372" spans="11:33" ht="14.5" x14ac:dyDescent="0.35">
      <c r="K9372" s="4"/>
      <c r="AC9372" s="7"/>
      <c r="AD9372" s="7"/>
      <c r="AE9372" s="7"/>
      <c r="AF9372" s="8"/>
      <c r="AG9372" s="7"/>
    </row>
    <row r="9373" spans="11:33" ht="14.5" x14ac:dyDescent="0.35">
      <c r="K9373" s="4"/>
      <c r="AC9373" s="7"/>
      <c r="AD9373" s="7"/>
      <c r="AE9373" s="7"/>
      <c r="AF9373" s="8"/>
      <c r="AG9373" s="7"/>
    </row>
    <row r="9374" spans="11:33" ht="14.5" x14ac:dyDescent="0.35">
      <c r="K9374" s="4"/>
      <c r="AC9374" s="7"/>
      <c r="AD9374" s="7"/>
      <c r="AE9374" s="7"/>
      <c r="AF9374" s="8"/>
      <c r="AG9374" s="7"/>
    </row>
    <row r="9375" spans="11:33" ht="14.5" x14ac:dyDescent="0.35">
      <c r="K9375" s="4"/>
      <c r="AC9375" s="7"/>
      <c r="AD9375" s="7"/>
      <c r="AE9375" s="7"/>
      <c r="AF9375" s="8"/>
      <c r="AG9375" s="7"/>
    </row>
    <row r="9376" spans="11:33" ht="14.5" x14ac:dyDescent="0.35">
      <c r="K9376" s="4"/>
      <c r="AC9376" s="7"/>
      <c r="AD9376" s="7"/>
      <c r="AE9376" s="7"/>
      <c r="AF9376" s="8"/>
      <c r="AG9376" s="7"/>
    </row>
    <row r="9377" spans="11:33" ht="14.5" x14ac:dyDescent="0.35">
      <c r="K9377" s="4"/>
      <c r="AC9377" s="7"/>
      <c r="AD9377" s="7"/>
      <c r="AE9377" s="7"/>
      <c r="AF9377" s="8"/>
      <c r="AG9377" s="7"/>
    </row>
    <row r="9378" spans="11:33" ht="14.5" x14ac:dyDescent="0.35">
      <c r="K9378" s="4"/>
      <c r="AC9378" s="7"/>
      <c r="AD9378" s="7"/>
      <c r="AE9378" s="7"/>
      <c r="AF9378" s="8"/>
      <c r="AG9378" s="7"/>
    </row>
    <row r="9379" spans="11:33" ht="14.5" x14ac:dyDescent="0.35">
      <c r="K9379" s="4"/>
      <c r="AC9379" s="7"/>
      <c r="AD9379" s="7"/>
      <c r="AE9379" s="7"/>
      <c r="AF9379" s="8"/>
      <c r="AG9379" s="7"/>
    </row>
    <row r="9380" spans="11:33" ht="14.5" x14ac:dyDescent="0.35">
      <c r="K9380" s="4"/>
      <c r="AC9380" s="7"/>
      <c r="AD9380" s="7"/>
      <c r="AE9380" s="7"/>
      <c r="AF9380" s="8"/>
      <c r="AG9380" s="7"/>
    </row>
    <row r="9381" spans="11:33" ht="14.5" x14ac:dyDescent="0.35">
      <c r="K9381" s="4"/>
      <c r="AC9381" s="7"/>
      <c r="AD9381" s="7"/>
      <c r="AE9381" s="7"/>
      <c r="AF9381" s="8"/>
      <c r="AG9381" s="7"/>
    </row>
    <row r="9382" spans="11:33" ht="14.5" x14ac:dyDescent="0.35">
      <c r="K9382" s="4"/>
      <c r="AC9382" s="7"/>
      <c r="AD9382" s="7"/>
      <c r="AE9382" s="7"/>
      <c r="AF9382" s="8"/>
      <c r="AG9382" s="7"/>
    </row>
    <row r="9383" spans="11:33" ht="14.5" x14ac:dyDescent="0.35">
      <c r="K9383" s="4"/>
      <c r="AC9383" s="7"/>
      <c r="AD9383" s="7"/>
      <c r="AE9383" s="7"/>
      <c r="AF9383" s="8"/>
      <c r="AG9383" s="7"/>
    </row>
    <row r="9384" spans="11:33" ht="14.5" x14ac:dyDescent="0.35">
      <c r="K9384" s="4"/>
      <c r="AC9384" s="7"/>
      <c r="AD9384" s="7"/>
      <c r="AE9384" s="7"/>
      <c r="AF9384" s="8"/>
      <c r="AG9384" s="7"/>
    </row>
    <row r="9385" spans="11:33" ht="14.5" x14ac:dyDescent="0.35">
      <c r="K9385" s="4"/>
      <c r="AC9385" s="7"/>
      <c r="AD9385" s="7"/>
      <c r="AE9385" s="7"/>
      <c r="AF9385" s="8"/>
      <c r="AG9385" s="7"/>
    </row>
    <row r="9386" spans="11:33" ht="14.5" x14ac:dyDescent="0.35">
      <c r="K9386" s="4"/>
      <c r="AC9386" s="7"/>
      <c r="AD9386" s="7"/>
      <c r="AE9386" s="7"/>
      <c r="AF9386" s="8"/>
      <c r="AG9386" s="7"/>
    </row>
    <row r="9387" spans="11:33" ht="14.5" x14ac:dyDescent="0.35">
      <c r="K9387" s="4"/>
      <c r="AC9387" s="7"/>
      <c r="AD9387" s="7"/>
      <c r="AE9387" s="7"/>
      <c r="AF9387" s="8"/>
      <c r="AG9387" s="7"/>
    </row>
    <row r="9388" spans="11:33" ht="14.5" x14ac:dyDescent="0.35">
      <c r="K9388" s="4"/>
      <c r="AC9388" s="7"/>
      <c r="AD9388" s="7"/>
      <c r="AE9388" s="7"/>
      <c r="AF9388" s="8"/>
      <c r="AG9388" s="7"/>
    </row>
    <row r="9389" spans="11:33" ht="14.5" x14ac:dyDescent="0.35">
      <c r="K9389" s="4"/>
      <c r="AC9389" s="7"/>
      <c r="AD9389" s="7"/>
      <c r="AE9389" s="7"/>
      <c r="AF9389" s="8"/>
      <c r="AG9389" s="7"/>
    </row>
    <row r="9390" spans="11:33" ht="14.5" x14ac:dyDescent="0.35">
      <c r="K9390" s="4"/>
      <c r="AC9390" s="7"/>
      <c r="AD9390" s="7"/>
      <c r="AE9390" s="7"/>
      <c r="AF9390" s="8"/>
      <c r="AG9390" s="7"/>
    </row>
    <row r="9391" spans="11:33" ht="14.5" x14ac:dyDescent="0.35">
      <c r="K9391" s="4"/>
      <c r="AC9391" s="7"/>
      <c r="AD9391" s="7"/>
      <c r="AE9391" s="7"/>
      <c r="AF9391" s="8"/>
      <c r="AG9391" s="7"/>
    </row>
    <row r="9392" spans="11:33" ht="14.5" x14ac:dyDescent="0.35">
      <c r="K9392" s="4"/>
      <c r="AC9392" s="7"/>
      <c r="AD9392" s="7"/>
      <c r="AE9392" s="7"/>
      <c r="AF9392" s="8"/>
      <c r="AG9392" s="7"/>
    </row>
    <row r="9393" spans="11:33" ht="14.5" x14ac:dyDescent="0.35">
      <c r="K9393" s="4"/>
      <c r="AC9393" s="7"/>
      <c r="AD9393" s="7"/>
      <c r="AE9393" s="7"/>
      <c r="AF9393" s="8"/>
      <c r="AG9393" s="7"/>
    </row>
    <row r="9394" spans="11:33" ht="14.5" x14ac:dyDescent="0.35">
      <c r="K9394" s="4"/>
      <c r="AC9394" s="7"/>
      <c r="AD9394" s="7"/>
      <c r="AE9394" s="7"/>
      <c r="AF9394" s="8"/>
      <c r="AG9394" s="7"/>
    </row>
    <row r="9395" spans="11:33" ht="14.5" x14ac:dyDescent="0.35">
      <c r="K9395" s="4"/>
      <c r="AC9395" s="7"/>
      <c r="AD9395" s="7"/>
      <c r="AE9395" s="7"/>
      <c r="AF9395" s="8"/>
      <c r="AG9395" s="7"/>
    </row>
    <row r="9396" spans="11:33" ht="14.5" x14ac:dyDescent="0.35">
      <c r="K9396" s="4"/>
      <c r="AC9396" s="7"/>
      <c r="AD9396" s="7"/>
      <c r="AE9396" s="7"/>
      <c r="AF9396" s="8"/>
      <c r="AG9396" s="7"/>
    </row>
    <row r="9397" spans="11:33" ht="14.5" x14ac:dyDescent="0.35">
      <c r="K9397" s="4"/>
      <c r="AC9397" s="7"/>
      <c r="AD9397" s="7"/>
      <c r="AE9397" s="7"/>
      <c r="AF9397" s="8"/>
      <c r="AG9397" s="7"/>
    </row>
    <row r="9398" spans="11:33" ht="14.5" x14ac:dyDescent="0.35">
      <c r="K9398" s="4"/>
      <c r="AC9398" s="7"/>
      <c r="AD9398" s="7"/>
      <c r="AE9398" s="7"/>
      <c r="AF9398" s="8"/>
      <c r="AG9398" s="7"/>
    </row>
    <row r="9399" spans="11:33" ht="14.5" x14ac:dyDescent="0.35">
      <c r="K9399" s="4"/>
      <c r="AC9399" s="7"/>
      <c r="AD9399" s="7"/>
      <c r="AE9399" s="7"/>
      <c r="AF9399" s="8"/>
      <c r="AG9399" s="7"/>
    </row>
    <row r="9400" spans="11:33" ht="14.5" x14ac:dyDescent="0.35">
      <c r="K9400" s="4"/>
      <c r="AC9400" s="7"/>
      <c r="AD9400" s="7"/>
      <c r="AE9400" s="7"/>
      <c r="AF9400" s="8"/>
      <c r="AG9400" s="7"/>
    </row>
    <row r="9401" spans="11:33" ht="14.5" x14ac:dyDescent="0.35">
      <c r="K9401" s="4"/>
      <c r="AC9401" s="7"/>
      <c r="AD9401" s="7"/>
      <c r="AE9401" s="7"/>
      <c r="AF9401" s="8"/>
      <c r="AG9401" s="7"/>
    </row>
    <row r="9402" spans="11:33" ht="14.5" x14ac:dyDescent="0.35">
      <c r="K9402" s="4"/>
      <c r="AC9402" s="7"/>
      <c r="AD9402" s="7"/>
      <c r="AE9402" s="7"/>
      <c r="AF9402" s="8"/>
      <c r="AG9402" s="7"/>
    </row>
    <row r="9403" spans="11:33" ht="14.5" x14ac:dyDescent="0.35">
      <c r="K9403" s="4"/>
      <c r="AC9403" s="7"/>
      <c r="AD9403" s="7"/>
      <c r="AE9403" s="7"/>
      <c r="AF9403" s="8"/>
      <c r="AG9403" s="7"/>
    </row>
    <row r="9404" spans="11:33" ht="14.5" x14ac:dyDescent="0.35">
      <c r="K9404" s="4"/>
      <c r="AC9404" s="7"/>
      <c r="AD9404" s="7"/>
      <c r="AE9404" s="7"/>
      <c r="AF9404" s="8"/>
      <c r="AG9404" s="7"/>
    </row>
    <row r="9405" spans="11:33" ht="14.5" x14ac:dyDescent="0.35">
      <c r="K9405" s="4"/>
      <c r="AC9405" s="7"/>
      <c r="AD9405" s="7"/>
      <c r="AE9405" s="7"/>
      <c r="AF9405" s="8"/>
      <c r="AG9405" s="7"/>
    </row>
    <row r="9406" spans="11:33" ht="14.5" x14ac:dyDescent="0.35">
      <c r="K9406" s="4"/>
      <c r="AC9406" s="7"/>
      <c r="AD9406" s="7"/>
      <c r="AE9406" s="7"/>
      <c r="AF9406" s="8"/>
      <c r="AG9406" s="7"/>
    </row>
    <row r="9407" spans="11:33" ht="14.5" x14ac:dyDescent="0.35">
      <c r="K9407" s="4"/>
      <c r="AC9407" s="7"/>
      <c r="AD9407" s="7"/>
      <c r="AE9407" s="7"/>
      <c r="AF9407" s="8"/>
      <c r="AG9407" s="7"/>
    </row>
    <row r="9408" spans="11:33" ht="14.5" x14ac:dyDescent="0.35">
      <c r="K9408" s="4"/>
      <c r="AC9408" s="7"/>
      <c r="AD9408" s="7"/>
      <c r="AE9408" s="7"/>
      <c r="AF9408" s="8"/>
      <c r="AG9408" s="7"/>
    </row>
    <row r="9409" spans="11:33" ht="14.5" x14ac:dyDescent="0.35">
      <c r="K9409" s="4"/>
      <c r="AC9409" s="7"/>
      <c r="AD9409" s="7"/>
      <c r="AE9409" s="7"/>
      <c r="AF9409" s="8"/>
      <c r="AG9409" s="7"/>
    </row>
    <row r="9410" spans="11:33" ht="14.5" x14ac:dyDescent="0.35">
      <c r="K9410" s="4"/>
      <c r="AC9410" s="7"/>
      <c r="AD9410" s="7"/>
      <c r="AE9410" s="7"/>
      <c r="AF9410" s="8"/>
      <c r="AG9410" s="7"/>
    </row>
    <row r="9411" spans="11:33" ht="14.5" x14ac:dyDescent="0.35">
      <c r="K9411" s="4"/>
      <c r="AC9411" s="7"/>
      <c r="AD9411" s="7"/>
      <c r="AE9411" s="7"/>
      <c r="AF9411" s="8"/>
      <c r="AG9411" s="7"/>
    </row>
    <row r="9412" spans="11:33" ht="14.5" x14ac:dyDescent="0.35">
      <c r="K9412" s="4"/>
      <c r="AC9412" s="7"/>
      <c r="AD9412" s="7"/>
      <c r="AE9412" s="7"/>
      <c r="AF9412" s="8"/>
      <c r="AG9412" s="7"/>
    </row>
    <row r="9413" spans="11:33" ht="14.5" x14ac:dyDescent="0.35">
      <c r="K9413" s="4"/>
      <c r="AC9413" s="7"/>
      <c r="AD9413" s="7"/>
      <c r="AE9413" s="7"/>
      <c r="AF9413" s="8"/>
      <c r="AG9413" s="7"/>
    </row>
    <row r="9414" spans="11:33" ht="14.5" x14ac:dyDescent="0.35">
      <c r="K9414" s="4"/>
      <c r="AC9414" s="7"/>
      <c r="AD9414" s="7"/>
      <c r="AE9414" s="7"/>
      <c r="AF9414" s="8"/>
      <c r="AG9414" s="7"/>
    </row>
    <row r="9415" spans="11:33" ht="14.5" x14ac:dyDescent="0.35">
      <c r="K9415" s="4"/>
      <c r="AC9415" s="7"/>
      <c r="AD9415" s="7"/>
      <c r="AE9415" s="7"/>
      <c r="AF9415" s="8"/>
      <c r="AG9415" s="7"/>
    </row>
    <row r="9416" spans="11:33" ht="14.5" x14ac:dyDescent="0.35">
      <c r="K9416" s="4"/>
      <c r="AC9416" s="7"/>
      <c r="AD9416" s="7"/>
      <c r="AE9416" s="7"/>
      <c r="AF9416" s="8"/>
      <c r="AG9416" s="7"/>
    </row>
    <row r="9417" spans="11:33" ht="14.5" x14ac:dyDescent="0.35">
      <c r="K9417" s="4"/>
      <c r="AC9417" s="7"/>
      <c r="AD9417" s="7"/>
      <c r="AE9417" s="7"/>
      <c r="AF9417" s="8"/>
      <c r="AG9417" s="7"/>
    </row>
    <row r="9418" spans="11:33" ht="14.5" x14ac:dyDescent="0.35">
      <c r="K9418" s="4"/>
      <c r="AC9418" s="7"/>
      <c r="AD9418" s="7"/>
      <c r="AE9418" s="7"/>
      <c r="AF9418" s="8"/>
      <c r="AG9418" s="7"/>
    </row>
    <row r="9419" spans="11:33" ht="14.5" x14ac:dyDescent="0.35">
      <c r="K9419" s="4"/>
      <c r="AC9419" s="7"/>
      <c r="AD9419" s="7"/>
      <c r="AE9419" s="7"/>
      <c r="AF9419" s="8"/>
      <c r="AG9419" s="7"/>
    </row>
    <row r="9420" spans="11:33" ht="14.5" x14ac:dyDescent="0.35">
      <c r="K9420" s="4"/>
      <c r="AC9420" s="7"/>
      <c r="AD9420" s="7"/>
      <c r="AE9420" s="7"/>
      <c r="AF9420" s="8"/>
      <c r="AG9420" s="7"/>
    </row>
    <row r="9421" spans="11:33" ht="14.5" x14ac:dyDescent="0.35">
      <c r="K9421" s="4"/>
      <c r="AC9421" s="7"/>
      <c r="AD9421" s="7"/>
      <c r="AE9421" s="7"/>
      <c r="AF9421" s="8"/>
      <c r="AG9421" s="7"/>
    </row>
    <row r="9422" spans="11:33" ht="14.5" x14ac:dyDescent="0.35">
      <c r="K9422" s="4"/>
      <c r="AC9422" s="7"/>
      <c r="AD9422" s="7"/>
      <c r="AE9422" s="7"/>
      <c r="AF9422" s="8"/>
      <c r="AG9422" s="7"/>
    </row>
    <row r="9423" spans="11:33" ht="14.5" x14ac:dyDescent="0.35">
      <c r="K9423" s="4"/>
      <c r="AC9423" s="7"/>
      <c r="AD9423" s="7"/>
      <c r="AE9423" s="7"/>
      <c r="AF9423" s="8"/>
      <c r="AG9423" s="7"/>
    </row>
    <row r="9424" spans="11:33" ht="14.5" x14ac:dyDescent="0.35">
      <c r="K9424" s="4"/>
      <c r="AC9424" s="7"/>
      <c r="AD9424" s="7"/>
      <c r="AE9424" s="7"/>
      <c r="AF9424" s="8"/>
      <c r="AG9424" s="7"/>
    </row>
    <row r="9425" spans="11:33" ht="14.5" x14ac:dyDescent="0.35">
      <c r="K9425" s="4"/>
      <c r="AC9425" s="7"/>
      <c r="AD9425" s="7"/>
      <c r="AE9425" s="7"/>
      <c r="AF9425" s="8"/>
      <c r="AG9425" s="7"/>
    </row>
    <row r="9426" spans="11:33" ht="14.5" x14ac:dyDescent="0.35">
      <c r="K9426" s="4"/>
      <c r="AC9426" s="7"/>
      <c r="AD9426" s="7"/>
      <c r="AE9426" s="7"/>
      <c r="AF9426" s="8"/>
      <c r="AG9426" s="7"/>
    </row>
    <row r="9427" spans="11:33" ht="14.5" x14ac:dyDescent="0.35">
      <c r="K9427" s="4"/>
      <c r="AC9427" s="7"/>
      <c r="AD9427" s="7"/>
      <c r="AE9427" s="7"/>
      <c r="AF9427" s="8"/>
      <c r="AG9427" s="7"/>
    </row>
    <row r="9428" spans="11:33" ht="14.5" x14ac:dyDescent="0.35">
      <c r="K9428" s="4"/>
      <c r="AC9428" s="7"/>
      <c r="AD9428" s="7"/>
      <c r="AE9428" s="7"/>
      <c r="AF9428" s="8"/>
      <c r="AG9428" s="7"/>
    </row>
    <row r="9429" spans="11:33" ht="14.5" x14ac:dyDescent="0.35">
      <c r="K9429" s="4"/>
      <c r="AC9429" s="7"/>
      <c r="AD9429" s="7"/>
      <c r="AE9429" s="7"/>
      <c r="AF9429" s="8"/>
      <c r="AG9429" s="7"/>
    </row>
    <row r="9430" spans="11:33" ht="14.5" x14ac:dyDescent="0.35">
      <c r="K9430" s="4"/>
      <c r="AC9430" s="7"/>
      <c r="AD9430" s="7"/>
      <c r="AE9430" s="7"/>
      <c r="AF9430" s="8"/>
      <c r="AG9430" s="7"/>
    </row>
    <row r="9431" spans="11:33" ht="14.5" x14ac:dyDescent="0.35">
      <c r="K9431" s="4"/>
      <c r="AC9431" s="7"/>
      <c r="AD9431" s="7"/>
      <c r="AE9431" s="7"/>
      <c r="AF9431" s="8"/>
      <c r="AG9431" s="7"/>
    </row>
    <row r="9432" spans="11:33" ht="14.5" x14ac:dyDescent="0.35">
      <c r="K9432" s="4"/>
      <c r="AC9432" s="7"/>
      <c r="AD9432" s="7"/>
      <c r="AE9432" s="7"/>
      <c r="AF9432" s="8"/>
      <c r="AG9432" s="7"/>
    </row>
    <row r="9433" spans="11:33" ht="14.5" x14ac:dyDescent="0.35">
      <c r="K9433" s="4"/>
      <c r="AC9433" s="7"/>
      <c r="AD9433" s="7"/>
      <c r="AE9433" s="7"/>
      <c r="AF9433" s="8"/>
      <c r="AG9433" s="7"/>
    </row>
    <row r="9434" spans="11:33" ht="14.5" x14ac:dyDescent="0.35">
      <c r="K9434" s="4"/>
      <c r="AC9434" s="7"/>
      <c r="AD9434" s="7"/>
      <c r="AE9434" s="7"/>
      <c r="AF9434" s="8"/>
      <c r="AG9434" s="7"/>
    </row>
    <row r="9435" spans="11:33" ht="14.5" x14ac:dyDescent="0.35">
      <c r="K9435" s="4"/>
      <c r="AC9435" s="7"/>
      <c r="AD9435" s="7"/>
      <c r="AE9435" s="7"/>
      <c r="AF9435" s="8"/>
      <c r="AG9435" s="7"/>
    </row>
    <row r="9436" spans="11:33" ht="14.5" x14ac:dyDescent="0.35">
      <c r="K9436" s="4"/>
      <c r="AC9436" s="7"/>
      <c r="AD9436" s="7"/>
      <c r="AE9436" s="7"/>
      <c r="AF9436" s="8"/>
      <c r="AG9436" s="7"/>
    </row>
    <row r="9437" spans="11:33" ht="14.5" x14ac:dyDescent="0.35">
      <c r="K9437" s="4"/>
      <c r="AC9437" s="7"/>
      <c r="AD9437" s="7"/>
      <c r="AE9437" s="7"/>
      <c r="AF9437" s="8"/>
      <c r="AG9437" s="7"/>
    </row>
    <row r="9438" spans="11:33" ht="14.5" x14ac:dyDescent="0.35">
      <c r="K9438" s="4"/>
      <c r="AC9438" s="7"/>
      <c r="AD9438" s="7"/>
      <c r="AE9438" s="7"/>
      <c r="AF9438" s="8"/>
      <c r="AG9438" s="7"/>
    </row>
    <row r="9439" spans="11:33" ht="14.5" x14ac:dyDescent="0.35">
      <c r="K9439" s="4"/>
      <c r="AC9439" s="7"/>
      <c r="AD9439" s="7"/>
      <c r="AE9439" s="7"/>
      <c r="AF9439" s="8"/>
      <c r="AG9439" s="7"/>
    </row>
    <row r="9440" spans="11:33" ht="14.5" x14ac:dyDescent="0.35">
      <c r="K9440" s="4"/>
      <c r="AC9440" s="7"/>
      <c r="AD9440" s="7"/>
      <c r="AE9440" s="7"/>
      <c r="AF9440" s="8"/>
      <c r="AG9440" s="7"/>
    </row>
    <row r="9441" spans="11:33" ht="14.5" x14ac:dyDescent="0.35">
      <c r="K9441" s="4"/>
      <c r="AC9441" s="7"/>
      <c r="AD9441" s="7"/>
      <c r="AE9441" s="7"/>
      <c r="AF9441" s="8"/>
      <c r="AG9441" s="7"/>
    </row>
    <row r="9442" spans="11:33" ht="14.5" x14ac:dyDescent="0.35">
      <c r="K9442" s="4"/>
      <c r="AC9442" s="7"/>
      <c r="AD9442" s="7"/>
      <c r="AE9442" s="7"/>
      <c r="AF9442" s="8"/>
      <c r="AG9442" s="7"/>
    </row>
    <row r="9443" spans="11:33" ht="14.5" x14ac:dyDescent="0.35">
      <c r="K9443" s="4"/>
      <c r="AC9443" s="7"/>
      <c r="AD9443" s="7"/>
      <c r="AE9443" s="7"/>
      <c r="AF9443" s="8"/>
      <c r="AG9443" s="7"/>
    </row>
    <row r="9444" spans="11:33" ht="14.5" x14ac:dyDescent="0.35">
      <c r="K9444" s="4"/>
      <c r="AC9444" s="7"/>
      <c r="AD9444" s="7"/>
      <c r="AE9444" s="7"/>
      <c r="AF9444" s="8"/>
      <c r="AG9444" s="7"/>
    </row>
    <row r="9445" spans="11:33" ht="14.5" x14ac:dyDescent="0.35">
      <c r="K9445" s="4"/>
      <c r="AC9445" s="7"/>
      <c r="AD9445" s="7"/>
      <c r="AE9445" s="7"/>
      <c r="AF9445" s="8"/>
      <c r="AG9445" s="7"/>
    </row>
    <row r="9446" spans="11:33" ht="14.5" x14ac:dyDescent="0.35">
      <c r="K9446" s="4"/>
      <c r="AC9446" s="7"/>
      <c r="AD9446" s="7"/>
      <c r="AE9446" s="7"/>
      <c r="AF9446" s="8"/>
      <c r="AG9446" s="7"/>
    </row>
    <row r="9447" spans="11:33" ht="14.5" x14ac:dyDescent="0.35">
      <c r="K9447" s="4"/>
      <c r="AC9447" s="7"/>
      <c r="AD9447" s="7"/>
      <c r="AE9447" s="7"/>
      <c r="AF9447" s="8"/>
      <c r="AG9447" s="7"/>
    </row>
    <row r="9448" spans="11:33" ht="14.5" x14ac:dyDescent="0.35">
      <c r="K9448" s="4"/>
      <c r="AC9448" s="7"/>
      <c r="AD9448" s="7"/>
      <c r="AE9448" s="7"/>
      <c r="AF9448" s="8"/>
      <c r="AG9448" s="7"/>
    </row>
    <row r="9449" spans="11:33" ht="14.5" x14ac:dyDescent="0.35">
      <c r="K9449" s="4"/>
      <c r="AC9449" s="7"/>
      <c r="AD9449" s="7"/>
      <c r="AE9449" s="7"/>
      <c r="AF9449" s="8"/>
      <c r="AG9449" s="7"/>
    </row>
    <row r="9450" spans="11:33" ht="14.5" x14ac:dyDescent="0.35">
      <c r="K9450" s="4"/>
      <c r="AC9450" s="7"/>
      <c r="AD9450" s="7"/>
      <c r="AE9450" s="7"/>
      <c r="AF9450" s="8"/>
      <c r="AG9450" s="7"/>
    </row>
    <row r="9451" spans="11:33" ht="14.5" x14ac:dyDescent="0.35">
      <c r="K9451" s="4"/>
      <c r="AC9451" s="7"/>
      <c r="AD9451" s="7"/>
      <c r="AE9451" s="7"/>
      <c r="AF9451" s="8"/>
      <c r="AG9451" s="7"/>
    </row>
    <row r="9452" spans="11:33" ht="14.5" x14ac:dyDescent="0.35">
      <c r="K9452" s="4"/>
      <c r="AC9452" s="7"/>
      <c r="AD9452" s="7"/>
      <c r="AE9452" s="7"/>
      <c r="AF9452" s="8"/>
      <c r="AG9452" s="7"/>
    </row>
    <row r="9453" spans="11:33" ht="14.5" x14ac:dyDescent="0.35">
      <c r="K9453" s="4"/>
      <c r="AC9453" s="7"/>
      <c r="AD9453" s="7"/>
      <c r="AE9453" s="7"/>
      <c r="AF9453" s="8"/>
      <c r="AG9453" s="7"/>
    </row>
    <row r="9454" spans="11:33" ht="14.5" x14ac:dyDescent="0.35">
      <c r="K9454" s="4"/>
      <c r="AC9454" s="7"/>
      <c r="AD9454" s="7"/>
      <c r="AE9454" s="7"/>
      <c r="AF9454" s="8"/>
      <c r="AG9454" s="7"/>
    </row>
    <row r="9455" spans="11:33" ht="14.5" x14ac:dyDescent="0.35">
      <c r="K9455" s="4"/>
      <c r="AC9455" s="7"/>
      <c r="AD9455" s="7"/>
      <c r="AE9455" s="7"/>
      <c r="AF9455" s="8"/>
      <c r="AG9455" s="7"/>
    </row>
    <row r="9456" spans="11:33" ht="14.5" x14ac:dyDescent="0.35">
      <c r="K9456" s="4"/>
      <c r="AC9456" s="7"/>
      <c r="AD9456" s="7"/>
      <c r="AE9456" s="7"/>
      <c r="AF9456" s="8"/>
      <c r="AG9456" s="7"/>
    </row>
    <row r="9457" spans="11:33" ht="14.5" x14ac:dyDescent="0.35">
      <c r="K9457" s="4"/>
      <c r="AC9457" s="7"/>
      <c r="AD9457" s="7"/>
      <c r="AE9457" s="7"/>
      <c r="AF9457" s="8"/>
      <c r="AG9457" s="7"/>
    </row>
    <row r="9458" spans="11:33" ht="14.5" x14ac:dyDescent="0.35">
      <c r="K9458" s="4"/>
      <c r="AC9458" s="7"/>
      <c r="AD9458" s="7"/>
      <c r="AE9458" s="7"/>
      <c r="AF9458" s="8"/>
      <c r="AG9458" s="7"/>
    </row>
    <row r="9459" spans="11:33" ht="14.5" x14ac:dyDescent="0.35">
      <c r="K9459" s="4"/>
      <c r="AC9459" s="7"/>
      <c r="AD9459" s="7"/>
      <c r="AE9459" s="7"/>
      <c r="AF9459" s="8"/>
      <c r="AG9459" s="7"/>
    </row>
    <row r="9460" spans="11:33" ht="14.5" x14ac:dyDescent="0.35">
      <c r="K9460" s="4"/>
      <c r="AC9460" s="7"/>
      <c r="AD9460" s="7"/>
      <c r="AE9460" s="7"/>
      <c r="AF9460" s="8"/>
      <c r="AG9460" s="7"/>
    </row>
    <row r="9461" spans="11:33" ht="14.5" x14ac:dyDescent="0.35">
      <c r="K9461" s="4"/>
      <c r="AC9461" s="7"/>
      <c r="AD9461" s="7"/>
      <c r="AE9461" s="7"/>
      <c r="AF9461" s="8"/>
      <c r="AG9461" s="7"/>
    </row>
    <row r="9462" spans="11:33" ht="14.5" x14ac:dyDescent="0.35">
      <c r="K9462" s="4"/>
      <c r="AC9462" s="7"/>
      <c r="AD9462" s="7"/>
      <c r="AE9462" s="7"/>
      <c r="AF9462" s="8"/>
      <c r="AG9462" s="7"/>
    </row>
    <row r="9463" spans="11:33" ht="14.5" x14ac:dyDescent="0.35">
      <c r="K9463" s="4"/>
      <c r="AC9463" s="7"/>
      <c r="AD9463" s="7"/>
      <c r="AE9463" s="7"/>
      <c r="AF9463" s="8"/>
      <c r="AG9463" s="7"/>
    </row>
    <row r="9464" spans="11:33" ht="14.5" x14ac:dyDescent="0.35">
      <c r="K9464" s="4"/>
      <c r="AC9464" s="7"/>
      <c r="AD9464" s="7"/>
      <c r="AE9464" s="7"/>
      <c r="AF9464" s="8"/>
      <c r="AG9464" s="7"/>
    </row>
    <row r="9465" spans="11:33" ht="14.5" x14ac:dyDescent="0.35">
      <c r="K9465" s="4"/>
      <c r="AC9465" s="7"/>
      <c r="AD9465" s="7"/>
      <c r="AE9465" s="7"/>
      <c r="AF9465" s="8"/>
      <c r="AG9465" s="7"/>
    </row>
    <row r="9466" spans="11:33" ht="14.5" x14ac:dyDescent="0.35">
      <c r="K9466" s="4"/>
      <c r="AC9466" s="7"/>
      <c r="AD9466" s="7"/>
      <c r="AE9466" s="7"/>
      <c r="AF9466" s="8"/>
      <c r="AG9466" s="7"/>
    </row>
    <row r="9467" spans="11:33" ht="14.5" x14ac:dyDescent="0.35">
      <c r="K9467" s="4"/>
      <c r="AC9467" s="7"/>
      <c r="AD9467" s="7"/>
      <c r="AE9467" s="7"/>
      <c r="AF9467" s="8"/>
      <c r="AG9467" s="7"/>
    </row>
    <row r="9468" spans="11:33" ht="14.5" x14ac:dyDescent="0.35">
      <c r="K9468" s="4"/>
      <c r="AC9468" s="7"/>
      <c r="AD9468" s="7"/>
      <c r="AE9468" s="7"/>
      <c r="AF9468" s="8"/>
      <c r="AG9468" s="7"/>
    </row>
    <row r="9469" spans="11:33" ht="14.5" x14ac:dyDescent="0.35">
      <c r="K9469" s="4"/>
      <c r="AC9469" s="7"/>
      <c r="AD9469" s="7"/>
      <c r="AE9469" s="7"/>
      <c r="AF9469" s="8"/>
      <c r="AG9469" s="7"/>
    </row>
    <row r="9470" spans="11:33" ht="14.5" x14ac:dyDescent="0.35">
      <c r="K9470" s="4"/>
      <c r="AC9470" s="7"/>
      <c r="AD9470" s="7"/>
      <c r="AE9470" s="7"/>
      <c r="AF9470" s="8"/>
      <c r="AG9470" s="7"/>
    </row>
    <row r="9471" spans="11:33" ht="14.5" x14ac:dyDescent="0.35">
      <c r="K9471" s="4"/>
      <c r="AC9471" s="7"/>
      <c r="AD9471" s="7"/>
      <c r="AE9471" s="7"/>
      <c r="AF9471" s="8"/>
      <c r="AG9471" s="7"/>
    </row>
    <row r="9472" spans="11:33" ht="14.5" x14ac:dyDescent="0.35">
      <c r="K9472" s="4"/>
      <c r="AC9472" s="7"/>
      <c r="AD9472" s="7"/>
      <c r="AE9472" s="7"/>
      <c r="AF9472" s="8"/>
      <c r="AG9472" s="7"/>
    </row>
    <row r="9473" spans="11:33" ht="14.5" x14ac:dyDescent="0.35">
      <c r="K9473" s="4"/>
      <c r="AC9473" s="7"/>
      <c r="AD9473" s="7"/>
      <c r="AE9473" s="7"/>
      <c r="AF9473" s="8"/>
      <c r="AG9473" s="7"/>
    </row>
    <row r="9474" spans="11:33" ht="14.5" x14ac:dyDescent="0.35">
      <c r="K9474" s="4"/>
      <c r="AC9474" s="7"/>
      <c r="AD9474" s="7"/>
      <c r="AE9474" s="7"/>
      <c r="AF9474" s="8"/>
      <c r="AG9474" s="7"/>
    </row>
    <row r="9475" spans="11:33" ht="14.5" x14ac:dyDescent="0.35">
      <c r="K9475" s="4"/>
      <c r="AC9475" s="7"/>
      <c r="AD9475" s="7"/>
      <c r="AE9475" s="7"/>
      <c r="AF9475" s="8"/>
      <c r="AG9475" s="7"/>
    </row>
    <row r="9476" spans="11:33" ht="14.5" x14ac:dyDescent="0.35">
      <c r="K9476" s="4"/>
      <c r="AC9476" s="7"/>
      <c r="AD9476" s="7"/>
      <c r="AE9476" s="7"/>
      <c r="AF9476" s="8"/>
      <c r="AG9476" s="7"/>
    </row>
    <row r="9477" spans="11:33" ht="14.5" x14ac:dyDescent="0.35">
      <c r="K9477" s="4"/>
      <c r="AC9477" s="7"/>
      <c r="AD9477" s="7"/>
      <c r="AE9477" s="7"/>
      <c r="AF9477" s="8"/>
      <c r="AG9477" s="7"/>
    </row>
    <row r="9478" spans="11:33" ht="14.5" x14ac:dyDescent="0.35">
      <c r="K9478" s="4"/>
      <c r="AC9478" s="7"/>
      <c r="AD9478" s="7"/>
      <c r="AE9478" s="7"/>
      <c r="AF9478" s="8"/>
      <c r="AG9478" s="7"/>
    </row>
    <row r="9479" spans="11:33" ht="14.5" x14ac:dyDescent="0.35">
      <c r="K9479" s="4"/>
      <c r="AC9479" s="7"/>
      <c r="AD9479" s="7"/>
      <c r="AE9479" s="7"/>
      <c r="AF9479" s="8"/>
      <c r="AG9479" s="7"/>
    </row>
    <row r="9480" spans="11:33" ht="14.5" x14ac:dyDescent="0.35">
      <c r="K9480" s="4"/>
      <c r="AC9480" s="7"/>
      <c r="AD9480" s="7"/>
      <c r="AE9480" s="7"/>
      <c r="AF9480" s="8"/>
      <c r="AG9480" s="7"/>
    </row>
    <row r="9481" spans="11:33" ht="14.5" x14ac:dyDescent="0.35">
      <c r="K9481" s="4"/>
      <c r="AC9481" s="7"/>
      <c r="AD9481" s="7"/>
      <c r="AE9481" s="7"/>
      <c r="AF9481" s="8"/>
      <c r="AG9481" s="7"/>
    </row>
    <row r="9482" spans="11:33" ht="14.5" x14ac:dyDescent="0.35">
      <c r="K9482" s="4"/>
      <c r="AC9482" s="7"/>
      <c r="AD9482" s="7"/>
      <c r="AE9482" s="7"/>
      <c r="AF9482" s="8"/>
      <c r="AG9482" s="7"/>
    </row>
    <row r="9483" spans="11:33" ht="14.5" x14ac:dyDescent="0.35">
      <c r="K9483" s="4"/>
      <c r="AC9483" s="7"/>
      <c r="AD9483" s="7"/>
      <c r="AE9483" s="7"/>
      <c r="AF9483" s="8"/>
      <c r="AG9483" s="7"/>
    </row>
    <row r="9484" spans="11:33" ht="14.5" x14ac:dyDescent="0.35">
      <c r="K9484" s="4"/>
      <c r="AC9484" s="7"/>
      <c r="AD9484" s="7"/>
      <c r="AE9484" s="7"/>
      <c r="AF9484" s="8"/>
      <c r="AG9484" s="7"/>
    </row>
    <row r="9485" spans="11:33" ht="14.5" x14ac:dyDescent="0.35">
      <c r="K9485" s="4"/>
      <c r="AC9485" s="7"/>
      <c r="AD9485" s="7"/>
      <c r="AE9485" s="7"/>
      <c r="AF9485" s="8"/>
      <c r="AG9485" s="7"/>
    </row>
    <row r="9486" spans="11:33" ht="14.5" x14ac:dyDescent="0.35">
      <c r="K9486" s="4"/>
      <c r="AC9486" s="7"/>
      <c r="AD9486" s="7"/>
      <c r="AE9486" s="7"/>
      <c r="AF9486" s="8"/>
      <c r="AG9486" s="7"/>
    </row>
    <row r="9487" spans="11:33" ht="14.5" x14ac:dyDescent="0.35">
      <c r="K9487" s="4"/>
      <c r="AC9487" s="7"/>
      <c r="AD9487" s="7"/>
      <c r="AE9487" s="7"/>
      <c r="AF9487" s="8"/>
      <c r="AG9487" s="7"/>
    </row>
    <row r="9488" spans="11:33" ht="14.5" x14ac:dyDescent="0.35">
      <c r="K9488" s="4"/>
      <c r="AC9488" s="7"/>
      <c r="AD9488" s="7"/>
      <c r="AE9488" s="7"/>
      <c r="AF9488" s="8"/>
      <c r="AG9488" s="7"/>
    </row>
    <row r="9489" spans="11:33" ht="14.5" x14ac:dyDescent="0.35">
      <c r="K9489" s="4"/>
      <c r="AC9489" s="7"/>
      <c r="AD9489" s="7"/>
      <c r="AE9489" s="7"/>
      <c r="AF9489" s="8"/>
      <c r="AG9489" s="7"/>
    </row>
    <row r="9490" spans="11:33" ht="14.5" x14ac:dyDescent="0.35">
      <c r="K9490" s="4"/>
      <c r="AC9490" s="7"/>
      <c r="AD9490" s="7"/>
      <c r="AE9490" s="7"/>
      <c r="AF9490" s="8"/>
      <c r="AG9490" s="7"/>
    </row>
    <row r="9491" spans="11:33" ht="14.5" x14ac:dyDescent="0.35">
      <c r="K9491" s="4"/>
      <c r="AC9491" s="7"/>
      <c r="AD9491" s="7"/>
      <c r="AE9491" s="7"/>
      <c r="AF9491" s="8"/>
      <c r="AG9491" s="7"/>
    </row>
    <row r="9492" spans="11:33" ht="14.5" x14ac:dyDescent="0.35">
      <c r="K9492" s="4"/>
      <c r="AC9492" s="7"/>
      <c r="AD9492" s="7"/>
      <c r="AE9492" s="7"/>
      <c r="AF9492" s="8"/>
      <c r="AG9492" s="7"/>
    </row>
    <row r="9493" spans="11:33" ht="14.5" x14ac:dyDescent="0.35">
      <c r="K9493" s="4"/>
      <c r="AC9493" s="7"/>
      <c r="AD9493" s="7"/>
      <c r="AE9493" s="7"/>
      <c r="AF9493" s="8"/>
      <c r="AG9493" s="7"/>
    </row>
    <row r="9494" spans="11:33" ht="14.5" x14ac:dyDescent="0.35">
      <c r="K9494" s="4"/>
      <c r="AC9494" s="7"/>
      <c r="AD9494" s="7"/>
      <c r="AE9494" s="7"/>
      <c r="AF9494" s="8"/>
      <c r="AG9494" s="7"/>
    </row>
    <row r="9495" spans="11:33" ht="14.5" x14ac:dyDescent="0.35">
      <c r="K9495" s="4"/>
      <c r="AC9495" s="7"/>
      <c r="AD9495" s="7"/>
      <c r="AE9495" s="7"/>
      <c r="AF9495" s="8"/>
      <c r="AG9495" s="7"/>
    </row>
    <row r="9496" spans="11:33" ht="14.5" x14ac:dyDescent="0.35">
      <c r="K9496" s="4"/>
      <c r="AC9496" s="7"/>
      <c r="AD9496" s="7"/>
      <c r="AE9496" s="7"/>
      <c r="AF9496" s="8"/>
      <c r="AG9496" s="7"/>
    </row>
    <row r="9497" spans="11:33" ht="14.5" x14ac:dyDescent="0.35">
      <c r="K9497" s="4"/>
      <c r="AC9497" s="7"/>
      <c r="AD9497" s="7"/>
      <c r="AE9497" s="7"/>
      <c r="AF9497" s="8"/>
      <c r="AG9497" s="7"/>
    </row>
    <row r="9498" spans="11:33" ht="14.5" x14ac:dyDescent="0.35">
      <c r="K9498" s="4"/>
      <c r="AC9498" s="7"/>
      <c r="AD9498" s="7"/>
      <c r="AE9498" s="7"/>
      <c r="AF9498" s="8"/>
      <c r="AG9498" s="7"/>
    </row>
    <row r="9499" spans="11:33" ht="14.5" x14ac:dyDescent="0.35">
      <c r="K9499" s="4"/>
      <c r="AC9499" s="7"/>
      <c r="AD9499" s="7"/>
      <c r="AE9499" s="7"/>
      <c r="AF9499" s="8"/>
      <c r="AG9499" s="7"/>
    </row>
    <row r="9500" spans="11:33" ht="14.5" x14ac:dyDescent="0.35">
      <c r="K9500" s="4"/>
      <c r="AC9500" s="7"/>
      <c r="AD9500" s="7"/>
      <c r="AE9500" s="7"/>
      <c r="AF9500" s="8"/>
      <c r="AG9500" s="7"/>
    </row>
    <row r="9501" spans="11:33" ht="14.5" x14ac:dyDescent="0.35">
      <c r="K9501" s="4"/>
      <c r="AC9501" s="7"/>
      <c r="AD9501" s="7"/>
      <c r="AE9501" s="7"/>
      <c r="AF9501" s="8"/>
      <c r="AG9501" s="7"/>
    </row>
    <row r="9502" spans="11:33" ht="14.5" x14ac:dyDescent="0.35">
      <c r="K9502" s="4"/>
      <c r="AC9502" s="7"/>
      <c r="AD9502" s="7"/>
      <c r="AE9502" s="7"/>
      <c r="AF9502" s="8"/>
      <c r="AG9502" s="7"/>
    </row>
    <row r="9503" spans="11:33" ht="14.5" x14ac:dyDescent="0.35">
      <c r="K9503" s="4"/>
      <c r="AC9503" s="7"/>
      <c r="AD9503" s="7"/>
      <c r="AE9503" s="7"/>
      <c r="AF9503" s="8"/>
      <c r="AG9503" s="7"/>
    </row>
    <row r="9504" spans="11:33" ht="14.5" x14ac:dyDescent="0.35">
      <c r="K9504" s="4"/>
      <c r="AC9504" s="7"/>
      <c r="AD9504" s="7"/>
      <c r="AE9504" s="7"/>
      <c r="AF9504" s="8"/>
      <c r="AG9504" s="7"/>
    </row>
    <row r="9505" spans="11:33" ht="14.5" x14ac:dyDescent="0.35">
      <c r="K9505" s="4"/>
      <c r="AC9505" s="7"/>
      <c r="AD9505" s="7"/>
      <c r="AE9505" s="7"/>
      <c r="AF9505" s="8"/>
      <c r="AG9505" s="7"/>
    </row>
    <row r="9506" spans="11:33" ht="14.5" x14ac:dyDescent="0.35">
      <c r="K9506" s="4"/>
      <c r="AC9506" s="7"/>
      <c r="AD9506" s="7"/>
      <c r="AE9506" s="7"/>
      <c r="AF9506" s="8"/>
      <c r="AG9506" s="7"/>
    </row>
    <row r="9507" spans="11:33" ht="14.5" x14ac:dyDescent="0.35">
      <c r="K9507" s="4"/>
      <c r="AC9507" s="7"/>
      <c r="AD9507" s="7"/>
      <c r="AE9507" s="7"/>
      <c r="AF9507" s="8"/>
      <c r="AG9507" s="7"/>
    </row>
    <row r="9508" spans="11:33" ht="14.5" x14ac:dyDescent="0.35">
      <c r="K9508" s="4"/>
      <c r="AC9508" s="7"/>
      <c r="AD9508" s="7"/>
      <c r="AE9508" s="7"/>
      <c r="AF9508" s="8"/>
      <c r="AG9508" s="7"/>
    </row>
    <row r="9509" spans="11:33" ht="14.5" x14ac:dyDescent="0.35">
      <c r="K9509" s="4"/>
      <c r="AC9509" s="7"/>
      <c r="AD9509" s="7"/>
      <c r="AE9509" s="7"/>
      <c r="AF9509" s="8"/>
      <c r="AG9509" s="7"/>
    </row>
    <row r="9510" spans="11:33" ht="14.5" x14ac:dyDescent="0.35">
      <c r="K9510" s="4"/>
      <c r="AC9510" s="7"/>
      <c r="AD9510" s="7"/>
      <c r="AE9510" s="7"/>
      <c r="AF9510" s="8"/>
      <c r="AG9510" s="7"/>
    </row>
    <row r="9511" spans="11:33" ht="14.5" x14ac:dyDescent="0.35">
      <c r="K9511" s="4"/>
      <c r="AC9511" s="7"/>
      <c r="AD9511" s="7"/>
      <c r="AE9511" s="7"/>
      <c r="AF9511" s="8"/>
      <c r="AG9511" s="7"/>
    </row>
    <row r="9512" spans="11:33" ht="14.5" x14ac:dyDescent="0.35">
      <c r="K9512" s="4"/>
      <c r="AC9512" s="7"/>
      <c r="AD9512" s="7"/>
      <c r="AE9512" s="7"/>
      <c r="AF9512" s="8"/>
      <c r="AG9512" s="7"/>
    </row>
    <row r="9513" spans="11:33" ht="14.5" x14ac:dyDescent="0.35">
      <c r="K9513" s="4"/>
      <c r="AC9513" s="7"/>
      <c r="AD9513" s="7"/>
      <c r="AE9513" s="7"/>
      <c r="AF9513" s="8"/>
      <c r="AG9513" s="7"/>
    </row>
    <row r="9514" spans="11:33" ht="14.5" x14ac:dyDescent="0.35">
      <c r="K9514" s="4"/>
      <c r="AC9514" s="7"/>
      <c r="AD9514" s="7"/>
      <c r="AE9514" s="7"/>
      <c r="AF9514" s="8"/>
      <c r="AG9514" s="7"/>
    </row>
    <row r="9515" spans="11:33" ht="14.5" x14ac:dyDescent="0.35">
      <c r="K9515" s="4"/>
      <c r="AC9515" s="7"/>
      <c r="AD9515" s="7"/>
      <c r="AE9515" s="7"/>
      <c r="AF9515" s="8"/>
      <c r="AG9515" s="7"/>
    </row>
    <row r="9516" spans="11:33" ht="14.5" x14ac:dyDescent="0.35">
      <c r="K9516" s="4"/>
      <c r="AC9516" s="7"/>
      <c r="AD9516" s="7"/>
      <c r="AE9516" s="7"/>
      <c r="AF9516" s="8"/>
      <c r="AG9516" s="7"/>
    </row>
    <row r="9517" spans="11:33" ht="14.5" x14ac:dyDescent="0.35">
      <c r="K9517" s="4"/>
      <c r="AC9517" s="7"/>
      <c r="AD9517" s="7"/>
      <c r="AE9517" s="7"/>
      <c r="AF9517" s="8"/>
      <c r="AG9517" s="7"/>
    </row>
    <row r="9518" spans="11:33" ht="14.5" x14ac:dyDescent="0.35">
      <c r="K9518" s="4"/>
      <c r="AC9518" s="7"/>
      <c r="AD9518" s="7"/>
      <c r="AE9518" s="7"/>
      <c r="AF9518" s="8"/>
      <c r="AG9518" s="7"/>
    </row>
    <row r="9519" spans="11:33" ht="14.5" x14ac:dyDescent="0.35">
      <c r="K9519" s="4"/>
      <c r="AC9519" s="7"/>
      <c r="AD9519" s="7"/>
      <c r="AE9519" s="7"/>
      <c r="AF9519" s="8"/>
      <c r="AG9519" s="7"/>
    </row>
    <row r="9520" spans="11:33" ht="14.5" x14ac:dyDescent="0.35">
      <c r="K9520" s="4"/>
      <c r="AC9520" s="7"/>
      <c r="AD9520" s="7"/>
      <c r="AE9520" s="7"/>
      <c r="AF9520" s="8"/>
      <c r="AG9520" s="7"/>
    </row>
    <row r="9521" spans="11:33" ht="14.5" x14ac:dyDescent="0.35">
      <c r="K9521" s="4"/>
      <c r="AC9521" s="7"/>
      <c r="AD9521" s="7"/>
      <c r="AE9521" s="7"/>
      <c r="AF9521" s="8"/>
      <c r="AG9521" s="7"/>
    </row>
    <row r="9522" spans="11:33" ht="14.5" x14ac:dyDescent="0.35">
      <c r="K9522" s="4"/>
      <c r="AC9522" s="7"/>
      <c r="AD9522" s="7"/>
      <c r="AE9522" s="7"/>
      <c r="AF9522" s="8"/>
      <c r="AG9522" s="7"/>
    </row>
    <row r="9523" spans="11:33" ht="14.5" x14ac:dyDescent="0.35">
      <c r="K9523" s="4"/>
      <c r="AC9523" s="7"/>
      <c r="AD9523" s="7"/>
      <c r="AE9523" s="7"/>
      <c r="AF9523" s="8"/>
      <c r="AG9523" s="7"/>
    </row>
    <row r="9524" spans="11:33" ht="14.5" x14ac:dyDescent="0.35">
      <c r="K9524" s="4"/>
      <c r="AC9524" s="7"/>
      <c r="AD9524" s="7"/>
      <c r="AE9524" s="7"/>
      <c r="AF9524" s="8"/>
      <c r="AG9524" s="7"/>
    </row>
    <row r="9525" spans="11:33" ht="14.5" x14ac:dyDescent="0.35">
      <c r="K9525" s="4"/>
      <c r="AC9525" s="7"/>
      <c r="AD9525" s="7"/>
      <c r="AE9525" s="7"/>
      <c r="AF9525" s="8"/>
      <c r="AG9525" s="7"/>
    </row>
    <row r="9526" spans="11:33" ht="14.5" x14ac:dyDescent="0.35">
      <c r="K9526" s="4"/>
      <c r="AC9526" s="7"/>
      <c r="AD9526" s="7"/>
      <c r="AE9526" s="7"/>
      <c r="AF9526" s="8"/>
      <c r="AG9526" s="7"/>
    </row>
    <row r="9527" spans="11:33" ht="14.5" x14ac:dyDescent="0.35">
      <c r="K9527" s="4"/>
      <c r="AC9527" s="7"/>
      <c r="AD9527" s="7"/>
      <c r="AE9527" s="7"/>
      <c r="AF9527" s="8"/>
      <c r="AG9527" s="7"/>
    </row>
    <row r="9528" spans="11:33" ht="14.5" x14ac:dyDescent="0.35">
      <c r="K9528" s="4"/>
      <c r="AC9528" s="7"/>
      <c r="AD9528" s="7"/>
      <c r="AE9528" s="7"/>
      <c r="AF9528" s="8"/>
      <c r="AG9528" s="7"/>
    </row>
    <row r="9529" spans="11:33" ht="14.5" x14ac:dyDescent="0.35">
      <c r="K9529" s="4"/>
      <c r="AC9529" s="7"/>
      <c r="AD9529" s="7"/>
      <c r="AE9529" s="7"/>
      <c r="AF9529" s="8"/>
      <c r="AG9529" s="7"/>
    </row>
    <row r="9530" spans="11:33" ht="14.5" x14ac:dyDescent="0.35">
      <c r="K9530" s="4"/>
      <c r="AC9530" s="7"/>
      <c r="AD9530" s="7"/>
      <c r="AE9530" s="7"/>
      <c r="AF9530" s="8"/>
      <c r="AG9530" s="7"/>
    </row>
    <row r="9531" spans="11:33" ht="14.5" x14ac:dyDescent="0.35">
      <c r="K9531" s="4"/>
      <c r="AC9531" s="7"/>
      <c r="AD9531" s="7"/>
      <c r="AE9531" s="7"/>
      <c r="AF9531" s="8"/>
      <c r="AG9531" s="7"/>
    </row>
    <row r="9532" spans="11:33" ht="14.5" x14ac:dyDescent="0.35">
      <c r="K9532" s="4"/>
      <c r="AC9532" s="7"/>
      <c r="AD9532" s="7"/>
      <c r="AE9532" s="7"/>
      <c r="AF9532" s="8"/>
      <c r="AG9532" s="7"/>
    </row>
    <row r="9533" spans="11:33" ht="14.5" x14ac:dyDescent="0.35">
      <c r="K9533" s="4"/>
      <c r="AC9533" s="7"/>
      <c r="AD9533" s="7"/>
      <c r="AE9533" s="7"/>
      <c r="AF9533" s="8"/>
      <c r="AG9533" s="7"/>
    </row>
    <row r="9534" spans="11:33" ht="14.5" x14ac:dyDescent="0.35">
      <c r="K9534" s="4"/>
      <c r="AC9534" s="7"/>
      <c r="AD9534" s="7"/>
      <c r="AE9534" s="7"/>
      <c r="AF9534" s="8"/>
      <c r="AG9534" s="7"/>
    </row>
    <row r="9535" spans="11:33" ht="14.5" x14ac:dyDescent="0.35">
      <c r="K9535" s="4"/>
      <c r="AC9535" s="7"/>
      <c r="AD9535" s="7"/>
      <c r="AE9535" s="7"/>
      <c r="AF9535" s="8"/>
      <c r="AG9535" s="7"/>
    </row>
    <row r="9536" spans="11:33" ht="14.5" x14ac:dyDescent="0.35">
      <c r="K9536" s="4"/>
      <c r="AC9536" s="7"/>
      <c r="AD9536" s="7"/>
      <c r="AE9536" s="7"/>
      <c r="AF9536" s="8"/>
      <c r="AG9536" s="7"/>
    </row>
    <row r="9537" spans="11:33" ht="14.5" x14ac:dyDescent="0.35">
      <c r="K9537" s="4"/>
      <c r="AC9537" s="7"/>
      <c r="AD9537" s="7"/>
      <c r="AE9537" s="7"/>
      <c r="AF9537" s="8"/>
      <c r="AG9537" s="7"/>
    </row>
    <row r="9538" spans="11:33" ht="14.5" x14ac:dyDescent="0.35">
      <c r="K9538" s="4"/>
      <c r="AC9538" s="7"/>
      <c r="AD9538" s="7"/>
      <c r="AE9538" s="7"/>
      <c r="AF9538" s="8"/>
      <c r="AG9538" s="7"/>
    </row>
    <row r="9539" spans="11:33" ht="14.5" x14ac:dyDescent="0.35">
      <c r="K9539" s="4"/>
      <c r="AC9539" s="7"/>
      <c r="AD9539" s="7"/>
      <c r="AE9539" s="7"/>
      <c r="AF9539" s="8"/>
      <c r="AG9539" s="7"/>
    </row>
    <row r="9540" spans="11:33" ht="14.5" x14ac:dyDescent="0.35">
      <c r="K9540" s="4"/>
      <c r="AC9540" s="7"/>
      <c r="AD9540" s="7"/>
      <c r="AE9540" s="7"/>
      <c r="AF9540" s="8"/>
      <c r="AG9540" s="7"/>
    </row>
    <row r="9541" spans="11:33" ht="14.5" x14ac:dyDescent="0.35">
      <c r="K9541" s="4"/>
      <c r="AC9541" s="7"/>
      <c r="AD9541" s="7"/>
      <c r="AE9541" s="7"/>
      <c r="AF9541" s="8"/>
      <c r="AG9541" s="7"/>
    </row>
    <row r="9542" spans="11:33" ht="14.5" x14ac:dyDescent="0.35">
      <c r="K9542" s="4"/>
      <c r="AC9542" s="7"/>
      <c r="AD9542" s="7"/>
      <c r="AE9542" s="7"/>
      <c r="AF9542" s="8"/>
      <c r="AG9542" s="7"/>
    </row>
    <row r="9543" spans="11:33" ht="14.5" x14ac:dyDescent="0.35">
      <c r="K9543" s="4"/>
      <c r="AC9543" s="7"/>
      <c r="AD9543" s="7"/>
      <c r="AE9543" s="7"/>
      <c r="AF9543" s="8"/>
      <c r="AG9543" s="7"/>
    </row>
    <row r="9544" spans="11:33" ht="14.5" x14ac:dyDescent="0.35">
      <c r="K9544" s="4"/>
      <c r="AC9544" s="7"/>
      <c r="AD9544" s="7"/>
      <c r="AE9544" s="7"/>
      <c r="AF9544" s="8"/>
      <c r="AG9544" s="7"/>
    </row>
    <row r="9545" spans="11:33" ht="14.5" x14ac:dyDescent="0.35">
      <c r="K9545" s="4"/>
      <c r="AC9545" s="7"/>
      <c r="AD9545" s="7"/>
      <c r="AE9545" s="7"/>
      <c r="AF9545" s="8"/>
      <c r="AG9545" s="7"/>
    </row>
    <row r="9546" spans="11:33" ht="14.5" x14ac:dyDescent="0.35">
      <c r="K9546" s="4"/>
      <c r="AC9546" s="7"/>
      <c r="AD9546" s="7"/>
      <c r="AE9546" s="7"/>
      <c r="AF9546" s="8"/>
      <c r="AG9546" s="7"/>
    </row>
    <row r="9547" spans="11:33" ht="14.5" x14ac:dyDescent="0.35">
      <c r="K9547" s="4"/>
      <c r="AC9547" s="7"/>
      <c r="AD9547" s="7"/>
      <c r="AE9547" s="7"/>
      <c r="AF9547" s="8"/>
      <c r="AG9547" s="7"/>
    </row>
    <row r="9548" spans="11:33" ht="14.5" x14ac:dyDescent="0.35">
      <c r="K9548" s="4"/>
      <c r="AC9548" s="7"/>
      <c r="AD9548" s="7"/>
      <c r="AE9548" s="7"/>
      <c r="AF9548" s="8"/>
      <c r="AG9548" s="7"/>
    </row>
    <row r="9549" spans="11:33" ht="14.5" x14ac:dyDescent="0.35">
      <c r="K9549" s="4"/>
      <c r="AC9549" s="7"/>
      <c r="AD9549" s="7"/>
      <c r="AE9549" s="7"/>
      <c r="AF9549" s="8"/>
      <c r="AG9549" s="7"/>
    </row>
    <row r="9550" spans="11:33" ht="14.5" x14ac:dyDescent="0.35">
      <c r="K9550" s="4"/>
      <c r="AC9550" s="7"/>
      <c r="AD9550" s="7"/>
      <c r="AE9550" s="7"/>
      <c r="AF9550" s="8"/>
      <c r="AG9550" s="7"/>
    </row>
    <row r="9551" spans="11:33" ht="14.5" x14ac:dyDescent="0.35">
      <c r="K9551" s="4"/>
      <c r="AC9551" s="7"/>
      <c r="AD9551" s="7"/>
      <c r="AE9551" s="7"/>
      <c r="AF9551" s="8"/>
      <c r="AG9551" s="7"/>
    </row>
    <row r="9552" spans="11:33" ht="14.5" x14ac:dyDescent="0.35">
      <c r="K9552" s="4"/>
      <c r="AC9552" s="7"/>
      <c r="AD9552" s="7"/>
      <c r="AE9552" s="7"/>
      <c r="AF9552" s="8"/>
      <c r="AG9552" s="7"/>
    </row>
    <row r="9553" spans="11:33" ht="14.5" x14ac:dyDescent="0.35">
      <c r="K9553" s="4"/>
      <c r="AC9553" s="7"/>
      <c r="AD9553" s="7"/>
      <c r="AE9553" s="7"/>
      <c r="AF9553" s="8"/>
      <c r="AG9553" s="7"/>
    </row>
    <row r="9554" spans="11:33" ht="14.5" x14ac:dyDescent="0.35">
      <c r="K9554" s="4"/>
      <c r="AC9554" s="7"/>
      <c r="AD9554" s="7"/>
      <c r="AE9554" s="7"/>
      <c r="AF9554" s="8"/>
      <c r="AG9554" s="7"/>
    </row>
    <row r="9555" spans="11:33" ht="14.5" x14ac:dyDescent="0.35">
      <c r="K9555" s="4"/>
      <c r="AC9555" s="7"/>
      <c r="AD9555" s="7"/>
      <c r="AE9555" s="7"/>
      <c r="AF9555" s="8"/>
      <c r="AG9555" s="7"/>
    </row>
    <row r="9556" spans="11:33" ht="14.5" x14ac:dyDescent="0.35">
      <c r="K9556" s="4"/>
      <c r="AC9556" s="7"/>
      <c r="AD9556" s="7"/>
      <c r="AE9556" s="7"/>
      <c r="AF9556" s="8"/>
      <c r="AG9556" s="7"/>
    </row>
    <row r="9557" spans="11:33" ht="14.5" x14ac:dyDescent="0.35">
      <c r="K9557" s="4"/>
      <c r="AC9557" s="7"/>
      <c r="AD9557" s="7"/>
      <c r="AE9557" s="7"/>
      <c r="AF9557" s="8"/>
      <c r="AG9557" s="7"/>
    </row>
    <row r="9558" spans="11:33" ht="14.5" x14ac:dyDescent="0.35">
      <c r="K9558" s="4"/>
      <c r="AC9558" s="7"/>
      <c r="AD9558" s="7"/>
      <c r="AE9558" s="7"/>
      <c r="AF9558" s="8"/>
      <c r="AG9558" s="7"/>
    </row>
    <row r="9559" spans="11:33" ht="14.5" x14ac:dyDescent="0.35">
      <c r="K9559" s="4"/>
      <c r="AC9559" s="7"/>
      <c r="AD9559" s="7"/>
      <c r="AE9559" s="7"/>
      <c r="AF9559" s="8"/>
      <c r="AG9559" s="7"/>
    </row>
    <row r="9560" spans="11:33" ht="14.5" x14ac:dyDescent="0.35">
      <c r="K9560" s="4"/>
      <c r="AC9560" s="7"/>
      <c r="AD9560" s="7"/>
      <c r="AE9560" s="7"/>
      <c r="AF9560" s="8"/>
      <c r="AG9560" s="7"/>
    </row>
    <row r="9561" spans="11:33" ht="14.5" x14ac:dyDescent="0.35">
      <c r="K9561" s="4"/>
      <c r="AC9561" s="7"/>
      <c r="AD9561" s="7"/>
      <c r="AE9561" s="7"/>
      <c r="AF9561" s="8"/>
      <c r="AG9561" s="7"/>
    </row>
    <row r="9562" spans="11:33" ht="14.5" x14ac:dyDescent="0.35">
      <c r="K9562" s="4"/>
      <c r="AC9562" s="7"/>
      <c r="AD9562" s="7"/>
      <c r="AE9562" s="7"/>
      <c r="AF9562" s="8"/>
      <c r="AG9562" s="7"/>
    </row>
    <row r="9563" spans="11:33" ht="14.5" x14ac:dyDescent="0.35">
      <c r="K9563" s="4"/>
      <c r="AC9563" s="7"/>
      <c r="AD9563" s="7"/>
      <c r="AE9563" s="7"/>
      <c r="AF9563" s="8"/>
      <c r="AG9563" s="7"/>
    </row>
    <row r="9564" spans="11:33" ht="14.5" x14ac:dyDescent="0.35">
      <c r="K9564" s="4"/>
      <c r="AC9564" s="7"/>
      <c r="AD9564" s="7"/>
      <c r="AE9564" s="7"/>
      <c r="AF9564" s="8"/>
      <c r="AG9564" s="7"/>
    </row>
    <row r="9565" spans="11:33" ht="14.5" x14ac:dyDescent="0.35">
      <c r="K9565" s="4"/>
      <c r="AC9565" s="7"/>
      <c r="AD9565" s="7"/>
      <c r="AE9565" s="7"/>
      <c r="AF9565" s="8"/>
      <c r="AG9565" s="7"/>
    </row>
    <row r="9566" spans="11:33" ht="14.5" x14ac:dyDescent="0.35">
      <c r="K9566" s="4"/>
      <c r="AC9566" s="7"/>
      <c r="AD9566" s="7"/>
      <c r="AE9566" s="7"/>
      <c r="AF9566" s="8"/>
      <c r="AG9566" s="7"/>
    </row>
    <row r="9567" spans="11:33" ht="14.5" x14ac:dyDescent="0.35">
      <c r="K9567" s="4"/>
      <c r="AC9567" s="7"/>
      <c r="AD9567" s="7"/>
      <c r="AE9567" s="7"/>
      <c r="AF9567" s="8"/>
      <c r="AG9567" s="7"/>
    </row>
    <row r="9568" spans="11:33" ht="14.5" x14ac:dyDescent="0.35">
      <c r="K9568" s="4"/>
      <c r="AC9568" s="7"/>
      <c r="AD9568" s="7"/>
      <c r="AE9568" s="7"/>
      <c r="AF9568" s="8"/>
      <c r="AG9568" s="7"/>
    </row>
    <row r="9569" spans="11:33" ht="14.5" x14ac:dyDescent="0.35">
      <c r="K9569" s="4"/>
      <c r="AC9569" s="7"/>
      <c r="AD9569" s="7"/>
      <c r="AE9569" s="7"/>
      <c r="AF9569" s="8"/>
      <c r="AG9569" s="7"/>
    </row>
    <row r="9570" spans="11:33" ht="14.5" x14ac:dyDescent="0.35">
      <c r="K9570" s="4"/>
      <c r="AC9570" s="7"/>
      <c r="AD9570" s="7"/>
      <c r="AE9570" s="7"/>
      <c r="AF9570" s="8"/>
      <c r="AG9570" s="7"/>
    </row>
    <row r="9571" spans="11:33" ht="14.5" x14ac:dyDescent="0.35">
      <c r="K9571" s="4"/>
      <c r="AC9571" s="7"/>
      <c r="AD9571" s="7"/>
      <c r="AE9571" s="7"/>
      <c r="AF9571" s="8"/>
      <c r="AG9571" s="7"/>
    </row>
    <row r="9572" spans="11:33" ht="14.5" x14ac:dyDescent="0.35">
      <c r="K9572" s="4"/>
      <c r="AC9572" s="7"/>
      <c r="AD9572" s="7"/>
      <c r="AE9572" s="7"/>
      <c r="AF9572" s="8"/>
      <c r="AG9572" s="7"/>
    </row>
    <row r="9573" spans="11:33" ht="14.5" x14ac:dyDescent="0.35">
      <c r="K9573" s="4"/>
      <c r="AC9573" s="7"/>
      <c r="AD9573" s="7"/>
      <c r="AE9573" s="7"/>
      <c r="AF9573" s="8"/>
      <c r="AG9573" s="7"/>
    </row>
    <row r="9574" spans="11:33" ht="14.5" x14ac:dyDescent="0.35">
      <c r="K9574" s="4"/>
      <c r="AC9574" s="7"/>
      <c r="AD9574" s="7"/>
      <c r="AE9574" s="7"/>
      <c r="AF9574" s="8"/>
      <c r="AG9574" s="7"/>
    </row>
    <row r="9575" spans="11:33" ht="14.5" x14ac:dyDescent="0.35">
      <c r="K9575" s="4"/>
      <c r="AC9575" s="7"/>
      <c r="AD9575" s="7"/>
      <c r="AE9575" s="7"/>
      <c r="AF9575" s="8"/>
      <c r="AG9575" s="7"/>
    </row>
    <row r="9576" spans="11:33" ht="14.5" x14ac:dyDescent="0.35">
      <c r="K9576" s="4"/>
      <c r="AC9576" s="7"/>
      <c r="AD9576" s="7"/>
      <c r="AE9576" s="7"/>
      <c r="AF9576" s="8"/>
      <c r="AG9576" s="7"/>
    </row>
    <row r="9577" spans="11:33" ht="14.5" x14ac:dyDescent="0.35">
      <c r="K9577" s="4"/>
      <c r="AC9577" s="7"/>
      <c r="AD9577" s="7"/>
      <c r="AE9577" s="7"/>
      <c r="AF9577" s="8"/>
      <c r="AG9577" s="7"/>
    </row>
    <row r="9578" spans="11:33" ht="14.5" x14ac:dyDescent="0.35">
      <c r="K9578" s="4"/>
      <c r="AC9578" s="7"/>
      <c r="AD9578" s="7"/>
      <c r="AE9578" s="7"/>
      <c r="AF9578" s="8"/>
      <c r="AG9578" s="7"/>
    </row>
    <row r="9579" spans="11:33" ht="14.5" x14ac:dyDescent="0.35">
      <c r="K9579" s="4"/>
      <c r="AC9579" s="7"/>
      <c r="AD9579" s="7"/>
      <c r="AE9579" s="7"/>
      <c r="AF9579" s="8"/>
      <c r="AG9579" s="7"/>
    </row>
    <row r="9580" spans="11:33" ht="14.5" x14ac:dyDescent="0.35">
      <c r="K9580" s="4"/>
      <c r="AC9580" s="7"/>
      <c r="AD9580" s="7"/>
      <c r="AE9580" s="7"/>
      <c r="AF9580" s="8"/>
      <c r="AG9580" s="7"/>
    </row>
    <row r="9581" spans="11:33" ht="14.5" x14ac:dyDescent="0.35">
      <c r="K9581" s="4"/>
      <c r="AC9581" s="7"/>
      <c r="AD9581" s="7"/>
      <c r="AE9581" s="7"/>
      <c r="AF9581" s="8"/>
      <c r="AG9581" s="7"/>
    </row>
    <row r="9582" spans="11:33" ht="14.5" x14ac:dyDescent="0.35">
      <c r="K9582" s="4"/>
      <c r="AC9582" s="7"/>
      <c r="AD9582" s="7"/>
      <c r="AE9582" s="7"/>
      <c r="AF9582" s="8"/>
      <c r="AG9582" s="7"/>
    </row>
    <row r="9583" spans="11:33" ht="14.5" x14ac:dyDescent="0.35">
      <c r="K9583" s="4"/>
      <c r="AC9583" s="7"/>
      <c r="AD9583" s="7"/>
      <c r="AE9583" s="7"/>
      <c r="AF9583" s="8"/>
      <c r="AG9583" s="7"/>
    </row>
    <row r="9584" spans="11:33" ht="14.5" x14ac:dyDescent="0.35">
      <c r="K9584" s="4"/>
      <c r="AC9584" s="7"/>
      <c r="AD9584" s="7"/>
      <c r="AE9584" s="7"/>
      <c r="AF9584" s="8"/>
      <c r="AG9584" s="7"/>
    </row>
    <row r="9585" spans="11:33" ht="14.5" x14ac:dyDescent="0.35">
      <c r="K9585" s="4"/>
      <c r="AC9585" s="7"/>
      <c r="AD9585" s="7"/>
      <c r="AE9585" s="7"/>
      <c r="AF9585" s="8"/>
      <c r="AG9585" s="7"/>
    </row>
    <row r="9586" spans="11:33" ht="14.5" x14ac:dyDescent="0.35">
      <c r="K9586" s="4"/>
      <c r="AC9586" s="7"/>
      <c r="AD9586" s="7"/>
      <c r="AE9586" s="7"/>
      <c r="AF9586" s="8"/>
      <c r="AG9586" s="7"/>
    </row>
    <row r="9587" spans="11:33" ht="14.5" x14ac:dyDescent="0.35">
      <c r="K9587" s="4"/>
      <c r="AC9587" s="7"/>
      <c r="AD9587" s="7"/>
      <c r="AE9587" s="7"/>
      <c r="AF9587" s="8"/>
      <c r="AG9587" s="7"/>
    </row>
    <row r="9588" spans="11:33" ht="14.5" x14ac:dyDescent="0.35">
      <c r="K9588" s="4"/>
      <c r="AC9588" s="7"/>
      <c r="AD9588" s="7"/>
      <c r="AE9588" s="7"/>
      <c r="AF9588" s="8"/>
      <c r="AG9588" s="7"/>
    </row>
    <row r="9589" spans="11:33" ht="14.5" x14ac:dyDescent="0.35">
      <c r="K9589" s="4"/>
      <c r="AC9589" s="7"/>
      <c r="AD9589" s="7"/>
      <c r="AE9589" s="7"/>
      <c r="AF9589" s="8"/>
      <c r="AG9589" s="7"/>
    </row>
    <row r="9590" spans="11:33" ht="14.5" x14ac:dyDescent="0.35">
      <c r="K9590" s="4"/>
      <c r="AC9590" s="7"/>
      <c r="AD9590" s="7"/>
      <c r="AE9590" s="7"/>
      <c r="AF9590" s="8"/>
      <c r="AG9590" s="7"/>
    </row>
    <row r="9591" spans="11:33" ht="14.5" x14ac:dyDescent="0.35">
      <c r="K9591" s="4"/>
      <c r="AC9591" s="7"/>
      <c r="AD9591" s="7"/>
      <c r="AE9591" s="7"/>
      <c r="AF9591" s="8"/>
      <c r="AG9591" s="7"/>
    </row>
    <row r="9592" spans="11:33" ht="14.5" x14ac:dyDescent="0.35">
      <c r="K9592" s="4"/>
      <c r="AC9592" s="7"/>
      <c r="AD9592" s="7"/>
      <c r="AE9592" s="7"/>
      <c r="AF9592" s="8"/>
      <c r="AG9592" s="7"/>
    </row>
    <row r="9593" spans="11:33" ht="14.5" x14ac:dyDescent="0.35">
      <c r="K9593" s="4"/>
      <c r="AC9593" s="7"/>
      <c r="AD9593" s="7"/>
      <c r="AE9593" s="7"/>
      <c r="AF9593" s="8"/>
      <c r="AG9593" s="7"/>
    </row>
    <row r="9594" spans="11:33" ht="14.5" x14ac:dyDescent="0.35">
      <c r="K9594" s="4"/>
      <c r="AC9594" s="7"/>
      <c r="AD9594" s="7"/>
      <c r="AE9594" s="7"/>
      <c r="AF9594" s="8"/>
      <c r="AG9594" s="7"/>
    </row>
    <row r="9595" spans="11:33" ht="14.5" x14ac:dyDescent="0.35">
      <c r="K9595" s="4"/>
      <c r="AC9595" s="7"/>
      <c r="AD9595" s="7"/>
      <c r="AE9595" s="7"/>
      <c r="AF9595" s="8"/>
      <c r="AG9595" s="7"/>
    </row>
    <row r="9596" spans="11:33" ht="14.5" x14ac:dyDescent="0.35">
      <c r="K9596" s="4"/>
      <c r="AC9596" s="7"/>
      <c r="AD9596" s="7"/>
      <c r="AE9596" s="7"/>
      <c r="AF9596" s="8"/>
      <c r="AG9596" s="7"/>
    </row>
    <row r="9597" spans="11:33" ht="14.5" x14ac:dyDescent="0.35">
      <c r="K9597" s="4"/>
      <c r="AC9597" s="7"/>
      <c r="AD9597" s="7"/>
      <c r="AE9597" s="7"/>
      <c r="AF9597" s="8"/>
      <c r="AG9597" s="7"/>
    </row>
    <row r="9598" spans="11:33" ht="14.5" x14ac:dyDescent="0.35">
      <c r="K9598" s="4"/>
      <c r="AC9598" s="7"/>
      <c r="AD9598" s="7"/>
      <c r="AE9598" s="7"/>
      <c r="AF9598" s="8"/>
      <c r="AG9598" s="7"/>
    </row>
    <row r="9599" spans="11:33" ht="14.5" x14ac:dyDescent="0.35">
      <c r="K9599" s="4"/>
      <c r="AC9599" s="7"/>
      <c r="AD9599" s="7"/>
      <c r="AE9599" s="7"/>
      <c r="AF9599" s="8"/>
      <c r="AG9599" s="7"/>
    </row>
    <row r="9600" spans="11:33" ht="14.5" x14ac:dyDescent="0.35">
      <c r="K9600" s="4"/>
      <c r="AC9600" s="7"/>
      <c r="AD9600" s="7"/>
      <c r="AE9600" s="7"/>
      <c r="AF9600" s="8"/>
      <c r="AG9600" s="7"/>
    </row>
    <row r="9601" spans="11:33" ht="14.5" x14ac:dyDescent="0.35">
      <c r="K9601" s="4"/>
      <c r="AC9601" s="7"/>
      <c r="AD9601" s="7"/>
      <c r="AE9601" s="7"/>
      <c r="AF9601" s="8"/>
      <c r="AG9601" s="7"/>
    </row>
    <row r="9602" spans="11:33" ht="14.5" x14ac:dyDescent="0.35">
      <c r="K9602" s="4"/>
      <c r="AC9602" s="7"/>
      <c r="AD9602" s="7"/>
      <c r="AE9602" s="7"/>
      <c r="AF9602" s="8"/>
      <c r="AG9602" s="7"/>
    </row>
    <row r="9603" spans="11:33" ht="14.5" x14ac:dyDescent="0.35">
      <c r="K9603" s="4"/>
      <c r="AC9603" s="7"/>
      <c r="AD9603" s="7"/>
      <c r="AE9603" s="7"/>
      <c r="AF9603" s="8"/>
      <c r="AG9603" s="7"/>
    </row>
    <row r="9604" spans="11:33" ht="14.5" x14ac:dyDescent="0.35">
      <c r="K9604" s="4"/>
      <c r="AC9604" s="7"/>
      <c r="AD9604" s="7"/>
      <c r="AE9604" s="7"/>
      <c r="AF9604" s="8"/>
      <c r="AG9604" s="7"/>
    </row>
    <row r="9605" spans="11:33" ht="14.5" x14ac:dyDescent="0.35">
      <c r="K9605" s="4"/>
      <c r="AC9605" s="7"/>
      <c r="AD9605" s="7"/>
      <c r="AE9605" s="7"/>
      <c r="AF9605" s="8"/>
      <c r="AG9605" s="7"/>
    </row>
    <row r="9606" spans="11:33" ht="14.5" x14ac:dyDescent="0.35">
      <c r="K9606" s="4"/>
      <c r="AC9606" s="7"/>
      <c r="AD9606" s="7"/>
      <c r="AE9606" s="7"/>
      <c r="AF9606" s="8"/>
      <c r="AG9606" s="7"/>
    </row>
    <row r="9607" spans="11:33" ht="14.5" x14ac:dyDescent="0.35">
      <c r="K9607" s="4"/>
      <c r="AC9607" s="7"/>
      <c r="AD9607" s="7"/>
      <c r="AE9607" s="7"/>
      <c r="AF9607" s="8"/>
      <c r="AG9607" s="7"/>
    </row>
    <row r="9608" spans="11:33" ht="14.5" x14ac:dyDescent="0.35">
      <c r="K9608" s="4"/>
      <c r="AC9608" s="7"/>
      <c r="AD9608" s="7"/>
      <c r="AE9608" s="7"/>
      <c r="AF9608" s="8"/>
      <c r="AG9608" s="7"/>
    </row>
    <row r="9609" spans="11:33" ht="14.5" x14ac:dyDescent="0.35">
      <c r="K9609" s="4"/>
      <c r="AC9609" s="7"/>
      <c r="AD9609" s="7"/>
      <c r="AE9609" s="7"/>
      <c r="AF9609" s="8"/>
      <c r="AG9609" s="7"/>
    </row>
    <row r="9610" spans="11:33" ht="14.5" x14ac:dyDescent="0.35">
      <c r="K9610" s="4"/>
      <c r="AC9610" s="7"/>
      <c r="AD9610" s="7"/>
      <c r="AE9610" s="7"/>
      <c r="AF9610" s="8"/>
      <c r="AG9610" s="7"/>
    </row>
    <row r="9611" spans="11:33" ht="14.5" x14ac:dyDescent="0.35">
      <c r="K9611" s="4"/>
      <c r="AC9611" s="7"/>
      <c r="AD9611" s="7"/>
      <c r="AE9611" s="7"/>
      <c r="AF9611" s="8"/>
      <c r="AG9611" s="7"/>
    </row>
    <row r="9612" spans="11:33" ht="14.5" x14ac:dyDescent="0.35">
      <c r="K9612" s="4"/>
      <c r="AC9612" s="7"/>
      <c r="AD9612" s="7"/>
      <c r="AE9612" s="7"/>
      <c r="AF9612" s="8"/>
      <c r="AG9612" s="7"/>
    </row>
    <row r="9613" spans="11:33" ht="14.5" x14ac:dyDescent="0.35">
      <c r="K9613" s="4"/>
      <c r="AC9613" s="7"/>
      <c r="AD9613" s="7"/>
      <c r="AE9613" s="7"/>
      <c r="AF9613" s="8"/>
      <c r="AG9613" s="7"/>
    </row>
    <row r="9614" spans="11:33" ht="14.5" x14ac:dyDescent="0.35">
      <c r="K9614" s="4"/>
      <c r="AC9614" s="7"/>
      <c r="AD9614" s="7"/>
      <c r="AE9614" s="7"/>
      <c r="AF9614" s="8"/>
      <c r="AG9614" s="7"/>
    </row>
    <row r="9615" spans="11:33" ht="14.5" x14ac:dyDescent="0.35">
      <c r="K9615" s="4"/>
      <c r="AC9615" s="7"/>
      <c r="AD9615" s="7"/>
      <c r="AE9615" s="7"/>
      <c r="AF9615" s="8"/>
      <c r="AG9615" s="7"/>
    </row>
    <row r="9616" spans="11:33" ht="14.5" x14ac:dyDescent="0.35">
      <c r="K9616" s="4"/>
      <c r="AC9616" s="7"/>
      <c r="AD9616" s="7"/>
      <c r="AE9616" s="7"/>
      <c r="AF9616" s="8"/>
      <c r="AG9616" s="7"/>
    </row>
    <row r="9617" spans="11:33" ht="14.5" x14ac:dyDescent="0.35">
      <c r="K9617" s="4"/>
      <c r="AC9617" s="7"/>
      <c r="AD9617" s="7"/>
      <c r="AE9617" s="7"/>
      <c r="AF9617" s="8"/>
      <c r="AG9617" s="7"/>
    </row>
    <row r="9618" spans="11:33" ht="14.5" x14ac:dyDescent="0.35">
      <c r="K9618" s="4"/>
      <c r="AC9618" s="7"/>
      <c r="AD9618" s="7"/>
      <c r="AE9618" s="7"/>
      <c r="AF9618" s="8"/>
      <c r="AG9618" s="7"/>
    </row>
    <row r="9619" spans="11:33" ht="14.5" x14ac:dyDescent="0.35">
      <c r="K9619" s="4"/>
      <c r="AC9619" s="7"/>
      <c r="AD9619" s="7"/>
      <c r="AE9619" s="7"/>
      <c r="AF9619" s="8"/>
      <c r="AG9619" s="7"/>
    </row>
    <row r="9620" spans="11:33" ht="14.5" x14ac:dyDescent="0.35">
      <c r="K9620" s="4"/>
      <c r="AC9620" s="7"/>
      <c r="AD9620" s="7"/>
      <c r="AE9620" s="7"/>
      <c r="AF9620" s="8"/>
      <c r="AG9620" s="7"/>
    </row>
    <row r="9621" spans="11:33" ht="14.5" x14ac:dyDescent="0.35">
      <c r="K9621" s="4"/>
      <c r="AC9621" s="7"/>
      <c r="AD9621" s="7"/>
      <c r="AE9621" s="7"/>
      <c r="AF9621" s="8"/>
      <c r="AG9621" s="7"/>
    </row>
    <row r="9622" spans="11:33" ht="14.5" x14ac:dyDescent="0.35">
      <c r="K9622" s="4"/>
      <c r="AC9622" s="7"/>
      <c r="AD9622" s="7"/>
      <c r="AE9622" s="7"/>
      <c r="AF9622" s="8"/>
      <c r="AG9622" s="7"/>
    </row>
    <row r="9623" spans="11:33" ht="14.5" x14ac:dyDescent="0.35">
      <c r="K9623" s="4"/>
      <c r="AC9623" s="7"/>
      <c r="AD9623" s="7"/>
      <c r="AE9623" s="7"/>
      <c r="AF9623" s="8"/>
      <c r="AG9623" s="7"/>
    </row>
    <row r="9624" spans="11:33" ht="14.5" x14ac:dyDescent="0.35">
      <c r="K9624" s="4"/>
      <c r="AC9624" s="7"/>
      <c r="AD9624" s="7"/>
      <c r="AE9624" s="7"/>
      <c r="AF9624" s="8"/>
      <c r="AG9624" s="7"/>
    </row>
    <row r="9625" spans="11:33" ht="14.5" x14ac:dyDescent="0.35">
      <c r="K9625" s="4"/>
      <c r="AC9625" s="7"/>
      <c r="AD9625" s="7"/>
      <c r="AE9625" s="7"/>
      <c r="AF9625" s="8"/>
      <c r="AG9625" s="7"/>
    </row>
    <row r="9626" spans="11:33" ht="14.5" x14ac:dyDescent="0.35">
      <c r="K9626" s="4"/>
      <c r="AC9626" s="7"/>
      <c r="AD9626" s="7"/>
      <c r="AE9626" s="7"/>
      <c r="AF9626" s="8"/>
      <c r="AG9626" s="7"/>
    </row>
    <row r="9627" spans="11:33" ht="14.5" x14ac:dyDescent="0.35">
      <c r="K9627" s="4"/>
      <c r="AC9627" s="7"/>
      <c r="AD9627" s="7"/>
      <c r="AE9627" s="7"/>
      <c r="AF9627" s="8"/>
      <c r="AG9627" s="7"/>
    </row>
    <row r="9628" spans="11:33" ht="14.5" x14ac:dyDescent="0.35">
      <c r="K9628" s="4"/>
      <c r="AC9628" s="7"/>
      <c r="AD9628" s="7"/>
      <c r="AE9628" s="7"/>
      <c r="AF9628" s="8"/>
      <c r="AG9628" s="7"/>
    </row>
    <row r="9629" spans="11:33" ht="14.5" x14ac:dyDescent="0.35">
      <c r="K9629" s="4"/>
      <c r="AC9629" s="7"/>
      <c r="AD9629" s="7"/>
      <c r="AE9629" s="7"/>
      <c r="AF9629" s="8"/>
      <c r="AG9629" s="7"/>
    </row>
    <row r="9630" spans="11:33" ht="14.5" x14ac:dyDescent="0.35">
      <c r="K9630" s="4"/>
      <c r="AC9630" s="7"/>
      <c r="AD9630" s="7"/>
      <c r="AE9630" s="7"/>
      <c r="AF9630" s="8"/>
      <c r="AG9630" s="7"/>
    </row>
    <row r="9631" spans="11:33" ht="14.5" x14ac:dyDescent="0.35">
      <c r="K9631" s="4"/>
      <c r="AC9631" s="7"/>
      <c r="AD9631" s="7"/>
      <c r="AE9631" s="7"/>
      <c r="AF9631" s="8"/>
      <c r="AG9631" s="7"/>
    </row>
    <row r="9632" spans="11:33" ht="14.5" x14ac:dyDescent="0.35">
      <c r="K9632" s="4"/>
      <c r="AC9632" s="7"/>
      <c r="AD9632" s="7"/>
      <c r="AE9632" s="7"/>
      <c r="AF9632" s="8"/>
      <c r="AG9632" s="7"/>
    </row>
    <row r="9633" spans="11:33" ht="14.5" x14ac:dyDescent="0.35">
      <c r="K9633" s="4"/>
      <c r="AC9633" s="7"/>
      <c r="AD9633" s="7"/>
      <c r="AE9633" s="7"/>
      <c r="AF9633" s="8"/>
      <c r="AG9633" s="7"/>
    </row>
    <row r="9634" spans="11:33" ht="14.5" x14ac:dyDescent="0.35">
      <c r="K9634" s="4"/>
      <c r="AC9634" s="7"/>
      <c r="AD9634" s="7"/>
      <c r="AE9634" s="7"/>
      <c r="AF9634" s="8"/>
      <c r="AG9634" s="7"/>
    </row>
    <row r="9635" spans="11:33" ht="14.5" x14ac:dyDescent="0.35">
      <c r="K9635" s="4"/>
      <c r="AC9635" s="7"/>
      <c r="AD9635" s="7"/>
      <c r="AE9635" s="7"/>
      <c r="AF9635" s="8"/>
      <c r="AG9635" s="7"/>
    </row>
    <row r="9636" spans="11:33" ht="14.5" x14ac:dyDescent="0.35">
      <c r="K9636" s="4"/>
      <c r="AC9636" s="7"/>
      <c r="AD9636" s="7"/>
      <c r="AE9636" s="7"/>
      <c r="AF9636" s="8"/>
      <c r="AG9636" s="7"/>
    </row>
    <row r="9637" spans="11:33" ht="14.5" x14ac:dyDescent="0.35">
      <c r="K9637" s="4"/>
      <c r="AC9637" s="7"/>
      <c r="AD9637" s="7"/>
      <c r="AE9637" s="7"/>
      <c r="AF9637" s="8"/>
      <c r="AG9637" s="7"/>
    </row>
    <row r="9638" spans="11:33" ht="14.5" x14ac:dyDescent="0.35">
      <c r="K9638" s="4"/>
      <c r="AC9638" s="7"/>
      <c r="AD9638" s="7"/>
      <c r="AE9638" s="7"/>
      <c r="AF9638" s="8"/>
      <c r="AG9638" s="7"/>
    </row>
    <row r="9639" spans="11:33" ht="14.5" x14ac:dyDescent="0.35">
      <c r="K9639" s="4"/>
      <c r="AC9639" s="7"/>
      <c r="AD9639" s="7"/>
      <c r="AE9639" s="7"/>
      <c r="AF9639" s="8"/>
      <c r="AG9639" s="7"/>
    </row>
    <row r="9640" spans="11:33" ht="14.5" x14ac:dyDescent="0.35">
      <c r="K9640" s="4"/>
      <c r="AC9640" s="7"/>
      <c r="AD9640" s="7"/>
      <c r="AE9640" s="7"/>
      <c r="AF9640" s="8"/>
      <c r="AG9640" s="7"/>
    </row>
    <row r="9641" spans="11:33" ht="14.5" x14ac:dyDescent="0.35">
      <c r="K9641" s="4"/>
      <c r="AC9641" s="7"/>
      <c r="AD9641" s="7"/>
      <c r="AE9641" s="7"/>
      <c r="AF9641" s="8"/>
      <c r="AG9641" s="7"/>
    </row>
    <row r="9642" spans="11:33" ht="14.5" x14ac:dyDescent="0.35">
      <c r="K9642" s="4"/>
      <c r="AC9642" s="7"/>
      <c r="AD9642" s="7"/>
      <c r="AE9642" s="7"/>
      <c r="AF9642" s="8"/>
      <c r="AG9642" s="7"/>
    </row>
    <row r="9643" spans="11:33" ht="14.5" x14ac:dyDescent="0.35">
      <c r="K9643" s="4"/>
      <c r="AC9643" s="7"/>
      <c r="AD9643" s="7"/>
      <c r="AE9643" s="7"/>
      <c r="AF9643" s="8"/>
      <c r="AG9643" s="7"/>
    </row>
    <row r="9644" spans="11:33" ht="14.5" x14ac:dyDescent="0.35">
      <c r="K9644" s="4"/>
      <c r="AC9644" s="7"/>
      <c r="AD9644" s="7"/>
      <c r="AE9644" s="7"/>
      <c r="AF9644" s="8"/>
      <c r="AG9644" s="7"/>
    </row>
    <row r="9645" spans="11:33" ht="14.5" x14ac:dyDescent="0.35">
      <c r="K9645" s="4"/>
      <c r="AC9645" s="7"/>
      <c r="AD9645" s="7"/>
      <c r="AE9645" s="7"/>
      <c r="AF9645" s="8"/>
      <c r="AG9645" s="7"/>
    </row>
    <row r="9646" spans="11:33" ht="14.5" x14ac:dyDescent="0.35">
      <c r="K9646" s="4"/>
      <c r="AC9646" s="7"/>
      <c r="AD9646" s="7"/>
      <c r="AE9646" s="7"/>
      <c r="AF9646" s="8"/>
      <c r="AG9646" s="7"/>
    </row>
    <row r="9647" spans="11:33" ht="14.5" x14ac:dyDescent="0.35">
      <c r="K9647" s="4"/>
      <c r="AC9647" s="7"/>
      <c r="AD9647" s="7"/>
      <c r="AE9647" s="7"/>
      <c r="AF9647" s="8"/>
      <c r="AG9647" s="7"/>
    </row>
    <row r="9648" spans="11:33" ht="14.5" x14ac:dyDescent="0.35">
      <c r="K9648" s="4"/>
      <c r="AC9648" s="7"/>
      <c r="AD9648" s="7"/>
      <c r="AE9648" s="7"/>
      <c r="AF9648" s="8"/>
      <c r="AG9648" s="7"/>
    </row>
    <row r="9649" spans="11:33" ht="14.5" x14ac:dyDescent="0.35">
      <c r="K9649" s="4"/>
      <c r="AC9649" s="7"/>
      <c r="AD9649" s="7"/>
      <c r="AE9649" s="7"/>
      <c r="AF9649" s="8"/>
      <c r="AG9649" s="7"/>
    </row>
    <row r="9650" spans="11:33" ht="14.5" x14ac:dyDescent="0.35">
      <c r="K9650" s="4"/>
      <c r="AC9650" s="7"/>
      <c r="AD9650" s="7"/>
      <c r="AE9650" s="7"/>
      <c r="AF9650" s="8"/>
      <c r="AG9650" s="7"/>
    </row>
    <row r="9651" spans="11:33" ht="14.5" x14ac:dyDescent="0.35">
      <c r="K9651" s="4"/>
      <c r="AC9651" s="7"/>
      <c r="AD9651" s="7"/>
      <c r="AE9651" s="7"/>
      <c r="AF9651" s="8"/>
      <c r="AG9651" s="7"/>
    </row>
    <row r="9652" spans="11:33" ht="14.5" x14ac:dyDescent="0.35">
      <c r="K9652" s="4"/>
      <c r="AC9652" s="7"/>
      <c r="AD9652" s="7"/>
      <c r="AE9652" s="7"/>
      <c r="AF9652" s="8"/>
      <c r="AG9652" s="7"/>
    </row>
    <row r="9653" spans="11:33" ht="14.5" x14ac:dyDescent="0.35">
      <c r="K9653" s="4"/>
      <c r="AC9653" s="7"/>
      <c r="AD9653" s="7"/>
      <c r="AE9653" s="7"/>
      <c r="AF9653" s="8"/>
      <c r="AG9653" s="7"/>
    </row>
    <row r="9654" spans="11:33" ht="14.5" x14ac:dyDescent="0.35">
      <c r="K9654" s="4"/>
      <c r="AC9654" s="7"/>
      <c r="AD9654" s="7"/>
      <c r="AE9654" s="7"/>
      <c r="AF9654" s="8"/>
      <c r="AG9654" s="7"/>
    </row>
    <row r="9655" spans="11:33" ht="14.5" x14ac:dyDescent="0.35">
      <c r="K9655" s="4"/>
      <c r="AC9655" s="7"/>
      <c r="AD9655" s="7"/>
      <c r="AE9655" s="7"/>
      <c r="AF9655" s="8"/>
      <c r="AG9655" s="7"/>
    </row>
    <row r="9656" spans="11:33" ht="14.5" x14ac:dyDescent="0.35">
      <c r="K9656" s="4"/>
      <c r="AC9656" s="7"/>
      <c r="AD9656" s="7"/>
      <c r="AE9656" s="7"/>
      <c r="AF9656" s="8"/>
      <c r="AG9656" s="7"/>
    </row>
    <row r="9657" spans="11:33" ht="14.5" x14ac:dyDescent="0.35">
      <c r="K9657" s="4"/>
      <c r="AC9657" s="7"/>
      <c r="AD9657" s="7"/>
      <c r="AE9657" s="7"/>
      <c r="AF9657" s="8"/>
      <c r="AG9657" s="7"/>
    </row>
    <row r="9658" spans="11:33" ht="14.5" x14ac:dyDescent="0.35">
      <c r="K9658" s="4"/>
      <c r="AC9658" s="7"/>
      <c r="AD9658" s="7"/>
      <c r="AE9658" s="7"/>
      <c r="AF9658" s="8"/>
      <c r="AG9658" s="7"/>
    </row>
    <row r="9659" spans="11:33" ht="14.5" x14ac:dyDescent="0.35">
      <c r="K9659" s="4"/>
      <c r="AC9659" s="7"/>
      <c r="AD9659" s="7"/>
      <c r="AE9659" s="7"/>
      <c r="AF9659" s="8"/>
      <c r="AG9659" s="7"/>
    </row>
    <row r="9660" spans="11:33" ht="14.5" x14ac:dyDescent="0.35">
      <c r="K9660" s="4"/>
      <c r="AC9660" s="7"/>
      <c r="AD9660" s="7"/>
      <c r="AE9660" s="7"/>
      <c r="AF9660" s="8"/>
      <c r="AG9660" s="7"/>
    </row>
    <row r="9661" spans="11:33" ht="14.5" x14ac:dyDescent="0.35">
      <c r="K9661" s="4"/>
      <c r="AC9661" s="7"/>
      <c r="AD9661" s="7"/>
      <c r="AE9661" s="7"/>
      <c r="AF9661" s="8"/>
      <c r="AG9661" s="7"/>
    </row>
    <row r="9662" spans="11:33" ht="14.5" x14ac:dyDescent="0.35">
      <c r="K9662" s="4"/>
      <c r="AC9662" s="7"/>
      <c r="AD9662" s="7"/>
      <c r="AE9662" s="7"/>
      <c r="AF9662" s="8"/>
      <c r="AG9662" s="7"/>
    </row>
    <row r="9663" spans="11:33" ht="14.5" x14ac:dyDescent="0.35">
      <c r="K9663" s="4"/>
      <c r="AC9663" s="7"/>
      <c r="AD9663" s="7"/>
      <c r="AE9663" s="7"/>
      <c r="AF9663" s="8"/>
      <c r="AG9663" s="7"/>
    </row>
    <row r="9664" spans="11:33" ht="14.5" x14ac:dyDescent="0.35">
      <c r="K9664" s="4"/>
      <c r="AC9664" s="7"/>
      <c r="AD9664" s="7"/>
      <c r="AE9664" s="7"/>
      <c r="AF9664" s="8"/>
      <c r="AG9664" s="7"/>
    </row>
    <row r="9665" spans="11:33" ht="14.5" x14ac:dyDescent="0.35">
      <c r="K9665" s="4"/>
      <c r="AC9665" s="7"/>
      <c r="AD9665" s="7"/>
      <c r="AE9665" s="7"/>
      <c r="AF9665" s="8"/>
      <c r="AG9665" s="7"/>
    </row>
    <row r="9666" spans="11:33" ht="14.5" x14ac:dyDescent="0.35">
      <c r="K9666" s="4"/>
      <c r="AC9666" s="7"/>
      <c r="AD9666" s="7"/>
      <c r="AE9666" s="7"/>
      <c r="AF9666" s="8"/>
      <c r="AG9666" s="7"/>
    </row>
    <row r="9667" spans="11:33" ht="14.5" x14ac:dyDescent="0.35">
      <c r="K9667" s="4"/>
      <c r="AC9667" s="7"/>
      <c r="AD9667" s="7"/>
      <c r="AE9667" s="7"/>
      <c r="AF9667" s="8"/>
      <c r="AG9667" s="7"/>
    </row>
    <row r="9668" spans="11:33" ht="14.5" x14ac:dyDescent="0.35">
      <c r="K9668" s="4"/>
      <c r="AC9668" s="7"/>
      <c r="AD9668" s="7"/>
      <c r="AE9668" s="7"/>
      <c r="AF9668" s="8"/>
      <c r="AG9668" s="7"/>
    </row>
    <row r="9669" spans="11:33" ht="14.5" x14ac:dyDescent="0.35">
      <c r="K9669" s="4"/>
      <c r="AC9669" s="7"/>
      <c r="AD9669" s="7"/>
      <c r="AE9669" s="7"/>
      <c r="AF9669" s="8"/>
      <c r="AG9669" s="7"/>
    </row>
    <row r="9670" spans="11:33" ht="14.5" x14ac:dyDescent="0.35">
      <c r="K9670" s="4"/>
      <c r="AC9670" s="7"/>
      <c r="AD9670" s="7"/>
      <c r="AE9670" s="7"/>
      <c r="AF9670" s="8"/>
      <c r="AG9670" s="7"/>
    </row>
    <row r="9671" spans="11:33" ht="14.5" x14ac:dyDescent="0.35">
      <c r="K9671" s="4"/>
      <c r="AC9671" s="7"/>
      <c r="AD9671" s="7"/>
      <c r="AE9671" s="7"/>
      <c r="AF9671" s="8"/>
      <c r="AG9671" s="7"/>
    </row>
    <row r="9672" spans="11:33" ht="14.5" x14ac:dyDescent="0.35">
      <c r="K9672" s="4"/>
      <c r="AC9672" s="7"/>
      <c r="AD9672" s="7"/>
      <c r="AE9672" s="7"/>
      <c r="AF9672" s="8"/>
      <c r="AG9672" s="7"/>
    </row>
    <row r="9673" spans="11:33" ht="14.5" x14ac:dyDescent="0.35">
      <c r="K9673" s="4"/>
      <c r="AC9673" s="7"/>
      <c r="AD9673" s="7"/>
      <c r="AE9673" s="7"/>
      <c r="AF9673" s="8"/>
      <c r="AG9673" s="7"/>
    </row>
    <row r="9674" spans="11:33" ht="14.5" x14ac:dyDescent="0.35">
      <c r="K9674" s="4"/>
      <c r="AC9674" s="7"/>
      <c r="AD9674" s="7"/>
      <c r="AE9674" s="7"/>
      <c r="AF9674" s="8"/>
      <c r="AG9674" s="7"/>
    </row>
    <row r="9675" spans="11:33" ht="14.5" x14ac:dyDescent="0.35">
      <c r="K9675" s="4"/>
      <c r="AC9675" s="7"/>
      <c r="AD9675" s="7"/>
      <c r="AE9675" s="7"/>
      <c r="AF9675" s="8"/>
      <c r="AG9675" s="7"/>
    </row>
    <row r="9676" spans="11:33" ht="14.5" x14ac:dyDescent="0.35">
      <c r="K9676" s="4"/>
      <c r="AC9676" s="7"/>
      <c r="AD9676" s="7"/>
      <c r="AE9676" s="7"/>
      <c r="AF9676" s="8"/>
      <c r="AG9676" s="7"/>
    </row>
    <row r="9677" spans="11:33" ht="14.5" x14ac:dyDescent="0.35">
      <c r="K9677" s="4"/>
      <c r="AC9677" s="7"/>
      <c r="AD9677" s="7"/>
      <c r="AE9677" s="7"/>
      <c r="AF9677" s="8"/>
      <c r="AG9677" s="7"/>
    </row>
    <row r="9678" spans="11:33" ht="14.5" x14ac:dyDescent="0.35">
      <c r="K9678" s="4"/>
      <c r="AC9678" s="7"/>
      <c r="AD9678" s="7"/>
      <c r="AE9678" s="7"/>
      <c r="AF9678" s="8"/>
      <c r="AG9678" s="7"/>
    </row>
    <row r="9679" spans="11:33" ht="14.5" x14ac:dyDescent="0.35">
      <c r="K9679" s="4"/>
      <c r="AC9679" s="7"/>
      <c r="AD9679" s="7"/>
      <c r="AE9679" s="7"/>
      <c r="AF9679" s="8"/>
      <c r="AG9679" s="7"/>
    </row>
    <row r="9680" spans="11:33" ht="14.5" x14ac:dyDescent="0.35">
      <c r="K9680" s="4"/>
      <c r="AC9680" s="7"/>
      <c r="AD9680" s="7"/>
      <c r="AE9680" s="7"/>
      <c r="AF9680" s="8"/>
      <c r="AG9680" s="7"/>
    </row>
    <row r="9681" spans="11:33" ht="14.5" x14ac:dyDescent="0.35">
      <c r="K9681" s="4"/>
      <c r="AC9681" s="7"/>
      <c r="AD9681" s="7"/>
      <c r="AE9681" s="7"/>
      <c r="AF9681" s="8"/>
      <c r="AG9681" s="7"/>
    </row>
    <row r="9682" spans="11:33" ht="14.5" x14ac:dyDescent="0.35">
      <c r="K9682" s="4"/>
      <c r="AC9682" s="7"/>
      <c r="AD9682" s="7"/>
      <c r="AE9682" s="7"/>
      <c r="AF9682" s="8"/>
      <c r="AG9682" s="7"/>
    </row>
    <row r="9683" spans="11:33" ht="14.5" x14ac:dyDescent="0.35">
      <c r="K9683" s="4"/>
      <c r="AC9683" s="7"/>
      <c r="AD9683" s="7"/>
      <c r="AE9683" s="7"/>
      <c r="AF9683" s="8"/>
      <c r="AG9683" s="7"/>
    </row>
    <row r="9684" spans="11:33" ht="14.5" x14ac:dyDescent="0.35">
      <c r="K9684" s="4"/>
      <c r="AC9684" s="7"/>
      <c r="AD9684" s="7"/>
      <c r="AE9684" s="7"/>
      <c r="AF9684" s="8"/>
      <c r="AG9684" s="7"/>
    </row>
    <row r="9685" spans="11:33" ht="14.5" x14ac:dyDescent="0.35">
      <c r="K9685" s="4"/>
      <c r="AC9685" s="7"/>
      <c r="AD9685" s="7"/>
      <c r="AE9685" s="7"/>
      <c r="AF9685" s="8"/>
      <c r="AG9685" s="7"/>
    </row>
    <row r="9686" spans="11:33" ht="14.5" x14ac:dyDescent="0.35">
      <c r="K9686" s="4"/>
      <c r="AC9686" s="7"/>
      <c r="AD9686" s="7"/>
      <c r="AE9686" s="7"/>
      <c r="AF9686" s="8"/>
      <c r="AG9686" s="7"/>
    </row>
    <row r="9687" spans="11:33" ht="14.5" x14ac:dyDescent="0.35">
      <c r="K9687" s="4"/>
      <c r="AC9687" s="7"/>
      <c r="AD9687" s="7"/>
      <c r="AE9687" s="7"/>
      <c r="AF9687" s="8"/>
      <c r="AG9687" s="7"/>
    </row>
    <row r="9688" spans="11:33" ht="14.5" x14ac:dyDescent="0.35">
      <c r="K9688" s="4"/>
      <c r="AC9688" s="7"/>
      <c r="AD9688" s="7"/>
      <c r="AE9688" s="7"/>
      <c r="AF9688" s="8"/>
      <c r="AG9688" s="7"/>
    </row>
    <row r="9689" spans="11:33" ht="14.5" x14ac:dyDescent="0.35">
      <c r="K9689" s="4"/>
      <c r="AC9689" s="7"/>
      <c r="AD9689" s="7"/>
      <c r="AE9689" s="7"/>
      <c r="AF9689" s="8"/>
      <c r="AG9689" s="7"/>
    </row>
    <row r="9690" spans="11:33" ht="14.5" x14ac:dyDescent="0.35">
      <c r="K9690" s="4"/>
      <c r="AC9690" s="7"/>
      <c r="AD9690" s="7"/>
      <c r="AE9690" s="7"/>
      <c r="AF9690" s="8"/>
      <c r="AG9690" s="7"/>
    </row>
    <row r="9691" spans="11:33" ht="14.5" x14ac:dyDescent="0.35">
      <c r="K9691" s="4"/>
      <c r="AC9691" s="7"/>
      <c r="AD9691" s="7"/>
      <c r="AE9691" s="7"/>
      <c r="AF9691" s="8"/>
      <c r="AG9691" s="7"/>
    </row>
    <row r="9692" spans="11:33" ht="14.5" x14ac:dyDescent="0.35">
      <c r="K9692" s="4"/>
      <c r="AC9692" s="7"/>
      <c r="AD9692" s="7"/>
      <c r="AE9692" s="7"/>
      <c r="AF9692" s="8"/>
      <c r="AG9692" s="7"/>
    </row>
    <row r="9693" spans="11:33" ht="14.5" x14ac:dyDescent="0.35">
      <c r="K9693" s="4"/>
      <c r="AC9693" s="7"/>
      <c r="AD9693" s="7"/>
      <c r="AE9693" s="7"/>
      <c r="AF9693" s="8"/>
      <c r="AG9693" s="7"/>
    </row>
    <row r="9694" spans="11:33" ht="14.5" x14ac:dyDescent="0.35">
      <c r="K9694" s="4"/>
      <c r="AC9694" s="7"/>
      <c r="AD9694" s="7"/>
      <c r="AE9694" s="7"/>
      <c r="AF9694" s="8"/>
      <c r="AG9694" s="7"/>
    </row>
    <row r="9695" spans="11:33" ht="14.5" x14ac:dyDescent="0.35">
      <c r="K9695" s="4"/>
      <c r="AC9695" s="7"/>
      <c r="AD9695" s="7"/>
      <c r="AE9695" s="7"/>
      <c r="AF9695" s="8"/>
      <c r="AG9695" s="7"/>
    </row>
    <row r="9696" spans="11:33" ht="14.5" x14ac:dyDescent="0.35">
      <c r="K9696" s="4"/>
      <c r="AC9696" s="7"/>
      <c r="AD9696" s="7"/>
      <c r="AE9696" s="7"/>
      <c r="AF9696" s="8"/>
      <c r="AG9696" s="7"/>
    </row>
    <row r="9697" spans="11:33" ht="14.5" x14ac:dyDescent="0.35">
      <c r="K9697" s="4"/>
      <c r="AC9697" s="7"/>
      <c r="AD9697" s="7"/>
      <c r="AE9697" s="7"/>
      <c r="AF9697" s="8"/>
      <c r="AG9697" s="7"/>
    </row>
    <row r="9698" spans="11:33" ht="14.5" x14ac:dyDescent="0.35">
      <c r="K9698" s="4"/>
      <c r="AC9698" s="7"/>
      <c r="AD9698" s="7"/>
      <c r="AE9698" s="7"/>
      <c r="AF9698" s="8"/>
      <c r="AG9698" s="7"/>
    </row>
    <row r="9699" spans="11:33" ht="14.5" x14ac:dyDescent="0.35">
      <c r="K9699" s="4"/>
      <c r="AC9699" s="7"/>
      <c r="AD9699" s="7"/>
      <c r="AE9699" s="7"/>
      <c r="AF9699" s="8"/>
      <c r="AG9699" s="7"/>
    </row>
    <row r="9700" spans="11:33" ht="14.5" x14ac:dyDescent="0.35">
      <c r="K9700" s="4"/>
      <c r="AC9700" s="7"/>
      <c r="AD9700" s="7"/>
      <c r="AE9700" s="7"/>
      <c r="AF9700" s="8"/>
      <c r="AG9700" s="7"/>
    </row>
    <row r="9701" spans="11:33" ht="14.5" x14ac:dyDescent="0.35">
      <c r="K9701" s="4"/>
      <c r="AC9701" s="7"/>
      <c r="AD9701" s="7"/>
      <c r="AE9701" s="7"/>
      <c r="AF9701" s="8"/>
      <c r="AG9701" s="7"/>
    </row>
    <row r="9702" spans="11:33" ht="14.5" x14ac:dyDescent="0.35">
      <c r="K9702" s="4"/>
      <c r="AC9702" s="7"/>
      <c r="AD9702" s="7"/>
      <c r="AE9702" s="7"/>
      <c r="AF9702" s="8"/>
      <c r="AG9702" s="7"/>
    </row>
    <row r="9703" spans="11:33" ht="14.5" x14ac:dyDescent="0.35">
      <c r="K9703" s="4"/>
      <c r="AC9703" s="7"/>
      <c r="AD9703" s="7"/>
      <c r="AE9703" s="7"/>
      <c r="AF9703" s="8"/>
      <c r="AG9703" s="7"/>
    </row>
    <row r="9704" spans="11:33" ht="14.5" x14ac:dyDescent="0.35">
      <c r="K9704" s="4"/>
      <c r="AC9704" s="7"/>
      <c r="AD9704" s="7"/>
      <c r="AE9704" s="7"/>
      <c r="AF9704" s="8"/>
      <c r="AG9704" s="7"/>
    </row>
    <row r="9705" spans="11:33" ht="14.5" x14ac:dyDescent="0.35">
      <c r="K9705" s="4"/>
      <c r="AC9705" s="7"/>
      <c r="AD9705" s="7"/>
      <c r="AE9705" s="7"/>
      <c r="AF9705" s="8"/>
      <c r="AG9705" s="7"/>
    </row>
    <row r="9706" spans="11:33" ht="14.5" x14ac:dyDescent="0.35">
      <c r="K9706" s="4"/>
      <c r="AC9706" s="7"/>
      <c r="AD9706" s="7"/>
      <c r="AE9706" s="7"/>
      <c r="AF9706" s="8"/>
      <c r="AG9706" s="7"/>
    </row>
    <row r="9707" spans="11:33" ht="14.5" x14ac:dyDescent="0.35">
      <c r="K9707" s="4"/>
      <c r="AC9707" s="7"/>
      <c r="AD9707" s="7"/>
      <c r="AE9707" s="7"/>
      <c r="AF9707" s="8"/>
      <c r="AG9707" s="7"/>
    </row>
    <row r="9708" spans="11:33" ht="14.5" x14ac:dyDescent="0.35">
      <c r="K9708" s="4"/>
      <c r="AC9708" s="7"/>
      <c r="AD9708" s="7"/>
      <c r="AE9708" s="7"/>
      <c r="AF9708" s="8"/>
      <c r="AG9708" s="7"/>
    </row>
    <row r="9709" spans="11:33" ht="14.5" x14ac:dyDescent="0.35">
      <c r="K9709" s="4"/>
      <c r="AC9709" s="7"/>
      <c r="AD9709" s="7"/>
      <c r="AE9709" s="7"/>
      <c r="AF9709" s="8"/>
      <c r="AG9709" s="7"/>
    </row>
    <row r="9710" spans="11:33" ht="14.5" x14ac:dyDescent="0.35">
      <c r="K9710" s="4"/>
      <c r="AC9710" s="7"/>
      <c r="AD9710" s="7"/>
      <c r="AE9710" s="7"/>
      <c r="AF9710" s="8"/>
      <c r="AG9710" s="7"/>
    </row>
    <row r="9711" spans="11:33" ht="14.5" x14ac:dyDescent="0.35">
      <c r="K9711" s="4"/>
      <c r="AC9711" s="7"/>
      <c r="AD9711" s="7"/>
      <c r="AE9711" s="7"/>
      <c r="AF9711" s="8"/>
      <c r="AG9711" s="7"/>
    </row>
    <row r="9712" spans="11:33" ht="14.5" x14ac:dyDescent="0.35">
      <c r="K9712" s="4"/>
      <c r="AC9712" s="7"/>
      <c r="AD9712" s="7"/>
      <c r="AE9712" s="7"/>
      <c r="AF9712" s="8"/>
      <c r="AG9712" s="7"/>
    </row>
    <row r="9713" spans="11:33" ht="14.5" x14ac:dyDescent="0.35">
      <c r="K9713" s="4"/>
      <c r="AC9713" s="7"/>
      <c r="AD9713" s="7"/>
      <c r="AE9713" s="7"/>
      <c r="AF9713" s="8"/>
      <c r="AG9713" s="7"/>
    </row>
    <row r="9714" spans="11:33" ht="14.5" x14ac:dyDescent="0.35">
      <c r="K9714" s="4"/>
      <c r="AC9714" s="7"/>
      <c r="AD9714" s="7"/>
      <c r="AE9714" s="7"/>
      <c r="AF9714" s="8"/>
      <c r="AG9714" s="7"/>
    </row>
    <row r="9715" spans="11:33" ht="14.5" x14ac:dyDescent="0.35">
      <c r="K9715" s="4"/>
      <c r="AC9715" s="7"/>
      <c r="AD9715" s="7"/>
      <c r="AE9715" s="7"/>
      <c r="AF9715" s="8"/>
      <c r="AG9715" s="7"/>
    </row>
    <row r="9716" spans="11:33" ht="14.5" x14ac:dyDescent="0.35">
      <c r="K9716" s="4"/>
      <c r="AC9716" s="7"/>
      <c r="AD9716" s="7"/>
      <c r="AE9716" s="7"/>
      <c r="AF9716" s="8"/>
      <c r="AG9716" s="7"/>
    </row>
    <row r="9717" spans="11:33" ht="14.5" x14ac:dyDescent="0.35">
      <c r="K9717" s="4"/>
      <c r="AC9717" s="7"/>
      <c r="AD9717" s="7"/>
      <c r="AE9717" s="7"/>
      <c r="AF9717" s="8"/>
      <c r="AG9717" s="7"/>
    </row>
    <row r="9718" spans="11:33" ht="14.5" x14ac:dyDescent="0.35">
      <c r="K9718" s="4"/>
      <c r="AC9718" s="7"/>
      <c r="AD9718" s="7"/>
      <c r="AE9718" s="7"/>
      <c r="AF9718" s="8"/>
      <c r="AG9718" s="7"/>
    </row>
    <row r="9719" spans="11:33" ht="14.5" x14ac:dyDescent="0.35">
      <c r="K9719" s="4"/>
      <c r="AC9719" s="7"/>
      <c r="AD9719" s="7"/>
      <c r="AE9719" s="7"/>
      <c r="AF9719" s="8"/>
      <c r="AG9719" s="7"/>
    </row>
    <row r="9720" spans="11:33" ht="14.5" x14ac:dyDescent="0.35">
      <c r="K9720" s="4"/>
      <c r="AC9720" s="7"/>
      <c r="AD9720" s="7"/>
      <c r="AE9720" s="7"/>
      <c r="AF9720" s="8"/>
      <c r="AG9720" s="7"/>
    </row>
    <row r="9721" spans="11:33" ht="14.5" x14ac:dyDescent="0.35">
      <c r="K9721" s="4"/>
      <c r="AC9721" s="7"/>
      <c r="AD9721" s="7"/>
      <c r="AE9721" s="7"/>
      <c r="AF9721" s="8"/>
      <c r="AG9721" s="7"/>
    </row>
    <row r="9722" spans="11:33" ht="14.5" x14ac:dyDescent="0.35">
      <c r="K9722" s="4"/>
      <c r="AC9722" s="7"/>
      <c r="AD9722" s="7"/>
      <c r="AE9722" s="7"/>
      <c r="AF9722" s="8"/>
      <c r="AG9722" s="7"/>
    </row>
    <row r="9723" spans="11:33" ht="14.5" x14ac:dyDescent="0.35">
      <c r="K9723" s="4"/>
      <c r="AC9723" s="7"/>
      <c r="AD9723" s="7"/>
      <c r="AE9723" s="7"/>
      <c r="AF9723" s="8"/>
      <c r="AG9723" s="7"/>
    </row>
    <row r="9724" spans="11:33" ht="14.5" x14ac:dyDescent="0.35">
      <c r="K9724" s="4"/>
      <c r="AC9724" s="7"/>
      <c r="AD9724" s="7"/>
      <c r="AE9724" s="7"/>
      <c r="AF9724" s="8"/>
      <c r="AG9724" s="7"/>
    </row>
    <row r="9725" spans="11:33" ht="14.5" x14ac:dyDescent="0.35">
      <c r="K9725" s="4"/>
      <c r="AC9725" s="7"/>
      <c r="AD9725" s="7"/>
      <c r="AE9725" s="7"/>
      <c r="AF9725" s="8"/>
      <c r="AG9725" s="7"/>
    </row>
    <row r="9726" spans="11:33" ht="14.5" x14ac:dyDescent="0.35">
      <c r="K9726" s="4"/>
      <c r="AC9726" s="7"/>
      <c r="AD9726" s="7"/>
      <c r="AE9726" s="7"/>
      <c r="AF9726" s="8"/>
      <c r="AG9726" s="7"/>
    </row>
    <row r="9727" spans="11:33" ht="14.5" x14ac:dyDescent="0.35">
      <c r="K9727" s="4"/>
      <c r="AC9727" s="7"/>
      <c r="AD9727" s="7"/>
      <c r="AE9727" s="7"/>
      <c r="AF9727" s="8"/>
      <c r="AG9727" s="7"/>
    </row>
    <row r="9728" spans="11:33" ht="14.5" x14ac:dyDescent="0.35">
      <c r="K9728" s="4"/>
      <c r="AC9728" s="7"/>
      <c r="AD9728" s="7"/>
      <c r="AE9728" s="7"/>
      <c r="AF9728" s="8"/>
      <c r="AG9728" s="7"/>
    </row>
    <row r="9729" spans="11:33" ht="14.5" x14ac:dyDescent="0.35">
      <c r="K9729" s="4"/>
      <c r="AC9729" s="7"/>
      <c r="AD9729" s="7"/>
      <c r="AE9729" s="7"/>
      <c r="AF9729" s="8"/>
      <c r="AG9729" s="7"/>
    </row>
    <row r="9730" spans="11:33" ht="14.5" x14ac:dyDescent="0.35">
      <c r="K9730" s="4"/>
      <c r="AC9730" s="7"/>
      <c r="AD9730" s="7"/>
      <c r="AE9730" s="7"/>
      <c r="AF9730" s="8"/>
      <c r="AG9730" s="7"/>
    </row>
    <row r="9731" spans="11:33" ht="14.5" x14ac:dyDescent="0.35">
      <c r="K9731" s="4"/>
      <c r="AC9731" s="7"/>
      <c r="AD9731" s="7"/>
      <c r="AE9731" s="7"/>
      <c r="AF9731" s="8"/>
      <c r="AG9731" s="7"/>
    </row>
    <row r="9732" spans="11:33" ht="14.5" x14ac:dyDescent="0.35">
      <c r="K9732" s="4"/>
      <c r="AC9732" s="7"/>
      <c r="AD9732" s="7"/>
      <c r="AE9732" s="7"/>
      <c r="AF9732" s="8"/>
      <c r="AG9732" s="7"/>
    </row>
    <row r="9733" spans="11:33" ht="14.5" x14ac:dyDescent="0.35">
      <c r="K9733" s="4"/>
      <c r="AC9733" s="7"/>
      <c r="AD9733" s="7"/>
      <c r="AE9733" s="7"/>
      <c r="AF9733" s="8"/>
      <c r="AG9733" s="7"/>
    </row>
    <row r="9734" spans="11:33" ht="14.5" x14ac:dyDescent="0.35">
      <c r="K9734" s="4"/>
      <c r="AC9734" s="7"/>
      <c r="AD9734" s="7"/>
      <c r="AE9734" s="7"/>
      <c r="AF9734" s="8"/>
      <c r="AG9734" s="7"/>
    </row>
    <row r="9735" spans="11:33" ht="14.5" x14ac:dyDescent="0.35">
      <c r="K9735" s="4"/>
      <c r="AC9735" s="7"/>
      <c r="AD9735" s="7"/>
      <c r="AE9735" s="7"/>
      <c r="AF9735" s="8"/>
      <c r="AG9735" s="7"/>
    </row>
    <row r="9736" spans="11:33" ht="14.5" x14ac:dyDescent="0.35">
      <c r="K9736" s="4"/>
      <c r="AC9736" s="7"/>
      <c r="AD9736" s="7"/>
      <c r="AE9736" s="7"/>
      <c r="AF9736" s="8"/>
      <c r="AG9736" s="7"/>
    </row>
    <row r="9737" spans="11:33" ht="14.5" x14ac:dyDescent="0.35">
      <c r="K9737" s="4"/>
      <c r="AC9737" s="7"/>
      <c r="AD9737" s="7"/>
      <c r="AE9737" s="7"/>
      <c r="AF9737" s="8"/>
      <c r="AG9737" s="7"/>
    </row>
    <row r="9738" spans="11:33" ht="14.5" x14ac:dyDescent="0.35">
      <c r="K9738" s="4"/>
      <c r="AC9738" s="7"/>
      <c r="AD9738" s="7"/>
      <c r="AE9738" s="7"/>
      <c r="AF9738" s="8"/>
      <c r="AG9738" s="7"/>
    </row>
    <row r="9739" spans="11:33" ht="14.5" x14ac:dyDescent="0.35">
      <c r="K9739" s="4"/>
      <c r="AC9739" s="7"/>
      <c r="AD9739" s="7"/>
      <c r="AE9739" s="7"/>
      <c r="AF9739" s="8"/>
      <c r="AG9739" s="7"/>
    </row>
    <row r="9740" spans="11:33" ht="14.5" x14ac:dyDescent="0.35">
      <c r="K9740" s="4"/>
      <c r="AC9740" s="7"/>
      <c r="AD9740" s="7"/>
      <c r="AE9740" s="7"/>
      <c r="AF9740" s="8"/>
      <c r="AG9740" s="7"/>
    </row>
    <row r="9741" spans="11:33" ht="14.5" x14ac:dyDescent="0.35">
      <c r="K9741" s="4"/>
      <c r="AC9741" s="7"/>
      <c r="AD9741" s="7"/>
      <c r="AE9741" s="7"/>
      <c r="AF9741" s="8"/>
      <c r="AG9741" s="7"/>
    </row>
    <row r="9742" spans="11:33" ht="14.5" x14ac:dyDescent="0.35">
      <c r="K9742" s="4"/>
      <c r="AC9742" s="7"/>
      <c r="AD9742" s="7"/>
      <c r="AE9742" s="7"/>
      <c r="AF9742" s="8"/>
      <c r="AG9742" s="7"/>
    </row>
    <row r="9743" spans="11:33" ht="14.5" x14ac:dyDescent="0.35">
      <c r="K9743" s="4"/>
      <c r="AC9743" s="7"/>
      <c r="AD9743" s="7"/>
      <c r="AE9743" s="7"/>
      <c r="AF9743" s="8"/>
      <c r="AG9743" s="7"/>
    </row>
    <row r="9744" spans="11:33" ht="14.5" x14ac:dyDescent="0.35">
      <c r="K9744" s="4"/>
      <c r="AC9744" s="7"/>
      <c r="AD9744" s="7"/>
      <c r="AE9744" s="7"/>
      <c r="AF9744" s="8"/>
      <c r="AG9744" s="7"/>
    </row>
    <row r="9745" spans="11:33" ht="14.5" x14ac:dyDescent="0.35">
      <c r="K9745" s="4"/>
      <c r="AC9745" s="7"/>
      <c r="AD9745" s="7"/>
      <c r="AE9745" s="7"/>
      <c r="AF9745" s="8"/>
      <c r="AG9745" s="7"/>
    </row>
    <row r="9746" spans="11:33" ht="14.5" x14ac:dyDescent="0.35">
      <c r="K9746" s="4"/>
      <c r="AC9746" s="7"/>
      <c r="AD9746" s="7"/>
      <c r="AE9746" s="7"/>
      <c r="AF9746" s="8"/>
      <c r="AG9746" s="7"/>
    </row>
    <row r="9747" spans="11:33" ht="14.5" x14ac:dyDescent="0.35">
      <c r="K9747" s="4"/>
      <c r="AC9747" s="7"/>
      <c r="AD9747" s="7"/>
      <c r="AE9747" s="7"/>
      <c r="AF9747" s="8"/>
      <c r="AG9747" s="7"/>
    </row>
    <row r="9748" spans="11:33" ht="14.5" x14ac:dyDescent="0.35">
      <c r="K9748" s="4"/>
      <c r="AC9748" s="7"/>
      <c r="AD9748" s="7"/>
      <c r="AE9748" s="7"/>
      <c r="AF9748" s="8"/>
      <c r="AG9748" s="7"/>
    </row>
    <row r="9749" spans="11:33" ht="14.5" x14ac:dyDescent="0.35">
      <c r="K9749" s="4"/>
      <c r="AC9749" s="7"/>
      <c r="AD9749" s="7"/>
      <c r="AE9749" s="7"/>
      <c r="AF9749" s="8"/>
      <c r="AG9749" s="7"/>
    </row>
    <row r="9750" spans="11:33" ht="14.5" x14ac:dyDescent="0.35">
      <c r="K9750" s="4"/>
      <c r="AC9750" s="7"/>
      <c r="AD9750" s="7"/>
      <c r="AE9750" s="7"/>
      <c r="AF9750" s="8"/>
      <c r="AG9750" s="7"/>
    </row>
    <row r="9751" spans="11:33" ht="14.5" x14ac:dyDescent="0.35">
      <c r="K9751" s="4"/>
      <c r="AC9751" s="7"/>
      <c r="AD9751" s="7"/>
      <c r="AE9751" s="7"/>
      <c r="AF9751" s="8"/>
      <c r="AG9751" s="7"/>
    </row>
    <row r="9752" spans="11:33" ht="14.5" x14ac:dyDescent="0.35">
      <c r="K9752" s="4"/>
      <c r="AC9752" s="7"/>
      <c r="AD9752" s="7"/>
      <c r="AE9752" s="7"/>
      <c r="AF9752" s="8"/>
      <c r="AG9752" s="7"/>
    </row>
    <row r="9753" spans="11:33" ht="14.5" x14ac:dyDescent="0.35">
      <c r="K9753" s="4"/>
      <c r="AC9753" s="7"/>
      <c r="AD9753" s="7"/>
      <c r="AE9753" s="7"/>
      <c r="AF9753" s="8"/>
      <c r="AG9753" s="7"/>
    </row>
    <row r="9754" spans="11:33" ht="14.5" x14ac:dyDescent="0.35">
      <c r="K9754" s="4"/>
      <c r="AC9754" s="7"/>
      <c r="AD9754" s="7"/>
      <c r="AE9754" s="7"/>
      <c r="AF9754" s="8"/>
      <c r="AG9754" s="7"/>
    </row>
    <row r="9755" spans="11:33" ht="14.5" x14ac:dyDescent="0.35">
      <c r="K9755" s="4"/>
      <c r="AC9755" s="7"/>
      <c r="AD9755" s="7"/>
      <c r="AE9755" s="7"/>
      <c r="AF9755" s="8"/>
      <c r="AG9755" s="7"/>
    </row>
    <row r="9756" spans="11:33" ht="14.5" x14ac:dyDescent="0.35">
      <c r="K9756" s="4"/>
      <c r="AC9756" s="7"/>
      <c r="AD9756" s="7"/>
      <c r="AE9756" s="7"/>
      <c r="AF9756" s="8"/>
      <c r="AG9756" s="7"/>
    </row>
    <row r="9757" spans="11:33" ht="14.5" x14ac:dyDescent="0.35">
      <c r="K9757" s="4"/>
      <c r="AC9757" s="7"/>
      <c r="AD9757" s="7"/>
      <c r="AE9757" s="7"/>
      <c r="AF9757" s="8"/>
      <c r="AG9757" s="7"/>
    </row>
    <row r="9758" spans="11:33" ht="14.5" x14ac:dyDescent="0.35">
      <c r="K9758" s="4"/>
      <c r="AC9758" s="7"/>
      <c r="AD9758" s="7"/>
      <c r="AE9758" s="7"/>
      <c r="AF9758" s="8"/>
      <c r="AG9758" s="7"/>
    </row>
    <row r="9759" spans="11:33" ht="14.5" x14ac:dyDescent="0.35">
      <c r="K9759" s="4"/>
      <c r="AC9759" s="7"/>
      <c r="AD9759" s="7"/>
      <c r="AE9759" s="7"/>
      <c r="AF9759" s="8"/>
      <c r="AG9759" s="7"/>
    </row>
    <row r="9760" spans="11:33" ht="14.5" x14ac:dyDescent="0.35">
      <c r="K9760" s="4"/>
      <c r="AC9760" s="7"/>
      <c r="AD9760" s="7"/>
      <c r="AE9760" s="7"/>
      <c r="AF9760" s="8"/>
      <c r="AG9760" s="7"/>
    </row>
    <row r="9761" spans="11:33" ht="14.5" x14ac:dyDescent="0.35">
      <c r="K9761" s="4"/>
      <c r="AC9761" s="7"/>
      <c r="AD9761" s="7"/>
      <c r="AE9761" s="7"/>
      <c r="AF9761" s="8"/>
      <c r="AG9761" s="7"/>
    </row>
    <row r="9762" spans="11:33" ht="14.5" x14ac:dyDescent="0.35">
      <c r="K9762" s="4"/>
      <c r="AC9762" s="7"/>
      <c r="AD9762" s="7"/>
      <c r="AE9762" s="7"/>
      <c r="AF9762" s="8"/>
      <c r="AG9762" s="7"/>
    </row>
    <row r="9763" spans="11:33" ht="14.5" x14ac:dyDescent="0.35">
      <c r="K9763" s="4"/>
      <c r="AC9763" s="7"/>
      <c r="AD9763" s="7"/>
      <c r="AE9763" s="7"/>
      <c r="AF9763" s="8"/>
      <c r="AG9763" s="7"/>
    </row>
    <row r="9764" spans="11:33" ht="14.5" x14ac:dyDescent="0.35">
      <c r="K9764" s="4"/>
      <c r="AC9764" s="7"/>
      <c r="AD9764" s="7"/>
      <c r="AE9764" s="7"/>
      <c r="AF9764" s="8"/>
      <c r="AG9764" s="7"/>
    </row>
    <row r="9765" spans="11:33" ht="14.5" x14ac:dyDescent="0.35">
      <c r="K9765" s="4"/>
      <c r="AC9765" s="7"/>
      <c r="AD9765" s="7"/>
      <c r="AE9765" s="7"/>
      <c r="AF9765" s="8"/>
      <c r="AG9765" s="7"/>
    </row>
    <row r="9766" spans="11:33" ht="14.5" x14ac:dyDescent="0.35">
      <c r="K9766" s="4"/>
      <c r="AC9766" s="7"/>
      <c r="AD9766" s="7"/>
      <c r="AE9766" s="7"/>
      <c r="AF9766" s="8"/>
      <c r="AG9766" s="7"/>
    </row>
    <row r="9767" spans="11:33" ht="14.5" x14ac:dyDescent="0.35">
      <c r="K9767" s="4"/>
      <c r="AC9767" s="7"/>
      <c r="AD9767" s="7"/>
      <c r="AE9767" s="7"/>
      <c r="AF9767" s="8"/>
      <c r="AG9767" s="7"/>
    </row>
    <row r="9768" spans="11:33" ht="14.5" x14ac:dyDescent="0.35">
      <c r="K9768" s="4"/>
      <c r="AC9768" s="7"/>
      <c r="AD9768" s="7"/>
      <c r="AE9768" s="7"/>
      <c r="AF9768" s="8"/>
      <c r="AG9768" s="7"/>
    </row>
    <row r="9769" spans="11:33" ht="14.5" x14ac:dyDescent="0.35">
      <c r="K9769" s="4"/>
      <c r="AC9769" s="7"/>
      <c r="AD9769" s="7"/>
      <c r="AE9769" s="7"/>
      <c r="AF9769" s="8"/>
      <c r="AG9769" s="7"/>
    </row>
    <row r="9770" spans="11:33" ht="14.5" x14ac:dyDescent="0.35">
      <c r="K9770" s="4"/>
      <c r="AC9770" s="7"/>
      <c r="AD9770" s="7"/>
      <c r="AE9770" s="7"/>
      <c r="AF9770" s="8"/>
      <c r="AG9770" s="7"/>
    </row>
    <row r="9771" spans="11:33" ht="14.5" x14ac:dyDescent="0.35">
      <c r="K9771" s="4"/>
      <c r="AC9771" s="7"/>
      <c r="AD9771" s="7"/>
      <c r="AE9771" s="7"/>
      <c r="AF9771" s="8"/>
      <c r="AG9771" s="7"/>
    </row>
    <row r="9772" spans="11:33" ht="14.5" x14ac:dyDescent="0.35">
      <c r="K9772" s="4"/>
      <c r="AC9772" s="7"/>
      <c r="AD9772" s="7"/>
      <c r="AE9772" s="7"/>
      <c r="AF9772" s="8"/>
      <c r="AG9772" s="7"/>
    </row>
    <row r="9773" spans="11:33" ht="14.5" x14ac:dyDescent="0.35">
      <c r="K9773" s="4"/>
      <c r="AC9773" s="7"/>
      <c r="AD9773" s="7"/>
      <c r="AE9773" s="7"/>
      <c r="AF9773" s="8"/>
      <c r="AG9773" s="7"/>
    </row>
    <row r="9774" spans="11:33" ht="14.5" x14ac:dyDescent="0.35">
      <c r="K9774" s="4"/>
      <c r="AC9774" s="7"/>
      <c r="AD9774" s="7"/>
      <c r="AE9774" s="7"/>
      <c r="AF9774" s="8"/>
      <c r="AG9774" s="7"/>
    </row>
    <row r="9775" spans="11:33" ht="14.5" x14ac:dyDescent="0.35">
      <c r="K9775" s="4"/>
      <c r="AC9775" s="7"/>
      <c r="AD9775" s="7"/>
      <c r="AE9775" s="7"/>
      <c r="AF9775" s="8"/>
      <c r="AG9775" s="7"/>
    </row>
    <row r="9776" spans="11:33" ht="14.5" x14ac:dyDescent="0.35">
      <c r="K9776" s="4"/>
      <c r="AC9776" s="7"/>
      <c r="AD9776" s="7"/>
      <c r="AE9776" s="7"/>
      <c r="AF9776" s="8"/>
      <c r="AG9776" s="7"/>
    </row>
    <row r="9777" spans="11:33" ht="14.5" x14ac:dyDescent="0.35">
      <c r="K9777" s="4"/>
      <c r="AC9777" s="7"/>
      <c r="AD9777" s="7"/>
      <c r="AE9777" s="7"/>
      <c r="AF9777" s="8"/>
      <c r="AG9777" s="7"/>
    </row>
    <row r="9778" spans="11:33" ht="14.5" x14ac:dyDescent="0.35">
      <c r="K9778" s="4"/>
      <c r="AC9778" s="7"/>
      <c r="AD9778" s="7"/>
      <c r="AE9778" s="7"/>
      <c r="AF9778" s="8"/>
      <c r="AG9778" s="7"/>
    </row>
    <row r="9779" spans="11:33" ht="14.5" x14ac:dyDescent="0.35">
      <c r="K9779" s="4"/>
      <c r="AC9779" s="7"/>
      <c r="AD9779" s="7"/>
      <c r="AE9779" s="7"/>
      <c r="AF9779" s="8"/>
      <c r="AG9779" s="7"/>
    </row>
    <row r="9780" spans="11:33" ht="14.5" x14ac:dyDescent="0.35">
      <c r="K9780" s="4"/>
      <c r="AC9780" s="7"/>
      <c r="AD9780" s="7"/>
      <c r="AE9780" s="7"/>
      <c r="AF9780" s="8"/>
      <c r="AG9780" s="7"/>
    </row>
    <row r="9781" spans="11:33" ht="14.5" x14ac:dyDescent="0.35">
      <c r="K9781" s="4"/>
      <c r="AC9781" s="7"/>
      <c r="AD9781" s="7"/>
      <c r="AE9781" s="7"/>
      <c r="AF9781" s="8"/>
      <c r="AG9781" s="7"/>
    </row>
    <row r="9782" spans="11:33" ht="14.5" x14ac:dyDescent="0.35">
      <c r="K9782" s="4"/>
      <c r="AC9782" s="7"/>
      <c r="AD9782" s="7"/>
      <c r="AE9782" s="7"/>
      <c r="AF9782" s="8"/>
      <c r="AG9782" s="7"/>
    </row>
    <row r="9783" spans="11:33" ht="14.5" x14ac:dyDescent="0.35">
      <c r="K9783" s="4"/>
      <c r="AC9783" s="7"/>
      <c r="AD9783" s="7"/>
      <c r="AE9783" s="7"/>
      <c r="AF9783" s="8"/>
      <c r="AG9783" s="7"/>
    </row>
    <row r="9784" spans="11:33" ht="14.5" x14ac:dyDescent="0.35">
      <c r="K9784" s="4"/>
      <c r="AC9784" s="7"/>
      <c r="AD9784" s="7"/>
      <c r="AE9784" s="7"/>
      <c r="AF9784" s="8"/>
      <c r="AG9784" s="7"/>
    </row>
    <row r="9785" spans="11:33" ht="14.5" x14ac:dyDescent="0.35">
      <c r="K9785" s="4"/>
      <c r="AC9785" s="7"/>
      <c r="AD9785" s="7"/>
      <c r="AE9785" s="7"/>
      <c r="AF9785" s="8"/>
      <c r="AG9785" s="7"/>
    </row>
    <row r="9786" spans="11:33" ht="14.5" x14ac:dyDescent="0.35">
      <c r="K9786" s="4"/>
      <c r="AC9786" s="7"/>
      <c r="AD9786" s="7"/>
      <c r="AE9786" s="7"/>
      <c r="AF9786" s="8"/>
      <c r="AG9786" s="7"/>
    </row>
    <row r="9787" spans="11:33" ht="14.5" x14ac:dyDescent="0.35">
      <c r="K9787" s="4"/>
      <c r="AC9787" s="7"/>
      <c r="AD9787" s="7"/>
      <c r="AE9787" s="7"/>
      <c r="AF9787" s="8"/>
      <c r="AG9787" s="7"/>
    </row>
    <row r="9788" spans="11:33" ht="14.5" x14ac:dyDescent="0.35">
      <c r="K9788" s="4"/>
      <c r="AC9788" s="7"/>
      <c r="AD9788" s="7"/>
      <c r="AE9788" s="7"/>
      <c r="AF9788" s="8"/>
      <c r="AG9788" s="7"/>
    </row>
    <row r="9789" spans="11:33" ht="14.5" x14ac:dyDescent="0.35">
      <c r="K9789" s="4"/>
      <c r="AC9789" s="7"/>
      <c r="AD9789" s="7"/>
      <c r="AE9789" s="7"/>
      <c r="AF9789" s="8"/>
      <c r="AG9789" s="7"/>
    </row>
    <row r="9790" spans="11:33" ht="14.5" x14ac:dyDescent="0.35">
      <c r="K9790" s="4"/>
      <c r="AC9790" s="7"/>
      <c r="AD9790" s="7"/>
      <c r="AE9790" s="7"/>
      <c r="AF9790" s="8"/>
      <c r="AG9790" s="7"/>
    </row>
    <row r="9791" spans="11:33" ht="14.5" x14ac:dyDescent="0.35">
      <c r="K9791" s="4"/>
      <c r="AC9791" s="7"/>
      <c r="AD9791" s="7"/>
      <c r="AE9791" s="7"/>
      <c r="AF9791" s="8"/>
      <c r="AG9791" s="7"/>
    </row>
    <row r="9792" spans="11:33" ht="14.5" x14ac:dyDescent="0.35">
      <c r="K9792" s="4"/>
      <c r="AC9792" s="7"/>
      <c r="AD9792" s="7"/>
      <c r="AE9792" s="7"/>
      <c r="AF9792" s="8"/>
      <c r="AG9792" s="7"/>
    </row>
    <row r="9793" spans="11:33" ht="14.5" x14ac:dyDescent="0.35">
      <c r="K9793" s="4"/>
      <c r="AC9793" s="7"/>
      <c r="AD9793" s="7"/>
      <c r="AE9793" s="7"/>
      <c r="AF9793" s="8"/>
      <c r="AG9793" s="7"/>
    </row>
    <row r="9794" spans="11:33" ht="14.5" x14ac:dyDescent="0.35">
      <c r="K9794" s="4"/>
      <c r="AC9794" s="7"/>
      <c r="AD9794" s="7"/>
      <c r="AE9794" s="7"/>
      <c r="AF9794" s="8"/>
      <c r="AG9794" s="7"/>
    </row>
    <row r="9795" spans="11:33" ht="14.5" x14ac:dyDescent="0.35">
      <c r="K9795" s="4"/>
      <c r="AC9795" s="7"/>
      <c r="AD9795" s="7"/>
      <c r="AE9795" s="7"/>
      <c r="AF9795" s="8"/>
      <c r="AG9795" s="7"/>
    </row>
    <row r="9796" spans="11:33" ht="14.5" x14ac:dyDescent="0.35">
      <c r="K9796" s="4"/>
      <c r="AC9796" s="7"/>
      <c r="AD9796" s="7"/>
      <c r="AE9796" s="7"/>
      <c r="AF9796" s="8"/>
      <c r="AG9796" s="7"/>
    </row>
    <row r="9797" spans="11:33" ht="14.5" x14ac:dyDescent="0.35">
      <c r="K9797" s="4"/>
      <c r="AC9797" s="7"/>
      <c r="AD9797" s="7"/>
      <c r="AE9797" s="7"/>
      <c r="AF9797" s="8"/>
      <c r="AG9797" s="7"/>
    </row>
    <row r="9798" spans="11:33" ht="14.5" x14ac:dyDescent="0.35">
      <c r="K9798" s="4"/>
      <c r="AC9798" s="7"/>
      <c r="AD9798" s="7"/>
      <c r="AE9798" s="7"/>
      <c r="AF9798" s="8"/>
      <c r="AG9798" s="7"/>
    </row>
    <row r="9799" spans="11:33" ht="14.5" x14ac:dyDescent="0.35">
      <c r="K9799" s="4"/>
      <c r="AC9799" s="7"/>
      <c r="AD9799" s="7"/>
      <c r="AE9799" s="7"/>
      <c r="AF9799" s="8"/>
      <c r="AG9799" s="7"/>
    </row>
    <row r="9800" spans="11:33" ht="14.5" x14ac:dyDescent="0.35">
      <c r="K9800" s="4"/>
      <c r="AC9800" s="7"/>
      <c r="AD9800" s="7"/>
      <c r="AE9800" s="7"/>
      <c r="AF9800" s="8"/>
      <c r="AG9800" s="7"/>
    </row>
    <row r="9801" spans="11:33" ht="14.5" x14ac:dyDescent="0.35">
      <c r="K9801" s="4"/>
      <c r="AC9801" s="7"/>
      <c r="AD9801" s="7"/>
      <c r="AE9801" s="7"/>
      <c r="AF9801" s="8"/>
      <c r="AG9801" s="7"/>
    </row>
    <row r="9802" spans="11:33" ht="14.5" x14ac:dyDescent="0.35">
      <c r="K9802" s="4"/>
      <c r="AC9802" s="7"/>
      <c r="AD9802" s="7"/>
      <c r="AE9802" s="7"/>
      <c r="AF9802" s="8"/>
      <c r="AG9802" s="7"/>
    </row>
    <row r="9803" spans="11:33" ht="14.5" x14ac:dyDescent="0.35">
      <c r="K9803" s="4"/>
      <c r="AC9803" s="7"/>
      <c r="AD9803" s="7"/>
      <c r="AE9803" s="7"/>
      <c r="AF9803" s="8"/>
      <c r="AG9803" s="7"/>
    </row>
    <row r="9804" spans="11:33" ht="14.5" x14ac:dyDescent="0.35">
      <c r="K9804" s="4"/>
      <c r="AC9804" s="7"/>
      <c r="AD9804" s="7"/>
      <c r="AE9804" s="7"/>
      <c r="AF9804" s="8"/>
      <c r="AG9804" s="7"/>
    </row>
    <row r="9805" spans="11:33" ht="14.5" x14ac:dyDescent="0.35">
      <c r="K9805" s="4"/>
      <c r="AC9805" s="7"/>
      <c r="AD9805" s="7"/>
      <c r="AE9805" s="7"/>
      <c r="AF9805" s="8"/>
      <c r="AG9805" s="7"/>
    </row>
    <row r="9806" spans="11:33" ht="14.5" x14ac:dyDescent="0.35">
      <c r="K9806" s="4"/>
      <c r="AC9806" s="7"/>
      <c r="AD9806" s="7"/>
      <c r="AE9806" s="7"/>
      <c r="AF9806" s="8"/>
      <c r="AG9806" s="7"/>
    </row>
    <row r="9807" spans="11:33" ht="14.5" x14ac:dyDescent="0.35">
      <c r="K9807" s="4"/>
      <c r="AC9807" s="7"/>
      <c r="AD9807" s="7"/>
      <c r="AE9807" s="7"/>
      <c r="AF9807" s="8"/>
      <c r="AG9807" s="7"/>
    </row>
    <row r="9808" spans="11:33" ht="14.5" x14ac:dyDescent="0.35">
      <c r="K9808" s="4"/>
      <c r="AC9808" s="7"/>
      <c r="AD9808" s="7"/>
      <c r="AE9808" s="7"/>
      <c r="AF9808" s="8"/>
      <c r="AG9808" s="7"/>
    </row>
    <row r="9809" spans="11:33" ht="14.5" x14ac:dyDescent="0.35">
      <c r="K9809" s="4"/>
      <c r="AC9809" s="7"/>
      <c r="AD9809" s="7"/>
      <c r="AE9809" s="7"/>
      <c r="AF9809" s="8"/>
      <c r="AG9809" s="7"/>
    </row>
    <row r="9810" spans="11:33" ht="14.5" x14ac:dyDescent="0.35">
      <c r="K9810" s="4"/>
      <c r="AC9810" s="7"/>
      <c r="AD9810" s="7"/>
      <c r="AE9810" s="7"/>
      <c r="AF9810" s="8"/>
      <c r="AG9810" s="7"/>
    </row>
    <row r="9811" spans="11:33" ht="14.5" x14ac:dyDescent="0.35">
      <c r="K9811" s="4"/>
      <c r="AC9811" s="7"/>
      <c r="AD9811" s="7"/>
      <c r="AE9811" s="7"/>
      <c r="AF9811" s="8"/>
      <c r="AG9811" s="7"/>
    </row>
    <row r="9812" spans="11:33" ht="14.5" x14ac:dyDescent="0.35">
      <c r="K9812" s="4"/>
      <c r="AC9812" s="7"/>
      <c r="AD9812" s="7"/>
      <c r="AE9812" s="7"/>
      <c r="AF9812" s="8"/>
      <c r="AG9812" s="7"/>
    </row>
    <row r="9813" spans="11:33" ht="14.5" x14ac:dyDescent="0.35">
      <c r="K9813" s="4"/>
      <c r="AC9813" s="7"/>
      <c r="AD9813" s="7"/>
      <c r="AE9813" s="7"/>
      <c r="AF9813" s="8"/>
      <c r="AG9813" s="7"/>
    </row>
    <row r="9814" spans="11:33" ht="14.5" x14ac:dyDescent="0.35">
      <c r="K9814" s="4"/>
      <c r="AC9814" s="7"/>
      <c r="AD9814" s="7"/>
      <c r="AE9814" s="7"/>
      <c r="AF9814" s="8"/>
      <c r="AG9814" s="7"/>
    </row>
    <row r="9815" spans="11:33" ht="14.5" x14ac:dyDescent="0.35">
      <c r="K9815" s="4"/>
      <c r="AC9815" s="7"/>
      <c r="AD9815" s="7"/>
      <c r="AE9815" s="7"/>
      <c r="AF9815" s="8"/>
      <c r="AG9815" s="7"/>
    </row>
    <row r="9816" spans="11:33" ht="14.5" x14ac:dyDescent="0.35">
      <c r="K9816" s="4"/>
      <c r="AC9816" s="7"/>
      <c r="AD9816" s="7"/>
      <c r="AE9816" s="7"/>
      <c r="AF9816" s="8"/>
      <c r="AG9816" s="7"/>
    </row>
    <row r="9817" spans="11:33" ht="14.5" x14ac:dyDescent="0.35">
      <c r="K9817" s="4"/>
      <c r="AC9817" s="7"/>
      <c r="AD9817" s="7"/>
      <c r="AE9817" s="7"/>
      <c r="AF9817" s="8"/>
      <c r="AG9817" s="7"/>
    </row>
    <row r="9818" spans="11:33" ht="14.5" x14ac:dyDescent="0.35">
      <c r="K9818" s="4"/>
      <c r="AC9818" s="7"/>
      <c r="AD9818" s="7"/>
      <c r="AE9818" s="7"/>
      <c r="AF9818" s="8"/>
      <c r="AG9818" s="7"/>
    </row>
    <row r="9819" spans="11:33" ht="14.5" x14ac:dyDescent="0.35">
      <c r="K9819" s="4"/>
      <c r="AC9819" s="7"/>
      <c r="AD9819" s="7"/>
      <c r="AE9819" s="7"/>
      <c r="AF9819" s="8"/>
      <c r="AG9819" s="7"/>
    </row>
    <row r="9820" spans="11:33" ht="14.5" x14ac:dyDescent="0.35">
      <c r="K9820" s="4"/>
      <c r="AC9820" s="7"/>
      <c r="AD9820" s="7"/>
      <c r="AE9820" s="7"/>
      <c r="AF9820" s="8"/>
      <c r="AG9820" s="7"/>
    </row>
    <row r="9821" spans="11:33" ht="14.5" x14ac:dyDescent="0.35">
      <c r="K9821" s="4"/>
      <c r="AC9821" s="7"/>
      <c r="AD9821" s="7"/>
      <c r="AE9821" s="7"/>
      <c r="AF9821" s="8"/>
      <c r="AG9821" s="7"/>
    </row>
    <row r="9822" spans="11:33" ht="14.5" x14ac:dyDescent="0.35">
      <c r="K9822" s="4"/>
      <c r="AC9822" s="7"/>
      <c r="AD9822" s="7"/>
      <c r="AE9822" s="7"/>
      <c r="AF9822" s="8"/>
      <c r="AG9822" s="7"/>
    </row>
    <row r="9823" spans="11:33" ht="14.5" x14ac:dyDescent="0.35">
      <c r="K9823" s="4"/>
      <c r="AC9823" s="7"/>
      <c r="AD9823" s="7"/>
      <c r="AE9823" s="7"/>
      <c r="AF9823" s="8"/>
      <c r="AG9823" s="7"/>
    </row>
    <row r="9824" spans="11:33" ht="14.5" x14ac:dyDescent="0.35">
      <c r="K9824" s="4"/>
      <c r="AC9824" s="7"/>
      <c r="AD9824" s="7"/>
      <c r="AE9824" s="7"/>
      <c r="AF9824" s="8"/>
      <c r="AG9824" s="7"/>
    </row>
    <row r="9825" spans="11:33" ht="14.5" x14ac:dyDescent="0.35">
      <c r="K9825" s="4"/>
      <c r="AC9825" s="7"/>
      <c r="AD9825" s="7"/>
      <c r="AE9825" s="7"/>
      <c r="AF9825" s="8"/>
      <c r="AG9825" s="7"/>
    </row>
    <row r="9826" spans="11:33" ht="14.5" x14ac:dyDescent="0.35">
      <c r="K9826" s="4"/>
      <c r="AC9826" s="7"/>
      <c r="AD9826" s="7"/>
      <c r="AE9826" s="7"/>
      <c r="AF9826" s="8"/>
      <c r="AG9826" s="7"/>
    </row>
    <row r="9827" spans="11:33" ht="14.5" x14ac:dyDescent="0.35">
      <c r="K9827" s="4"/>
      <c r="AC9827" s="7"/>
      <c r="AD9827" s="7"/>
      <c r="AE9827" s="7"/>
      <c r="AF9827" s="8"/>
      <c r="AG9827" s="7"/>
    </row>
    <row r="9828" spans="11:33" ht="14.5" x14ac:dyDescent="0.35">
      <c r="K9828" s="4"/>
      <c r="AC9828" s="7"/>
      <c r="AD9828" s="7"/>
      <c r="AE9828" s="7"/>
      <c r="AF9828" s="8"/>
      <c r="AG9828" s="7"/>
    </row>
    <row r="9829" spans="11:33" ht="14.5" x14ac:dyDescent="0.35">
      <c r="K9829" s="4"/>
      <c r="AC9829" s="7"/>
      <c r="AD9829" s="7"/>
      <c r="AE9829" s="7"/>
      <c r="AF9829" s="8"/>
      <c r="AG9829" s="7"/>
    </row>
    <row r="9830" spans="11:33" ht="14.5" x14ac:dyDescent="0.35">
      <c r="K9830" s="4"/>
      <c r="AC9830" s="7"/>
      <c r="AD9830" s="7"/>
      <c r="AE9830" s="7"/>
      <c r="AF9830" s="8"/>
      <c r="AG9830" s="7"/>
    </row>
    <row r="9831" spans="11:33" ht="14.5" x14ac:dyDescent="0.35">
      <c r="K9831" s="4"/>
      <c r="AC9831" s="7"/>
      <c r="AD9831" s="7"/>
      <c r="AE9831" s="7"/>
      <c r="AF9831" s="8"/>
      <c r="AG9831" s="7"/>
    </row>
    <row r="9832" spans="11:33" ht="14.5" x14ac:dyDescent="0.35">
      <c r="K9832" s="4"/>
      <c r="AC9832" s="7"/>
      <c r="AD9832" s="7"/>
      <c r="AE9832" s="7"/>
      <c r="AF9832" s="8"/>
      <c r="AG9832" s="7"/>
    </row>
    <row r="9833" spans="11:33" ht="14.5" x14ac:dyDescent="0.35">
      <c r="K9833" s="4"/>
      <c r="AC9833" s="7"/>
      <c r="AD9833" s="7"/>
      <c r="AE9833" s="7"/>
      <c r="AF9833" s="8"/>
      <c r="AG9833" s="7"/>
    </row>
    <row r="9834" spans="11:33" ht="14.5" x14ac:dyDescent="0.35">
      <c r="K9834" s="4"/>
      <c r="AC9834" s="7"/>
      <c r="AD9834" s="7"/>
      <c r="AE9834" s="7"/>
      <c r="AF9834" s="8"/>
      <c r="AG9834" s="7"/>
    </row>
    <row r="9835" spans="11:33" ht="14.5" x14ac:dyDescent="0.35">
      <c r="K9835" s="4"/>
      <c r="AC9835" s="7"/>
      <c r="AD9835" s="7"/>
      <c r="AE9835" s="7"/>
      <c r="AF9835" s="8"/>
      <c r="AG9835" s="7"/>
    </row>
    <row r="9836" spans="11:33" ht="14.5" x14ac:dyDescent="0.35">
      <c r="K9836" s="4"/>
      <c r="AC9836" s="7"/>
      <c r="AD9836" s="7"/>
      <c r="AE9836" s="7"/>
      <c r="AF9836" s="8"/>
      <c r="AG9836" s="7"/>
    </row>
    <row r="9837" spans="11:33" ht="14.5" x14ac:dyDescent="0.35">
      <c r="K9837" s="4"/>
      <c r="AC9837" s="7"/>
      <c r="AD9837" s="7"/>
      <c r="AE9837" s="7"/>
      <c r="AF9837" s="8"/>
      <c r="AG9837" s="7"/>
    </row>
    <row r="9838" spans="11:33" ht="14.5" x14ac:dyDescent="0.35">
      <c r="K9838" s="4"/>
      <c r="AC9838" s="7"/>
      <c r="AD9838" s="7"/>
      <c r="AE9838" s="7"/>
      <c r="AF9838" s="8"/>
      <c r="AG9838" s="7"/>
    </row>
    <row r="9839" spans="11:33" ht="14.5" x14ac:dyDescent="0.35">
      <c r="K9839" s="4"/>
      <c r="AC9839" s="7"/>
      <c r="AD9839" s="7"/>
      <c r="AE9839" s="7"/>
      <c r="AF9839" s="8"/>
      <c r="AG9839" s="7"/>
    </row>
    <row r="9840" spans="11:33" ht="14.5" x14ac:dyDescent="0.35">
      <c r="K9840" s="4"/>
      <c r="AC9840" s="7"/>
      <c r="AD9840" s="7"/>
      <c r="AE9840" s="7"/>
      <c r="AF9840" s="8"/>
      <c r="AG9840" s="7"/>
    </row>
    <row r="9841" spans="11:33" ht="14.5" x14ac:dyDescent="0.35">
      <c r="K9841" s="4"/>
      <c r="AC9841" s="7"/>
      <c r="AD9841" s="7"/>
      <c r="AE9841" s="7"/>
      <c r="AF9841" s="8"/>
      <c r="AG9841" s="7"/>
    </row>
    <row r="9842" spans="11:33" ht="14.5" x14ac:dyDescent="0.35">
      <c r="K9842" s="4"/>
      <c r="AC9842" s="7"/>
      <c r="AD9842" s="7"/>
      <c r="AE9842" s="7"/>
      <c r="AF9842" s="8"/>
      <c r="AG9842" s="7"/>
    </row>
    <row r="9843" spans="11:33" ht="14.5" x14ac:dyDescent="0.35">
      <c r="K9843" s="4"/>
      <c r="AC9843" s="7"/>
      <c r="AD9843" s="7"/>
      <c r="AE9843" s="7"/>
      <c r="AF9843" s="8"/>
      <c r="AG9843" s="7"/>
    </row>
    <row r="9844" spans="11:33" ht="14.5" x14ac:dyDescent="0.35">
      <c r="K9844" s="4"/>
      <c r="AC9844" s="7"/>
      <c r="AD9844" s="7"/>
      <c r="AE9844" s="7"/>
      <c r="AF9844" s="8"/>
      <c r="AG9844" s="7"/>
    </row>
    <row r="9845" spans="11:33" ht="14.5" x14ac:dyDescent="0.35">
      <c r="K9845" s="4"/>
      <c r="AC9845" s="7"/>
      <c r="AD9845" s="7"/>
      <c r="AE9845" s="7"/>
      <c r="AF9845" s="8"/>
      <c r="AG9845" s="7"/>
    </row>
    <row r="9846" spans="11:33" ht="14.5" x14ac:dyDescent="0.35">
      <c r="K9846" s="4"/>
      <c r="AC9846" s="7"/>
      <c r="AD9846" s="7"/>
      <c r="AE9846" s="7"/>
      <c r="AF9846" s="8"/>
      <c r="AG9846" s="7"/>
    </row>
    <row r="9847" spans="11:33" ht="14.5" x14ac:dyDescent="0.35">
      <c r="K9847" s="4"/>
      <c r="AC9847" s="7"/>
      <c r="AD9847" s="7"/>
      <c r="AE9847" s="7"/>
      <c r="AF9847" s="8"/>
      <c r="AG9847" s="7"/>
    </row>
    <row r="9848" spans="11:33" ht="14.5" x14ac:dyDescent="0.35">
      <c r="K9848" s="4"/>
      <c r="AC9848" s="7"/>
      <c r="AD9848" s="7"/>
      <c r="AE9848" s="7"/>
      <c r="AF9848" s="8"/>
      <c r="AG9848" s="7"/>
    </row>
    <row r="9849" spans="11:33" ht="14.5" x14ac:dyDescent="0.35">
      <c r="K9849" s="4"/>
      <c r="AC9849" s="7"/>
      <c r="AD9849" s="7"/>
      <c r="AE9849" s="7"/>
      <c r="AF9849" s="8"/>
      <c r="AG9849" s="7"/>
    </row>
    <row r="9850" spans="11:33" ht="14.5" x14ac:dyDescent="0.35">
      <c r="K9850" s="4"/>
      <c r="AC9850" s="7"/>
      <c r="AD9850" s="7"/>
      <c r="AE9850" s="7"/>
      <c r="AF9850" s="8"/>
      <c r="AG9850" s="7"/>
    </row>
    <row r="9851" spans="11:33" ht="14.5" x14ac:dyDescent="0.35">
      <c r="K9851" s="4"/>
      <c r="AC9851" s="7"/>
      <c r="AD9851" s="7"/>
      <c r="AE9851" s="7"/>
      <c r="AF9851" s="8"/>
      <c r="AG9851" s="7"/>
    </row>
    <row r="9852" spans="11:33" ht="14.5" x14ac:dyDescent="0.35">
      <c r="K9852" s="4"/>
      <c r="AC9852" s="7"/>
      <c r="AD9852" s="7"/>
      <c r="AE9852" s="7"/>
      <c r="AF9852" s="8"/>
      <c r="AG9852" s="7"/>
    </row>
    <row r="9853" spans="11:33" ht="14.5" x14ac:dyDescent="0.35">
      <c r="K9853" s="4"/>
      <c r="AC9853" s="7"/>
      <c r="AD9853" s="7"/>
      <c r="AE9853" s="7"/>
      <c r="AF9853" s="8"/>
      <c r="AG9853" s="7"/>
    </row>
    <row r="9854" spans="11:33" ht="14.5" x14ac:dyDescent="0.35">
      <c r="K9854" s="4"/>
      <c r="AC9854" s="7"/>
      <c r="AD9854" s="7"/>
      <c r="AE9854" s="7"/>
      <c r="AF9854" s="8"/>
      <c r="AG9854" s="7"/>
    </row>
    <row r="9855" spans="11:33" ht="14.5" x14ac:dyDescent="0.35">
      <c r="K9855" s="4"/>
      <c r="AC9855" s="7"/>
      <c r="AD9855" s="7"/>
      <c r="AE9855" s="7"/>
      <c r="AF9855" s="8"/>
      <c r="AG9855" s="7"/>
    </row>
    <row r="9856" spans="11:33" ht="14.5" x14ac:dyDescent="0.35">
      <c r="K9856" s="4"/>
      <c r="AC9856" s="7"/>
      <c r="AD9856" s="7"/>
      <c r="AE9856" s="7"/>
      <c r="AF9856" s="8"/>
      <c r="AG9856" s="7"/>
    </row>
    <row r="9857" spans="11:33" ht="14.5" x14ac:dyDescent="0.35">
      <c r="K9857" s="4"/>
      <c r="AC9857" s="7"/>
      <c r="AD9857" s="7"/>
      <c r="AE9857" s="7"/>
      <c r="AF9857" s="8"/>
      <c r="AG9857" s="7"/>
    </row>
    <row r="9858" spans="11:33" ht="14.5" x14ac:dyDescent="0.35">
      <c r="K9858" s="4"/>
      <c r="AC9858" s="7"/>
      <c r="AD9858" s="7"/>
      <c r="AE9858" s="7"/>
      <c r="AF9858" s="8"/>
      <c r="AG9858" s="7"/>
    </row>
    <row r="9859" spans="11:33" ht="14.5" x14ac:dyDescent="0.35">
      <c r="K9859" s="4"/>
      <c r="AC9859" s="7"/>
      <c r="AD9859" s="7"/>
      <c r="AE9859" s="7"/>
      <c r="AF9859" s="8"/>
      <c r="AG9859" s="7"/>
    </row>
    <row r="9860" spans="11:33" ht="14.5" x14ac:dyDescent="0.35">
      <c r="K9860" s="4"/>
      <c r="AC9860" s="7"/>
      <c r="AD9860" s="7"/>
      <c r="AE9860" s="7"/>
      <c r="AF9860" s="8"/>
      <c r="AG9860" s="7"/>
    </row>
    <row r="9861" spans="11:33" ht="14.5" x14ac:dyDescent="0.35">
      <c r="K9861" s="4"/>
      <c r="AC9861" s="7"/>
      <c r="AD9861" s="7"/>
      <c r="AE9861" s="7"/>
      <c r="AF9861" s="8"/>
      <c r="AG9861" s="7"/>
    </row>
    <row r="9862" spans="11:33" ht="14.5" x14ac:dyDescent="0.35">
      <c r="K9862" s="4"/>
      <c r="AC9862" s="7"/>
      <c r="AD9862" s="7"/>
      <c r="AE9862" s="7"/>
      <c r="AF9862" s="8"/>
      <c r="AG9862" s="7"/>
    </row>
    <row r="9863" spans="11:33" ht="14.5" x14ac:dyDescent="0.35">
      <c r="K9863" s="4"/>
      <c r="AC9863" s="7"/>
      <c r="AD9863" s="7"/>
      <c r="AE9863" s="7"/>
      <c r="AF9863" s="8"/>
      <c r="AG9863" s="7"/>
    </row>
    <row r="9864" spans="11:33" ht="14.5" x14ac:dyDescent="0.35">
      <c r="K9864" s="4"/>
      <c r="AC9864" s="7"/>
      <c r="AD9864" s="7"/>
      <c r="AE9864" s="7"/>
      <c r="AF9864" s="8"/>
      <c r="AG9864" s="7"/>
    </row>
    <row r="9865" spans="11:33" ht="14.5" x14ac:dyDescent="0.35">
      <c r="K9865" s="4"/>
      <c r="AC9865" s="7"/>
      <c r="AD9865" s="7"/>
      <c r="AE9865" s="7"/>
      <c r="AF9865" s="8"/>
      <c r="AG9865" s="7"/>
    </row>
    <row r="9866" spans="11:33" ht="14.5" x14ac:dyDescent="0.35">
      <c r="K9866" s="4"/>
      <c r="AC9866" s="7"/>
      <c r="AD9866" s="7"/>
      <c r="AE9866" s="7"/>
      <c r="AF9866" s="8"/>
      <c r="AG9866" s="7"/>
    </row>
    <row r="9867" spans="11:33" ht="14.5" x14ac:dyDescent="0.35">
      <c r="K9867" s="4"/>
      <c r="AC9867" s="7"/>
      <c r="AD9867" s="7"/>
      <c r="AE9867" s="7"/>
      <c r="AF9867" s="8"/>
      <c r="AG9867" s="7"/>
    </row>
    <row r="9868" spans="11:33" ht="14.5" x14ac:dyDescent="0.35">
      <c r="K9868" s="4"/>
      <c r="AC9868" s="7"/>
      <c r="AD9868" s="7"/>
      <c r="AE9868" s="7"/>
      <c r="AF9868" s="8"/>
      <c r="AG9868" s="7"/>
    </row>
    <row r="9869" spans="11:33" ht="14.5" x14ac:dyDescent="0.35">
      <c r="K9869" s="4"/>
      <c r="AC9869" s="7"/>
      <c r="AD9869" s="7"/>
      <c r="AE9869" s="7"/>
      <c r="AF9869" s="8"/>
      <c r="AG9869" s="7"/>
    </row>
    <row r="9870" spans="11:33" ht="14.5" x14ac:dyDescent="0.35">
      <c r="K9870" s="4"/>
      <c r="AC9870" s="7"/>
      <c r="AD9870" s="7"/>
      <c r="AE9870" s="7"/>
      <c r="AF9870" s="8"/>
      <c r="AG9870" s="7"/>
    </row>
    <row r="9871" spans="11:33" ht="14.5" x14ac:dyDescent="0.35">
      <c r="K9871" s="4"/>
      <c r="AC9871" s="7"/>
      <c r="AD9871" s="7"/>
      <c r="AE9871" s="7"/>
      <c r="AF9871" s="8"/>
      <c r="AG9871" s="7"/>
    </row>
    <row r="9872" spans="11:33" ht="14.5" x14ac:dyDescent="0.35">
      <c r="K9872" s="4"/>
      <c r="AC9872" s="7"/>
      <c r="AD9872" s="7"/>
      <c r="AE9872" s="7"/>
      <c r="AF9872" s="8"/>
      <c r="AG9872" s="7"/>
    </row>
    <row r="9873" spans="11:33" ht="14.5" x14ac:dyDescent="0.35">
      <c r="K9873" s="4"/>
      <c r="AC9873" s="7"/>
      <c r="AD9873" s="7"/>
      <c r="AE9873" s="7"/>
      <c r="AF9873" s="8"/>
      <c r="AG9873" s="7"/>
    </row>
    <row r="9874" spans="11:33" ht="14.5" x14ac:dyDescent="0.35">
      <c r="K9874" s="4"/>
      <c r="AC9874" s="7"/>
      <c r="AD9874" s="7"/>
      <c r="AE9874" s="7"/>
      <c r="AF9874" s="8"/>
      <c r="AG9874" s="7"/>
    </row>
    <row r="9875" spans="11:33" ht="14.5" x14ac:dyDescent="0.35">
      <c r="K9875" s="4"/>
      <c r="AC9875" s="7"/>
      <c r="AD9875" s="7"/>
      <c r="AE9875" s="7"/>
      <c r="AF9875" s="8"/>
      <c r="AG9875" s="7"/>
    </row>
    <row r="9876" spans="11:33" ht="14.5" x14ac:dyDescent="0.35">
      <c r="K9876" s="4"/>
      <c r="AC9876" s="7"/>
      <c r="AD9876" s="7"/>
      <c r="AE9876" s="7"/>
      <c r="AF9876" s="8"/>
      <c r="AG9876" s="7"/>
    </row>
    <row r="9877" spans="11:33" ht="14.5" x14ac:dyDescent="0.35">
      <c r="K9877" s="4"/>
      <c r="AC9877" s="7"/>
      <c r="AD9877" s="7"/>
      <c r="AE9877" s="7"/>
      <c r="AF9877" s="8"/>
      <c r="AG9877" s="7"/>
    </row>
    <row r="9878" spans="11:33" ht="14.5" x14ac:dyDescent="0.35">
      <c r="K9878" s="4"/>
      <c r="AC9878" s="7"/>
      <c r="AD9878" s="7"/>
      <c r="AE9878" s="7"/>
      <c r="AF9878" s="8"/>
      <c r="AG9878" s="7"/>
    </row>
    <row r="9879" spans="11:33" ht="14.5" x14ac:dyDescent="0.35">
      <c r="K9879" s="4"/>
      <c r="AC9879" s="7"/>
      <c r="AD9879" s="7"/>
      <c r="AE9879" s="7"/>
      <c r="AF9879" s="8"/>
      <c r="AG9879" s="7"/>
    </row>
    <row r="9880" spans="11:33" ht="14.5" x14ac:dyDescent="0.35">
      <c r="K9880" s="4"/>
      <c r="AC9880" s="7"/>
      <c r="AD9880" s="7"/>
      <c r="AE9880" s="7"/>
      <c r="AF9880" s="8"/>
      <c r="AG9880" s="7"/>
    </row>
    <row r="9881" spans="11:33" ht="14.5" x14ac:dyDescent="0.35">
      <c r="K9881" s="4"/>
      <c r="AC9881" s="7"/>
      <c r="AD9881" s="7"/>
      <c r="AE9881" s="7"/>
      <c r="AF9881" s="8"/>
      <c r="AG9881" s="7"/>
    </row>
    <row r="9882" spans="11:33" ht="14.5" x14ac:dyDescent="0.35">
      <c r="K9882" s="4"/>
      <c r="AC9882" s="7"/>
      <c r="AD9882" s="7"/>
      <c r="AE9882" s="7"/>
      <c r="AF9882" s="8"/>
      <c r="AG9882" s="7"/>
    </row>
    <row r="9883" spans="11:33" ht="14.5" x14ac:dyDescent="0.35">
      <c r="K9883" s="4"/>
      <c r="AC9883" s="7"/>
      <c r="AD9883" s="7"/>
      <c r="AE9883" s="7"/>
      <c r="AF9883" s="8"/>
      <c r="AG9883" s="7"/>
    </row>
    <row r="9884" spans="11:33" ht="14.5" x14ac:dyDescent="0.35">
      <c r="K9884" s="4"/>
      <c r="AC9884" s="7"/>
      <c r="AD9884" s="7"/>
      <c r="AE9884" s="7"/>
      <c r="AF9884" s="8"/>
      <c r="AG9884" s="7"/>
    </row>
    <row r="9885" spans="11:33" ht="14.5" x14ac:dyDescent="0.35">
      <c r="K9885" s="4"/>
      <c r="AC9885" s="7"/>
      <c r="AD9885" s="7"/>
      <c r="AE9885" s="7"/>
      <c r="AF9885" s="8"/>
      <c r="AG9885" s="7"/>
    </row>
    <row r="9886" spans="11:33" ht="14.5" x14ac:dyDescent="0.35">
      <c r="K9886" s="4"/>
      <c r="AC9886" s="7"/>
      <c r="AD9886" s="7"/>
      <c r="AE9886" s="7"/>
      <c r="AF9886" s="8"/>
      <c r="AG9886" s="7"/>
    </row>
    <row r="9887" spans="11:33" ht="14.5" x14ac:dyDescent="0.35">
      <c r="K9887" s="4"/>
      <c r="AC9887" s="7"/>
      <c r="AD9887" s="7"/>
      <c r="AE9887" s="7"/>
      <c r="AF9887" s="8"/>
      <c r="AG9887" s="7"/>
    </row>
    <row r="9888" spans="11:33" ht="14.5" x14ac:dyDescent="0.35">
      <c r="K9888" s="4"/>
      <c r="AC9888" s="7"/>
      <c r="AD9888" s="7"/>
      <c r="AE9888" s="7"/>
      <c r="AF9888" s="8"/>
      <c r="AG9888" s="7"/>
    </row>
    <row r="9889" spans="11:33" ht="14.5" x14ac:dyDescent="0.35">
      <c r="K9889" s="4"/>
      <c r="AC9889" s="7"/>
      <c r="AD9889" s="7"/>
      <c r="AE9889" s="7"/>
      <c r="AF9889" s="8"/>
      <c r="AG9889" s="7"/>
    </row>
    <row r="9890" spans="11:33" ht="14.5" x14ac:dyDescent="0.35">
      <c r="K9890" s="4"/>
      <c r="AC9890" s="7"/>
      <c r="AD9890" s="7"/>
      <c r="AE9890" s="7"/>
      <c r="AF9890" s="8"/>
      <c r="AG9890" s="7"/>
    </row>
    <row r="9891" spans="11:33" ht="14.5" x14ac:dyDescent="0.35">
      <c r="K9891" s="4"/>
      <c r="AC9891" s="7"/>
      <c r="AD9891" s="7"/>
      <c r="AE9891" s="7"/>
      <c r="AF9891" s="8"/>
      <c r="AG9891" s="7"/>
    </row>
    <row r="9892" spans="11:33" ht="14.5" x14ac:dyDescent="0.35">
      <c r="K9892" s="4"/>
      <c r="AC9892" s="7"/>
      <c r="AD9892" s="7"/>
      <c r="AE9892" s="7"/>
      <c r="AF9892" s="8"/>
      <c r="AG9892" s="7"/>
    </row>
    <row r="9893" spans="11:33" ht="14.5" x14ac:dyDescent="0.35">
      <c r="K9893" s="4"/>
      <c r="AC9893" s="7"/>
      <c r="AD9893" s="7"/>
      <c r="AE9893" s="7"/>
      <c r="AF9893" s="8"/>
      <c r="AG9893" s="7"/>
    </row>
    <row r="9894" spans="11:33" ht="14.5" x14ac:dyDescent="0.35">
      <c r="K9894" s="4"/>
      <c r="AC9894" s="7"/>
      <c r="AD9894" s="7"/>
      <c r="AE9894" s="7"/>
      <c r="AF9894" s="8"/>
      <c r="AG9894" s="7"/>
    </row>
    <row r="9895" spans="11:33" ht="14.5" x14ac:dyDescent="0.35">
      <c r="K9895" s="4"/>
      <c r="AC9895" s="7"/>
      <c r="AD9895" s="7"/>
      <c r="AE9895" s="7"/>
      <c r="AF9895" s="8"/>
      <c r="AG9895" s="7"/>
    </row>
    <row r="9896" spans="11:33" ht="14.5" x14ac:dyDescent="0.35">
      <c r="K9896" s="4"/>
      <c r="AC9896" s="7"/>
      <c r="AD9896" s="7"/>
      <c r="AE9896" s="7"/>
      <c r="AF9896" s="8"/>
      <c r="AG9896" s="7"/>
    </row>
    <row r="9897" spans="11:33" ht="14.5" x14ac:dyDescent="0.35">
      <c r="K9897" s="4"/>
      <c r="AC9897" s="7"/>
      <c r="AD9897" s="7"/>
      <c r="AE9897" s="7"/>
      <c r="AF9897" s="8"/>
      <c r="AG9897" s="7"/>
    </row>
    <row r="9898" spans="11:33" ht="14.5" x14ac:dyDescent="0.35">
      <c r="K9898" s="4"/>
      <c r="AC9898" s="7"/>
      <c r="AD9898" s="7"/>
      <c r="AE9898" s="7"/>
      <c r="AF9898" s="8"/>
      <c r="AG9898" s="7"/>
    </row>
    <row r="9899" spans="11:33" ht="14.5" x14ac:dyDescent="0.35">
      <c r="K9899" s="4"/>
      <c r="AC9899" s="7"/>
      <c r="AD9899" s="7"/>
      <c r="AE9899" s="7"/>
      <c r="AF9899" s="8"/>
      <c r="AG9899" s="7"/>
    </row>
    <row r="9900" spans="11:33" ht="14.5" x14ac:dyDescent="0.35">
      <c r="K9900" s="4"/>
      <c r="AC9900" s="7"/>
      <c r="AD9900" s="7"/>
      <c r="AE9900" s="7"/>
      <c r="AF9900" s="8"/>
      <c r="AG9900" s="7"/>
    </row>
    <row r="9901" spans="11:33" ht="14.5" x14ac:dyDescent="0.35">
      <c r="K9901" s="4"/>
      <c r="AC9901" s="7"/>
      <c r="AD9901" s="7"/>
      <c r="AE9901" s="7"/>
      <c r="AF9901" s="8"/>
      <c r="AG9901" s="7"/>
    </row>
    <row r="9902" spans="11:33" ht="14.5" x14ac:dyDescent="0.35">
      <c r="K9902" s="4"/>
      <c r="AC9902" s="7"/>
      <c r="AD9902" s="7"/>
      <c r="AE9902" s="7"/>
      <c r="AF9902" s="8"/>
      <c r="AG9902" s="7"/>
    </row>
    <row r="9903" spans="11:33" ht="14.5" x14ac:dyDescent="0.35">
      <c r="K9903" s="4"/>
      <c r="AC9903" s="7"/>
      <c r="AD9903" s="7"/>
      <c r="AE9903" s="7"/>
      <c r="AF9903" s="8"/>
      <c r="AG9903" s="7"/>
    </row>
    <row r="9904" spans="11:33" ht="14.5" x14ac:dyDescent="0.35">
      <c r="K9904" s="4"/>
      <c r="AC9904" s="7"/>
      <c r="AD9904" s="7"/>
      <c r="AE9904" s="7"/>
      <c r="AF9904" s="8"/>
      <c r="AG9904" s="7"/>
    </row>
    <row r="9905" spans="11:33" ht="14.5" x14ac:dyDescent="0.35">
      <c r="K9905" s="4"/>
      <c r="AC9905" s="7"/>
      <c r="AD9905" s="7"/>
      <c r="AE9905" s="7"/>
      <c r="AF9905" s="8"/>
      <c r="AG9905" s="7"/>
    </row>
    <row r="9906" spans="11:33" ht="14.5" x14ac:dyDescent="0.35">
      <c r="K9906" s="4"/>
      <c r="AC9906" s="7"/>
      <c r="AD9906" s="7"/>
      <c r="AE9906" s="7"/>
      <c r="AF9906" s="8"/>
      <c r="AG9906" s="7"/>
    </row>
    <row r="9907" spans="11:33" ht="14.5" x14ac:dyDescent="0.35">
      <c r="K9907" s="4"/>
      <c r="AC9907" s="7"/>
      <c r="AD9907" s="7"/>
      <c r="AE9907" s="7"/>
      <c r="AF9907" s="8"/>
      <c r="AG9907" s="7"/>
    </row>
    <row r="9908" spans="11:33" ht="14.5" x14ac:dyDescent="0.35">
      <c r="K9908" s="4"/>
      <c r="AC9908" s="7"/>
      <c r="AD9908" s="7"/>
      <c r="AE9908" s="7"/>
      <c r="AF9908" s="8"/>
      <c r="AG9908" s="7"/>
    </row>
    <row r="9909" spans="11:33" ht="14.5" x14ac:dyDescent="0.35">
      <c r="K9909" s="4"/>
      <c r="AC9909" s="7"/>
      <c r="AD9909" s="7"/>
      <c r="AE9909" s="7"/>
      <c r="AF9909" s="8"/>
      <c r="AG9909" s="7"/>
    </row>
    <row r="9910" spans="11:33" ht="14.5" x14ac:dyDescent="0.35">
      <c r="K9910" s="4"/>
      <c r="AC9910" s="7"/>
      <c r="AD9910" s="7"/>
      <c r="AE9910" s="7"/>
      <c r="AF9910" s="8"/>
      <c r="AG9910" s="7"/>
    </row>
    <row r="9911" spans="11:33" ht="14.5" x14ac:dyDescent="0.35">
      <c r="K9911" s="4"/>
      <c r="AC9911" s="7"/>
      <c r="AD9911" s="7"/>
      <c r="AE9911" s="7"/>
      <c r="AF9911" s="8"/>
      <c r="AG9911" s="7"/>
    </row>
    <row r="9912" spans="11:33" ht="14.5" x14ac:dyDescent="0.35">
      <c r="K9912" s="4"/>
      <c r="AC9912" s="7"/>
      <c r="AD9912" s="7"/>
      <c r="AE9912" s="7"/>
      <c r="AF9912" s="8"/>
      <c r="AG9912" s="7"/>
    </row>
    <row r="9913" spans="11:33" ht="14.5" x14ac:dyDescent="0.35">
      <c r="K9913" s="4"/>
      <c r="AC9913" s="7"/>
      <c r="AD9913" s="7"/>
      <c r="AE9913" s="7"/>
      <c r="AF9913" s="8"/>
      <c r="AG9913" s="7"/>
    </row>
    <row r="9914" spans="11:33" ht="14.5" x14ac:dyDescent="0.35">
      <c r="K9914" s="4"/>
      <c r="AC9914" s="7"/>
      <c r="AD9914" s="7"/>
      <c r="AE9914" s="7"/>
      <c r="AF9914" s="8"/>
      <c r="AG9914" s="7"/>
    </row>
    <row r="9915" spans="11:33" ht="14.5" x14ac:dyDescent="0.35">
      <c r="K9915" s="4"/>
      <c r="AC9915" s="7"/>
      <c r="AD9915" s="7"/>
      <c r="AE9915" s="7"/>
      <c r="AF9915" s="8"/>
      <c r="AG9915" s="7"/>
    </row>
    <row r="9916" spans="11:33" ht="14.5" x14ac:dyDescent="0.35">
      <c r="K9916" s="4"/>
      <c r="AC9916" s="7"/>
      <c r="AD9916" s="7"/>
      <c r="AE9916" s="7"/>
      <c r="AF9916" s="8"/>
      <c r="AG9916" s="7"/>
    </row>
    <row r="9917" spans="11:33" ht="14.5" x14ac:dyDescent="0.35">
      <c r="K9917" s="4"/>
      <c r="AC9917" s="7"/>
      <c r="AD9917" s="7"/>
      <c r="AE9917" s="7"/>
      <c r="AF9917" s="8"/>
      <c r="AG9917" s="7"/>
    </row>
    <row r="9918" spans="11:33" ht="14.5" x14ac:dyDescent="0.35">
      <c r="K9918" s="4"/>
      <c r="AC9918" s="7"/>
      <c r="AD9918" s="7"/>
      <c r="AE9918" s="7"/>
      <c r="AF9918" s="8"/>
      <c r="AG9918" s="7"/>
    </row>
    <row r="9919" spans="11:33" ht="14.5" x14ac:dyDescent="0.35">
      <c r="K9919" s="4"/>
      <c r="AC9919" s="7"/>
      <c r="AD9919" s="7"/>
      <c r="AE9919" s="7"/>
      <c r="AF9919" s="8"/>
      <c r="AG9919" s="7"/>
    </row>
    <row r="9920" spans="11:33" ht="14.5" x14ac:dyDescent="0.35">
      <c r="K9920" s="4"/>
      <c r="AC9920" s="7"/>
      <c r="AD9920" s="7"/>
      <c r="AE9920" s="7"/>
      <c r="AF9920" s="8"/>
      <c r="AG9920" s="7"/>
    </row>
    <row r="9921" spans="11:33" ht="14.5" x14ac:dyDescent="0.35">
      <c r="K9921" s="4"/>
      <c r="AC9921" s="7"/>
      <c r="AD9921" s="7"/>
      <c r="AE9921" s="7"/>
      <c r="AF9921" s="8"/>
      <c r="AG9921" s="7"/>
    </row>
    <row r="9922" spans="11:33" ht="14.5" x14ac:dyDescent="0.35">
      <c r="K9922" s="4"/>
      <c r="AC9922" s="7"/>
      <c r="AD9922" s="7"/>
      <c r="AE9922" s="7"/>
      <c r="AF9922" s="8"/>
      <c r="AG9922" s="7"/>
    </row>
    <row r="9923" spans="11:33" ht="14.5" x14ac:dyDescent="0.35">
      <c r="K9923" s="4"/>
      <c r="AC9923" s="7"/>
      <c r="AD9923" s="7"/>
      <c r="AE9923" s="7"/>
      <c r="AF9923" s="8"/>
      <c r="AG9923" s="7"/>
    </row>
    <row r="9924" spans="11:33" ht="14.5" x14ac:dyDescent="0.35">
      <c r="K9924" s="4"/>
      <c r="AC9924" s="7"/>
      <c r="AD9924" s="7"/>
      <c r="AE9924" s="7"/>
      <c r="AF9924" s="8"/>
      <c r="AG9924" s="7"/>
    </row>
    <row r="9925" spans="11:33" ht="14.5" x14ac:dyDescent="0.35">
      <c r="K9925" s="4"/>
      <c r="AC9925" s="7"/>
      <c r="AD9925" s="7"/>
      <c r="AE9925" s="7"/>
      <c r="AF9925" s="8"/>
      <c r="AG9925" s="7"/>
    </row>
    <row r="9926" spans="11:33" ht="14.5" x14ac:dyDescent="0.35">
      <c r="K9926" s="4"/>
      <c r="AC9926" s="7"/>
      <c r="AD9926" s="7"/>
      <c r="AE9926" s="7"/>
      <c r="AF9926" s="8"/>
      <c r="AG9926" s="7"/>
    </row>
    <row r="9927" spans="11:33" ht="14.5" x14ac:dyDescent="0.35">
      <c r="K9927" s="4"/>
      <c r="AC9927" s="7"/>
      <c r="AD9927" s="7"/>
      <c r="AE9927" s="7"/>
      <c r="AF9927" s="8"/>
      <c r="AG9927" s="7"/>
    </row>
    <row r="9928" spans="11:33" ht="14.5" x14ac:dyDescent="0.35">
      <c r="K9928" s="4"/>
      <c r="AC9928" s="7"/>
      <c r="AD9928" s="7"/>
      <c r="AE9928" s="7"/>
      <c r="AF9928" s="8"/>
      <c r="AG9928" s="7"/>
    </row>
    <row r="9929" spans="11:33" ht="14.5" x14ac:dyDescent="0.35">
      <c r="K9929" s="4"/>
      <c r="AC9929" s="7"/>
      <c r="AD9929" s="7"/>
      <c r="AE9929" s="7"/>
      <c r="AF9929" s="8"/>
      <c r="AG9929" s="7"/>
    </row>
    <row r="9930" spans="11:33" ht="14.5" x14ac:dyDescent="0.35">
      <c r="K9930" s="4"/>
      <c r="AC9930" s="7"/>
      <c r="AD9930" s="7"/>
      <c r="AE9930" s="7"/>
      <c r="AF9930" s="8"/>
      <c r="AG9930" s="7"/>
    </row>
    <row r="9931" spans="11:33" ht="14.5" x14ac:dyDescent="0.35">
      <c r="K9931" s="4"/>
      <c r="AC9931" s="7"/>
      <c r="AD9931" s="7"/>
      <c r="AE9931" s="7"/>
      <c r="AF9931" s="8"/>
      <c r="AG9931" s="7"/>
    </row>
    <row r="9932" spans="11:33" ht="14.5" x14ac:dyDescent="0.35">
      <c r="K9932" s="4"/>
      <c r="AC9932" s="7"/>
      <c r="AD9932" s="7"/>
      <c r="AE9932" s="7"/>
      <c r="AF9932" s="8"/>
      <c r="AG9932" s="7"/>
    </row>
    <row r="9933" spans="11:33" ht="14.5" x14ac:dyDescent="0.35">
      <c r="K9933" s="4"/>
      <c r="AC9933" s="7"/>
      <c r="AD9933" s="7"/>
      <c r="AE9933" s="7"/>
      <c r="AF9933" s="8"/>
      <c r="AG9933" s="7"/>
    </row>
    <row r="9934" spans="11:33" ht="14.5" x14ac:dyDescent="0.35">
      <c r="K9934" s="4"/>
      <c r="AC9934" s="7"/>
      <c r="AD9934" s="7"/>
      <c r="AE9934" s="7"/>
      <c r="AF9934" s="8"/>
      <c r="AG9934" s="7"/>
    </row>
    <row r="9935" spans="11:33" ht="14.5" x14ac:dyDescent="0.35">
      <c r="K9935" s="4"/>
      <c r="AC9935" s="7"/>
      <c r="AD9935" s="7"/>
      <c r="AE9935" s="7"/>
      <c r="AF9935" s="8"/>
      <c r="AG9935" s="7"/>
    </row>
    <row r="9936" spans="11:33" ht="14.5" x14ac:dyDescent="0.35">
      <c r="K9936" s="4"/>
      <c r="AC9936" s="7"/>
      <c r="AD9936" s="7"/>
      <c r="AE9936" s="7"/>
      <c r="AF9936" s="8"/>
      <c r="AG9936" s="7"/>
    </row>
    <row r="9937" spans="11:33" ht="14.5" x14ac:dyDescent="0.35">
      <c r="K9937" s="4"/>
      <c r="AC9937" s="7"/>
      <c r="AD9937" s="7"/>
      <c r="AE9937" s="7"/>
      <c r="AF9937" s="8"/>
      <c r="AG9937" s="7"/>
    </row>
    <row r="9938" spans="11:33" ht="14.5" x14ac:dyDescent="0.35">
      <c r="K9938" s="4"/>
      <c r="AC9938" s="7"/>
      <c r="AD9938" s="7"/>
      <c r="AE9938" s="7"/>
      <c r="AF9938" s="8"/>
      <c r="AG9938" s="7"/>
    </row>
    <row r="9939" spans="11:33" ht="14.5" x14ac:dyDescent="0.35">
      <c r="K9939" s="4"/>
      <c r="AC9939" s="7"/>
      <c r="AD9939" s="7"/>
      <c r="AE9939" s="7"/>
      <c r="AF9939" s="8"/>
      <c r="AG9939" s="7"/>
    </row>
    <row r="9940" spans="11:33" ht="14.5" x14ac:dyDescent="0.35">
      <c r="K9940" s="4"/>
      <c r="AC9940" s="7"/>
      <c r="AD9940" s="7"/>
      <c r="AE9940" s="7"/>
      <c r="AF9940" s="8"/>
      <c r="AG9940" s="7"/>
    </row>
    <row r="9941" spans="11:33" ht="14.5" x14ac:dyDescent="0.35">
      <c r="K9941" s="4"/>
      <c r="AC9941" s="7"/>
      <c r="AD9941" s="7"/>
      <c r="AE9941" s="7"/>
      <c r="AF9941" s="8"/>
      <c r="AG9941" s="7"/>
    </row>
    <row r="9942" spans="11:33" ht="14.5" x14ac:dyDescent="0.35">
      <c r="K9942" s="4"/>
      <c r="AC9942" s="7"/>
      <c r="AD9942" s="7"/>
      <c r="AE9942" s="7"/>
      <c r="AF9942" s="8"/>
      <c r="AG9942" s="7"/>
    </row>
    <row r="9943" spans="11:33" ht="14.5" x14ac:dyDescent="0.35">
      <c r="K9943" s="4"/>
      <c r="AC9943" s="7"/>
      <c r="AD9943" s="7"/>
      <c r="AE9943" s="7"/>
      <c r="AF9943" s="8"/>
      <c r="AG9943" s="7"/>
    </row>
    <row r="9944" spans="11:33" ht="14.5" x14ac:dyDescent="0.35">
      <c r="K9944" s="4"/>
      <c r="AC9944" s="7"/>
      <c r="AD9944" s="7"/>
      <c r="AE9944" s="7"/>
      <c r="AF9944" s="8"/>
      <c r="AG9944" s="7"/>
    </row>
    <row r="9945" spans="11:33" ht="14.5" x14ac:dyDescent="0.35">
      <c r="K9945" s="4"/>
      <c r="AC9945" s="7"/>
      <c r="AD9945" s="7"/>
      <c r="AE9945" s="7"/>
      <c r="AF9945" s="8"/>
      <c r="AG9945" s="7"/>
    </row>
    <row r="9946" spans="11:33" ht="14.5" x14ac:dyDescent="0.35">
      <c r="K9946" s="4"/>
      <c r="AC9946" s="7"/>
      <c r="AD9946" s="7"/>
      <c r="AE9946" s="7"/>
      <c r="AF9946" s="8"/>
      <c r="AG9946" s="7"/>
    </row>
    <row r="9947" spans="11:33" ht="14.5" x14ac:dyDescent="0.35">
      <c r="K9947" s="4"/>
      <c r="AC9947" s="7"/>
      <c r="AD9947" s="7"/>
      <c r="AE9947" s="7"/>
      <c r="AF9947" s="8"/>
      <c r="AG9947" s="7"/>
    </row>
    <row r="9948" spans="11:33" ht="14.5" x14ac:dyDescent="0.35">
      <c r="K9948" s="4"/>
      <c r="AC9948" s="7"/>
      <c r="AD9948" s="7"/>
      <c r="AE9948" s="7"/>
      <c r="AF9948" s="8"/>
      <c r="AG9948" s="7"/>
    </row>
    <row r="9949" spans="11:33" ht="14.5" x14ac:dyDescent="0.35">
      <c r="K9949" s="4"/>
      <c r="AC9949" s="7"/>
      <c r="AD9949" s="7"/>
      <c r="AE9949" s="7"/>
      <c r="AF9949" s="8"/>
      <c r="AG9949" s="7"/>
    </row>
    <row r="9950" spans="11:33" ht="14.5" x14ac:dyDescent="0.35">
      <c r="K9950" s="4"/>
      <c r="AC9950" s="7"/>
      <c r="AD9950" s="7"/>
      <c r="AE9950" s="7"/>
      <c r="AF9950" s="8"/>
      <c r="AG9950" s="7"/>
    </row>
    <row r="9951" spans="11:33" ht="14.5" x14ac:dyDescent="0.35">
      <c r="K9951" s="4"/>
      <c r="AC9951" s="7"/>
      <c r="AD9951" s="7"/>
      <c r="AE9951" s="7"/>
      <c r="AF9951" s="8"/>
      <c r="AG9951" s="7"/>
    </row>
    <row r="9952" spans="11:33" ht="14.5" x14ac:dyDescent="0.35">
      <c r="K9952" s="4"/>
      <c r="AC9952" s="7"/>
      <c r="AD9952" s="7"/>
      <c r="AE9952" s="7"/>
      <c r="AF9952" s="8"/>
      <c r="AG9952" s="7"/>
    </row>
    <row r="9953" spans="11:33" ht="14.5" x14ac:dyDescent="0.35">
      <c r="K9953" s="4"/>
      <c r="AC9953" s="7"/>
      <c r="AD9953" s="7"/>
      <c r="AE9953" s="7"/>
      <c r="AF9953" s="8"/>
      <c r="AG9953" s="7"/>
    </row>
    <row r="9954" spans="11:33" ht="14.5" x14ac:dyDescent="0.35">
      <c r="K9954" s="4"/>
      <c r="AC9954" s="7"/>
      <c r="AD9954" s="7"/>
      <c r="AE9954" s="7"/>
      <c r="AF9954" s="8"/>
      <c r="AG9954" s="7"/>
    </row>
    <row r="9955" spans="11:33" ht="14.5" x14ac:dyDescent="0.35">
      <c r="K9955" s="4"/>
      <c r="AC9955" s="7"/>
      <c r="AD9955" s="7"/>
      <c r="AE9955" s="7"/>
      <c r="AF9955" s="8"/>
      <c r="AG9955" s="7"/>
    </row>
    <row r="9956" spans="11:33" ht="14.5" x14ac:dyDescent="0.35">
      <c r="K9956" s="4"/>
      <c r="AC9956" s="7"/>
      <c r="AD9956" s="7"/>
      <c r="AE9956" s="7"/>
      <c r="AF9956" s="8"/>
      <c r="AG9956" s="7"/>
    </row>
    <row r="9957" spans="11:33" ht="14.5" x14ac:dyDescent="0.35">
      <c r="K9957" s="4"/>
      <c r="AC9957" s="7"/>
      <c r="AD9957" s="7"/>
      <c r="AE9957" s="7"/>
      <c r="AF9957" s="8"/>
      <c r="AG9957" s="7"/>
    </row>
    <row r="9958" spans="11:33" ht="14.5" x14ac:dyDescent="0.35">
      <c r="K9958" s="4"/>
      <c r="AC9958" s="7"/>
      <c r="AD9958" s="7"/>
      <c r="AE9958" s="7"/>
      <c r="AF9958" s="8"/>
      <c r="AG9958" s="7"/>
    </row>
    <row r="9959" spans="11:33" ht="14.5" x14ac:dyDescent="0.35">
      <c r="K9959" s="4"/>
      <c r="AC9959" s="7"/>
      <c r="AD9959" s="7"/>
      <c r="AE9959" s="7"/>
      <c r="AF9959" s="8"/>
      <c r="AG9959" s="7"/>
    </row>
    <row r="9960" spans="11:33" ht="14.5" x14ac:dyDescent="0.35">
      <c r="K9960" s="4"/>
      <c r="AC9960" s="7"/>
      <c r="AD9960" s="7"/>
      <c r="AE9960" s="7"/>
      <c r="AF9960" s="8"/>
      <c r="AG9960" s="7"/>
    </row>
    <row r="9961" spans="11:33" ht="14.5" x14ac:dyDescent="0.35">
      <c r="K9961" s="4"/>
      <c r="AC9961" s="7"/>
      <c r="AD9961" s="7"/>
      <c r="AE9961" s="7"/>
      <c r="AF9961" s="8"/>
      <c r="AG9961" s="7"/>
    </row>
    <row r="9962" spans="11:33" ht="14.5" x14ac:dyDescent="0.35">
      <c r="K9962" s="4"/>
      <c r="AC9962" s="7"/>
      <c r="AD9962" s="7"/>
      <c r="AE9962" s="7"/>
      <c r="AF9962" s="8"/>
      <c r="AG9962" s="7"/>
    </row>
    <row r="9963" spans="11:33" ht="14.5" x14ac:dyDescent="0.35">
      <c r="K9963" s="4"/>
      <c r="AC9963" s="7"/>
      <c r="AD9963" s="7"/>
      <c r="AE9963" s="7"/>
      <c r="AF9963" s="8"/>
      <c r="AG9963" s="7"/>
    </row>
    <row r="9964" spans="11:33" ht="14.5" x14ac:dyDescent="0.35">
      <c r="K9964" s="4"/>
      <c r="AC9964" s="7"/>
      <c r="AD9964" s="7"/>
      <c r="AE9964" s="7"/>
      <c r="AF9964" s="8"/>
      <c r="AG9964" s="7"/>
    </row>
    <row r="9965" spans="11:33" ht="14.5" x14ac:dyDescent="0.35">
      <c r="K9965" s="4"/>
      <c r="AC9965" s="7"/>
      <c r="AD9965" s="7"/>
      <c r="AE9965" s="7"/>
      <c r="AF9965" s="8"/>
      <c r="AG9965" s="7"/>
    </row>
    <row r="9966" spans="11:33" ht="14.5" x14ac:dyDescent="0.35">
      <c r="K9966" s="4"/>
      <c r="AC9966" s="7"/>
      <c r="AD9966" s="7"/>
      <c r="AE9966" s="7"/>
      <c r="AF9966" s="8"/>
      <c r="AG9966" s="7"/>
    </row>
    <row r="9967" spans="11:33" ht="14.5" x14ac:dyDescent="0.35">
      <c r="K9967" s="4"/>
      <c r="AC9967" s="7"/>
      <c r="AD9967" s="7"/>
      <c r="AE9967" s="7"/>
      <c r="AF9967" s="8"/>
      <c r="AG9967" s="7"/>
    </row>
    <row r="9968" spans="11:33" ht="14.5" x14ac:dyDescent="0.35">
      <c r="K9968" s="4"/>
      <c r="AC9968" s="7"/>
      <c r="AD9968" s="7"/>
      <c r="AE9968" s="7"/>
      <c r="AF9968" s="8"/>
      <c r="AG9968" s="7"/>
    </row>
    <row r="9969" spans="11:33" ht="14.5" x14ac:dyDescent="0.35">
      <c r="K9969" s="4"/>
      <c r="AC9969" s="7"/>
      <c r="AD9969" s="7"/>
      <c r="AE9969" s="7"/>
      <c r="AF9969" s="8"/>
      <c r="AG9969" s="7"/>
    </row>
    <row r="9970" spans="11:33" ht="14.5" x14ac:dyDescent="0.35">
      <c r="K9970" s="4"/>
      <c r="AC9970" s="7"/>
      <c r="AD9970" s="7"/>
      <c r="AE9970" s="7"/>
      <c r="AF9970" s="8"/>
      <c r="AG9970" s="7"/>
    </row>
    <row r="9971" spans="11:33" ht="14.5" x14ac:dyDescent="0.35">
      <c r="K9971" s="4"/>
      <c r="AC9971" s="7"/>
      <c r="AD9971" s="7"/>
      <c r="AE9971" s="7"/>
      <c r="AF9971" s="8"/>
      <c r="AG9971" s="7"/>
    </row>
    <row r="9972" spans="11:33" ht="14.5" x14ac:dyDescent="0.35">
      <c r="K9972" s="4"/>
      <c r="AC9972" s="7"/>
      <c r="AD9972" s="7"/>
      <c r="AE9972" s="7"/>
      <c r="AF9972" s="8"/>
      <c r="AG9972" s="7"/>
    </row>
    <row r="9973" spans="11:33" ht="14.5" x14ac:dyDescent="0.35">
      <c r="K9973" s="4"/>
      <c r="AC9973" s="7"/>
      <c r="AD9973" s="7"/>
      <c r="AE9973" s="7"/>
      <c r="AF9973" s="8"/>
      <c r="AG9973" s="7"/>
    </row>
    <row r="9974" spans="11:33" ht="14.5" x14ac:dyDescent="0.35">
      <c r="K9974" s="4"/>
      <c r="AC9974" s="7"/>
      <c r="AD9974" s="7"/>
      <c r="AE9974" s="7"/>
      <c r="AF9974" s="8"/>
      <c r="AG9974" s="7"/>
    </row>
    <row r="9975" spans="11:33" ht="14.5" x14ac:dyDescent="0.35">
      <c r="K9975" s="4"/>
      <c r="AC9975" s="7"/>
      <c r="AD9975" s="7"/>
      <c r="AE9975" s="7"/>
      <c r="AF9975" s="8"/>
      <c r="AG9975" s="7"/>
    </row>
    <row r="9976" spans="11:33" ht="14.5" x14ac:dyDescent="0.35">
      <c r="K9976" s="4"/>
      <c r="AC9976" s="7"/>
      <c r="AD9976" s="7"/>
      <c r="AE9976" s="7"/>
      <c r="AF9976" s="8"/>
      <c r="AG9976" s="7"/>
    </row>
    <row r="9977" spans="11:33" ht="14.5" x14ac:dyDescent="0.35">
      <c r="K9977" s="4"/>
      <c r="AC9977" s="7"/>
      <c r="AD9977" s="7"/>
      <c r="AE9977" s="7"/>
      <c r="AF9977" s="8"/>
      <c r="AG9977" s="7"/>
    </row>
    <row r="9978" spans="11:33" ht="14.5" x14ac:dyDescent="0.35">
      <c r="K9978" s="4"/>
      <c r="AC9978" s="7"/>
      <c r="AD9978" s="7"/>
      <c r="AE9978" s="7"/>
      <c r="AF9978" s="8"/>
      <c r="AG9978" s="7"/>
    </row>
    <row r="9979" spans="11:33" ht="14.5" x14ac:dyDescent="0.35">
      <c r="K9979" s="4"/>
      <c r="AC9979" s="7"/>
      <c r="AD9979" s="7"/>
      <c r="AE9979" s="7"/>
      <c r="AF9979" s="8"/>
      <c r="AG9979" s="7"/>
    </row>
    <row r="9980" spans="11:33" ht="14.5" x14ac:dyDescent="0.35">
      <c r="K9980" s="4"/>
      <c r="AC9980" s="7"/>
      <c r="AD9980" s="7"/>
      <c r="AE9980" s="7"/>
      <c r="AF9980" s="8"/>
      <c r="AG9980" s="7"/>
    </row>
    <row r="9981" spans="11:33" ht="14.5" x14ac:dyDescent="0.35">
      <c r="K9981" s="4"/>
      <c r="AC9981" s="7"/>
      <c r="AD9981" s="7"/>
      <c r="AE9981" s="7"/>
      <c r="AF9981" s="8"/>
      <c r="AG9981" s="7"/>
    </row>
    <row r="9982" spans="11:33" ht="14.5" x14ac:dyDescent="0.35">
      <c r="K9982" s="4"/>
      <c r="AC9982" s="7"/>
      <c r="AD9982" s="7"/>
      <c r="AE9982" s="7"/>
      <c r="AF9982" s="8"/>
      <c r="AG9982" s="7"/>
    </row>
    <row r="9983" spans="11:33" ht="14.5" x14ac:dyDescent="0.35">
      <c r="K9983" s="4"/>
      <c r="AC9983" s="7"/>
      <c r="AD9983" s="7"/>
      <c r="AE9983" s="7"/>
      <c r="AF9983" s="8"/>
      <c r="AG9983" s="7"/>
    </row>
    <row r="9984" spans="11:33" ht="14.5" x14ac:dyDescent="0.35">
      <c r="K9984" s="4"/>
      <c r="AC9984" s="7"/>
      <c r="AD9984" s="7"/>
      <c r="AE9984" s="7"/>
      <c r="AF9984" s="8"/>
      <c r="AG9984" s="7"/>
    </row>
    <row r="9985" spans="11:33" ht="14.5" x14ac:dyDescent="0.35">
      <c r="K9985" s="4"/>
      <c r="AC9985" s="7"/>
      <c r="AD9985" s="7"/>
      <c r="AE9985" s="7"/>
      <c r="AF9985" s="8"/>
      <c r="AG9985" s="7"/>
    </row>
    <row r="9986" spans="11:33" ht="14.5" x14ac:dyDescent="0.35">
      <c r="K9986" s="4"/>
      <c r="AC9986" s="7"/>
      <c r="AD9986" s="7"/>
      <c r="AE9986" s="7"/>
      <c r="AF9986" s="8"/>
      <c r="AG9986" s="7"/>
    </row>
    <row r="9987" spans="11:33" ht="14.5" x14ac:dyDescent="0.35">
      <c r="K9987" s="4"/>
      <c r="AC9987" s="7"/>
      <c r="AD9987" s="7"/>
      <c r="AE9987" s="7"/>
      <c r="AF9987" s="8"/>
      <c r="AG9987" s="7"/>
    </row>
    <row r="9988" spans="11:33" ht="14.5" x14ac:dyDescent="0.35">
      <c r="K9988" s="4"/>
      <c r="AC9988" s="7"/>
      <c r="AD9988" s="7"/>
      <c r="AE9988" s="7"/>
      <c r="AF9988" s="8"/>
      <c r="AG9988" s="7"/>
    </row>
    <row r="9989" spans="11:33" ht="14.5" x14ac:dyDescent="0.35">
      <c r="K9989" s="4"/>
      <c r="AC9989" s="7"/>
      <c r="AD9989" s="7"/>
      <c r="AE9989" s="7"/>
      <c r="AF9989" s="8"/>
      <c r="AG9989" s="7"/>
    </row>
    <row r="9990" spans="11:33" ht="14.5" x14ac:dyDescent="0.35">
      <c r="K9990" s="4"/>
      <c r="AC9990" s="7"/>
      <c r="AD9990" s="7"/>
      <c r="AE9990" s="7"/>
      <c r="AF9990" s="8"/>
      <c r="AG9990" s="7"/>
    </row>
    <row r="9991" spans="11:33" ht="14.5" x14ac:dyDescent="0.35">
      <c r="K9991" s="4"/>
      <c r="AC9991" s="7"/>
      <c r="AD9991" s="7"/>
      <c r="AE9991" s="7"/>
      <c r="AF9991" s="8"/>
      <c r="AG9991" s="7"/>
    </row>
    <row r="9992" spans="11:33" ht="14.5" x14ac:dyDescent="0.35">
      <c r="K9992" s="4"/>
      <c r="AC9992" s="7"/>
      <c r="AD9992" s="7"/>
      <c r="AE9992" s="7"/>
      <c r="AF9992" s="8"/>
      <c r="AG9992" s="7"/>
    </row>
    <row r="9993" spans="11:33" ht="14.5" x14ac:dyDescent="0.35">
      <c r="K9993" s="4"/>
      <c r="AC9993" s="7"/>
      <c r="AD9993" s="7"/>
      <c r="AE9993" s="7"/>
      <c r="AF9993" s="8"/>
      <c r="AG9993" s="7"/>
    </row>
    <row r="9994" spans="11:33" ht="14.5" x14ac:dyDescent="0.35">
      <c r="K9994" s="4"/>
      <c r="AC9994" s="7"/>
      <c r="AD9994" s="7"/>
      <c r="AE9994" s="7"/>
      <c r="AF9994" s="8"/>
      <c r="AG9994" s="7"/>
    </row>
    <row r="9995" spans="11:33" ht="14.5" x14ac:dyDescent="0.35">
      <c r="K9995" s="4"/>
      <c r="AC9995" s="7"/>
      <c r="AD9995" s="7"/>
      <c r="AE9995" s="7"/>
      <c r="AF9995" s="8"/>
      <c r="AG9995" s="7"/>
    </row>
    <row r="9996" spans="11:33" ht="14.5" x14ac:dyDescent="0.35">
      <c r="K9996" s="4"/>
      <c r="AC9996" s="7"/>
      <c r="AD9996" s="7"/>
      <c r="AE9996" s="7"/>
      <c r="AF9996" s="8"/>
      <c r="AG9996" s="7"/>
    </row>
    <row r="9997" spans="11:33" ht="14.5" x14ac:dyDescent="0.35">
      <c r="K9997" s="4"/>
      <c r="AC9997" s="7"/>
      <c r="AD9997" s="7"/>
      <c r="AE9997" s="7"/>
      <c r="AF9997" s="8"/>
      <c r="AG9997" s="7"/>
    </row>
    <row r="9998" spans="11:33" ht="14.5" x14ac:dyDescent="0.35">
      <c r="K9998" s="4"/>
      <c r="AC9998" s="7"/>
      <c r="AD9998" s="7"/>
      <c r="AE9998" s="7"/>
      <c r="AF9998" s="8"/>
      <c r="AG9998" s="7"/>
    </row>
    <row r="9999" spans="11:33" ht="14.5" x14ac:dyDescent="0.35">
      <c r="K9999" s="4"/>
      <c r="AC9999" s="7"/>
      <c r="AD9999" s="7"/>
      <c r="AE9999" s="7"/>
      <c r="AF9999" s="8"/>
      <c r="AG9999" s="7"/>
    </row>
    <row r="10000" spans="11:33" ht="14.5" x14ac:dyDescent="0.35">
      <c r="K10000" s="4"/>
      <c r="AC10000" s="7"/>
      <c r="AD10000" s="7"/>
      <c r="AE10000" s="7"/>
      <c r="AF10000" s="8"/>
      <c r="AG10000" s="7"/>
    </row>
    <row r="10001" spans="11:33" ht="14.5" x14ac:dyDescent="0.35">
      <c r="K10001" s="4"/>
      <c r="AC10001" s="7"/>
      <c r="AD10001" s="7"/>
      <c r="AE10001" s="7"/>
      <c r="AF10001" s="8"/>
      <c r="AG10001" s="7"/>
    </row>
    <row r="10002" spans="11:33" ht="14.5" x14ac:dyDescent="0.35">
      <c r="K10002" s="4"/>
      <c r="AC10002" s="7"/>
      <c r="AD10002" s="7"/>
      <c r="AE10002" s="7"/>
      <c r="AF10002" s="8"/>
      <c r="AG10002" s="7"/>
    </row>
    <row r="10003" spans="11:33" ht="14.5" x14ac:dyDescent="0.35">
      <c r="K10003" s="4"/>
      <c r="AC10003" s="7"/>
      <c r="AD10003" s="7"/>
      <c r="AE10003" s="7"/>
      <c r="AF10003" s="8"/>
      <c r="AG10003" s="7"/>
    </row>
    <row r="10004" spans="11:33" ht="14.5" x14ac:dyDescent="0.35">
      <c r="K10004" s="4"/>
      <c r="AC10004" s="7"/>
      <c r="AD10004" s="7"/>
      <c r="AE10004" s="7"/>
      <c r="AF10004" s="8"/>
      <c r="AG10004" s="7"/>
    </row>
    <row r="10005" spans="11:33" ht="14.5" x14ac:dyDescent="0.35">
      <c r="K10005" s="4"/>
      <c r="AC10005" s="7"/>
      <c r="AD10005" s="7"/>
      <c r="AE10005" s="7"/>
      <c r="AF10005" s="8"/>
      <c r="AG10005" s="7"/>
    </row>
    <row r="10006" spans="11:33" ht="14.5" x14ac:dyDescent="0.35">
      <c r="K10006" s="4"/>
      <c r="AC10006" s="7"/>
      <c r="AD10006" s="7"/>
      <c r="AE10006" s="7"/>
      <c r="AF10006" s="8"/>
      <c r="AG10006" s="7"/>
    </row>
    <row r="10007" spans="11:33" ht="14.5" x14ac:dyDescent="0.35">
      <c r="K10007" s="4"/>
      <c r="AC10007" s="7"/>
      <c r="AD10007" s="7"/>
      <c r="AE10007" s="7"/>
      <c r="AF10007" s="8"/>
      <c r="AG10007" s="7"/>
    </row>
    <row r="10008" spans="11:33" ht="14.5" x14ac:dyDescent="0.35">
      <c r="K10008" s="4"/>
      <c r="AC10008" s="7"/>
      <c r="AD10008" s="7"/>
      <c r="AE10008" s="7"/>
      <c r="AF10008" s="8"/>
      <c r="AG10008" s="7"/>
    </row>
    <row r="10009" spans="11:33" ht="14.5" x14ac:dyDescent="0.35">
      <c r="K10009" s="4"/>
      <c r="AC10009" s="7"/>
      <c r="AD10009" s="7"/>
      <c r="AE10009" s="7"/>
      <c r="AF10009" s="8"/>
      <c r="AG10009" s="7"/>
    </row>
    <row r="10010" spans="11:33" ht="14.5" x14ac:dyDescent="0.35">
      <c r="K10010" s="4"/>
      <c r="AC10010" s="7"/>
      <c r="AD10010" s="7"/>
      <c r="AE10010" s="7"/>
      <c r="AF10010" s="8"/>
      <c r="AG10010" s="7"/>
    </row>
    <row r="10011" spans="11:33" ht="14.5" x14ac:dyDescent="0.35">
      <c r="K10011" s="4"/>
      <c r="AC10011" s="7"/>
      <c r="AD10011" s="7"/>
      <c r="AE10011" s="7"/>
      <c r="AF10011" s="8"/>
      <c r="AG10011" s="7"/>
    </row>
    <row r="10012" spans="11:33" ht="14.5" x14ac:dyDescent="0.35">
      <c r="K10012" s="4"/>
      <c r="AC10012" s="7"/>
      <c r="AD10012" s="7"/>
      <c r="AE10012" s="7"/>
      <c r="AF10012" s="8"/>
      <c r="AG10012" s="7"/>
    </row>
    <row r="10013" spans="11:33" ht="14.5" x14ac:dyDescent="0.35">
      <c r="K10013" s="4"/>
      <c r="AC10013" s="7"/>
      <c r="AD10013" s="7"/>
      <c r="AE10013" s="7"/>
      <c r="AF10013" s="8"/>
      <c r="AG10013" s="7"/>
    </row>
    <row r="10014" spans="11:33" ht="14.5" x14ac:dyDescent="0.35">
      <c r="K10014" s="4"/>
      <c r="AC10014" s="7"/>
      <c r="AD10014" s="7"/>
      <c r="AE10014" s="7"/>
      <c r="AF10014" s="8"/>
      <c r="AG10014" s="7"/>
    </row>
    <row r="10015" spans="11:33" ht="14.5" x14ac:dyDescent="0.35">
      <c r="K10015" s="4"/>
      <c r="AC10015" s="7"/>
      <c r="AD10015" s="7"/>
      <c r="AE10015" s="7"/>
      <c r="AF10015" s="8"/>
      <c r="AG10015" s="7"/>
    </row>
    <row r="10016" spans="11:33" ht="14.5" x14ac:dyDescent="0.35">
      <c r="K10016" s="4"/>
      <c r="AC10016" s="7"/>
      <c r="AD10016" s="7"/>
      <c r="AE10016" s="7"/>
      <c r="AF10016" s="8"/>
      <c r="AG10016" s="7"/>
    </row>
    <row r="10017" spans="11:33" ht="14.5" x14ac:dyDescent="0.35">
      <c r="K10017" s="4"/>
      <c r="AC10017" s="7"/>
      <c r="AD10017" s="7"/>
      <c r="AE10017" s="7"/>
      <c r="AF10017" s="8"/>
      <c r="AG10017" s="7"/>
    </row>
    <row r="10018" spans="11:33" ht="14.5" x14ac:dyDescent="0.35">
      <c r="K10018" s="4"/>
      <c r="AC10018" s="7"/>
      <c r="AD10018" s="7"/>
      <c r="AE10018" s="7"/>
      <c r="AF10018" s="8"/>
      <c r="AG10018" s="7"/>
    </row>
    <row r="10019" spans="11:33" ht="14.5" x14ac:dyDescent="0.35">
      <c r="K10019" s="4"/>
      <c r="AC10019" s="7"/>
      <c r="AD10019" s="7"/>
      <c r="AE10019" s="7"/>
      <c r="AF10019" s="8"/>
      <c r="AG10019" s="7"/>
    </row>
    <row r="10020" spans="11:33" ht="14.5" x14ac:dyDescent="0.35">
      <c r="K10020" s="4"/>
      <c r="AC10020" s="7"/>
      <c r="AD10020" s="7"/>
      <c r="AE10020" s="7"/>
      <c r="AF10020" s="8"/>
      <c r="AG10020" s="7"/>
    </row>
    <row r="10021" spans="11:33" ht="14.5" x14ac:dyDescent="0.35">
      <c r="K10021" s="4"/>
      <c r="AC10021" s="7"/>
      <c r="AD10021" s="7"/>
      <c r="AE10021" s="7"/>
      <c r="AF10021" s="8"/>
      <c r="AG10021" s="7"/>
    </row>
    <row r="10022" spans="11:33" ht="14.5" x14ac:dyDescent="0.35">
      <c r="K10022" s="4"/>
      <c r="AC10022" s="7"/>
      <c r="AD10022" s="7"/>
      <c r="AE10022" s="7"/>
      <c r="AF10022" s="8"/>
      <c r="AG10022" s="7"/>
    </row>
    <row r="10023" spans="11:33" ht="14.5" x14ac:dyDescent="0.35">
      <c r="K10023" s="4"/>
      <c r="AC10023" s="7"/>
      <c r="AD10023" s="7"/>
      <c r="AE10023" s="7"/>
      <c r="AF10023" s="8"/>
      <c r="AG10023" s="7"/>
    </row>
    <row r="10024" spans="11:33" ht="14.5" x14ac:dyDescent="0.35">
      <c r="K10024" s="4"/>
      <c r="AC10024" s="7"/>
      <c r="AD10024" s="7"/>
      <c r="AE10024" s="7"/>
      <c r="AF10024" s="8"/>
      <c r="AG10024" s="7"/>
    </row>
    <row r="10025" spans="11:33" ht="14.5" x14ac:dyDescent="0.35">
      <c r="K10025" s="4"/>
      <c r="AC10025" s="7"/>
      <c r="AD10025" s="7"/>
      <c r="AE10025" s="7"/>
      <c r="AF10025" s="8"/>
      <c r="AG10025" s="7"/>
    </row>
    <row r="10026" spans="11:33" ht="14.5" x14ac:dyDescent="0.35">
      <c r="K10026" s="4"/>
      <c r="AC10026" s="7"/>
      <c r="AD10026" s="7"/>
      <c r="AE10026" s="7"/>
      <c r="AF10026" s="8"/>
      <c r="AG10026" s="7"/>
    </row>
    <row r="10027" spans="11:33" ht="14.5" x14ac:dyDescent="0.35">
      <c r="K10027" s="4"/>
      <c r="AC10027" s="7"/>
      <c r="AD10027" s="7"/>
      <c r="AE10027" s="7"/>
      <c r="AF10027" s="8"/>
      <c r="AG10027" s="7"/>
    </row>
    <row r="10028" spans="11:33" ht="14.5" x14ac:dyDescent="0.35">
      <c r="K10028" s="4"/>
      <c r="AC10028" s="7"/>
      <c r="AD10028" s="7"/>
      <c r="AE10028" s="7"/>
      <c r="AF10028" s="8"/>
      <c r="AG10028" s="7"/>
    </row>
    <row r="10029" spans="11:33" ht="14.5" x14ac:dyDescent="0.35">
      <c r="K10029" s="4"/>
      <c r="AC10029" s="7"/>
      <c r="AD10029" s="7"/>
      <c r="AE10029" s="7"/>
      <c r="AF10029" s="8"/>
      <c r="AG10029" s="7"/>
    </row>
    <row r="10030" spans="11:33" ht="14.5" x14ac:dyDescent="0.35">
      <c r="K10030" s="4"/>
      <c r="AC10030" s="7"/>
      <c r="AD10030" s="7"/>
      <c r="AE10030" s="7"/>
      <c r="AF10030" s="8"/>
      <c r="AG10030" s="7"/>
    </row>
    <row r="10031" spans="11:33" ht="14.5" x14ac:dyDescent="0.35">
      <c r="K10031" s="4"/>
      <c r="AC10031" s="7"/>
      <c r="AD10031" s="7"/>
      <c r="AE10031" s="7"/>
      <c r="AF10031" s="8"/>
      <c r="AG10031" s="7"/>
    </row>
    <row r="10032" spans="11:33" ht="14.5" x14ac:dyDescent="0.35">
      <c r="K10032" s="4"/>
      <c r="AC10032" s="7"/>
      <c r="AD10032" s="7"/>
      <c r="AE10032" s="7"/>
      <c r="AF10032" s="8"/>
      <c r="AG10032" s="7"/>
    </row>
    <row r="10033" spans="11:33" ht="14.5" x14ac:dyDescent="0.35">
      <c r="K10033" s="4"/>
      <c r="AC10033" s="7"/>
      <c r="AD10033" s="7"/>
      <c r="AE10033" s="7"/>
      <c r="AF10033" s="8"/>
      <c r="AG10033" s="7"/>
    </row>
    <row r="10034" spans="11:33" ht="14.5" x14ac:dyDescent="0.35">
      <c r="K10034" s="4"/>
      <c r="AC10034" s="7"/>
      <c r="AD10034" s="7"/>
      <c r="AE10034" s="7"/>
      <c r="AF10034" s="8"/>
      <c r="AG10034" s="7"/>
    </row>
    <row r="10035" spans="11:33" ht="14.5" x14ac:dyDescent="0.35">
      <c r="K10035" s="4"/>
      <c r="AC10035" s="7"/>
      <c r="AD10035" s="7"/>
      <c r="AE10035" s="7"/>
      <c r="AF10035" s="8"/>
      <c r="AG10035" s="7"/>
    </row>
    <row r="10036" spans="11:33" ht="14.5" x14ac:dyDescent="0.35">
      <c r="K10036" s="4"/>
      <c r="AC10036" s="7"/>
      <c r="AD10036" s="7"/>
      <c r="AE10036" s="7"/>
      <c r="AF10036" s="8"/>
      <c r="AG10036" s="7"/>
    </row>
    <row r="10037" spans="11:33" ht="14.5" x14ac:dyDescent="0.35">
      <c r="K10037" s="4"/>
      <c r="AC10037" s="7"/>
      <c r="AD10037" s="7"/>
      <c r="AE10037" s="7"/>
      <c r="AF10037" s="8"/>
      <c r="AG10037" s="7"/>
    </row>
    <row r="10038" spans="11:33" ht="14.5" x14ac:dyDescent="0.35">
      <c r="K10038" s="4"/>
      <c r="AC10038" s="7"/>
      <c r="AD10038" s="7"/>
      <c r="AE10038" s="7"/>
      <c r="AF10038" s="8"/>
      <c r="AG10038" s="7"/>
    </row>
    <row r="10039" spans="11:33" ht="14.5" x14ac:dyDescent="0.35">
      <c r="K10039" s="4"/>
      <c r="AC10039" s="7"/>
      <c r="AD10039" s="7"/>
      <c r="AE10039" s="7"/>
      <c r="AF10039" s="8"/>
      <c r="AG10039" s="7"/>
    </row>
    <row r="10040" spans="11:33" ht="14.5" x14ac:dyDescent="0.35">
      <c r="K10040" s="4"/>
      <c r="AC10040" s="7"/>
      <c r="AD10040" s="7"/>
      <c r="AE10040" s="7"/>
      <c r="AF10040" s="8"/>
      <c r="AG10040" s="7"/>
    </row>
    <row r="10041" spans="11:33" ht="14.5" x14ac:dyDescent="0.35">
      <c r="K10041" s="4"/>
      <c r="AC10041" s="7"/>
      <c r="AD10041" s="7"/>
      <c r="AE10041" s="7"/>
      <c r="AF10041" s="8"/>
      <c r="AG10041" s="7"/>
    </row>
    <row r="10042" spans="11:33" ht="14.5" x14ac:dyDescent="0.35">
      <c r="K10042" s="4"/>
      <c r="AC10042" s="7"/>
      <c r="AD10042" s="7"/>
      <c r="AE10042" s="7"/>
      <c r="AF10042" s="8"/>
      <c r="AG10042" s="7"/>
    </row>
    <row r="10043" spans="11:33" ht="14.5" x14ac:dyDescent="0.35">
      <c r="K10043" s="4"/>
      <c r="AC10043" s="7"/>
      <c r="AD10043" s="7"/>
      <c r="AE10043" s="7"/>
      <c r="AF10043" s="8"/>
      <c r="AG10043" s="7"/>
    </row>
    <row r="10044" spans="11:33" ht="14.5" x14ac:dyDescent="0.35">
      <c r="K10044" s="4"/>
      <c r="AC10044" s="7"/>
      <c r="AD10044" s="7"/>
      <c r="AE10044" s="7"/>
      <c r="AF10044" s="8"/>
      <c r="AG10044" s="7"/>
    </row>
    <row r="10045" spans="11:33" ht="14.5" x14ac:dyDescent="0.35">
      <c r="K10045" s="4"/>
      <c r="AC10045" s="7"/>
      <c r="AD10045" s="7"/>
      <c r="AE10045" s="7"/>
      <c r="AF10045" s="8"/>
      <c r="AG10045" s="7"/>
    </row>
    <row r="10046" spans="11:33" ht="14.5" x14ac:dyDescent="0.35">
      <c r="K10046" s="4"/>
      <c r="AC10046" s="7"/>
      <c r="AD10046" s="7"/>
      <c r="AE10046" s="7"/>
      <c r="AF10046" s="8"/>
      <c r="AG10046" s="7"/>
    </row>
    <row r="10047" spans="11:33" ht="14.5" x14ac:dyDescent="0.35">
      <c r="K10047" s="4"/>
      <c r="AC10047" s="7"/>
      <c r="AD10047" s="7"/>
      <c r="AE10047" s="7"/>
      <c r="AF10047" s="8"/>
      <c r="AG10047" s="7"/>
    </row>
    <row r="10048" spans="11:33" ht="14.5" x14ac:dyDescent="0.35">
      <c r="K10048" s="4"/>
      <c r="AC10048" s="7"/>
      <c r="AD10048" s="7"/>
      <c r="AE10048" s="7"/>
      <c r="AF10048" s="8"/>
      <c r="AG10048" s="7"/>
    </row>
    <row r="10049" spans="11:33" ht="14.5" x14ac:dyDescent="0.35">
      <c r="K10049" s="4"/>
      <c r="AC10049" s="7"/>
      <c r="AD10049" s="7"/>
      <c r="AE10049" s="7"/>
      <c r="AF10049" s="8"/>
      <c r="AG10049" s="7"/>
    </row>
    <row r="10050" spans="11:33" ht="14.5" x14ac:dyDescent="0.35">
      <c r="K10050" s="4"/>
      <c r="AC10050" s="7"/>
      <c r="AD10050" s="7"/>
      <c r="AE10050" s="7"/>
      <c r="AF10050" s="8"/>
      <c r="AG10050" s="7"/>
    </row>
    <row r="10051" spans="11:33" ht="14.5" x14ac:dyDescent="0.35">
      <c r="K10051" s="4"/>
      <c r="AC10051" s="7"/>
      <c r="AD10051" s="7"/>
      <c r="AE10051" s="7"/>
      <c r="AF10051" s="8"/>
      <c r="AG10051" s="7"/>
    </row>
    <row r="10052" spans="11:33" ht="14.5" x14ac:dyDescent="0.35">
      <c r="K10052" s="4"/>
      <c r="AC10052" s="7"/>
      <c r="AD10052" s="7"/>
      <c r="AE10052" s="7"/>
      <c r="AF10052" s="8"/>
      <c r="AG10052" s="7"/>
    </row>
    <row r="10053" spans="11:33" ht="14.5" x14ac:dyDescent="0.35">
      <c r="K10053" s="4"/>
      <c r="AC10053" s="7"/>
      <c r="AD10053" s="7"/>
      <c r="AE10053" s="7"/>
      <c r="AF10053" s="8"/>
      <c r="AG10053" s="7"/>
    </row>
    <row r="10054" spans="11:33" ht="14.5" x14ac:dyDescent="0.35">
      <c r="K10054" s="4"/>
      <c r="AC10054" s="7"/>
      <c r="AD10054" s="7"/>
      <c r="AE10054" s="7"/>
      <c r="AF10054" s="8"/>
      <c r="AG10054" s="7"/>
    </row>
    <row r="10055" spans="11:33" ht="14.5" x14ac:dyDescent="0.35">
      <c r="K10055" s="4"/>
      <c r="AC10055" s="7"/>
      <c r="AD10055" s="7"/>
      <c r="AE10055" s="7"/>
      <c r="AF10055" s="8"/>
      <c r="AG10055" s="7"/>
    </row>
    <row r="10056" spans="11:33" ht="14.5" x14ac:dyDescent="0.35">
      <c r="K10056" s="4"/>
      <c r="AC10056" s="7"/>
      <c r="AD10056" s="7"/>
      <c r="AE10056" s="7"/>
      <c r="AF10056" s="8"/>
      <c r="AG10056" s="7"/>
    </row>
    <row r="10057" spans="11:33" ht="14.5" x14ac:dyDescent="0.35">
      <c r="K10057" s="4"/>
      <c r="AC10057" s="7"/>
      <c r="AD10057" s="7"/>
      <c r="AE10057" s="7"/>
      <c r="AF10057" s="8"/>
      <c r="AG10057" s="7"/>
    </row>
    <row r="10058" spans="11:33" ht="14.5" x14ac:dyDescent="0.35">
      <c r="K10058" s="4"/>
      <c r="AC10058" s="7"/>
      <c r="AD10058" s="7"/>
      <c r="AE10058" s="7"/>
      <c r="AF10058" s="8"/>
      <c r="AG10058" s="7"/>
    </row>
    <row r="10059" spans="11:33" ht="14.5" x14ac:dyDescent="0.35">
      <c r="K10059" s="4"/>
      <c r="AC10059" s="7"/>
      <c r="AD10059" s="7"/>
      <c r="AE10059" s="7"/>
      <c r="AF10059" s="8"/>
      <c r="AG10059" s="7"/>
    </row>
    <row r="10060" spans="11:33" ht="14.5" x14ac:dyDescent="0.35">
      <c r="K10060" s="4"/>
      <c r="AC10060" s="7"/>
      <c r="AD10060" s="7"/>
      <c r="AE10060" s="7"/>
      <c r="AF10060" s="8"/>
      <c r="AG10060" s="7"/>
    </row>
    <row r="10061" spans="11:33" ht="14.5" x14ac:dyDescent="0.35">
      <c r="K10061" s="4"/>
      <c r="AC10061" s="7"/>
      <c r="AD10061" s="7"/>
      <c r="AE10061" s="7"/>
      <c r="AF10061" s="8"/>
      <c r="AG10061" s="7"/>
    </row>
    <row r="10062" spans="11:33" ht="14.5" x14ac:dyDescent="0.35">
      <c r="K10062" s="4"/>
      <c r="AC10062" s="7"/>
      <c r="AD10062" s="7"/>
      <c r="AE10062" s="7"/>
      <c r="AF10062" s="8"/>
      <c r="AG10062" s="7"/>
    </row>
    <row r="10063" spans="11:33" ht="14.5" x14ac:dyDescent="0.35">
      <c r="K10063" s="4"/>
      <c r="AC10063" s="7"/>
      <c r="AD10063" s="7"/>
      <c r="AE10063" s="7"/>
      <c r="AF10063" s="8"/>
      <c r="AG10063" s="7"/>
    </row>
    <row r="10064" spans="11:33" ht="14.5" x14ac:dyDescent="0.35">
      <c r="K10064" s="4"/>
      <c r="AC10064" s="7"/>
      <c r="AD10064" s="7"/>
      <c r="AE10064" s="7"/>
      <c r="AF10064" s="8"/>
      <c r="AG10064" s="7"/>
    </row>
    <row r="10065" spans="11:33" ht="14.5" x14ac:dyDescent="0.35">
      <c r="K10065" s="4"/>
      <c r="AC10065" s="7"/>
      <c r="AD10065" s="7"/>
      <c r="AE10065" s="7"/>
      <c r="AF10065" s="8"/>
      <c r="AG10065" s="7"/>
    </row>
    <row r="10066" spans="11:33" ht="14.5" x14ac:dyDescent="0.35">
      <c r="K10066" s="4"/>
      <c r="AC10066" s="7"/>
      <c r="AD10066" s="7"/>
      <c r="AE10066" s="7"/>
      <c r="AF10066" s="8"/>
      <c r="AG10066" s="7"/>
    </row>
    <row r="10067" spans="11:33" ht="14.5" x14ac:dyDescent="0.35">
      <c r="K10067" s="4"/>
      <c r="AC10067" s="7"/>
      <c r="AD10067" s="7"/>
      <c r="AE10067" s="7"/>
      <c r="AF10067" s="8"/>
      <c r="AG10067" s="7"/>
    </row>
    <row r="10068" spans="11:33" ht="14.5" x14ac:dyDescent="0.35">
      <c r="K10068" s="4"/>
      <c r="AC10068" s="7"/>
      <c r="AD10068" s="7"/>
      <c r="AE10068" s="7"/>
      <c r="AF10068" s="8"/>
      <c r="AG10068" s="7"/>
    </row>
    <row r="10069" spans="11:33" ht="14.5" x14ac:dyDescent="0.35">
      <c r="K10069" s="4"/>
      <c r="AC10069" s="7"/>
      <c r="AD10069" s="7"/>
      <c r="AE10069" s="7"/>
      <c r="AF10069" s="8"/>
      <c r="AG10069" s="7"/>
    </row>
    <row r="10070" spans="11:33" ht="14.5" x14ac:dyDescent="0.35">
      <c r="K10070" s="4"/>
      <c r="AC10070" s="7"/>
      <c r="AD10070" s="7"/>
      <c r="AE10070" s="7"/>
      <c r="AF10070" s="8"/>
      <c r="AG10070" s="7"/>
    </row>
    <row r="10071" spans="11:33" ht="14.5" x14ac:dyDescent="0.35">
      <c r="K10071" s="4"/>
      <c r="AC10071" s="7"/>
      <c r="AD10071" s="7"/>
      <c r="AE10071" s="7"/>
      <c r="AF10071" s="8"/>
      <c r="AG10071" s="7"/>
    </row>
    <row r="10072" spans="11:33" ht="14.5" x14ac:dyDescent="0.35">
      <c r="K10072" s="4"/>
      <c r="AC10072" s="7"/>
      <c r="AD10072" s="7"/>
      <c r="AE10072" s="7"/>
      <c r="AF10072" s="8"/>
      <c r="AG10072" s="7"/>
    </row>
    <row r="10073" spans="11:33" ht="14.5" x14ac:dyDescent="0.35">
      <c r="K10073" s="4"/>
      <c r="AC10073" s="7"/>
      <c r="AD10073" s="7"/>
      <c r="AE10073" s="7"/>
      <c r="AF10073" s="8"/>
      <c r="AG10073" s="7"/>
    </row>
    <row r="10074" spans="11:33" ht="14.5" x14ac:dyDescent="0.35">
      <c r="K10074" s="4"/>
      <c r="AC10074" s="7"/>
      <c r="AD10074" s="7"/>
      <c r="AE10074" s="7"/>
      <c r="AF10074" s="8"/>
      <c r="AG10074" s="7"/>
    </row>
    <row r="10075" spans="11:33" ht="14.5" x14ac:dyDescent="0.35">
      <c r="K10075" s="4"/>
      <c r="AC10075" s="7"/>
      <c r="AD10075" s="7"/>
      <c r="AE10075" s="7"/>
      <c r="AF10075" s="8"/>
      <c r="AG10075" s="7"/>
    </row>
    <row r="10076" spans="11:33" ht="14.5" x14ac:dyDescent="0.35">
      <c r="K10076" s="4"/>
      <c r="AC10076" s="7"/>
      <c r="AD10076" s="7"/>
      <c r="AE10076" s="7"/>
      <c r="AF10076" s="8"/>
      <c r="AG10076" s="7"/>
    </row>
    <row r="10077" spans="11:33" ht="14.5" x14ac:dyDescent="0.35">
      <c r="K10077" s="4"/>
      <c r="AC10077" s="7"/>
      <c r="AD10077" s="7"/>
      <c r="AE10077" s="7"/>
      <c r="AF10077" s="8"/>
      <c r="AG10077" s="7"/>
    </row>
    <row r="10078" spans="11:33" ht="14.5" x14ac:dyDescent="0.35">
      <c r="K10078" s="4"/>
      <c r="AC10078" s="7"/>
      <c r="AD10078" s="7"/>
      <c r="AE10078" s="7"/>
      <c r="AF10078" s="8"/>
      <c r="AG10078" s="7"/>
    </row>
    <row r="10079" spans="11:33" ht="14.5" x14ac:dyDescent="0.35">
      <c r="K10079" s="4"/>
      <c r="AC10079" s="7"/>
      <c r="AD10079" s="7"/>
      <c r="AE10079" s="7"/>
      <c r="AF10079" s="8"/>
      <c r="AG10079" s="7"/>
    </row>
    <row r="10080" spans="11:33" ht="14.5" x14ac:dyDescent="0.35">
      <c r="K10080" s="4"/>
      <c r="AC10080" s="7"/>
      <c r="AD10080" s="7"/>
      <c r="AE10080" s="7"/>
      <c r="AF10080" s="8"/>
      <c r="AG10080" s="7"/>
    </row>
    <row r="10081" spans="11:33" ht="14.5" x14ac:dyDescent="0.35">
      <c r="K10081" s="4"/>
      <c r="AC10081" s="7"/>
      <c r="AD10081" s="7"/>
      <c r="AE10081" s="7"/>
      <c r="AF10081" s="8"/>
      <c r="AG10081" s="7"/>
    </row>
    <row r="10082" spans="11:33" ht="14.5" x14ac:dyDescent="0.35">
      <c r="K10082" s="4"/>
      <c r="AC10082" s="7"/>
      <c r="AD10082" s="7"/>
      <c r="AE10082" s="7"/>
      <c r="AF10082" s="8"/>
      <c r="AG10082" s="7"/>
    </row>
    <row r="10083" spans="11:33" ht="14.5" x14ac:dyDescent="0.35">
      <c r="K10083" s="4"/>
      <c r="AC10083" s="7"/>
      <c r="AD10083" s="7"/>
      <c r="AE10083" s="7"/>
      <c r="AF10083" s="8"/>
      <c r="AG10083" s="7"/>
    </row>
    <row r="10084" spans="11:33" ht="14.5" x14ac:dyDescent="0.35">
      <c r="K10084" s="4"/>
      <c r="AC10084" s="7"/>
      <c r="AD10084" s="7"/>
      <c r="AE10084" s="7"/>
      <c r="AF10084" s="8"/>
      <c r="AG10084" s="7"/>
    </row>
    <row r="10085" spans="11:33" ht="14.5" x14ac:dyDescent="0.35">
      <c r="K10085" s="4"/>
      <c r="AC10085" s="7"/>
      <c r="AD10085" s="7"/>
      <c r="AE10085" s="7"/>
      <c r="AF10085" s="8"/>
      <c r="AG10085" s="7"/>
    </row>
    <row r="10086" spans="11:33" ht="14.5" x14ac:dyDescent="0.35">
      <c r="K10086" s="4"/>
      <c r="AC10086" s="7"/>
      <c r="AD10086" s="7"/>
      <c r="AE10086" s="7"/>
      <c r="AF10086" s="8"/>
      <c r="AG10086" s="7"/>
    </row>
    <row r="10087" spans="11:33" ht="14.5" x14ac:dyDescent="0.35">
      <c r="K10087" s="4"/>
      <c r="AC10087" s="7"/>
      <c r="AD10087" s="7"/>
      <c r="AE10087" s="7"/>
      <c r="AF10087" s="8"/>
      <c r="AG10087" s="7"/>
    </row>
    <row r="10088" spans="11:33" ht="14.5" x14ac:dyDescent="0.35">
      <c r="K10088" s="4"/>
      <c r="AC10088" s="7"/>
      <c r="AD10088" s="7"/>
      <c r="AE10088" s="7"/>
      <c r="AF10088" s="8"/>
      <c r="AG10088" s="7"/>
    </row>
    <row r="10089" spans="11:33" ht="14.5" x14ac:dyDescent="0.35">
      <c r="K10089" s="4"/>
      <c r="AC10089" s="7"/>
      <c r="AD10089" s="7"/>
      <c r="AE10089" s="7"/>
      <c r="AF10089" s="8"/>
      <c r="AG10089" s="7"/>
    </row>
    <row r="10090" spans="11:33" ht="14.5" x14ac:dyDescent="0.35">
      <c r="K10090" s="4"/>
      <c r="AC10090" s="7"/>
      <c r="AD10090" s="7"/>
      <c r="AE10090" s="7"/>
      <c r="AF10090" s="8"/>
      <c r="AG10090" s="7"/>
    </row>
    <row r="10091" spans="11:33" ht="14.5" x14ac:dyDescent="0.35">
      <c r="K10091" s="4"/>
      <c r="AC10091" s="7"/>
      <c r="AD10091" s="7"/>
      <c r="AE10091" s="7"/>
      <c r="AF10091" s="8"/>
      <c r="AG10091" s="7"/>
    </row>
    <row r="10092" spans="11:33" ht="14.5" x14ac:dyDescent="0.35">
      <c r="K10092" s="4"/>
      <c r="AC10092" s="7"/>
      <c r="AD10092" s="7"/>
      <c r="AE10092" s="7"/>
      <c r="AF10092" s="8"/>
      <c r="AG10092" s="7"/>
    </row>
    <row r="10093" spans="11:33" ht="14.5" x14ac:dyDescent="0.35">
      <c r="K10093" s="4"/>
      <c r="AC10093" s="7"/>
      <c r="AD10093" s="7"/>
      <c r="AE10093" s="7"/>
      <c r="AF10093" s="8"/>
      <c r="AG10093" s="7"/>
    </row>
    <row r="10094" spans="11:33" ht="14.5" x14ac:dyDescent="0.35">
      <c r="K10094" s="4"/>
      <c r="AC10094" s="7"/>
      <c r="AD10094" s="7"/>
      <c r="AE10094" s="7"/>
      <c r="AF10094" s="8"/>
      <c r="AG10094" s="7"/>
    </row>
    <row r="10095" spans="11:33" ht="14.5" x14ac:dyDescent="0.35">
      <c r="K10095" s="4"/>
      <c r="AC10095" s="7"/>
      <c r="AD10095" s="7"/>
      <c r="AE10095" s="7"/>
      <c r="AF10095" s="8"/>
      <c r="AG10095" s="7"/>
    </row>
    <row r="10096" spans="11:33" ht="14.5" x14ac:dyDescent="0.35">
      <c r="K10096" s="4"/>
      <c r="AC10096" s="7"/>
      <c r="AD10096" s="7"/>
      <c r="AE10096" s="7"/>
      <c r="AF10096" s="8"/>
      <c r="AG10096" s="7"/>
    </row>
    <row r="10097" spans="11:33" ht="14.5" x14ac:dyDescent="0.35">
      <c r="K10097" s="4"/>
      <c r="AC10097" s="7"/>
      <c r="AD10097" s="7"/>
      <c r="AE10097" s="7"/>
      <c r="AF10097" s="8"/>
      <c r="AG10097" s="7"/>
    </row>
    <row r="10098" spans="11:33" ht="14.5" x14ac:dyDescent="0.35">
      <c r="K10098" s="4"/>
      <c r="AC10098" s="7"/>
      <c r="AD10098" s="7"/>
      <c r="AE10098" s="7"/>
      <c r="AF10098" s="8"/>
      <c r="AG10098" s="7"/>
    </row>
    <row r="10099" spans="11:33" ht="14.5" x14ac:dyDescent="0.35">
      <c r="K10099" s="4"/>
      <c r="AC10099" s="7"/>
      <c r="AD10099" s="7"/>
      <c r="AE10099" s="7"/>
      <c r="AF10099" s="8"/>
      <c r="AG10099" s="7"/>
    </row>
    <row r="10100" spans="11:33" ht="14.5" x14ac:dyDescent="0.35">
      <c r="K10100" s="4"/>
      <c r="AC10100" s="7"/>
      <c r="AD10100" s="7"/>
      <c r="AE10100" s="7"/>
      <c r="AF10100" s="8"/>
      <c r="AG10100" s="7"/>
    </row>
    <row r="10101" spans="11:33" ht="14.5" x14ac:dyDescent="0.35">
      <c r="K10101" s="4"/>
      <c r="AC10101" s="7"/>
      <c r="AD10101" s="7"/>
      <c r="AE10101" s="7"/>
      <c r="AF10101" s="8"/>
      <c r="AG10101" s="7"/>
    </row>
    <row r="10102" spans="11:33" ht="14.5" x14ac:dyDescent="0.35">
      <c r="K10102" s="4"/>
      <c r="AC10102" s="7"/>
      <c r="AD10102" s="7"/>
      <c r="AE10102" s="7"/>
      <c r="AF10102" s="8"/>
      <c r="AG10102" s="7"/>
    </row>
    <row r="10103" spans="11:33" ht="14.5" x14ac:dyDescent="0.35">
      <c r="K10103" s="4"/>
      <c r="AC10103" s="7"/>
      <c r="AD10103" s="7"/>
      <c r="AE10103" s="7"/>
      <c r="AF10103" s="8"/>
      <c r="AG10103" s="7"/>
    </row>
    <row r="10104" spans="11:33" ht="14.5" x14ac:dyDescent="0.35">
      <c r="K10104" s="4"/>
      <c r="AC10104" s="7"/>
      <c r="AD10104" s="7"/>
      <c r="AE10104" s="7"/>
      <c r="AF10104" s="8"/>
      <c r="AG10104" s="7"/>
    </row>
    <row r="10105" spans="11:33" ht="14.5" x14ac:dyDescent="0.35">
      <c r="K10105" s="4"/>
      <c r="AC10105" s="7"/>
      <c r="AD10105" s="7"/>
      <c r="AE10105" s="7"/>
      <c r="AF10105" s="8"/>
      <c r="AG10105" s="7"/>
    </row>
    <row r="10106" spans="11:33" ht="14.5" x14ac:dyDescent="0.35">
      <c r="K10106" s="4"/>
      <c r="AC10106" s="7"/>
      <c r="AD10106" s="7"/>
      <c r="AE10106" s="7"/>
      <c r="AF10106" s="8"/>
      <c r="AG10106" s="7"/>
    </row>
    <row r="10107" spans="11:33" ht="14.5" x14ac:dyDescent="0.35">
      <c r="K10107" s="4"/>
      <c r="AC10107" s="7"/>
      <c r="AD10107" s="7"/>
      <c r="AE10107" s="7"/>
      <c r="AF10107" s="8"/>
      <c r="AG10107" s="7"/>
    </row>
    <row r="10108" spans="11:33" ht="14.5" x14ac:dyDescent="0.35">
      <c r="K10108" s="4"/>
      <c r="AC10108" s="7"/>
      <c r="AD10108" s="7"/>
      <c r="AE10108" s="7"/>
      <c r="AF10108" s="8"/>
      <c r="AG10108" s="7"/>
    </row>
    <row r="10109" spans="11:33" ht="14.5" x14ac:dyDescent="0.35">
      <c r="K10109" s="4"/>
      <c r="AC10109" s="7"/>
      <c r="AD10109" s="7"/>
      <c r="AE10109" s="7"/>
      <c r="AF10109" s="8"/>
      <c r="AG10109" s="7"/>
    </row>
    <row r="10110" spans="11:33" ht="14.5" x14ac:dyDescent="0.35">
      <c r="K10110" s="4"/>
      <c r="AC10110" s="7"/>
      <c r="AD10110" s="7"/>
      <c r="AE10110" s="7"/>
      <c r="AF10110" s="8"/>
      <c r="AG10110" s="7"/>
    </row>
    <row r="10111" spans="11:33" ht="14.5" x14ac:dyDescent="0.35">
      <c r="K10111" s="4"/>
      <c r="AC10111" s="7"/>
      <c r="AD10111" s="7"/>
      <c r="AE10111" s="7"/>
      <c r="AF10111" s="8"/>
      <c r="AG10111" s="7"/>
    </row>
    <row r="10112" spans="11:33" ht="14.5" x14ac:dyDescent="0.35">
      <c r="K10112" s="4"/>
      <c r="AC10112" s="7"/>
      <c r="AD10112" s="7"/>
      <c r="AE10112" s="7"/>
      <c r="AF10112" s="8"/>
      <c r="AG10112" s="7"/>
    </row>
    <row r="10113" spans="11:33" ht="14.5" x14ac:dyDescent="0.35">
      <c r="K10113" s="4"/>
      <c r="AC10113" s="7"/>
      <c r="AD10113" s="7"/>
      <c r="AE10113" s="7"/>
      <c r="AF10113" s="8"/>
      <c r="AG10113" s="7"/>
    </row>
    <row r="10114" spans="11:33" ht="14.5" x14ac:dyDescent="0.35">
      <c r="K10114" s="4"/>
      <c r="AC10114" s="7"/>
      <c r="AD10114" s="7"/>
      <c r="AE10114" s="7"/>
      <c r="AF10114" s="8"/>
      <c r="AG10114" s="7"/>
    </row>
    <row r="10115" spans="11:33" ht="14.5" x14ac:dyDescent="0.35">
      <c r="K10115" s="4"/>
      <c r="AC10115" s="7"/>
      <c r="AD10115" s="7"/>
      <c r="AE10115" s="7"/>
      <c r="AF10115" s="8"/>
      <c r="AG10115" s="7"/>
    </row>
    <row r="10116" spans="11:33" ht="14.5" x14ac:dyDescent="0.35">
      <c r="K10116" s="4"/>
      <c r="AC10116" s="7"/>
      <c r="AD10116" s="7"/>
      <c r="AE10116" s="7"/>
      <c r="AF10116" s="8"/>
      <c r="AG10116" s="7"/>
    </row>
    <row r="10117" spans="11:33" ht="14.5" x14ac:dyDescent="0.35">
      <c r="K10117" s="4"/>
      <c r="AC10117" s="7"/>
      <c r="AD10117" s="7"/>
      <c r="AE10117" s="7"/>
      <c r="AF10117" s="8"/>
      <c r="AG10117" s="7"/>
    </row>
    <row r="10118" spans="11:33" ht="14.5" x14ac:dyDescent="0.35">
      <c r="K10118" s="4"/>
      <c r="AC10118" s="7"/>
      <c r="AD10118" s="7"/>
      <c r="AE10118" s="7"/>
      <c r="AF10118" s="8"/>
      <c r="AG10118" s="7"/>
    </row>
    <row r="10119" spans="11:33" ht="14.5" x14ac:dyDescent="0.35">
      <c r="K10119" s="4"/>
      <c r="AC10119" s="7"/>
      <c r="AD10119" s="7"/>
      <c r="AE10119" s="7"/>
      <c r="AF10119" s="8"/>
      <c r="AG10119" s="7"/>
    </row>
    <row r="10120" spans="11:33" ht="14.5" x14ac:dyDescent="0.35">
      <c r="K10120" s="4"/>
      <c r="AC10120" s="7"/>
      <c r="AD10120" s="7"/>
      <c r="AE10120" s="7"/>
      <c r="AF10120" s="8"/>
      <c r="AG10120" s="7"/>
    </row>
    <row r="10121" spans="11:33" ht="14.5" x14ac:dyDescent="0.35">
      <c r="K10121" s="4"/>
      <c r="AC10121" s="7"/>
      <c r="AD10121" s="7"/>
      <c r="AE10121" s="7"/>
      <c r="AF10121" s="8"/>
      <c r="AG10121" s="7"/>
    </row>
    <row r="10122" spans="11:33" ht="14.5" x14ac:dyDescent="0.35">
      <c r="K10122" s="4"/>
      <c r="AC10122" s="7"/>
      <c r="AD10122" s="7"/>
      <c r="AE10122" s="7"/>
      <c r="AF10122" s="8"/>
      <c r="AG10122" s="7"/>
    </row>
    <row r="10123" spans="11:33" ht="14.5" x14ac:dyDescent="0.35">
      <c r="K10123" s="4"/>
      <c r="AC10123" s="7"/>
      <c r="AD10123" s="7"/>
      <c r="AE10123" s="7"/>
      <c r="AF10123" s="8"/>
      <c r="AG10123" s="7"/>
    </row>
    <row r="10124" spans="11:33" ht="14.5" x14ac:dyDescent="0.35">
      <c r="K10124" s="4"/>
      <c r="AC10124" s="7"/>
      <c r="AD10124" s="7"/>
      <c r="AE10124" s="7"/>
      <c r="AF10124" s="8"/>
      <c r="AG10124" s="7"/>
    </row>
    <row r="10125" spans="11:33" ht="14.5" x14ac:dyDescent="0.35">
      <c r="K10125" s="4"/>
      <c r="AC10125" s="7"/>
      <c r="AD10125" s="7"/>
      <c r="AE10125" s="7"/>
      <c r="AF10125" s="8"/>
      <c r="AG10125" s="7"/>
    </row>
    <row r="10126" spans="11:33" ht="14.5" x14ac:dyDescent="0.35">
      <c r="K10126" s="4"/>
      <c r="AC10126" s="7"/>
      <c r="AD10126" s="7"/>
      <c r="AE10126" s="7"/>
      <c r="AF10126" s="8"/>
      <c r="AG10126" s="7"/>
    </row>
    <row r="10127" spans="11:33" ht="14.5" x14ac:dyDescent="0.35">
      <c r="K10127" s="4"/>
      <c r="AC10127" s="7"/>
      <c r="AD10127" s="7"/>
      <c r="AE10127" s="7"/>
      <c r="AF10127" s="8"/>
      <c r="AG10127" s="7"/>
    </row>
    <row r="10128" spans="11:33" ht="14.5" x14ac:dyDescent="0.35">
      <c r="K10128" s="4"/>
      <c r="AC10128" s="7"/>
      <c r="AD10128" s="7"/>
      <c r="AE10128" s="7"/>
      <c r="AF10128" s="8"/>
      <c r="AG10128" s="7"/>
    </row>
    <row r="10129" spans="11:33" ht="14.5" x14ac:dyDescent="0.35">
      <c r="K10129" s="4"/>
      <c r="AC10129" s="7"/>
      <c r="AD10129" s="7"/>
      <c r="AE10129" s="7"/>
      <c r="AF10129" s="8"/>
      <c r="AG10129" s="7"/>
    </row>
    <row r="10130" spans="11:33" ht="14.5" x14ac:dyDescent="0.35">
      <c r="K10130" s="4"/>
      <c r="AC10130" s="7"/>
      <c r="AD10130" s="7"/>
      <c r="AE10130" s="7"/>
      <c r="AF10130" s="8"/>
      <c r="AG10130" s="7"/>
    </row>
    <row r="10131" spans="11:33" ht="14.5" x14ac:dyDescent="0.35">
      <c r="K10131" s="4"/>
      <c r="AC10131" s="7"/>
      <c r="AD10131" s="7"/>
      <c r="AE10131" s="7"/>
      <c r="AF10131" s="8"/>
      <c r="AG10131" s="7"/>
    </row>
    <row r="10132" spans="11:33" ht="14.5" x14ac:dyDescent="0.35">
      <c r="K10132" s="4"/>
      <c r="AC10132" s="7"/>
      <c r="AD10132" s="7"/>
      <c r="AE10132" s="7"/>
      <c r="AF10132" s="8"/>
      <c r="AG10132" s="7"/>
    </row>
    <row r="10133" spans="11:33" ht="14.5" x14ac:dyDescent="0.35">
      <c r="K10133" s="4"/>
      <c r="AC10133" s="7"/>
      <c r="AD10133" s="7"/>
      <c r="AE10133" s="7"/>
      <c r="AF10133" s="8"/>
      <c r="AG10133" s="7"/>
    </row>
    <row r="10134" spans="11:33" ht="14.5" x14ac:dyDescent="0.35">
      <c r="K10134" s="4"/>
      <c r="AC10134" s="7"/>
      <c r="AD10134" s="7"/>
      <c r="AE10134" s="7"/>
      <c r="AF10134" s="8"/>
      <c r="AG10134" s="7"/>
    </row>
    <row r="10135" spans="11:33" ht="14.5" x14ac:dyDescent="0.35">
      <c r="K10135" s="4"/>
      <c r="AC10135" s="7"/>
      <c r="AD10135" s="7"/>
      <c r="AE10135" s="7"/>
      <c r="AF10135" s="8"/>
      <c r="AG10135" s="7"/>
    </row>
    <row r="10136" spans="11:33" ht="14.5" x14ac:dyDescent="0.35">
      <c r="K10136" s="4"/>
      <c r="AC10136" s="7"/>
      <c r="AD10136" s="7"/>
      <c r="AE10136" s="7"/>
      <c r="AF10136" s="8"/>
      <c r="AG10136" s="7"/>
    </row>
    <row r="10137" spans="11:33" ht="14.5" x14ac:dyDescent="0.35">
      <c r="K10137" s="4"/>
      <c r="AC10137" s="7"/>
      <c r="AD10137" s="7"/>
      <c r="AE10137" s="7"/>
      <c r="AF10137" s="8"/>
      <c r="AG10137" s="7"/>
    </row>
    <row r="10138" spans="11:33" ht="14.5" x14ac:dyDescent="0.35">
      <c r="K10138" s="4"/>
      <c r="AC10138" s="7"/>
      <c r="AD10138" s="7"/>
      <c r="AE10138" s="7"/>
      <c r="AF10138" s="8"/>
      <c r="AG10138" s="7"/>
    </row>
    <row r="10139" spans="11:33" ht="14.5" x14ac:dyDescent="0.35">
      <c r="K10139" s="4"/>
      <c r="AC10139" s="7"/>
      <c r="AD10139" s="7"/>
      <c r="AE10139" s="7"/>
      <c r="AF10139" s="8"/>
      <c r="AG10139" s="7"/>
    </row>
    <row r="10140" spans="11:33" ht="14.5" x14ac:dyDescent="0.35">
      <c r="K10140" s="4"/>
      <c r="AC10140" s="7"/>
      <c r="AD10140" s="7"/>
      <c r="AE10140" s="7"/>
      <c r="AF10140" s="8"/>
      <c r="AG10140" s="7"/>
    </row>
    <row r="10141" spans="11:33" ht="14.5" x14ac:dyDescent="0.35">
      <c r="K10141" s="4"/>
      <c r="AC10141" s="7"/>
      <c r="AD10141" s="7"/>
      <c r="AE10141" s="7"/>
      <c r="AF10141" s="8"/>
      <c r="AG10141" s="7"/>
    </row>
    <row r="10142" spans="11:33" ht="14.5" x14ac:dyDescent="0.35">
      <c r="K10142" s="4"/>
      <c r="AC10142" s="7"/>
      <c r="AD10142" s="7"/>
      <c r="AE10142" s="7"/>
      <c r="AF10142" s="8"/>
      <c r="AG10142" s="7"/>
    </row>
    <row r="10143" spans="11:33" ht="14.5" x14ac:dyDescent="0.35">
      <c r="K10143" s="4"/>
      <c r="AC10143" s="7"/>
      <c r="AD10143" s="7"/>
      <c r="AE10143" s="7"/>
      <c r="AF10143" s="8"/>
      <c r="AG10143" s="7"/>
    </row>
    <row r="10144" spans="11:33" ht="14.5" x14ac:dyDescent="0.35">
      <c r="K10144" s="4"/>
      <c r="AC10144" s="7"/>
      <c r="AD10144" s="7"/>
      <c r="AE10144" s="7"/>
      <c r="AF10144" s="8"/>
      <c r="AG10144" s="7"/>
    </row>
    <row r="10145" spans="11:33" ht="14.5" x14ac:dyDescent="0.35">
      <c r="K10145" s="4"/>
      <c r="AC10145" s="7"/>
      <c r="AD10145" s="7"/>
      <c r="AE10145" s="7"/>
      <c r="AF10145" s="8"/>
      <c r="AG10145" s="7"/>
    </row>
    <row r="10146" spans="11:33" ht="14.5" x14ac:dyDescent="0.35">
      <c r="K10146" s="4"/>
      <c r="AC10146" s="7"/>
      <c r="AD10146" s="7"/>
      <c r="AE10146" s="7"/>
      <c r="AF10146" s="8"/>
      <c r="AG10146" s="7"/>
    </row>
    <row r="10147" spans="11:33" ht="14.5" x14ac:dyDescent="0.35">
      <c r="K10147" s="4"/>
      <c r="AC10147" s="7"/>
      <c r="AD10147" s="7"/>
      <c r="AE10147" s="7"/>
      <c r="AF10147" s="8"/>
      <c r="AG10147" s="7"/>
    </row>
    <row r="10148" spans="11:33" ht="14.5" x14ac:dyDescent="0.35">
      <c r="K10148" s="4"/>
      <c r="AC10148" s="7"/>
      <c r="AD10148" s="7"/>
      <c r="AE10148" s="7"/>
      <c r="AF10148" s="8"/>
      <c r="AG10148" s="7"/>
    </row>
    <row r="10149" spans="11:33" ht="14.5" x14ac:dyDescent="0.35">
      <c r="K10149" s="4"/>
      <c r="AC10149" s="7"/>
      <c r="AD10149" s="7"/>
      <c r="AE10149" s="7"/>
      <c r="AF10149" s="8"/>
      <c r="AG10149" s="7"/>
    </row>
    <row r="10150" spans="11:33" ht="14.5" x14ac:dyDescent="0.35">
      <c r="K10150" s="4"/>
      <c r="AC10150" s="7"/>
      <c r="AD10150" s="7"/>
      <c r="AE10150" s="7"/>
      <c r="AF10150" s="8"/>
      <c r="AG10150" s="7"/>
    </row>
    <row r="10151" spans="11:33" ht="14.5" x14ac:dyDescent="0.35">
      <c r="K10151" s="4"/>
      <c r="AC10151" s="7"/>
      <c r="AD10151" s="7"/>
      <c r="AE10151" s="7"/>
      <c r="AF10151" s="8"/>
      <c r="AG10151" s="7"/>
    </row>
    <row r="10152" spans="11:33" ht="14.5" x14ac:dyDescent="0.35">
      <c r="K10152" s="4"/>
      <c r="AC10152" s="7"/>
      <c r="AD10152" s="7"/>
      <c r="AE10152" s="7"/>
      <c r="AF10152" s="8"/>
      <c r="AG10152" s="7"/>
    </row>
    <row r="10153" spans="11:33" ht="14.5" x14ac:dyDescent="0.35">
      <c r="K10153" s="4"/>
      <c r="AC10153" s="7"/>
      <c r="AD10153" s="7"/>
      <c r="AE10153" s="7"/>
      <c r="AF10153" s="8"/>
      <c r="AG10153" s="7"/>
    </row>
    <row r="10154" spans="11:33" ht="14.5" x14ac:dyDescent="0.35">
      <c r="K10154" s="4"/>
      <c r="AC10154" s="7"/>
      <c r="AD10154" s="7"/>
      <c r="AE10154" s="7"/>
      <c r="AF10154" s="8"/>
      <c r="AG10154" s="7"/>
    </row>
    <row r="10155" spans="11:33" ht="14.5" x14ac:dyDescent="0.35">
      <c r="K10155" s="4"/>
      <c r="AC10155" s="7"/>
      <c r="AD10155" s="7"/>
      <c r="AE10155" s="7"/>
      <c r="AF10155" s="8"/>
      <c r="AG10155" s="7"/>
    </row>
    <row r="10156" spans="11:33" ht="14.5" x14ac:dyDescent="0.35">
      <c r="K10156" s="4"/>
      <c r="AC10156" s="7"/>
      <c r="AD10156" s="7"/>
      <c r="AE10156" s="7"/>
      <c r="AF10156" s="8"/>
      <c r="AG10156" s="7"/>
    </row>
    <row r="10157" spans="11:33" ht="14.5" x14ac:dyDescent="0.35">
      <c r="K10157" s="4"/>
      <c r="AC10157" s="7"/>
      <c r="AD10157" s="7"/>
      <c r="AE10157" s="7"/>
      <c r="AF10157" s="8"/>
      <c r="AG10157" s="7"/>
    </row>
    <row r="10158" spans="11:33" ht="14.5" x14ac:dyDescent="0.35">
      <c r="K10158" s="4"/>
      <c r="AC10158" s="7"/>
      <c r="AD10158" s="7"/>
      <c r="AE10158" s="7"/>
      <c r="AF10158" s="8"/>
      <c r="AG10158" s="7"/>
    </row>
    <row r="10159" spans="11:33" ht="14.5" x14ac:dyDescent="0.35">
      <c r="K10159" s="4"/>
      <c r="AC10159" s="7"/>
      <c r="AD10159" s="7"/>
      <c r="AE10159" s="7"/>
      <c r="AF10159" s="8"/>
      <c r="AG10159" s="7"/>
    </row>
    <row r="10160" spans="11:33" ht="14.5" x14ac:dyDescent="0.35">
      <c r="K10160" s="4"/>
      <c r="AC10160" s="7"/>
      <c r="AD10160" s="7"/>
      <c r="AE10160" s="7"/>
      <c r="AF10160" s="8"/>
      <c r="AG10160" s="7"/>
    </row>
    <row r="10161" spans="11:33" ht="14.5" x14ac:dyDescent="0.35">
      <c r="K10161" s="4"/>
      <c r="AC10161" s="7"/>
      <c r="AD10161" s="7"/>
      <c r="AE10161" s="7"/>
      <c r="AF10161" s="8"/>
      <c r="AG10161" s="7"/>
    </row>
    <row r="10162" spans="11:33" ht="14.5" x14ac:dyDescent="0.35">
      <c r="K10162" s="4"/>
      <c r="AC10162" s="7"/>
      <c r="AD10162" s="7"/>
      <c r="AE10162" s="7"/>
      <c r="AF10162" s="8"/>
      <c r="AG10162" s="7"/>
    </row>
    <row r="10163" spans="11:33" ht="14.5" x14ac:dyDescent="0.35">
      <c r="K10163" s="4"/>
      <c r="AC10163" s="7"/>
      <c r="AD10163" s="7"/>
      <c r="AE10163" s="7"/>
      <c r="AF10163" s="8"/>
      <c r="AG10163" s="7"/>
    </row>
    <row r="10164" spans="11:33" ht="14.5" x14ac:dyDescent="0.35">
      <c r="K10164" s="4"/>
      <c r="AC10164" s="7"/>
      <c r="AD10164" s="7"/>
      <c r="AE10164" s="7"/>
      <c r="AF10164" s="8"/>
      <c r="AG10164" s="7"/>
    </row>
    <row r="10165" spans="11:33" ht="14.5" x14ac:dyDescent="0.35">
      <c r="K10165" s="4"/>
      <c r="AC10165" s="7"/>
      <c r="AD10165" s="7"/>
      <c r="AE10165" s="7"/>
      <c r="AF10165" s="8"/>
      <c r="AG10165" s="7"/>
    </row>
    <row r="10166" spans="11:33" ht="14.5" x14ac:dyDescent="0.35">
      <c r="K10166" s="4"/>
      <c r="AC10166" s="7"/>
      <c r="AD10166" s="7"/>
      <c r="AE10166" s="7"/>
      <c r="AF10166" s="8"/>
      <c r="AG10166" s="7"/>
    </row>
    <row r="10167" spans="11:33" ht="14.5" x14ac:dyDescent="0.35">
      <c r="K10167" s="4"/>
      <c r="AC10167" s="7"/>
      <c r="AD10167" s="7"/>
      <c r="AE10167" s="7"/>
      <c r="AF10167" s="8"/>
      <c r="AG10167" s="7"/>
    </row>
    <row r="10168" spans="11:33" ht="14.5" x14ac:dyDescent="0.35">
      <c r="K10168" s="4"/>
      <c r="AC10168" s="7"/>
      <c r="AD10168" s="7"/>
      <c r="AE10168" s="7"/>
      <c r="AF10168" s="8"/>
      <c r="AG10168" s="7"/>
    </row>
    <row r="10169" spans="11:33" ht="14.5" x14ac:dyDescent="0.35">
      <c r="K10169" s="4"/>
      <c r="AC10169" s="7"/>
      <c r="AD10169" s="7"/>
      <c r="AE10169" s="7"/>
      <c r="AF10169" s="8"/>
      <c r="AG10169" s="7"/>
    </row>
    <row r="10170" spans="11:33" ht="14.5" x14ac:dyDescent="0.35">
      <c r="K10170" s="4"/>
      <c r="AC10170" s="7"/>
      <c r="AD10170" s="7"/>
      <c r="AE10170" s="7"/>
      <c r="AF10170" s="8"/>
      <c r="AG10170" s="7"/>
    </row>
    <row r="10171" spans="11:33" ht="14.5" x14ac:dyDescent="0.35">
      <c r="K10171" s="4"/>
      <c r="AC10171" s="7"/>
      <c r="AD10171" s="7"/>
      <c r="AE10171" s="7"/>
      <c r="AF10171" s="8"/>
      <c r="AG10171" s="7"/>
    </row>
    <row r="10172" spans="11:33" ht="14.5" x14ac:dyDescent="0.35">
      <c r="K10172" s="4"/>
      <c r="AC10172" s="7"/>
      <c r="AD10172" s="7"/>
      <c r="AE10172" s="7"/>
      <c r="AF10172" s="8"/>
      <c r="AG10172" s="7"/>
    </row>
    <row r="10173" spans="11:33" ht="14.5" x14ac:dyDescent="0.35">
      <c r="K10173" s="4"/>
      <c r="AC10173" s="7"/>
      <c r="AD10173" s="7"/>
      <c r="AE10173" s="7"/>
      <c r="AF10173" s="8"/>
      <c r="AG10173" s="7"/>
    </row>
    <row r="10174" spans="11:33" ht="14.5" x14ac:dyDescent="0.35">
      <c r="K10174" s="4"/>
      <c r="AC10174" s="7"/>
      <c r="AD10174" s="7"/>
      <c r="AE10174" s="7"/>
      <c r="AF10174" s="8"/>
      <c r="AG10174" s="7"/>
    </row>
    <row r="10175" spans="11:33" ht="14.5" x14ac:dyDescent="0.35">
      <c r="K10175" s="4"/>
      <c r="AC10175" s="7"/>
      <c r="AD10175" s="7"/>
      <c r="AE10175" s="7"/>
      <c r="AF10175" s="8"/>
      <c r="AG10175" s="7"/>
    </row>
    <row r="10176" spans="11:33" ht="14.5" x14ac:dyDescent="0.35">
      <c r="K10176" s="4"/>
      <c r="AC10176" s="7"/>
      <c r="AD10176" s="7"/>
      <c r="AE10176" s="7"/>
      <c r="AF10176" s="8"/>
      <c r="AG10176" s="7"/>
    </row>
    <row r="10177" spans="11:33" ht="14.5" x14ac:dyDescent="0.35">
      <c r="K10177" s="4"/>
      <c r="AC10177" s="7"/>
      <c r="AD10177" s="7"/>
      <c r="AE10177" s="7"/>
      <c r="AF10177" s="8"/>
      <c r="AG10177" s="7"/>
    </row>
    <row r="10178" spans="11:33" ht="14.5" x14ac:dyDescent="0.35">
      <c r="K10178" s="4"/>
      <c r="AC10178" s="7"/>
      <c r="AD10178" s="7"/>
      <c r="AE10178" s="7"/>
      <c r="AF10178" s="8"/>
      <c r="AG10178" s="7"/>
    </row>
    <row r="10179" spans="11:33" ht="14.5" x14ac:dyDescent="0.35">
      <c r="K10179" s="4"/>
      <c r="AC10179" s="7"/>
      <c r="AD10179" s="7"/>
      <c r="AE10179" s="7"/>
      <c r="AF10179" s="8"/>
      <c r="AG10179" s="7"/>
    </row>
    <row r="10180" spans="11:33" ht="14.5" x14ac:dyDescent="0.35">
      <c r="K10180" s="4"/>
      <c r="AC10180" s="7"/>
      <c r="AD10180" s="7"/>
      <c r="AE10180" s="7"/>
      <c r="AF10180" s="8"/>
      <c r="AG10180" s="7"/>
    </row>
    <row r="10181" spans="11:33" ht="14.5" x14ac:dyDescent="0.35">
      <c r="K10181" s="4"/>
      <c r="AC10181" s="7"/>
      <c r="AD10181" s="7"/>
      <c r="AE10181" s="7"/>
      <c r="AF10181" s="8"/>
      <c r="AG10181" s="7"/>
    </row>
    <row r="10182" spans="11:33" ht="14.5" x14ac:dyDescent="0.35">
      <c r="K10182" s="4"/>
      <c r="AC10182" s="7"/>
      <c r="AD10182" s="7"/>
      <c r="AE10182" s="7"/>
      <c r="AF10182" s="8"/>
      <c r="AG10182" s="7"/>
    </row>
    <row r="10183" spans="11:33" ht="14.5" x14ac:dyDescent="0.35">
      <c r="K10183" s="4"/>
      <c r="AC10183" s="7"/>
      <c r="AD10183" s="7"/>
      <c r="AE10183" s="7"/>
      <c r="AF10183" s="8"/>
      <c r="AG10183" s="7"/>
    </row>
    <row r="10184" spans="11:33" ht="14.5" x14ac:dyDescent="0.35">
      <c r="K10184" s="4"/>
      <c r="AC10184" s="7"/>
      <c r="AD10184" s="7"/>
      <c r="AE10184" s="7"/>
      <c r="AF10184" s="8"/>
      <c r="AG10184" s="7"/>
    </row>
    <row r="10185" spans="11:33" ht="14.5" x14ac:dyDescent="0.35">
      <c r="K10185" s="4"/>
      <c r="AC10185" s="7"/>
      <c r="AD10185" s="7"/>
      <c r="AE10185" s="7"/>
      <c r="AF10185" s="8"/>
      <c r="AG10185" s="7"/>
    </row>
    <row r="10186" spans="11:33" ht="14.5" x14ac:dyDescent="0.35">
      <c r="K10186" s="4"/>
      <c r="AC10186" s="7"/>
      <c r="AD10186" s="7"/>
      <c r="AE10186" s="7"/>
      <c r="AF10186" s="8"/>
      <c r="AG10186" s="7"/>
    </row>
    <row r="10187" spans="11:33" ht="14.5" x14ac:dyDescent="0.35">
      <c r="K10187" s="4"/>
      <c r="AC10187" s="7"/>
      <c r="AD10187" s="7"/>
      <c r="AE10187" s="7"/>
      <c r="AF10187" s="8"/>
      <c r="AG10187" s="7"/>
    </row>
    <row r="10188" spans="11:33" ht="14.5" x14ac:dyDescent="0.35">
      <c r="K10188" s="4"/>
      <c r="AC10188" s="7"/>
      <c r="AD10188" s="7"/>
      <c r="AE10188" s="7"/>
      <c r="AF10188" s="8"/>
      <c r="AG10188" s="7"/>
    </row>
    <row r="10189" spans="11:33" ht="14.5" x14ac:dyDescent="0.35">
      <c r="K10189" s="4"/>
      <c r="AC10189" s="7"/>
      <c r="AD10189" s="7"/>
      <c r="AE10189" s="7"/>
      <c r="AF10189" s="8"/>
      <c r="AG10189" s="7"/>
    </row>
    <row r="10190" spans="11:33" ht="14.5" x14ac:dyDescent="0.35">
      <c r="K10190" s="4"/>
      <c r="AC10190" s="7"/>
      <c r="AD10190" s="7"/>
      <c r="AE10190" s="7"/>
      <c r="AF10190" s="8"/>
      <c r="AG10190" s="7"/>
    </row>
    <row r="10191" spans="11:33" ht="14.5" x14ac:dyDescent="0.35">
      <c r="K10191" s="4"/>
      <c r="AC10191" s="7"/>
      <c r="AD10191" s="7"/>
      <c r="AE10191" s="7"/>
      <c r="AF10191" s="8"/>
      <c r="AG10191" s="7"/>
    </row>
    <row r="10192" spans="11:33" ht="14.5" x14ac:dyDescent="0.35">
      <c r="K10192" s="4"/>
      <c r="AC10192" s="7"/>
      <c r="AD10192" s="7"/>
      <c r="AE10192" s="7"/>
      <c r="AF10192" s="8"/>
      <c r="AG10192" s="7"/>
    </row>
    <row r="10193" spans="11:33" ht="14.5" x14ac:dyDescent="0.35">
      <c r="K10193" s="4"/>
      <c r="AC10193" s="7"/>
      <c r="AD10193" s="7"/>
      <c r="AE10193" s="7"/>
      <c r="AF10193" s="8"/>
      <c r="AG10193" s="7"/>
    </row>
    <row r="10194" spans="11:33" ht="14.5" x14ac:dyDescent="0.35">
      <c r="K10194" s="4"/>
      <c r="AC10194" s="7"/>
      <c r="AD10194" s="7"/>
      <c r="AE10194" s="7"/>
      <c r="AF10194" s="8"/>
      <c r="AG10194" s="7"/>
    </row>
    <row r="10195" spans="11:33" ht="14.5" x14ac:dyDescent="0.35">
      <c r="K10195" s="4"/>
      <c r="AC10195" s="7"/>
      <c r="AD10195" s="7"/>
      <c r="AE10195" s="7"/>
      <c r="AF10195" s="8"/>
      <c r="AG10195" s="7"/>
    </row>
    <row r="10196" spans="11:33" ht="14.5" x14ac:dyDescent="0.35">
      <c r="K10196" s="4"/>
      <c r="AC10196" s="7"/>
      <c r="AD10196" s="7"/>
      <c r="AE10196" s="7"/>
      <c r="AF10196" s="8"/>
      <c r="AG10196" s="7"/>
    </row>
    <row r="10197" spans="11:33" ht="14.5" x14ac:dyDescent="0.35">
      <c r="K10197" s="4"/>
      <c r="AC10197" s="7"/>
      <c r="AD10197" s="7"/>
      <c r="AE10197" s="7"/>
      <c r="AF10197" s="8"/>
      <c r="AG10197" s="7"/>
    </row>
    <row r="10198" spans="11:33" ht="14.5" x14ac:dyDescent="0.35">
      <c r="K10198" s="4"/>
      <c r="AC10198" s="7"/>
      <c r="AD10198" s="7"/>
      <c r="AE10198" s="7"/>
      <c r="AF10198" s="8"/>
      <c r="AG10198" s="7"/>
    </row>
    <row r="10199" spans="11:33" ht="14.5" x14ac:dyDescent="0.35">
      <c r="K10199" s="4"/>
      <c r="AC10199" s="7"/>
      <c r="AD10199" s="7"/>
      <c r="AE10199" s="7"/>
      <c r="AF10199" s="8"/>
      <c r="AG10199" s="7"/>
    </row>
    <row r="10200" spans="11:33" ht="14.5" x14ac:dyDescent="0.35">
      <c r="K10200" s="4"/>
      <c r="AC10200" s="7"/>
      <c r="AD10200" s="7"/>
      <c r="AE10200" s="7"/>
      <c r="AF10200" s="8"/>
      <c r="AG10200" s="7"/>
    </row>
    <row r="10201" spans="11:33" ht="14.5" x14ac:dyDescent="0.35">
      <c r="K10201" s="4"/>
      <c r="AC10201" s="7"/>
      <c r="AD10201" s="7"/>
      <c r="AE10201" s="7"/>
      <c r="AF10201" s="8"/>
      <c r="AG10201" s="7"/>
    </row>
    <row r="10202" spans="11:33" ht="14.5" x14ac:dyDescent="0.35">
      <c r="K10202" s="4"/>
      <c r="AC10202" s="7"/>
      <c r="AD10202" s="7"/>
      <c r="AE10202" s="7"/>
      <c r="AF10202" s="8"/>
      <c r="AG10202" s="7"/>
    </row>
    <row r="10203" spans="11:33" ht="14.5" x14ac:dyDescent="0.35">
      <c r="K10203" s="4"/>
      <c r="AC10203" s="7"/>
      <c r="AD10203" s="7"/>
      <c r="AE10203" s="7"/>
      <c r="AF10203" s="8"/>
      <c r="AG10203" s="7"/>
    </row>
    <row r="10204" spans="11:33" ht="14.5" x14ac:dyDescent="0.35">
      <c r="K10204" s="4"/>
      <c r="AC10204" s="7"/>
      <c r="AD10204" s="7"/>
      <c r="AE10204" s="7"/>
      <c r="AF10204" s="8"/>
      <c r="AG10204" s="7"/>
    </row>
    <row r="10205" spans="11:33" ht="14.5" x14ac:dyDescent="0.35">
      <c r="K10205" s="4"/>
      <c r="AC10205" s="7"/>
      <c r="AD10205" s="7"/>
      <c r="AE10205" s="7"/>
      <c r="AF10205" s="8"/>
      <c r="AG10205" s="7"/>
    </row>
    <row r="10206" spans="11:33" ht="14.5" x14ac:dyDescent="0.35">
      <c r="K10206" s="4"/>
      <c r="AC10206" s="7"/>
      <c r="AD10206" s="7"/>
      <c r="AE10206" s="7"/>
      <c r="AF10206" s="8"/>
      <c r="AG10206" s="7"/>
    </row>
    <row r="10207" spans="11:33" ht="14.5" x14ac:dyDescent="0.35">
      <c r="K10207" s="4"/>
      <c r="AC10207" s="7"/>
      <c r="AD10207" s="7"/>
      <c r="AE10207" s="7"/>
      <c r="AF10207" s="8"/>
      <c r="AG10207" s="7"/>
    </row>
    <row r="10208" spans="11:33" ht="14.5" x14ac:dyDescent="0.35">
      <c r="K10208" s="4"/>
      <c r="AC10208" s="7"/>
      <c r="AD10208" s="7"/>
      <c r="AE10208" s="7"/>
      <c r="AF10208" s="8"/>
      <c r="AG10208" s="7"/>
    </row>
    <row r="10209" spans="11:33" ht="14.5" x14ac:dyDescent="0.35">
      <c r="K10209" s="4"/>
      <c r="AC10209" s="7"/>
      <c r="AD10209" s="7"/>
      <c r="AE10209" s="7"/>
      <c r="AF10209" s="8"/>
      <c r="AG10209" s="7"/>
    </row>
    <row r="10210" spans="11:33" ht="14.5" x14ac:dyDescent="0.35">
      <c r="K10210" s="4"/>
      <c r="AC10210" s="7"/>
      <c r="AD10210" s="7"/>
      <c r="AE10210" s="7"/>
      <c r="AF10210" s="8"/>
      <c r="AG10210" s="7"/>
    </row>
    <row r="10211" spans="11:33" ht="14.5" x14ac:dyDescent="0.35">
      <c r="K10211" s="4"/>
      <c r="AC10211" s="7"/>
      <c r="AD10211" s="7"/>
      <c r="AE10211" s="7"/>
      <c r="AF10211" s="8"/>
      <c r="AG10211" s="7"/>
    </row>
    <row r="10212" spans="11:33" ht="14.5" x14ac:dyDescent="0.35">
      <c r="K10212" s="4"/>
      <c r="AC10212" s="7"/>
      <c r="AD10212" s="7"/>
      <c r="AE10212" s="7"/>
      <c r="AF10212" s="8"/>
      <c r="AG10212" s="7"/>
    </row>
    <row r="10213" spans="11:33" ht="14.5" x14ac:dyDescent="0.35">
      <c r="K10213" s="4"/>
      <c r="AC10213" s="7"/>
      <c r="AD10213" s="7"/>
      <c r="AE10213" s="7"/>
      <c r="AF10213" s="8"/>
      <c r="AG10213" s="7"/>
    </row>
    <row r="10214" spans="11:33" ht="14.5" x14ac:dyDescent="0.35">
      <c r="K10214" s="4"/>
      <c r="AC10214" s="7"/>
      <c r="AD10214" s="7"/>
      <c r="AE10214" s="7"/>
      <c r="AF10214" s="8"/>
      <c r="AG10214" s="7"/>
    </row>
    <row r="10215" spans="11:33" ht="14.5" x14ac:dyDescent="0.35">
      <c r="K10215" s="4"/>
      <c r="AC10215" s="7"/>
      <c r="AD10215" s="7"/>
      <c r="AE10215" s="7"/>
      <c r="AF10215" s="8"/>
      <c r="AG10215" s="7"/>
    </row>
    <row r="10216" spans="11:33" ht="14.5" x14ac:dyDescent="0.35">
      <c r="K10216" s="4"/>
      <c r="AC10216" s="7"/>
      <c r="AD10216" s="7"/>
      <c r="AE10216" s="7"/>
      <c r="AF10216" s="8"/>
      <c r="AG10216" s="7"/>
    </row>
    <row r="10217" spans="11:33" ht="14.5" x14ac:dyDescent="0.35">
      <c r="K10217" s="4"/>
      <c r="AC10217" s="7"/>
      <c r="AD10217" s="7"/>
      <c r="AE10217" s="7"/>
      <c r="AF10217" s="8"/>
      <c r="AG10217" s="7"/>
    </row>
    <row r="10218" spans="11:33" ht="14.5" x14ac:dyDescent="0.35">
      <c r="K10218" s="4"/>
      <c r="AC10218" s="7"/>
      <c r="AD10218" s="7"/>
      <c r="AE10218" s="7"/>
      <c r="AF10218" s="8"/>
      <c r="AG10218" s="7"/>
    </row>
    <row r="10219" spans="11:33" ht="14.5" x14ac:dyDescent="0.35">
      <c r="K10219" s="4"/>
      <c r="AC10219" s="7"/>
      <c r="AD10219" s="7"/>
      <c r="AE10219" s="7"/>
      <c r="AF10219" s="8"/>
      <c r="AG10219" s="7"/>
    </row>
    <row r="10220" spans="11:33" ht="14.5" x14ac:dyDescent="0.35">
      <c r="K10220" s="4"/>
      <c r="AC10220" s="7"/>
      <c r="AD10220" s="7"/>
      <c r="AE10220" s="7"/>
      <c r="AF10220" s="8"/>
      <c r="AG10220" s="7"/>
    </row>
    <row r="10221" spans="11:33" ht="14.5" x14ac:dyDescent="0.35">
      <c r="K10221" s="4"/>
      <c r="AC10221" s="7"/>
      <c r="AD10221" s="7"/>
      <c r="AE10221" s="7"/>
      <c r="AF10221" s="8"/>
      <c r="AG10221" s="7"/>
    </row>
    <row r="10222" spans="11:33" ht="14.5" x14ac:dyDescent="0.35">
      <c r="K10222" s="4"/>
      <c r="AC10222" s="7"/>
      <c r="AD10222" s="7"/>
      <c r="AE10222" s="7"/>
      <c r="AF10222" s="8"/>
      <c r="AG10222" s="7"/>
    </row>
    <row r="10223" spans="11:33" ht="14.5" x14ac:dyDescent="0.35">
      <c r="K10223" s="4"/>
      <c r="AC10223" s="7"/>
      <c r="AD10223" s="7"/>
      <c r="AE10223" s="7"/>
      <c r="AF10223" s="8"/>
      <c r="AG10223" s="7"/>
    </row>
    <row r="10224" spans="11:33" ht="14.5" x14ac:dyDescent="0.35">
      <c r="K10224" s="4"/>
      <c r="AC10224" s="7"/>
      <c r="AD10224" s="7"/>
      <c r="AE10224" s="7"/>
      <c r="AF10224" s="8"/>
      <c r="AG10224" s="7"/>
    </row>
    <row r="10225" spans="11:33" ht="14.5" x14ac:dyDescent="0.35">
      <c r="K10225" s="4"/>
      <c r="AC10225" s="7"/>
      <c r="AD10225" s="7"/>
      <c r="AE10225" s="7"/>
      <c r="AF10225" s="8"/>
      <c r="AG10225" s="7"/>
    </row>
    <row r="10226" spans="11:33" ht="14.5" x14ac:dyDescent="0.35">
      <c r="K10226" s="4"/>
      <c r="AC10226" s="7"/>
      <c r="AD10226" s="7"/>
      <c r="AE10226" s="7"/>
      <c r="AF10226" s="8"/>
      <c r="AG10226" s="7"/>
    </row>
    <row r="10227" spans="11:33" ht="14.5" x14ac:dyDescent="0.35">
      <c r="K10227" s="4"/>
      <c r="AC10227" s="7"/>
      <c r="AD10227" s="7"/>
      <c r="AE10227" s="7"/>
      <c r="AF10227" s="8"/>
      <c r="AG10227" s="7"/>
    </row>
    <row r="10228" spans="11:33" ht="14.5" x14ac:dyDescent="0.35">
      <c r="K10228" s="4"/>
      <c r="AC10228" s="7"/>
      <c r="AD10228" s="7"/>
      <c r="AE10228" s="7"/>
      <c r="AF10228" s="8"/>
      <c r="AG10228" s="7"/>
    </row>
    <row r="10229" spans="11:33" ht="14.5" x14ac:dyDescent="0.35">
      <c r="K10229" s="4"/>
      <c r="AC10229" s="7"/>
      <c r="AD10229" s="7"/>
      <c r="AE10229" s="7"/>
      <c r="AF10229" s="8"/>
      <c r="AG10229" s="7"/>
    </row>
    <row r="10230" spans="11:33" ht="14.5" x14ac:dyDescent="0.35">
      <c r="K10230" s="4"/>
      <c r="AC10230" s="7"/>
      <c r="AD10230" s="7"/>
      <c r="AE10230" s="7"/>
      <c r="AF10230" s="8"/>
      <c r="AG10230" s="7"/>
    </row>
    <row r="10231" spans="11:33" ht="14.5" x14ac:dyDescent="0.35">
      <c r="K10231" s="4"/>
      <c r="AC10231" s="7"/>
      <c r="AD10231" s="7"/>
      <c r="AE10231" s="7"/>
      <c r="AF10231" s="8"/>
      <c r="AG10231" s="7"/>
    </row>
    <row r="10232" spans="11:33" ht="14.5" x14ac:dyDescent="0.35">
      <c r="K10232" s="4"/>
      <c r="AC10232" s="7"/>
      <c r="AD10232" s="7"/>
      <c r="AE10232" s="7"/>
      <c r="AF10232" s="8"/>
      <c r="AG10232" s="7"/>
    </row>
    <row r="10233" spans="11:33" ht="14.5" x14ac:dyDescent="0.35">
      <c r="K10233" s="4"/>
      <c r="AC10233" s="7"/>
      <c r="AD10233" s="7"/>
      <c r="AE10233" s="7"/>
      <c r="AF10233" s="8"/>
      <c r="AG10233" s="7"/>
    </row>
    <row r="10234" spans="11:33" ht="14.5" x14ac:dyDescent="0.35">
      <c r="K10234" s="4"/>
      <c r="AC10234" s="7"/>
      <c r="AD10234" s="7"/>
      <c r="AE10234" s="7"/>
      <c r="AF10234" s="8"/>
      <c r="AG10234" s="7"/>
    </row>
    <row r="10235" spans="11:33" ht="14.5" x14ac:dyDescent="0.35">
      <c r="K10235" s="4"/>
      <c r="AC10235" s="7"/>
      <c r="AD10235" s="7"/>
      <c r="AE10235" s="7"/>
      <c r="AF10235" s="8"/>
      <c r="AG10235" s="7"/>
    </row>
    <row r="10236" spans="11:33" ht="14.5" x14ac:dyDescent="0.35">
      <c r="K10236" s="4"/>
      <c r="AC10236" s="7"/>
      <c r="AD10236" s="7"/>
      <c r="AE10236" s="7"/>
      <c r="AF10236" s="8"/>
      <c r="AG10236" s="7"/>
    </row>
    <row r="10237" spans="11:33" ht="14.5" x14ac:dyDescent="0.35">
      <c r="K10237" s="4"/>
      <c r="AC10237" s="7"/>
      <c r="AD10237" s="7"/>
      <c r="AE10237" s="7"/>
      <c r="AF10237" s="8"/>
      <c r="AG10237" s="7"/>
    </row>
    <row r="10238" spans="11:33" ht="14.5" x14ac:dyDescent="0.35">
      <c r="K10238" s="4"/>
      <c r="AC10238" s="7"/>
      <c r="AD10238" s="7"/>
      <c r="AE10238" s="7"/>
      <c r="AF10238" s="8"/>
      <c r="AG10238" s="7"/>
    </row>
    <row r="10239" spans="11:33" ht="14.5" x14ac:dyDescent="0.35">
      <c r="K10239" s="4"/>
      <c r="AC10239" s="7"/>
      <c r="AD10239" s="7"/>
      <c r="AE10239" s="7"/>
      <c r="AF10239" s="8"/>
      <c r="AG10239" s="7"/>
    </row>
    <row r="10240" spans="11:33" ht="14.5" x14ac:dyDescent="0.35">
      <c r="K10240" s="4"/>
      <c r="AC10240" s="7"/>
      <c r="AD10240" s="7"/>
      <c r="AE10240" s="7"/>
      <c r="AF10240" s="8"/>
      <c r="AG10240" s="7"/>
    </row>
    <row r="10241" spans="11:33" ht="14.5" x14ac:dyDescent="0.35">
      <c r="K10241" s="4"/>
      <c r="AC10241" s="7"/>
      <c r="AD10241" s="7"/>
      <c r="AE10241" s="7"/>
      <c r="AF10241" s="8"/>
      <c r="AG10241" s="7"/>
    </row>
    <row r="10242" spans="11:33" ht="14.5" x14ac:dyDescent="0.35">
      <c r="K10242" s="4"/>
      <c r="AC10242" s="7"/>
      <c r="AD10242" s="7"/>
      <c r="AE10242" s="7"/>
      <c r="AF10242" s="8"/>
      <c r="AG10242" s="7"/>
    </row>
    <row r="10243" spans="11:33" ht="14.5" x14ac:dyDescent="0.35">
      <c r="K10243" s="4"/>
      <c r="AC10243" s="7"/>
      <c r="AD10243" s="7"/>
      <c r="AE10243" s="7"/>
      <c r="AF10243" s="8"/>
      <c r="AG10243" s="7"/>
    </row>
    <row r="10244" spans="11:33" ht="14.5" x14ac:dyDescent="0.35">
      <c r="K10244" s="4"/>
      <c r="AC10244" s="7"/>
      <c r="AD10244" s="7"/>
      <c r="AE10244" s="7"/>
      <c r="AF10244" s="8"/>
      <c r="AG10244" s="7"/>
    </row>
    <row r="10245" spans="11:33" ht="14.5" x14ac:dyDescent="0.35">
      <c r="K10245" s="4"/>
      <c r="AC10245" s="7"/>
      <c r="AD10245" s="7"/>
      <c r="AE10245" s="7"/>
      <c r="AF10245" s="8"/>
      <c r="AG10245" s="7"/>
    </row>
    <row r="10246" spans="11:33" ht="14.5" x14ac:dyDescent="0.35">
      <c r="K10246" s="4"/>
      <c r="AC10246" s="7"/>
      <c r="AD10246" s="7"/>
      <c r="AE10246" s="7"/>
      <c r="AF10246" s="8"/>
      <c r="AG10246" s="7"/>
    </row>
    <row r="10247" spans="11:33" ht="14.5" x14ac:dyDescent="0.35">
      <c r="K10247" s="4"/>
      <c r="AC10247" s="7"/>
      <c r="AD10247" s="7"/>
      <c r="AE10247" s="7"/>
      <c r="AF10247" s="8"/>
      <c r="AG10247" s="7"/>
    </row>
    <row r="10248" spans="11:33" ht="14.5" x14ac:dyDescent="0.35">
      <c r="K10248" s="4"/>
      <c r="AC10248" s="7"/>
      <c r="AD10248" s="7"/>
      <c r="AE10248" s="7"/>
      <c r="AF10248" s="8"/>
      <c r="AG10248" s="7"/>
    </row>
    <row r="10249" spans="11:33" ht="14.5" x14ac:dyDescent="0.35">
      <c r="K10249" s="4"/>
      <c r="AC10249" s="7"/>
      <c r="AD10249" s="7"/>
      <c r="AE10249" s="7"/>
      <c r="AF10249" s="8"/>
      <c r="AG10249" s="7"/>
    </row>
    <row r="10250" spans="11:33" ht="14.5" x14ac:dyDescent="0.35">
      <c r="K10250" s="4"/>
      <c r="AC10250" s="7"/>
      <c r="AD10250" s="7"/>
      <c r="AE10250" s="7"/>
      <c r="AF10250" s="8"/>
      <c r="AG10250" s="7"/>
    </row>
    <row r="10251" spans="11:33" ht="14.5" x14ac:dyDescent="0.35">
      <c r="K10251" s="4"/>
      <c r="AC10251" s="7"/>
      <c r="AD10251" s="7"/>
      <c r="AE10251" s="7"/>
      <c r="AF10251" s="8"/>
      <c r="AG10251" s="7"/>
    </row>
    <row r="10252" spans="11:33" ht="14.5" x14ac:dyDescent="0.35">
      <c r="K10252" s="4"/>
      <c r="AC10252" s="7"/>
      <c r="AD10252" s="7"/>
      <c r="AE10252" s="7"/>
      <c r="AF10252" s="8"/>
      <c r="AG10252" s="7"/>
    </row>
    <row r="10253" spans="11:33" ht="14.5" x14ac:dyDescent="0.35">
      <c r="K10253" s="4"/>
      <c r="AC10253" s="7"/>
      <c r="AD10253" s="7"/>
      <c r="AE10253" s="7"/>
      <c r="AF10253" s="8"/>
      <c r="AG10253" s="7"/>
    </row>
    <row r="10254" spans="11:33" ht="14.5" x14ac:dyDescent="0.35">
      <c r="K10254" s="4"/>
      <c r="AC10254" s="7"/>
      <c r="AD10254" s="7"/>
      <c r="AE10254" s="7"/>
      <c r="AF10254" s="8"/>
      <c r="AG10254" s="7"/>
    </row>
    <row r="10255" spans="11:33" ht="14.5" x14ac:dyDescent="0.35">
      <c r="K10255" s="4"/>
      <c r="AC10255" s="7"/>
      <c r="AD10255" s="7"/>
      <c r="AE10255" s="7"/>
      <c r="AF10255" s="8"/>
      <c r="AG10255" s="7"/>
    </row>
    <row r="10256" spans="11:33" ht="14.5" x14ac:dyDescent="0.35">
      <c r="K10256" s="4"/>
      <c r="AC10256" s="7"/>
      <c r="AD10256" s="7"/>
      <c r="AE10256" s="7"/>
      <c r="AF10256" s="8"/>
      <c r="AG10256" s="7"/>
    </row>
    <row r="10257" spans="11:33" ht="14.5" x14ac:dyDescent="0.35">
      <c r="K10257" s="4"/>
      <c r="AC10257" s="7"/>
      <c r="AD10257" s="7"/>
      <c r="AE10257" s="7"/>
      <c r="AF10257" s="8"/>
      <c r="AG10257" s="7"/>
    </row>
    <row r="10258" spans="11:33" ht="14.5" x14ac:dyDescent="0.35">
      <c r="K10258" s="4"/>
      <c r="AC10258" s="7"/>
      <c r="AD10258" s="7"/>
      <c r="AE10258" s="7"/>
      <c r="AF10258" s="8"/>
      <c r="AG10258" s="7"/>
    </row>
    <row r="10259" spans="11:33" ht="14.5" x14ac:dyDescent="0.35">
      <c r="K10259" s="4"/>
      <c r="AC10259" s="7"/>
      <c r="AD10259" s="7"/>
      <c r="AE10259" s="7"/>
      <c r="AF10259" s="8"/>
      <c r="AG10259" s="7"/>
    </row>
    <row r="10260" spans="11:33" ht="14.5" x14ac:dyDescent="0.35">
      <c r="K10260" s="4"/>
      <c r="AC10260" s="7"/>
      <c r="AD10260" s="7"/>
      <c r="AE10260" s="7"/>
      <c r="AF10260" s="8"/>
      <c r="AG10260" s="7"/>
    </row>
    <row r="10261" spans="11:33" ht="14.5" x14ac:dyDescent="0.35">
      <c r="K10261" s="4"/>
      <c r="AC10261" s="7"/>
      <c r="AD10261" s="7"/>
      <c r="AE10261" s="7"/>
      <c r="AF10261" s="8"/>
      <c r="AG10261" s="7"/>
    </row>
    <row r="10262" spans="11:33" ht="14.5" x14ac:dyDescent="0.35">
      <c r="K10262" s="4"/>
      <c r="AC10262" s="7"/>
      <c r="AD10262" s="7"/>
      <c r="AE10262" s="7"/>
      <c r="AF10262" s="8"/>
      <c r="AG10262" s="7"/>
    </row>
    <row r="10263" spans="11:33" ht="14.5" x14ac:dyDescent="0.35">
      <c r="K10263" s="4"/>
      <c r="AC10263" s="7"/>
      <c r="AD10263" s="7"/>
      <c r="AE10263" s="7"/>
      <c r="AF10263" s="8"/>
      <c r="AG10263" s="7"/>
    </row>
    <row r="10264" spans="11:33" ht="14.5" x14ac:dyDescent="0.35">
      <c r="K10264" s="4"/>
      <c r="AC10264" s="7"/>
      <c r="AD10264" s="7"/>
      <c r="AE10264" s="7"/>
      <c r="AF10264" s="8"/>
      <c r="AG10264" s="7"/>
    </row>
    <row r="10265" spans="11:33" ht="14.5" x14ac:dyDescent="0.35">
      <c r="K10265" s="4"/>
      <c r="AC10265" s="7"/>
      <c r="AD10265" s="7"/>
      <c r="AE10265" s="7"/>
      <c r="AF10265" s="8"/>
      <c r="AG10265" s="7"/>
    </row>
    <row r="10266" spans="11:33" ht="14.5" x14ac:dyDescent="0.35">
      <c r="K10266" s="4"/>
      <c r="AC10266" s="7"/>
      <c r="AD10266" s="7"/>
      <c r="AE10266" s="7"/>
      <c r="AF10266" s="8"/>
      <c r="AG10266" s="7"/>
    </row>
    <row r="10267" spans="11:33" ht="14.5" x14ac:dyDescent="0.35">
      <c r="K10267" s="4"/>
      <c r="AC10267" s="7"/>
      <c r="AD10267" s="7"/>
      <c r="AE10267" s="7"/>
      <c r="AF10267" s="8"/>
      <c r="AG10267" s="7"/>
    </row>
    <row r="10268" spans="11:33" ht="14.5" x14ac:dyDescent="0.35">
      <c r="K10268" s="4"/>
      <c r="AC10268" s="7"/>
      <c r="AD10268" s="7"/>
      <c r="AE10268" s="7"/>
      <c r="AF10268" s="8"/>
      <c r="AG10268" s="7"/>
    </row>
    <row r="10269" spans="11:33" ht="14.5" x14ac:dyDescent="0.35">
      <c r="K10269" s="4"/>
      <c r="AC10269" s="7"/>
      <c r="AD10269" s="7"/>
      <c r="AE10269" s="7"/>
      <c r="AF10269" s="8"/>
      <c r="AG10269" s="7"/>
    </row>
    <row r="10270" spans="11:33" ht="14.5" x14ac:dyDescent="0.35">
      <c r="K10270" s="4"/>
      <c r="AC10270" s="7"/>
      <c r="AD10270" s="7"/>
      <c r="AE10270" s="7"/>
      <c r="AF10270" s="8"/>
      <c r="AG10270" s="7"/>
    </row>
    <row r="10271" spans="11:33" ht="14.5" x14ac:dyDescent="0.35">
      <c r="K10271" s="4"/>
      <c r="AC10271" s="7"/>
      <c r="AD10271" s="7"/>
      <c r="AE10271" s="7"/>
      <c r="AF10271" s="8"/>
      <c r="AG10271" s="7"/>
    </row>
    <row r="10272" spans="11:33" ht="14.5" x14ac:dyDescent="0.35">
      <c r="K10272" s="4"/>
      <c r="AC10272" s="7"/>
      <c r="AD10272" s="7"/>
      <c r="AE10272" s="7"/>
      <c r="AF10272" s="8"/>
      <c r="AG10272" s="7"/>
    </row>
    <row r="10273" spans="11:33" ht="14.5" x14ac:dyDescent="0.35">
      <c r="K10273" s="4"/>
      <c r="AC10273" s="7"/>
      <c r="AD10273" s="7"/>
      <c r="AE10273" s="7"/>
      <c r="AF10273" s="8"/>
      <c r="AG10273" s="7"/>
    </row>
    <row r="10274" spans="11:33" ht="14.5" x14ac:dyDescent="0.35">
      <c r="K10274" s="4"/>
      <c r="AC10274" s="7"/>
      <c r="AD10274" s="7"/>
      <c r="AE10274" s="7"/>
      <c r="AF10274" s="8"/>
      <c r="AG10274" s="7"/>
    </row>
    <row r="10275" spans="11:33" ht="14.5" x14ac:dyDescent="0.35">
      <c r="K10275" s="4"/>
      <c r="AC10275" s="7"/>
      <c r="AD10275" s="7"/>
      <c r="AE10275" s="7"/>
      <c r="AF10275" s="8"/>
      <c r="AG10275" s="7"/>
    </row>
    <row r="10276" spans="11:33" ht="14.5" x14ac:dyDescent="0.35">
      <c r="K10276" s="4"/>
      <c r="AC10276" s="7"/>
      <c r="AD10276" s="7"/>
      <c r="AE10276" s="7"/>
      <c r="AF10276" s="8"/>
      <c r="AG10276" s="7"/>
    </row>
    <row r="10277" spans="11:33" ht="14.5" x14ac:dyDescent="0.35">
      <c r="K10277" s="4"/>
      <c r="AC10277" s="7"/>
      <c r="AD10277" s="7"/>
      <c r="AE10277" s="7"/>
      <c r="AF10277" s="8"/>
      <c r="AG10277" s="7"/>
    </row>
    <row r="10278" spans="11:33" ht="14.5" x14ac:dyDescent="0.35">
      <c r="K10278" s="4"/>
      <c r="AC10278" s="7"/>
      <c r="AD10278" s="7"/>
      <c r="AE10278" s="7"/>
      <c r="AF10278" s="8"/>
      <c r="AG10278" s="7"/>
    </row>
    <row r="10279" spans="11:33" ht="14.5" x14ac:dyDescent="0.35">
      <c r="K10279" s="4"/>
      <c r="AC10279" s="7"/>
      <c r="AD10279" s="7"/>
      <c r="AE10279" s="7"/>
      <c r="AF10279" s="8"/>
      <c r="AG10279" s="7"/>
    </row>
    <row r="10280" spans="11:33" ht="14.5" x14ac:dyDescent="0.35">
      <c r="K10280" s="4"/>
      <c r="AC10280" s="7"/>
      <c r="AD10280" s="7"/>
      <c r="AE10280" s="7"/>
      <c r="AF10280" s="8"/>
      <c r="AG10280" s="7"/>
    </row>
    <row r="10281" spans="11:33" ht="14.5" x14ac:dyDescent="0.35">
      <c r="K10281" s="4"/>
      <c r="AC10281" s="7"/>
      <c r="AD10281" s="7"/>
      <c r="AE10281" s="7"/>
      <c r="AF10281" s="8"/>
      <c r="AG10281" s="7"/>
    </row>
    <row r="10282" spans="11:33" ht="14.5" x14ac:dyDescent="0.35">
      <c r="K10282" s="4"/>
      <c r="AC10282" s="7"/>
      <c r="AD10282" s="7"/>
      <c r="AE10282" s="7"/>
      <c r="AF10282" s="8"/>
      <c r="AG10282" s="7"/>
    </row>
    <row r="10283" spans="11:33" ht="14.5" x14ac:dyDescent="0.35">
      <c r="K10283" s="4"/>
      <c r="AC10283" s="7"/>
      <c r="AD10283" s="7"/>
      <c r="AE10283" s="7"/>
      <c r="AF10283" s="8"/>
      <c r="AG10283" s="7"/>
    </row>
    <row r="10284" spans="11:33" ht="14.5" x14ac:dyDescent="0.35">
      <c r="K10284" s="4"/>
      <c r="AC10284" s="7"/>
      <c r="AD10284" s="7"/>
      <c r="AE10284" s="7"/>
      <c r="AF10284" s="8"/>
      <c r="AG10284" s="7"/>
    </row>
    <row r="10285" spans="11:33" ht="14.5" x14ac:dyDescent="0.35">
      <c r="K10285" s="4"/>
      <c r="AC10285" s="7"/>
      <c r="AD10285" s="7"/>
      <c r="AE10285" s="7"/>
      <c r="AF10285" s="8"/>
      <c r="AG10285" s="7"/>
    </row>
    <row r="10286" spans="11:33" ht="14.5" x14ac:dyDescent="0.35">
      <c r="K10286" s="4"/>
      <c r="AC10286" s="7"/>
      <c r="AD10286" s="7"/>
      <c r="AE10286" s="7"/>
      <c r="AF10286" s="8"/>
      <c r="AG10286" s="7"/>
    </row>
    <row r="10287" spans="11:33" ht="14.5" x14ac:dyDescent="0.35">
      <c r="K10287" s="4"/>
      <c r="AC10287" s="7"/>
      <c r="AD10287" s="7"/>
      <c r="AE10287" s="7"/>
      <c r="AF10287" s="8"/>
      <c r="AG10287" s="7"/>
    </row>
    <row r="10288" spans="11:33" ht="14.5" x14ac:dyDescent="0.35">
      <c r="K10288" s="4"/>
      <c r="AC10288" s="7"/>
      <c r="AD10288" s="7"/>
      <c r="AE10288" s="7"/>
      <c r="AF10288" s="8"/>
      <c r="AG10288" s="7"/>
    </row>
    <row r="10289" spans="11:33" ht="14.5" x14ac:dyDescent="0.35">
      <c r="K10289" s="4"/>
      <c r="AC10289" s="7"/>
      <c r="AD10289" s="7"/>
      <c r="AE10289" s="7"/>
      <c r="AF10289" s="8"/>
      <c r="AG10289" s="7"/>
    </row>
    <row r="10290" spans="11:33" ht="14.5" x14ac:dyDescent="0.35">
      <c r="K10290" s="4"/>
      <c r="AC10290" s="7"/>
      <c r="AD10290" s="7"/>
      <c r="AE10290" s="7"/>
      <c r="AF10290" s="8"/>
      <c r="AG10290" s="7"/>
    </row>
    <row r="10291" spans="11:33" ht="14.5" x14ac:dyDescent="0.35">
      <c r="K10291" s="4"/>
      <c r="AC10291" s="7"/>
      <c r="AD10291" s="7"/>
      <c r="AE10291" s="7"/>
      <c r="AF10291" s="8"/>
      <c r="AG10291" s="7"/>
    </row>
    <row r="10292" spans="11:33" ht="14.5" x14ac:dyDescent="0.35">
      <c r="K10292" s="4"/>
      <c r="AC10292" s="7"/>
      <c r="AD10292" s="7"/>
      <c r="AE10292" s="7"/>
      <c r="AF10292" s="8"/>
      <c r="AG10292" s="7"/>
    </row>
    <row r="10293" spans="11:33" ht="14.5" x14ac:dyDescent="0.35">
      <c r="K10293" s="4"/>
      <c r="AC10293" s="7"/>
      <c r="AD10293" s="7"/>
      <c r="AE10293" s="7"/>
      <c r="AF10293" s="8"/>
      <c r="AG10293" s="7"/>
    </row>
    <row r="10294" spans="11:33" ht="14.5" x14ac:dyDescent="0.35">
      <c r="K10294" s="4"/>
      <c r="AC10294" s="7"/>
      <c r="AD10294" s="7"/>
      <c r="AE10294" s="7"/>
      <c r="AF10294" s="8"/>
      <c r="AG10294" s="7"/>
    </row>
    <row r="10295" spans="11:33" ht="14.5" x14ac:dyDescent="0.35">
      <c r="K10295" s="4"/>
      <c r="AC10295" s="7"/>
      <c r="AD10295" s="7"/>
      <c r="AE10295" s="7"/>
      <c r="AF10295" s="8"/>
      <c r="AG10295" s="7"/>
    </row>
    <row r="10296" spans="11:33" ht="14.5" x14ac:dyDescent="0.35">
      <c r="K10296" s="4"/>
      <c r="AC10296" s="7"/>
      <c r="AD10296" s="7"/>
      <c r="AE10296" s="7"/>
      <c r="AF10296" s="8"/>
      <c r="AG10296" s="7"/>
    </row>
    <row r="10297" spans="11:33" ht="14.5" x14ac:dyDescent="0.35">
      <c r="K10297" s="4"/>
      <c r="AC10297" s="7"/>
      <c r="AD10297" s="7"/>
      <c r="AE10297" s="7"/>
      <c r="AF10297" s="8"/>
      <c r="AG10297" s="7"/>
    </row>
    <row r="10298" spans="11:33" ht="14.5" x14ac:dyDescent="0.35">
      <c r="K10298" s="4"/>
      <c r="AC10298" s="7"/>
      <c r="AD10298" s="7"/>
      <c r="AE10298" s="7"/>
      <c r="AF10298" s="8"/>
      <c r="AG10298" s="7"/>
    </row>
    <row r="10299" spans="11:33" ht="14.5" x14ac:dyDescent="0.35">
      <c r="K10299" s="4"/>
      <c r="AC10299" s="7"/>
      <c r="AD10299" s="7"/>
      <c r="AE10299" s="7"/>
      <c r="AF10299" s="8"/>
      <c r="AG10299" s="7"/>
    </row>
    <row r="10300" spans="11:33" ht="14.5" x14ac:dyDescent="0.35">
      <c r="K10300" s="4"/>
      <c r="AC10300" s="7"/>
      <c r="AD10300" s="7"/>
      <c r="AE10300" s="7"/>
      <c r="AF10300" s="8"/>
      <c r="AG10300" s="7"/>
    </row>
    <row r="10301" spans="11:33" ht="14.5" x14ac:dyDescent="0.35">
      <c r="K10301" s="4"/>
      <c r="AC10301" s="7"/>
      <c r="AD10301" s="7"/>
      <c r="AE10301" s="7"/>
      <c r="AF10301" s="8"/>
      <c r="AG10301" s="7"/>
    </row>
    <row r="10302" spans="11:33" ht="14.5" x14ac:dyDescent="0.35">
      <c r="K10302" s="4"/>
      <c r="AC10302" s="7"/>
      <c r="AD10302" s="7"/>
      <c r="AE10302" s="7"/>
      <c r="AF10302" s="8"/>
      <c r="AG10302" s="7"/>
    </row>
    <row r="10303" spans="11:33" ht="14.5" x14ac:dyDescent="0.35">
      <c r="K10303" s="4"/>
      <c r="AC10303" s="7"/>
      <c r="AD10303" s="7"/>
      <c r="AE10303" s="7"/>
      <c r="AF10303" s="8"/>
      <c r="AG10303" s="7"/>
    </row>
    <row r="10304" spans="11:33" ht="14.5" x14ac:dyDescent="0.35">
      <c r="K10304" s="4"/>
      <c r="AC10304" s="7"/>
      <c r="AD10304" s="7"/>
      <c r="AE10304" s="7"/>
      <c r="AF10304" s="8"/>
      <c r="AG10304" s="7"/>
    </row>
    <row r="10305" spans="11:33" ht="14.5" x14ac:dyDescent="0.35">
      <c r="K10305" s="4"/>
      <c r="AC10305" s="7"/>
      <c r="AD10305" s="7"/>
      <c r="AE10305" s="7"/>
      <c r="AF10305" s="8"/>
      <c r="AG10305" s="7"/>
    </row>
    <row r="10306" spans="11:33" ht="14.5" x14ac:dyDescent="0.35">
      <c r="K10306" s="4"/>
      <c r="AC10306" s="7"/>
      <c r="AD10306" s="7"/>
      <c r="AE10306" s="7"/>
      <c r="AF10306" s="8"/>
      <c r="AG10306" s="7"/>
    </row>
    <row r="10307" spans="11:33" ht="14.5" x14ac:dyDescent="0.35">
      <c r="K10307" s="4"/>
      <c r="AC10307" s="7"/>
      <c r="AD10307" s="7"/>
      <c r="AE10307" s="7"/>
      <c r="AF10307" s="8"/>
      <c r="AG10307" s="7"/>
    </row>
    <row r="10308" spans="11:33" ht="14.5" x14ac:dyDescent="0.35">
      <c r="K10308" s="4"/>
      <c r="AC10308" s="7"/>
      <c r="AD10308" s="7"/>
      <c r="AE10308" s="7"/>
      <c r="AF10308" s="8"/>
      <c r="AG10308" s="7"/>
    </row>
    <row r="10309" spans="11:33" ht="14.5" x14ac:dyDescent="0.35">
      <c r="K10309" s="4"/>
      <c r="AC10309" s="7"/>
      <c r="AD10309" s="7"/>
      <c r="AE10309" s="7"/>
      <c r="AF10309" s="8"/>
      <c r="AG10309" s="7"/>
    </row>
    <row r="10310" spans="11:33" ht="14.5" x14ac:dyDescent="0.35">
      <c r="K10310" s="4"/>
      <c r="AC10310" s="7"/>
      <c r="AD10310" s="7"/>
      <c r="AE10310" s="7"/>
      <c r="AF10310" s="8"/>
      <c r="AG10310" s="7"/>
    </row>
    <row r="10311" spans="11:33" ht="14.5" x14ac:dyDescent="0.35">
      <c r="K10311" s="4"/>
      <c r="AC10311" s="7"/>
      <c r="AD10311" s="7"/>
      <c r="AE10311" s="7"/>
      <c r="AF10311" s="8"/>
      <c r="AG10311" s="7"/>
    </row>
    <row r="10312" spans="11:33" ht="14.5" x14ac:dyDescent="0.35">
      <c r="K10312" s="4"/>
      <c r="AC10312" s="7"/>
      <c r="AD10312" s="7"/>
      <c r="AE10312" s="7"/>
      <c r="AF10312" s="8"/>
      <c r="AG10312" s="7"/>
    </row>
    <row r="10313" spans="11:33" ht="14.5" x14ac:dyDescent="0.35">
      <c r="K10313" s="4"/>
      <c r="AC10313" s="7"/>
      <c r="AD10313" s="7"/>
      <c r="AE10313" s="7"/>
      <c r="AF10313" s="8"/>
      <c r="AG10313" s="7"/>
    </row>
    <row r="10314" spans="11:33" ht="14.5" x14ac:dyDescent="0.35">
      <c r="K10314" s="4"/>
      <c r="AC10314" s="7"/>
      <c r="AD10314" s="7"/>
      <c r="AE10314" s="7"/>
      <c r="AF10314" s="8"/>
      <c r="AG10314" s="7"/>
    </row>
    <row r="10315" spans="11:33" ht="14.5" x14ac:dyDescent="0.35">
      <c r="K10315" s="4"/>
      <c r="AC10315" s="7"/>
      <c r="AD10315" s="7"/>
      <c r="AE10315" s="7"/>
      <c r="AF10315" s="8"/>
      <c r="AG10315" s="7"/>
    </row>
    <row r="10316" spans="11:33" ht="14.5" x14ac:dyDescent="0.35">
      <c r="K10316" s="4"/>
      <c r="AC10316" s="7"/>
      <c r="AD10316" s="7"/>
      <c r="AE10316" s="7"/>
      <c r="AF10316" s="8"/>
      <c r="AG10316" s="7"/>
    </row>
    <row r="10317" spans="11:33" ht="14.5" x14ac:dyDescent="0.35">
      <c r="K10317" s="4"/>
      <c r="AC10317" s="7"/>
      <c r="AD10317" s="7"/>
      <c r="AE10317" s="7"/>
      <c r="AF10317" s="8"/>
      <c r="AG10317" s="7"/>
    </row>
    <row r="10318" spans="11:33" ht="14.5" x14ac:dyDescent="0.35">
      <c r="K10318" s="4"/>
      <c r="AC10318" s="7"/>
      <c r="AD10318" s="7"/>
      <c r="AE10318" s="7"/>
      <c r="AF10318" s="8"/>
      <c r="AG10318" s="7"/>
    </row>
    <row r="10319" spans="11:33" ht="14.5" x14ac:dyDescent="0.35">
      <c r="K10319" s="4"/>
      <c r="AC10319" s="7"/>
      <c r="AD10319" s="7"/>
      <c r="AE10319" s="7"/>
      <c r="AF10319" s="8"/>
      <c r="AG10319" s="7"/>
    </row>
    <row r="10320" spans="11:33" ht="14.5" x14ac:dyDescent="0.35">
      <c r="K10320" s="4"/>
      <c r="AC10320" s="7"/>
      <c r="AD10320" s="7"/>
      <c r="AE10320" s="7"/>
      <c r="AF10320" s="8"/>
      <c r="AG10320" s="7"/>
    </row>
    <row r="10321" spans="11:33" ht="14.5" x14ac:dyDescent="0.35">
      <c r="K10321" s="4"/>
      <c r="AC10321" s="7"/>
      <c r="AD10321" s="7"/>
      <c r="AE10321" s="7"/>
      <c r="AF10321" s="8"/>
      <c r="AG10321" s="7"/>
    </row>
    <row r="10322" spans="11:33" ht="14.5" x14ac:dyDescent="0.35">
      <c r="K10322" s="4"/>
      <c r="AC10322" s="7"/>
      <c r="AD10322" s="7"/>
      <c r="AE10322" s="7"/>
      <c r="AF10322" s="8"/>
      <c r="AG10322" s="7"/>
    </row>
    <row r="10323" spans="11:33" ht="14.5" x14ac:dyDescent="0.35">
      <c r="K10323" s="4"/>
      <c r="AC10323" s="7"/>
      <c r="AD10323" s="7"/>
      <c r="AE10323" s="7"/>
      <c r="AF10323" s="8"/>
      <c r="AG10323" s="7"/>
    </row>
    <row r="10324" spans="11:33" ht="14.5" x14ac:dyDescent="0.35">
      <c r="K10324" s="4"/>
      <c r="AC10324" s="7"/>
      <c r="AD10324" s="7"/>
      <c r="AE10324" s="7"/>
      <c r="AF10324" s="8"/>
      <c r="AG10324" s="7"/>
    </row>
    <row r="10325" spans="11:33" ht="14.5" x14ac:dyDescent="0.35">
      <c r="K10325" s="4"/>
      <c r="AC10325" s="7"/>
      <c r="AD10325" s="7"/>
      <c r="AE10325" s="7"/>
      <c r="AF10325" s="8"/>
      <c r="AG10325" s="7"/>
    </row>
    <row r="10326" spans="11:33" ht="14.5" x14ac:dyDescent="0.35">
      <c r="K10326" s="4"/>
      <c r="AC10326" s="7"/>
      <c r="AD10326" s="7"/>
      <c r="AE10326" s="7"/>
      <c r="AF10326" s="8"/>
      <c r="AG10326" s="7"/>
    </row>
    <row r="10327" spans="11:33" ht="14.5" x14ac:dyDescent="0.35">
      <c r="K10327" s="4"/>
      <c r="AC10327" s="7"/>
      <c r="AD10327" s="7"/>
      <c r="AE10327" s="7"/>
      <c r="AF10327" s="8"/>
      <c r="AG10327" s="7"/>
    </row>
    <row r="10328" spans="11:33" ht="14.5" x14ac:dyDescent="0.35">
      <c r="K10328" s="4"/>
      <c r="AC10328" s="7"/>
      <c r="AD10328" s="7"/>
      <c r="AE10328" s="7"/>
      <c r="AF10328" s="8"/>
      <c r="AG10328" s="7"/>
    </row>
    <row r="10329" spans="11:33" ht="14.5" x14ac:dyDescent="0.35">
      <c r="K10329" s="4"/>
      <c r="AC10329" s="7"/>
      <c r="AD10329" s="7"/>
      <c r="AE10329" s="7"/>
      <c r="AF10329" s="8"/>
      <c r="AG10329" s="7"/>
    </row>
    <row r="10330" spans="11:33" ht="14.5" x14ac:dyDescent="0.35">
      <c r="K10330" s="4"/>
      <c r="AC10330" s="7"/>
      <c r="AD10330" s="7"/>
      <c r="AE10330" s="7"/>
      <c r="AF10330" s="8"/>
      <c r="AG10330" s="7"/>
    </row>
    <row r="10331" spans="11:33" ht="14.5" x14ac:dyDescent="0.35">
      <c r="K10331" s="4"/>
      <c r="AC10331" s="7"/>
      <c r="AD10331" s="7"/>
      <c r="AE10331" s="7"/>
      <c r="AF10331" s="8"/>
      <c r="AG10331" s="7"/>
    </row>
    <row r="10332" spans="11:33" ht="14.5" x14ac:dyDescent="0.35">
      <c r="K10332" s="4"/>
      <c r="AC10332" s="7"/>
      <c r="AD10332" s="7"/>
      <c r="AE10332" s="7"/>
      <c r="AF10332" s="8"/>
      <c r="AG10332" s="7"/>
    </row>
    <row r="10333" spans="11:33" ht="14.5" x14ac:dyDescent="0.35">
      <c r="K10333" s="4"/>
      <c r="AC10333" s="7"/>
      <c r="AD10333" s="7"/>
      <c r="AE10333" s="7"/>
      <c r="AF10333" s="8"/>
      <c r="AG10333" s="7"/>
    </row>
    <row r="10334" spans="11:33" ht="14.5" x14ac:dyDescent="0.35">
      <c r="K10334" s="4"/>
      <c r="AC10334" s="7"/>
      <c r="AD10334" s="7"/>
      <c r="AE10334" s="7"/>
      <c r="AF10334" s="8"/>
      <c r="AG10334" s="7"/>
    </row>
    <row r="10335" spans="11:33" ht="14.5" x14ac:dyDescent="0.35">
      <c r="K10335" s="4"/>
      <c r="AC10335" s="7"/>
      <c r="AD10335" s="7"/>
      <c r="AE10335" s="7"/>
      <c r="AF10335" s="8"/>
      <c r="AG10335" s="7"/>
    </row>
    <row r="10336" spans="11:33" ht="14.5" x14ac:dyDescent="0.35">
      <c r="K10336" s="4"/>
      <c r="AC10336" s="7"/>
      <c r="AD10336" s="7"/>
      <c r="AE10336" s="7"/>
      <c r="AF10336" s="8"/>
      <c r="AG10336" s="7"/>
    </row>
    <row r="10337" spans="11:33" ht="14.5" x14ac:dyDescent="0.35">
      <c r="K10337" s="4"/>
      <c r="AC10337" s="7"/>
      <c r="AD10337" s="7"/>
      <c r="AE10337" s="7"/>
      <c r="AF10337" s="8"/>
      <c r="AG10337" s="7"/>
    </row>
    <row r="10338" spans="11:33" ht="14.5" x14ac:dyDescent="0.35">
      <c r="K10338" s="4"/>
      <c r="AC10338" s="7"/>
      <c r="AD10338" s="7"/>
      <c r="AE10338" s="7"/>
      <c r="AF10338" s="8"/>
      <c r="AG10338" s="7"/>
    </row>
    <row r="10339" spans="11:33" ht="14.5" x14ac:dyDescent="0.35">
      <c r="K10339" s="4"/>
      <c r="AC10339" s="7"/>
      <c r="AD10339" s="7"/>
      <c r="AE10339" s="7"/>
      <c r="AF10339" s="8"/>
      <c r="AG10339" s="7"/>
    </row>
    <row r="10340" spans="11:33" ht="14.5" x14ac:dyDescent="0.35">
      <c r="K10340" s="4"/>
      <c r="AC10340" s="7"/>
      <c r="AD10340" s="7"/>
      <c r="AE10340" s="7"/>
      <c r="AF10340" s="8"/>
      <c r="AG10340" s="7"/>
    </row>
    <row r="10341" spans="11:33" ht="14.5" x14ac:dyDescent="0.35">
      <c r="K10341" s="4"/>
      <c r="AC10341" s="7"/>
      <c r="AD10341" s="7"/>
      <c r="AE10341" s="7"/>
      <c r="AF10341" s="8"/>
      <c r="AG10341" s="7"/>
    </row>
    <row r="10342" spans="11:33" ht="14.5" x14ac:dyDescent="0.35">
      <c r="K10342" s="4"/>
      <c r="AC10342" s="7"/>
      <c r="AD10342" s="7"/>
      <c r="AE10342" s="7"/>
      <c r="AF10342" s="8"/>
      <c r="AG10342" s="7"/>
    </row>
    <row r="10343" spans="11:33" ht="14.5" x14ac:dyDescent="0.35">
      <c r="K10343" s="4"/>
      <c r="AC10343" s="7"/>
      <c r="AD10343" s="7"/>
      <c r="AE10343" s="7"/>
      <c r="AF10343" s="8"/>
      <c r="AG10343" s="7"/>
    </row>
    <row r="10344" spans="11:33" ht="14.5" x14ac:dyDescent="0.35">
      <c r="K10344" s="4"/>
      <c r="AC10344" s="7"/>
      <c r="AD10344" s="7"/>
      <c r="AE10344" s="7"/>
      <c r="AF10344" s="8"/>
      <c r="AG10344" s="7"/>
    </row>
    <row r="10345" spans="11:33" ht="14.5" x14ac:dyDescent="0.35">
      <c r="K10345" s="4"/>
      <c r="AC10345" s="7"/>
      <c r="AD10345" s="7"/>
      <c r="AE10345" s="7"/>
      <c r="AF10345" s="8"/>
      <c r="AG10345" s="7"/>
    </row>
    <row r="10346" spans="11:33" ht="14.5" x14ac:dyDescent="0.35">
      <c r="K10346" s="4"/>
      <c r="AC10346" s="7"/>
      <c r="AD10346" s="7"/>
      <c r="AE10346" s="7"/>
      <c r="AF10346" s="8"/>
      <c r="AG10346" s="7"/>
    </row>
    <row r="10347" spans="11:33" ht="14.5" x14ac:dyDescent="0.35">
      <c r="K10347" s="4"/>
      <c r="AC10347" s="7"/>
      <c r="AD10347" s="7"/>
      <c r="AE10347" s="7"/>
      <c r="AF10347" s="8"/>
      <c r="AG10347" s="7"/>
    </row>
    <row r="10348" spans="11:33" ht="14.5" x14ac:dyDescent="0.35">
      <c r="K10348" s="4"/>
      <c r="AC10348" s="7"/>
      <c r="AD10348" s="7"/>
      <c r="AE10348" s="7"/>
      <c r="AF10348" s="8"/>
      <c r="AG10348" s="7"/>
    </row>
    <row r="10349" spans="11:33" ht="14.5" x14ac:dyDescent="0.35">
      <c r="K10349" s="4"/>
      <c r="AC10349" s="7"/>
      <c r="AD10349" s="7"/>
      <c r="AE10349" s="7"/>
      <c r="AF10349" s="8"/>
      <c r="AG10349" s="7"/>
    </row>
    <row r="10350" spans="11:33" ht="14.5" x14ac:dyDescent="0.35">
      <c r="K10350" s="4"/>
      <c r="AC10350" s="7"/>
      <c r="AD10350" s="7"/>
      <c r="AE10350" s="7"/>
      <c r="AF10350" s="8"/>
      <c r="AG10350" s="7"/>
    </row>
    <row r="10351" spans="11:33" ht="14.5" x14ac:dyDescent="0.35">
      <c r="K10351" s="4"/>
      <c r="AC10351" s="7"/>
      <c r="AD10351" s="7"/>
      <c r="AE10351" s="7"/>
      <c r="AF10351" s="8"/>
      <c r="AG10351" s="7"/>
    </row>
    <row r="10352" spans="11:33" ht="14.5" x14ac:dyDescent="0.35">
      <c r="K10352" s="4"/>
      <c r="AC10352" s="7"/>
      <c r="AD10352" s="7"/>
      <c r="AE10352" s="7"/>
      <c r="AF10352" s="8"/>
      <c r="AG10352" s="7"/>
    </row>
    <row r="10353" spans="11:33" ht="14.5" x14ac:dyDescent="0.35">
      <c r="K10353" s="4"/>
      <c r="AC10353" s="7"/>
      <c r="AD10353" s="7"/>
      <c r="AE10353" s="7"/>
      <c r="AF10353" s="8"/>
      <c r="AG10353" s="7"/>
    </row>
    <row r="10354" spans="11:33" ht="14.5" x14ac:dyDescent="0.35">
      <c r="K10354" s="4"/>
      <c r="AC10354" s="7"/>
      <c r="AD10354" s="7"/>
      <c r="AE10354" s="7"/>
      <c r="AF10354" s="8"/>
      <c r="AG10354" s="7"/>
    </row>
    <row r="10355" spans="11:33" ht="14.5" x14ac:dyDescent="0.35">
      <c r="K10355" s="4"/>
      <c r="AC10355" s="7"/>
      <c r="AD10355" s="7"/>
      <c r="AE10355" s="7"/>
      <c r="AF10355" s="8"/>
      <c r="AG10355" s="7"/>
    </row>
    <row r="10356" spans="11:33" ht="14.5" x14ac:dyDescent="0.35">
      <c r="K10356" s="4"/>
      <c r="AC10356" s="7"/>
      <c r="AD10356" s="7"/>
      <c r="AE10356" s="7"/>
      <c r="AF10356" s="8"/>
      <c r="AG10356" s="7"/>
    </row>
    <row r="10357" spans="11:33" ht="14.5" x14ac:dyDescent="0.35">
      <c r="K10357" s="4"/>
      <c r="AC10357" s="7"/>
      <c r="AD10357" s="7"/>
      <c r="AE10357" s="7"/>
      <c r="AF10357" s="8"/>
      <c r="AG10357" s="7"/>
    </row>
    <row r="10358" spans="11:33" ht="14.5" x14ac:dyDescent="0.35">
      <c r="K10358" s="4"/>
      <c r="AC10358" s="7"/>
      <c r="AD10358" s="7"/>
      <c r="AE10358" s="7"/>
      <c r="AF10358" s="8"/>
      <c r="AG10358" s="7"/>
    </row>
    <row r="10359" spans="11:33" ht="14.5" x14ac:dyDescent="0.35">
      <c r="K10359" s="4"/>
      <c r="AC10359" s="7"/>
      <c r="AD10359" s="7"/>
      <c r="AE10359" s="7"/>
      <c r="AF10359" s="8"/>
      <c r="AG10359" s="7"/>
    </row>
    <row r="10360" spans="11:33" ht="14.5" x14ac:dyDescent="0.35">
      <c r="K10360" s="4"/>
      <c r="AC10360" s="7"/>
      <c r="AD10360" s="7"/>
      <c r="AE10360" s="7"/>
      <c r="AF10360" s="8"/>
      <c r="AG10360" s="7"/>
    </row>
    <row r="10361" spans="11:33" ht="14.5" x14ac:dyDescent="0.35">
      <c r="K10361" s="4"/>
      <c r="AC10361" s="7"/>
      <c r="AD10361" s="7"/>
      <c r="AE10361" s="7"/>
      <c r="AF10361" s="8"/>
      <c r="AG10361" s="7"/>
    </row>
    <row r="10362" spans="11:33" ht="14.5" x14ac:dyDescent="0.35">
      <c r="K10362" s="4"/>
      <c r="AC10362" s="7"/>
      <c r="AD10362" s="7"/>
      <c r="AE10362" s="7"/>
      <c r="AF10362" s="8"/>
      <c r="AG10362" s="7"/>
    </row>
    <row r="10363" spans="11:33" ht="14.5" x14ac:dyDescent="0.35">
      <c r="K10363" s="4"/>
      <c r="AC10363" s="7"/>
      <c r="AD10363" s="7"/>
      <c r="AE10363" s="7"/>
      <c r="AF10363" s="8"/>
      <c r="AG10363" s="7"/>
    </row>
    <row r="10364" spans="11:33" ht="14.5" x14ac:dyDescent="0.35">
      <c r="K10364" s="4"/>
      <c r="AC10364" s="7"/>
      <c r="AD10364" s="7"/>
      <c r="AE10364" s="7"/>
      <c r="AF10364" s="8"/>
      <c r="AG10364" s="7"/>
    </row>
    <row r="10365" spans="11:33" ht="14.5" x14ac:dyDescent="0.35">
      <c r="K10365" s="4"/>
      <c r="AC10365" s="7"/>
      <c r="AD10365" s="7"/>
      <c r="AE10365" s="7"/>
      <c r="AF10365" s="8"/>
      <c r="AG10365" s="7"/>
    </row>
    <row r="10366" spans="11:33" ht="14.5" x14ac:dyDescent="0.35">
      <c r="K10366" s="4"/>
      <c r="AC10366" s="7"/>
      <c r="AD10366" s="7"/>
      <c r="AE10366" s="7"/>
      <c r="AF10366" s="8"/>
      <c r="AG10366" s="7"/>
    </row>
    <row r="10367" spans="11:33" ht="14.5" x14ac:dyDescent="0.35">
      <c r="K10367" s="4"/>
      <c r="AC10367" s="7"/>
      <c r="AD10367" s="7"/>
      <c r="AE10367" s="7"/>
      <c r="AF10367" s="8"/>
      <c r="AG10367" s="7"/>
    </row>
    <row r="10368" spans="11:33" ht="14.5" x14ac:dyDescent="0.35">
      <c r="K10368" s="4"/>
      <c r="AC10368" s="7"/>
      <c r="AD10368" s="7"/>
      <c r="AE10368" s="7"/>
      <c r="AF10368" s="8"/>
      <c r="AG10368" s="7"/>
    </row>
    <row r="10369" spans="11:33" ht="14.5" x14ac:dyDescent="0.35">
      <c r="K10369" s="4"/>
      <c r="AC10369" s="7"/>
      <c r="AD10369" s="7"/>
      <c r="AE10369" s="7"/>
      <c r="AF10369" s="8"/>
      <c r="AG10369" s="7"/>
    </row>
    <row r="10370" spans="11:33" ht="14.5" x14ac:dyDescent="0.35">
      <c r="K10370" s="4"/>
      <c r="AC10370" s="7"/>
      <c r="AD10370" s="7"/>
      <c r="AE10370" s="7"/>
      <c r="AF10370" s="8"/>
      <c r="AG10370" s="7"/>
    </row>
    <row r="10371" spans="11:33" ht="14.5" x14ac:dyDescent="0.35">
      <c r="K10371" s="4"/>
      <c r="AC10371" s="7"/>
      <c r="AD10371" s="7"/>
      <c r="AE10371" s="7"/>
      <c r="AF10371" s="8"/>
      <c r="AG10371" s="7"/>
    </row>
    <row r="10372" spans="11:33" ht="14.5" x14ac:dyDescent="0.35">
      <c r="K10372" s="4"/>
      <c r="AC10372" s="7"/>
      <c r="AD10372" s="7"/>
      <c r="AE10372" s="7"/>
      <c r="AF10372" s="8"/>
      <c r="AG10372" s="7"/>
    </row>
    <row r="10373" spans="11:33" ht="14.5" x14ac:dyDescent="0.35">
      <c r="K10373" s="4"/>
      <c r="AC10373" s="7"/>
      <c r="AD10373" s="7"/>
      <c r="AE10373" s="7"/>
      <c r="AF10373" s="8"/>
      <c r="AG10373" s="7"/>
    </row>
    <row r="10374" spans="11:33" ht="14.5" x14ac:dyDescent="0.35">
      <c r="K10374" s="4"/>
      <c r="AC10374" s="7"/>
      <c r="AD10374" s="7"/>
      <c r="AE10374" s="7"/>
      <c r="AF10374" s="8"/>
      <c r="AG10374" s="7"/>
    </row>
    <row r="10375" spans="11:33" ht="14.5" x14ac:dyDescent="0.35">
      <c r="K10375" s="4"/>
      <c r="AC10375" s="7"/>
      <c r="AD10375" s="7"/>
      <c r="AE10375" s="7"/>
      <c r="AF10375" s="8"/>
      <c r="AG10375" s="7"/>
    </row>
    <row r="10376" spans="11:33" ht="14.5" x14ac:dyDescent="0.35">
      <c r="K10376" s="4"/>
      <c r="AC10376" s="7"/>
      <c r="AD10376" s="7"/>
      <c r="AE10376" s="7"/>
      <c r="AF10376" s="8"/>
      <c r="AG10376" s="7"/>
    </row>
    <row r="10377" spans="11:33" ht="14.5" x14ac:dyDescent="0.35">
      <c r="K10377" s="4"/>
      <c r="AC10377" s="7"/>
      <c r="AD10377" s="7"/>
      <c r="AE10377" s="7"/>
      <c r="AF10377" s="8"/>
      <c r="AG10377" s="7"/>
    </row>
    <row r="10378" spans="11:33" ht="14.5" x14ac:dyDescent="0.35">
      <c r="K10378" s="4"/>
      <c r="AC10378" s="7"/>
      <c r="AD10378" s="7"/>
      <c r="AE10378" s="7"/>
      <c r="AF10378" s="8"/>
      <c r="AG10378" s="7"/>
    </row>
    <row r="10379" spans="11:33" ht="14.5" x14ac:dyDescent="0.35">
      <c r="K10379" s="4"/>
      <c r="AC10379" s="7"/>
      <c r="AD10379" s="7"/>
      <c r="AE10379" s="7"/>
      <c r="AF10379" s="8"/>
      <c r="AG10379" s="7"/>
    </row>
    <row r="10380" spans="11:33" ht="14.5" x14ac:dyDescent="0.35">
      <c r="K10380" s="4"/>
      <c r="AC10380" s="7"/>
      <c r="AD10380" s="7"/>
      <c r="AE10380" s="7"/>
      <c r="AF10380" s="8"/>
      <c r="AG10380" s="7"/>
    </row>
    <row r="10381" spans="11:33" ht="14.5" x14ac:dyDescent="0.35">
      <c r="K10381" s="4"/>
      <c r="AC10381" s="7"/>
      <c r="AD10381" s="7"/>
      <c r="AE10381" s="7"/>
      <c r="AF10381" s="8"/>
      <c r="AG10381" s="7"/>
    </row>
    <row r="10382" spans="11:33" ht="14.5" x14ac:dyDescent="0.35">
      <c r="K10382" s="4"/>
      <c r="AC10382" s="7"/>
      <c r="AD10382" s="7"/>
      <c r="AE10382" s="7"/>
      <c r="AF10382" s="8"/>
      <c r="AG10382" s="7"/>
    </row>
    <row r="10383" spans="11:33" ht="14.5" x14ac:dyDescent="0.35">
      <c r="K10383" s="4"/>
      <c r="AC10383" s="7"/>
      <c r="AD10383" s="7"/>
      <c r="AE10383" s="7"/>
      <c r="AF10383" s="8"/>
      <c r="AG10383" s="7"/>
    </row>
    <row r="10384" spans="11:33" ht="14.5" x14ac:dyDescent="0.35">
      <c r="K10384" s="4"/>
      <c r="AC10384" s="7"/>
      <c r="AD10384" s="7"/>
      <c r="AE10384" s="7"/>
      <c r="AF10384" s="8"/>
      <c r="AG10384" s="7"/>
    </row>
    <row r="10385" spans="11:33" ht="14.5" x14ac:dyDescent="0.35">
      <c r="K10385" s="4"/>
      <c r="AC10385" s="7"/>
      <c r="AD10385" s="7"/>
      <c r="AE10385" s="7"/>
      <c r="AF10385" s="8"/>
      <c r="AG10385" s="7"/>
    </row>
    <row r="10386" spans="11:33" ht="14.5" x14ac:dyDescent="0.35">
      <c r="K10386" s="4"/>
      <c r="AC10386" s="7"/>
      <c r="AD10386" s="7"/>
      <c r="AE10386" s="7"/>
      <c r="AF10386" s="8"/>
      <c r="AG10386" s="7"/>
    </row>
    <row r="10387" spans="11:33" ht="14.5" x14ac:dyDescent="0.35">
      <c r="K10387" s="4"/>
      <c r="AC10387" s="7"/>
      <c r="AD10387" s="7"/>
      <c r="AE10387" s="7"/>
      <c r="AF10387" s="8"/>
      <c r="AG10387" s="7"/>
    </row>
    <row r="10388" spans="11:33" ht="14.5" x14ac:dyDescent="0.35">
      <c r="K10388" s="4"/>
      <c r="AC10388" s="7"/>
      <c r="AD10388" s="7"/>
      <c r="AE10388" s="7"/>
      <c r="AF10388" s="8"/>
      <c r="AG10388" s="7"/>
    </row>
    <row r="10389" spans="11:33" ht="14.5" x14ac:dyDescent="0.35">
      <c r="K10389" s="4"/>
      <c r="AC10389" s="7"/>
      <c r="AD10389" s="7"/>
      <c r="AE10389" s="7"/>
      <c r="AF10389" s="8"/>
      <c r="AG10389" s="7"/>
    </row>
    <row r="10390" spans="11:33" ht="14.5" x14ac:dyDescent="0.35">
      <c r="K10390" s="4"/>
      <c r="AC10390" s="7"/>
      <c r="AD10390" s="7"/>
      <c r="AE10390" s="7"/>
      <c r="AF10390" s="8"/>
      <c r="AG10390" s="7"/>
    </row>
    <row r="10391" spans="11:33" ht="14.5" x14ac:dyDescent="0.35">
      <c r="K10391" s="4"/>
      <c r="AC10391" s="7"/>
      <c r="AD10391" s="7"/>
      <c r="AE10391" s="7"/>
      <c r="AF10391" s="8"/>
      <c r="AG10391" s="7"/>
    </row>
    <row r="10392" spans="11:33" ht="14.5" x14ac:dyDescent="0.35">
      <c r="K10392" s="4"/>
      <c r="AC10392" s="7"/>
      <c r="AD10392" s="7"/>
      <c r="AE10392" s="7"/>
      <c r="AF10392" s="8"/>
      <c r="AG10392" s="7"/>
    </row>
    <row r="10393" spans="11:33" ht="14.5" x14ac:dyDescent="0.35">
      <c r="K10393" s="4"/>
      <c r="AC10393" s="7"/>
      <c r="AD10393" s="7"/>
      <c r="AE10393" s="7"/>
      <c r="AF10393" s="8"/>
      <c r="AG10393" s="7"/>
    </row>
    <row r="10394" spans="11:33" ht="14.5" x14ac:dyDescent="0.35">
      <c r="K10394" s="4"/>
      <c r="AC10394" s="7"/>
      <c r="AD10394" s="7"/>
      <c r="AE10394" s="7"/>
      <c r="AF10394" s="8"/>
      <c r="AG10394" s="7"/>
    </row>
    <row r="10395" spans="11:33" ht="14.5" x14ac:dyDescent="0.35">
      <c r="K10395" s="4"/>
      <c r="AC10395" s="7"/>
      <c r="AD10395" s="7"/>
      <c r="AE10395" s="7"/>
      <c r="AF10395" s="8"/>
      <c r="AG10395" s="7"/>
    </row>
    <row r="10396" spans="11:33" ht="14.5" x14ac:dyDescent="0.35">
      <c r="K10396" s="4"/>
      <c r="AC10396" s="7"/>
      <c r="AD10396" s="7"/>
      <c r="AE10396" s="7"/>
      <c r="AF10396" s="8"/>
      <c r="AG10396" s="7"/>
    </row>
    <row r="10397" spans="11:33" ht="14.5" x14ac:dyDescent="0.35">
      <c r="K10397" s="4"/>
      <c r="AC10397" s="7"/>
      <c r="AD10397" s="7"/>
      <c r="AE10397" s="7"/>
      <c r="AF10397" s="8"/>
      <c r="AG10397" s="7"/>
    </row>
    <row r="10398" spans="11:33" ht="14.5" x14ac:dyDescent="0.35">
      <c r="K10398" s="4"/>
      <c r="AC10398" s="7"/>
      <c r="AD10398" s="7"/>
      <c r="AE10398" s="7"/>
      <c r="AF10398" s="8"/>
      <c r="AG10398" s="7"/>
    </row>
    <row r="10399" spans="11:33" ht="14.5" x14ac:dyDescent="0.35">
      <c r="K10399" s="4"/>
      <c r="AC10399" s="7"/>
      <c r="AD10399" s="7"/>
      <c r="AE10399" s="7"/>
      <c r="AF10399" s="8"/>
      <c r="AG10399" s="7"/>
    </row>
    <row r="10400" spans="11:33" ht="14.5" x14ac:dyDescent="0.35">
      <c r="K10400" s="4"/>
      <c r="AC10400" s="7"/>
      <c r="AD10400" s="7"/>
      <c r="AE10400" s="7"/>
      <c r="AF10400" s="8"/>
      <c r="AG10400" s="7"/>
    </row>
    <row r="10401" spans="11:33" ht="14.5" x14ac:dyDescent="0.35">
      <c r="K10401" s="4"/>
      <c r="AC10401" s="7"/>
      <c r="AD10401" s="7"/>
      <c r="AE10401" s="7"/>
      <c r="AF10401" s="8"/>
      <c r="AG10401" s="7"/>
    </row>
    <row r="10402" spans="11:33" ht="14.5" x14ac:dyDescent="0.35">
      <c r="K10402" s="4"/>
      <c r="AC10402" s="7"/>
      <c r="AD10402" s="7"/>
      <c r="AE10402" s="7"/>
      <c r="AF10402" s="8"/>
      <c r="AG10402" s="7"/>
    </row>
    <row r="10403" spans="11:33" ht="14.5" x14ac:dyDescent="0.35">
      <c r="K10403" s="4"/>
      <c r="AC10403" s="7"/>
      <c r="AD10403" s="7"/>
      <c r="AE10403" s="7"/>
      <c r="AF10403" s="8"/>
      <c r="AG10403" s="7"/>
    </row>
    <row r="10404" spans="11:33" ht="14.5" x14ac:dyDescent="0.35">
      <c r="K10404" s="4"/>
      <c r="AC10404" s="7"/>
      <c r="AD10404" s="7"/>
      <c r="AE10404" s="7"/>
      <c r="AF10404" s="8"/>
      <c r="AG10404" s="7"/>
    </row>
    <row r="10405" spans="11:33" ht="14.5" x14ac:dyDescent="0.35">
      <c r="K10405" s="4"/>
      <c r="AC10405" s="7"/>
      <c r="AD10405" s="7"/>
      <c r="AE10405" s="7"/>
      <c r="AF10405" s="8"/>
      <c r="AG10405" s="7"/>
    </row>
    <row r="10406" spans="11:33" ht="14.5" x14ac:dyDescent="0.35">
      <c r="K10406" s="4"/>
      <c r="AC10406" s="7"/>
      <c r="AD10406" s="7"/>
      <c r="AE10406" s="7"/>
      <c r="AF10406" s="8"/>
      <c r="AG10406" s="7"/>
    </row>
    <row r="10407" spans="11:33" ht="14.5" x14ac:dyDescent="0.35">
      <c r="K10407" s="4"/>
      <c r="AC10407" s="7"/>
      <c r="AD10407" s="7"/>
      <c r="AE10407" s="7"/>
      <c r="AF10407" s="8"/>
      <c r="AG10407" s="7"/>
    </row>
    <row r="10408" spans="11:33" ht="14.5" x14ac:dyDescent="0.35">
      <c r="K10408" s="4"/>
      <c r="AC10408" s="7"/>
      <c r="AD10408" s="7"/>
      <c r="AE10408" s="7"/>
      <c r="AF10408" s="8"/>
      <c r="AG10408" s="7"/>
    </row>
    <row r="10409" spans="11:33" ht="14.5" x14ac:dyDescent="0.35">
      <c r="K10409" s="4"/>
      <c r="AC10409" s="7"/>
      <c r="AD10409" s="7"/>
      <c r="AE10409" s="7"/>
      <c r="AF10409" s="8"/>
      <c r="AG10409" s="7"/>
    </row>
    <row r="10410" spans="11:33" ht="14.5" x14ac:dyDescent="0.35">
      <c r="K10410" s="4"/>
      <c r="AC10410" s="7"/>
      <c r="AD10410" s="7"/>
      <c r="AE10410" s="7"/>
      <c r="AF10410" s="8"/>
      <c r="AG10410" s="7"/>
    </row>
    <row r="10411" spans="11:33" ht="14.5" x14ac:dyDescent="0.35">
      <c r="K10411" s="4"/>
      <c r="AC10411" s="7"/>
      <c r="AD10411" s="7"/>
      <c r="AE10411" s="7"/>
      <c r="AF10411" s="8"/>
      <c r="AG10411" s="7"/>
    </row>
    <row r="10412" spans="11:33" ht="14.5" x14ac:dyDescent="0.35">
      <c r="K10412" s="4"/>
      <c r="AC10412" s="7"/>
      <c r="AD10412" s="7"/>
      <c r="AE10412" s="7"/>
      <c r="AF10412" s="8"/>
      <c r="AG10412" s="7"/>
    </row>
    <row r="10413" spans="11:33" ht="14.5" x14ac:dyDescent="0.35">
      <c r="K10413" s="4"/>
      <c r="AC10413" s="7"/>
      <c r="AD10413" s="7"/>
      <c r="AE10413" s="7"/>
      <c r="AF10413" s="8"/>
      <c r="AG10413" s="7"/>
    </row>
    <row r="10414" spans="11:33" ht="14.5" x14ac:dyDescent="0.35">
      <c r="K10414" s="4"/>
      <c r="AC10414" s="7"/>
      <c r="AD10414" s="7"/>
      <c r="AE10414" s="7"/>
      <c r="AF10414" s="8"/>
      <c r="AG10414" s="7"/>
    </row>
    <row r="10415" spans="11:33" ht="14.5" x14ac:dyDescent="0.35">
      <c r="K10415" s="4"/>
      <c r="AC10415" s="7"/>
      <c r="AD10415" s="7"/>
      <c r="AE10415" s="7"/>
      <c r="AF10415" s="8"/>
      <c r="AG10415" s="7"/>
    </row>
    <row r="10416" spans="11:33" ht="14.5" x14ac:dyDescent="0.35">
      <c r="K10416" s="4"/>
      <c r="AC10416" s="7"/>
      <c r="AD10416" s="7"/>
      <c r="AE10416" s="7"/>
      <c r="AF10416" s="8"/>
      <c r="AG10416" s="7"/>
    </row>
    <row r="10417" spans="11:33" ht="14.5" x14ac:dyDescent="0.35">
      <c r="K10417" s="4"/>
      <c r="AC10417" s="7"/>
      <c r="AD10417" s="7"/>
      <c r="AE10417" s="7"/>
      <c r="AF10417" s="8"/>
      <c r="AG10417" s="7"/>
    </row>
    <row r="10418" spans="11:33" ht="14.5" x14ac:dyDescent="0.35">
      <c r="K10418" s="4"/>
      <c r="AC10418" s="7"/>
      <c r="AD10418" s="7"/>
      <c r="AE10418" s="7"/>
      <c r="AF10418" s="8"/>
      <c r="AG10418" s="7"/>
    </row>
    <row r="10419" spans="11:33" ht="14.5" x14ac:dyDescent="0.35">
      <c r="K10419" s="4"/>
      <c r="AC10419" s="7"/>
      <c r="AD10419" s="7"/>
      <c r="AE10419" s="7"/>
      <c r="AF10419" s="8"/>
      <c r="AG10419" s="7"/>
    </row>
    <row r="10420" spans="11:33" ht="14.5" x14ac:dyDescent="0.35">
      <c r="K10420" s="4"/>
      <c r="AC10420" s="7"/>
      <c r="AD10420" s="7"/>
      <c r="AE10420" s="7"/>
      <c r="AF10420" s="8"/>
      <c r="AG10420" s="7"/>
    </row>
    <row r="10421" spans="11:33" ht="14.5" x14ac:dyDescent="0.35">
      <c r="K10421" s="4"/>
      <c r="AC10421" s="7"/>
      <c r="AD10421" s="7"/>
      <c r="AE10421" s="7"/>
      <c r="AF10421" s="8"/>
      <c r="AG10421" s="7"/>
    </row>
    <row r="10422" spans="11:33" ht="14.5" x14ac:dyDescent="0.35">
      <c r="K10422" s="4"/>
      <c r="AC10422" s="7"/>
      <c r="AD10422" s="7"/>
      <c r="AE10422" s="7"/>
      <c r="AF10422" s="8"/>
      <c r="AG10422" s="7"/>
    </row>
    <row r="10423" spans="11:33" ht="14.5" x14ac:dyDescent="0.35">
      <c r="K10423" s="4"/>
      <c r="AC10423" s="7"/>
      <c r="AD10423" s="7"/>
      <c r="AE10423" s="7"/>
      <c r="AF10423" s="8"/>
      <c r="AG10423" s="7"/>
    </row>
    <row r="10424" spans="11:33" ht="14.5" x14ac:dyDescent="0.35">
      <c r="K10424" s="4"/>
      <c r="AC10424" s="7"/>
      <c r="AD10424" s="7"/>
      <c r="AE10424" s="7"/>
      <c r="AF10424" s="8"/>
      <c r="AG10424" s="7"/>
    </row>
    <row r="10425" spans="11:33" ht="14.5" x14ac:dyDescent="0.35">
      <c r="K10425" s="4"/>
      <c r="AC10425" s="7"/>
      <c r="AD10425" s="7"/>
      <c r="AE10425" s="7"/>
      <c r="AF10425" s="8"/>
      <c r="AG10425" s="7"/>
    </row>
    <row r="10426" spans="11:33" ht="14.5" x14ac:dyDescent="0.35">
      <c r="K10426" s="4"/>
      <c r="AC10426" s="7"/>
      <c r="AD10426" s="7"/>
      <c r="AE10426" s="7"/>
      <c r="AF10426" s="8"/>
      <c r="AG10426" s="7"/>
    </row>
    <row r="10427" spans="11:33" ht="14.5" x14ac:dyDescent="0.35">
      <c r="K10427" s="4"/>
      <c r="AC10427" s="7"/>
      <c r="AD10427" s="7"/>
      <c r="AE10427" s="7"/>
      <c r="AF10427" s="8"/>
      <c r="AG10427" s="7"/>
    </row>
    <row r="10428" spans="11:33" ht="14.5" x14ac:dyDescent="0.35">
      <c r="K10428" s="4"/>
      <c r="AC10428" s="7"/>
      <c r="AD10428" s="7"/>
      <c r="AE10428" s="7"/>
      <c r="AF10428" s="8"/>
      <c r="AG10428" s="7"/>
    </row>
    <row r="10429" spans="11:33" ht="14.5" x14ac:dyDescent="0.35">
      <c r="K10429" s="4"/>
      <c r="AC10429" s="7"/>
      <c r="AD10429" s="7"/>
      <c r="AE10429" s="7"/>
      <c r="AF10429" s="8"/>
      <c r="AG10429" s="7"/>
    </row>
    <row r="10430" spans="11:33" ht="14.5" x14ac:dyDescent="0.35">
      <c r="K10430" s="4"/>
      <c r="AC10430" s="7"/>
      <c r="AD10430" s="7"/>
      <c r="AE10430" s="7"/>
      <c r="AF10430" s="8"/>
      <c r="AG10430" s="7"/>
    </row>
    <row r="10431" spans="11:33" ht="14.5" x14ac:dyDescent="0.35">
      <c r="K10431" s="4"/>
      <c r="AC10431" s="7"/>
      <c r="AD10431" s="7"/>
      <c r="AE10431" s="7"/>
      <c r="AF10431" s="8"/>
      <c r="AG10431" s="7"/>
    </row>
    <row r="10432" spans="11:33" ht="14.5" x14ac:dyDescent="0.35">
      <c r="K10432" s="4"/>
      <c r="AC10432" s="7"/>
      <c r="AD10432" s="7"/>
      <c r="AE10432" s="7"/>
      <c r="AF10432" s="8"/>
      <c r="AG10432" s="7"/>
    </row>
    <row r="10433" spans="11:33" ht="14.5" x14ac:dyDescent="0.35">
      <c r="K10433" s="4"/>
      <c r="AC10433" s="7"/>
      <c r="AD10433" s="7"/>
      <c r="AE10433" s="7"/>
      <c r="AF10433" s="8"/>
      <c r="AG10433" s="7"/>
    </row>
    <row r="10434" spans="11:33" ht="14.5" x14ac:dyDescent="0.35">
      <c r="K10434" s="4"/>
      <c r="AC10434" s="7"/>
      <c r="AD10434" s="7"/>
      <c r="AE10434" s="7"/>
      <c r="AF10434" s="8"/>
      <c r="AG10434" s="7"/>
    </row>
    <row r="10435" spans="11:33" ht="14.5" x14ac:dyDescent="0.35">
      <c r="K10435" s="4"/>
      <c r="AC10435" s="7"/>
      <c r="AD10435" s="7"/>
      <c r="AE10435" s="7"/>
      <c r="AF10435" s="8"/>
      <c r="AG10435" s="7"/>
    </row>
    <row r="10436" spans="11:33" ht="14.5" x14ac:dyDescent="0.35">
      <c r="K10436" s="4"/>
      <c r="AC10436" s="7"/>
      <c r="AD10436" s="7"/>
      <c r="AE10436" s="7"/>
      <c r="AF10436" s="8"/>
      <c r="AG10436" s="7"/>
    </row>
    <row r="10437" spans="11:33" ht="14.5" x14ac:dyDescent="0.35">
      <c r="K10437" s="4"/>
      <c r="AC10437" s="7"/>
      <c r="AD10437" s="7"/>
      <c r="AE10437" s="7"/>
      <c r="AF10437" s="8"/>
      <c r="AG10437" s="7"/>
    </row>
    <row r="10438" spans="11:33" ht="14.5" x14ac:dyDescent="0.35">
      <c r="K10438" s="4"/>
      <c r="AC10438" s="7"/>
      <c r="AD10438" s="7"/>
      <c r="AE10438" s="7"/>
      <c r="AF10438" s="8"/>
      <c r="AG10438" s="7"/>
    </row>
    <row r="10439" spans="11:33" ht="14.5" x14ac:dyDescent="0.35">
      <c r="K10439" s="4"/>
      <c r="AC10439" s="7"/>
      <c r="AD10439" s="7"/>
      <c r="AE10439" s="7"/>
      <c r="AF10439" s="8"/>
      <c r="AG10439" s="7"/>
    </row>
    <row r="10440" spans="11:33" ht="14.5" x14ac:dyDescent="0.35">
      <c r="K10440" s="4"/>
      <c r="AC10440" s="7"/>
      <c r="AD10440" s="7"/>
      <c r="AE10440" s="7"/>
      <c r="AF10440" s="8"/>
      <c r="AG10440" s="7"/>
    </row>
    <row r="10441" spans="11:33" ht="14.5" x14ac:dyDescent="0.35">
      <c r="K10441" s="4"/>
      <c r="AC10441" s="7"/>
      <c r="AD10441" s="7"/>
      <c r="AE10441" s="7"/>
      <c r="AF10441" s="8"/>
      <c r="AG10441" s="7"/>
    </row>
    <row r="10442" spans="11:33" ht="14.5" x14ac:dyDescent="0.35">
      <c r="K10442" s="4"/>
      <c r="AC10442" s="7"/>
      <c r="AD10442" s="7"/>
      <c r="AE10442" s="7"/>
      <c r="AF10442" s="8"/>
      <c r="AG10442" s="7"/>
    </row>
    <row r="10443" spans="11:33" ht="14.5" x14ac:dyDescent="0.35">
      <c r="K10443" s="4"/>
      <c r="AC10443" s="7"/>
      <c r="AD10443" s="7"/>
      <c r="AE10443" s="7"/>
      <c r="AF10443" s="8"/>
      <c r="AG10443" s="7"/>
    </row>
    <row r="10444" spans="11:33" ht="14.5" x14ac:dyDescent="0.35">
      <c r="K10444" s="4"/>
      <c r="AC10444" s="7"/>
      <c r="AD10444" s="7"/>
      <c r="AE10444" s="7"/>
      <c r="AF10444" s="8"/>
      <c r="AG10444" s="7"/>
    </row>
    <row r="10445" spans="11:33" ht="14.5" x14ac:dyDescent="0.35">
      <c r="K10445" s="4"/>
      <c r="AC10445" s="7"/>
      <c r="AD10445" s="7"/>
      <c r="AE10445" s="7"/>
      <c r="AF10445" s="8"/>
      <c r="AG10445" s="7"/>
    </row>
    <row r="10446" spans="11:33" ht="14.5" x14ac:dyDescent="0.35">
      <c r="K10446" s="4"/>
      <c r="AC10446" s="7"/>
      <c r="AD10446" s="7"/>
      <c r="AE10446" s="7"/>
      <c r="AF10446" s="8"/>
      <c r="AG10446" s="7"/>
    </row>
    <row r="10447" spans="11:33" ht="14.5" x14ac:dyDescent="0.35">
      <c r="K10447" s="4"/>
      <c r="AC10447" s="7"/>
      <c r="AD10447" s="7"/>
      <c r="AE10447" s="7"/>
      <c r="AF10447" s="8"/>
      <c r="AG10447" s="7"/>
    </row>
    <row r="10448" spans="11:33" ht="14.5" x14ac:dyDescent="0.35">
      <c r="K10448" s="4"/>
      <c r="AC10448" s="7"/>
      <c r="AD10448" s="7"/>
      <c r="AE10448" s="7"/>
      <c r="AF10448" s="8"/>
      <c r="AG10448" s="7"/>
    </row>
    <row r="10449" spans="11:33" ht="14.5" x14ac:dyDescent="0.35">
      <c r="K10449" s="4"/>
      <c r="AC10449" s="7"/>
      <c r="AD10449" s="7"/>
      <c r="AE10449" s="7"/>
      <c r="AF10449" s="8"/>
      <c r="AG10449" s="7"/>
    </row>
    <row r="10450" spans="11:33" ht="14.5" x14ac:dyDescent="0.35">
      <c r="K10450" s="4"/>
      <c r="AC10450" s="7"/>
      <c r="AD10450" s="7"/>
      <c r="AE10450" s="7"/>
      <c r="AF10450" s="8"/>
      <c r="AG10450" s="7"/>
    </row>
    <row r="10451" spans="11:33" ht="14.5" x14ac:dyDescent="0.35">
      <c r="K10451" s="4"/>
      <c r="AC10451" s="7"/>
      <c r="AD10451" s="7"/>
      <c r="AE10451" s="7"/>
      <c r="AF10451" s="8"/>
      <c r="AG10451" s="7"/>
    </row>
    <row r="10452" spans="11:33" ht="14.5" x14ac:dyDescent="0.35">
      <c r="K10452" s="4"/>
      <c r="AC10452" s="7"/>
      <c r="AD10452" s="7"/>
      <c r="AE10452" s="7"/>
      <c r="AF10452" s="8"/>
      <c r="AG10452" s="7"/>
    </row>
    <row r="10453" spans="11:33" ht="14.5" x14ac:dyDescent="0.35">
      <c r="K10453" s="4"/>
      <c r="AC10453" s="7"/>
      <c r="AD10453" s="7"/>
      <c r="AE10453" s="7"/>
      <c r="AF10453" s="8"/>
      <c r="AG10453" s="7"/>
    </row>
    <row r="10454" spans="11:33" ht="14.5" x14ac:dyDescent="0.35">
      <c r="K10454" s="4"/>
      <c r="AC10454" s="7"/>
      <c r="AD10454" s="7"/>
      <c r="AE10454" s="7"/>
      <c r="AF10454" s="8"/>
      <c r="AG10454" s="7"/>
    </row>
    <row r="10455" spans="11:33" ht="14.5" x14ac:dyDescent="0.35">
      <c r="K10455" s="4"/>
      <c r="AC10455" s="7"/>
      <c r="AD10455" s="7"/>
      <c r="AE10455" s="7"/>
      <c r="AF10455" s="8"/>
      <c r="AG10455" s="7"/>
    </row>
    <row r="10456" spans="11:33" ht="14.5" x14ac:dyDescent="0.35">
      <c r="K10456" s="4"/>
      <c r="AC10456" s="7"/>
      <c r="AD10456" s="7"/>
      <c r="AE10456" s="7"/>
      <c r="AF10456" s="8"/>
      <c r="AG10456" s="7"/>
    </row>
    <row r="10457" spans="11:33" ht="14.5" x14ac:dyDescent="0.35">
      <c r="K10457" s="4"/>
      <c r="AC10457" s="7"/>
      <c r="AD10457" s="7"/>
      <c r="AE10457" s="7"/>
      <c r="AF10457" s="8"/>
      <c r="AG10457" s="7"/>
    </row>
    <row r="10458" spans="11:33" ht="14.5" x14ac:dyDescent="0.35">
      <c r="K10458" s="4"/>
      <c r="AC10458" s="7"/>
      <c r="AD10458" s="7"/>
      <c r="AE10458" s="7"/>
      <c r="AF10458" s="8"/>
      <c r="AG10458" s="7"/>
    </row>
    <row r="10459" spans="11:33" ht="14.5" x14ac:dyDescent="0.35">
      <c r="K10459" s="4"/>
      <c r="AC10459" s="7"/>
      <c r="AD10459" s="7"/>
      <c r="AE10459" s="7"/>
      <c r="AF10459" s="8"/>
      <c r="AG10459" s="7"/>
    </row>
    <row r="10460" spans="11:33" ht="14.5" x14ac:dyDescent="0.35">
      <c r="K10460" s="4"/>
      <c r="AC10460" s="7"/>
      <c r="AD10460" s="7"/>
      <c r="AE10460" s="7"/>
      <c r="AF10460" s="8"/>
      <c r="AG10460" s="7"/>
    </row>
    <row r="10461" spans="11:33" ht="14.5" x14ac:dyDescent="0.35">
      <c r="K10461" s="4"/>
      <c r="AC10461" s="7"/>
      <c r="AD10461" s="7"/>
      <c r="AE10461" s="7"/>
      <c r="AF10461" s="8"/>
      <c r="AG10461" s="7"/>
    </row>
    <row r="10462" spans="11:33" ht="14.5" x14ac:dyDescent="0.35">
      <c r="K10462" s="4"/>
      <c r="AC10462" s="7"/>
      <c r="AD10462" s="7"/>
      <c r="AE10462" s="7"/>
      <c r="AF10462" s="8"/>
      <c r="AG10462" s="7"/>
    </row>
    <row r="10463" spans="11:33" ht="14.5" x14ac:dyDescent="0.35">
      <c r="K10463" s="4"/>
      <c r="AC10463" s="7"/>
      <c r="AD10463" s="7"/>
      <c r="AE10463" s="7"/>
      <c r="AF10463" s="8"/>
      <c r="AG10463" s="7"/>
    </row>
    <row r="10464" spans="11:33" ht="14.5" x14ac:dyDescent="0.35">
      <c r="K10464" s="4"/>
      <c r="AC10464" s="7"/>
      <c r="AD10464" s="7"/>
      <c r="AE10464" s="7"/>
      <c r="AF10464" s="8"/>
      <c r="AG10464" s="7"/>
    </row>
    <row r="10465" spans="11:33" ht="14.5" x14ac:dyDescent="0.35">
      <c r="K10465" s="4"/>
      <c r="AC10465" s="7"/>
      <c r="AD10465" s="7"/>
      <c r="AE10465" s="7"/>
      <c r="AF10465" s="8"/>
      <c r="AG10465" s="7"/>
    </row>
    <row r="10466" spans="11:33" ht="14.5" x14ac:dyDescent="0.35">
      <c r="K10466" s="4"/>
      <c r="AC10466" s="7"/>
      <c r="AD10466" s="7"/>
      <c r="AE10466" s="7"/>
      <c r="AF10466" s="8"/>
      <c r="AG10466" s="7"/>
    </row>
    <row r="10467" spans="11:33" ht="14.5" x14ac:dyDescent="0.35">
      <c r="K10467" s="4"/>
      <c r="AC10467" s="7"/>
      <c r="AD10467" s="7"/>
      <c r="AE10467" s="7"/>
      <c r="AF10467" s="8"/>
      <c r="AG10467" s="7"/>
    </row>
    <row r="10468" spans="11:33" ht="14.5" x14ac:dyDescent="0.35">
      <c r="K10468" s="4"/>
      <c r="AC10468" s="7"/>
      <c r="AD10468" s="7"/>
      <c r="AE10468" s="7"/>
      <c r="AF10468" s="8"/>
      <c r="AG10468" s="7"/>
    </row>
    <row r="10469" spans="11:33" ht="14.5" x14ac:dyDescent="0.35">
      <c r="K10469" s="4"/>
      <c r="AC10469" s="7"/>
      <c r="AD10469" s="7"/>
      <c r="AE10469" s="7"/>
      <c r="AF10469" s="8"/>
      <c r="AG10469" s="7"/>
    </row>
    <row r="10470" spans="11:33" ht="14.5" x14ac:dyDescent="0.35">
      <c r="K10470" s="4"/>
      <c r="AC10470" s="7"/>
      <c r="AD10470" s="7"/>
      <c r="AE10470" s="7"/>
      <c r="AF10470" s="8"/>
      <c r="AG10470" s="7"/>
    </row>
    <row r="10471" spans="11:33" ht="14.5" x14ac:dyDescent="0.35">
      <c r="K10471" s="4"/>
      <c r="AC10471" s="7"/>
      <c r="AD10471" s="7"/>
      <c r="AE10471" s="7"/>
      <c r="AF10471" s="8"/>
      <c r="AG10471" s="7"/>
    </row>
    <row r="10472" spans="11:33" ht="14.5" x14ac:dyDescent="0.35">
      <c r="K10472" s="4"/>
      <c r="AC10472" s="7"/>
      <c r="AD10472" s="7"/>
      <c r="AE10472" s="7"/>
      <c r="AF10472" s="8"/>
      <c r="AG10472" s="7"/>
    </row>
    <row r="10473" spans="11:33" ht="14.5" x14ac:dyDescent="0.35">
      <c r="K10473" s="4"/>
      <c r="AC10473" s="7"/>
      <c r="AD10473" s="7"/>
      <c r="AE10473" s="7"/>
      <c r="AF10473" s="8"/>
      <c r="AG10473" s="7"/>
    </row>
    <row r="10474" spans="11:33" ht="14.5" x14ac:dyDescent="0.35">
      <c r="K10474" s="4"/>
      <c r="AC10474" s="7"/>
      <c r="AD10474" s="7"/>
      <c r="AE10474" s="7"/>
      <c r="AF10474" s="8"/>
      <c r="AG10474" s="7"/>
    </row>
    <row r="10475" spans="11:33" ht="14.5" x14ac:dyDescent="0.35">
      <c r="K10475" s="4"/>
      <c r="AC10475" s="7"/>
      <c r="AD10475" s="7"/>
      <c r="AE10475" s="7"/>
      <c r="AF10475" s="8"/>
      <c r="AG10475" s="7"/>
    </row>
    <row r="10476" spans="11:33" ht="14.5" x14ac:dyDescent="0.35">
      <c r="K10476" s="4"/>
      <c r="AC10476" s="7"/>
      <c r="AD10476" s="7"/>
      <c r="AE10476" s="7"/>
      <c r="AF10476" s="8"/>
      <c r="AG10476" s="7"/>
    </row>
    <row r="10477" spans="11:33" ht="14.5" x14ac:dyDescent="0.35">
      <c r="K10477" s="4"/>
      <c r="AC10477" s="7"/>
      <c r="AD10477" s="7"/>
      <c r="AE10477" s="7"/>
      <c r="AF10477" s="8"/>
      <c r="AG10477" s="7"/>
    </row>
    <row r="10478" spans="11:33" ht="14.5" x14ac:dyDescent="0.35">
      <c r="K10478" s="4"/>
      <c r="AC10478" s="7"/>
      <c r="AD10478" s="7"/>
      <c r="AE10478" s="7"/>
      <c r="AF10478" s="8"/>
      <c r="AG10478" s="7"/>
    </row>
    <row r="10479" spans="11:33" ht="14.5" x14ac:dyDescent="0.35">
      <c r="K10479" s="4"/>
      <c r="AC10479" s="7"/>
      <c r="AD10479" s="7"/>
      <c r="AE10479" s="7"/>
      <c r="AF10479" s="8"/>
      <c r="AG10479" s="7"/>
    </row>
    <row r="10480" spans="11:33" ht="14.5" x14ac:dyDescent="0.35">
      <c r="K10480" s="4"/>
      <c r="AC10480" s="7"/>
      <c r="AD10480" s="7"/>
      <c r="AE10480" s="7"/>
      <c r="AF10480" s="8"/>
      <c r="AG10480" s="7"/>
    </row>
    <row r="10481" spans="11:33" ht="14.5" x14ac:dyDescent="0.35">
      <c r="K10481" s="4"/>
      <c r="AC10481" s="7"/>
      <c r="AD10481" s="7"/>
      <c r="AE10481" s="7"/>
      <c r="AF10481" s="8"/>
      <c r="AG10481" s="7"/>
    </row>
    <row r="10482" spans="11:33" ht="14.5" x14ac:dyDescent="0.35">
      <c r="K10482" s="4"/>
      <c r="AC10482" s="7"/>
      <c r="AD10482" s="7"/>
      <c r="AE10482" s="7"/>
      <c r="AF10482" s="8"/>
      <c r="AG10482" s="7"/>
    </row>
    <row r="10483" spans="11:33" ht="14.5" x14ac:dyDescent="0.35">
      <c r="K10483" s="4"/>
      <c r="AC10483" s="7"/>
      <c r="AD10483" s="7"/>
      <c r="AE10483" s="7"/>
      <c r="AF10483" s="8"/>
      <c r="AG10483" s="7"/>
    </row>
    <row r="10484" spans="11:33" ht="14.5" x14ac:dyDescent="0.35">
      <c r="K10484" s="4"/>
      <c r="AC10484" s="7"/>
      <c r="AD10484" s="7"/>
      <c r="AE10484" s="7"/>
      <c r="AF10484" s="8"/>
      <c r="AG10484" s="7"/>
    </row>
    <row r="10485" spans="11:33" ht="14.5" x14ac:dyDescent="0.35">
      <c r="K10485" s="4"/>
      <c r="AC10485" s="7"/>
      <c r="AD10485" s="7"/>
      <c r="AE10485" s="7"/>
      <c r="AF10485" s="8"/>
      <c r="AG10485" s="7"/>
    </row>
    <row r="10486" spans="11:33" ht="14.5" x14ac:dyDescent="0.35">
      <c r="K10486" s="4"/>
      <c r="AC10486" s="7"/>
      <c r="AD10486" s="7"/>
      <c r="AE10486" s="7"/>
      <c r="AF10486" s="8"/>
      <c r="AG10486" s="7"/>
    </row>
    <row r="10487" spans="11:33" ht="14.5" x14ac:dyDescent="0.35">
      <c r="K10487" s="4"/>
      <c r="AC10487" s="7"/>
      <c r="AD10487" s="7"/>
      <c r="AE10487" s="7"/>
      <c r="AF10487" s="8"/>
      <c r="AG10487" s="7"/>
    </row>
    <row r="10488" spans="11:33" ht="14.5" x14ac:dyDescent="0.35">
      <c r="K10488" s="4"/>
      <c r="AC10488" s="7"/>
      <c r="AD10488" s="7"/>
      <c r="AE10488" s="7"/>
      <c r="AF10488" s="8"/>
      <c r="AG10488" s="7"/>
    </row>
    <row r="10489" spans="11:33" ht="14.5" x14ac:dyDescent="0.35">
      <c r="K10489" s="4"/>
      <c r="AC10489" s="7"/>
      <c r="AD10489" s="7"/>
      <c r="AE10489" s="7"/>
      <c r="AF10489" s="8"/>
      <c r="AG10489" s="7"/>
    </row>
    <row r="10490" spans="11:33" ht="14.5" x14ac:dyDescent="0.35">
      <c r="K10490" s="4"/>
      <c r="AC10490" s="7"/>
      <c r="AD10490" s="7"/>
      <c r="AE10490" s="7"/>
      <c r="AF10490" s="8"/>
      <c r="AG10490" s="7"/>
    </row>
    <row r="10491" spans="11:33" ht="14.5" x14ac:dyDescent="0.35">
      <c r="K10491" s="4"/>
      <c r="AC10491" s="7"/>
      <c r="AD10491" s="7"/>
      <c r="AE10491" s="7"/>
      <c r="AF10491" s="8"/>
      <c r="AG10491" s="7"/>
    </row>
    <row r="10492" spans="11:33" ht="14.5" x14ac:dyDescent="0.35">
      <c r="K10492" s="4"/>
      <c r="AC10492" s="7"/>
      <c r="AD10492" s="7"/>
      <c r="AE10492" s="7"/>
      <c r="AF10492" s="8"/>
      <c r="AG10492" s="7"/>
    </row>
    <row r="10493" spans="11:33" ht="14.5" x14ac:dyDescent="0.35">
      <c r="K10493" s="4"/>
      <c r="AC10493" s="7"/>
      <c r="AD10493" s="7"/>
      <c r="AE10493" s="7"/>
      <c r="AF10493" s="8"/>
      <c r="AG10493" s="7"/>
    </row>
    <row r="10494" spans="11:33" ht="14.5" x14ac:dyDescent="0.35">
      <c r="K10494" s="4"/>
      <c r="AC10494" s="7"/>
      <c r="AD10494" s="7"/>
      <c r="AE10494" s="7"/>
      <c r="AF10494" s="8"/>
      <c r="AG10494" s="7"/>
    </row>
    <row r="10495" spans="11:33" ht="14.5" x14ac:dyDescent="0.35">
      <c r="K10495" s="4"/>
      <c r="AC10495" s="7"/>
      <c r="AD10495" s="7"/>
      <c r="AE10495" s="7"/>
      <c r="AF10495" s="8"/>
      <c r="AG10495" s="7"/>
    </row>
    <row r="10496" spans="11:33" ht="14.5" x14ac:dyDescent="0.35">
      <c r="K10496" s="4"/>
      <c r="AC10496" s="7"/>
      <c r="AD10496" s="7"/>
      <c r="AE10496" s="7"/>
      <c r="AF10496" s="8"/>
      <c r="AG10496" s="7"/>
    </row>
    <row r="10497" spans="11:33" ht="14.5" x14ac:dyDescent="0.35">
      <c r="K10497" s="4"/>
      <c r="AC10497" s="7"/>
      <c r="AD10497" s="7"/>
      <c r="AE10497" s="7"/>
      <c r="AF10497" s="8"/>
      <c r="AG10497" s="7"/>
    </row>
    <row r="10498" spans="11:33" ht="14.5" x14ac:dyDescent="0.35">
      <c r="K10498" s="4"/>
      <c r="AC10498" s="7"/>
      <c r="AD10498" s="7"/>
      <c r="AE10498" s="7"/>
      <c r="AF10498" s="8"/>
      <c r="AG10498" s="7"/>
    </row>
    <row r="10499" spans="11:33" ht="14.5" x14ac:dyDescent="0.35">
      <c r="K10499" s="4"/>
      <c r="AC10499" s="7"/>
      <c r="AD10499" s="7"/>
      <c r="AE10499" s="7"/>
      <c r="AF10499" s="8"/>
      <c r="AG10499" s="7"/>
    </row>
    <row r="10500" spans="11:33" ht="14.5" x14ac:dyDescent="0.35">
      <c r="K10500" s="4"/>
      <c r="AC10500" s="7"/>
      <c r="AD10500" s="7"/>
      <c r="AE10500" s="7"/>
      <c r="AF10500" s="8"/>
      <c r="AG10500" s="7"/>
    </row>
    <row r="10501" spans="11:33" ht="14.5" x14ac:dyDescent="0.35">
      <c r="K10501" s="4"/>
      <c r="AC10501" s="7"/>
      <c r="AD10501" s="7"/>
      <c r="AE10501" s="7"/>
      <c r="AF10501" s="8"/>
      <c r="AG10501" s="7"/>
    </row>
    <row r="10502" spans="11:33" ht="14.5" x14ac:dyDescent="0.35">
      <c r="K10502" s="4"/>
      <c r="AC10502" s="7"/>
      <c r="AD10502" s="7"/>
      <c r="AE10502" s="7"/>
      <c r="AF10502" s="8"/>
      <c r="AG10502" s="7"/>
    </row>
    <row r="10503" spans="11:33" ht="14.5" x14ac:dyDescent="0.35">
      <c r="K10503" s="4"/>
      <c r="AC10503" s="7"/>
      <c r="AD10503" s="7"/>
      <c r="AE10503" s="7"/>
      <c r="AF10503" s="8"/>
      <c r="AG10503" s="7"/>
    </row>
    <row r="10504" spans="11:33" ht="14.5" x14ac:dyDescent="0.35">
      <c r="K10504" s="4"/>
      <c r="AC10504" s="7"/>
      <c r="AD10504" s="7"/>
      <c r="AE10504" s="7"/>
      <c r="AF10504" s="8"/>
      <c r="AG10504" s="7"/>
    </row>
    <row r="10505" spans="11:33" ht="14.5" x14ac:dyDescent="0.35">
      <c r="K10505" s="4"/>
      <c r="AC10505" s="7"/>
      <c r="AD10505" s="7"/>
      <c r="AE10505" s="7"/>
      <c r="AF10505" s="8"/>
      <c r="AG10505" s="7"/>
    </row>
    <row r="10506" spans="11:33" ht="14.5" x14ac:dyDescent="0.35">
      <c r="K10506" s="4"/>
      <c r="AC10506" s="7"/>
      <c r="AD10506" s="7"/>
      <c r="AE10506" s="7"/>
      <c r="AF10506" s="8"/>
      <c r="AG10506" s="7"/>
    </row>
    <row r="10507" spans="11:33" ht="14.5" x14ac:dyDescent="0.35">
      <c r="K10507" s="4"/>
      <c r="AC10507" s="7"/>
      <c r="AD10507" s="7"/>
      <c r="AE10507" s="7"/>
      <c r="AF10507" s="8"/>
      <c r="AG10507" s="7"/>
    </row>
    <row r="10508" spans="11:33" ht="14.5" x14ac:dyDescent="0.35">
      <c r="K10508" s="4"/>
      <c r="AC10508" s="7"/>
      <c r="AD10508" s="7"/>
      <c r="AE10508" s="7"/>
      <c r="AF10508" s="8"/>
      <c r="AG10508" s="7"/>
    </row>
    <row r="10509" spans="11:33" ht="14.5" x14ac:dyDescent="0.35">
      <c r="K10509" s="4"/>
      <c r="AC10509" s="7"/>
      <c r="AD10509" s="7"/>
      <c r="AE10509" s="7"/>
      <c r="AF10509" s="8"/>
      <c r="AG10509" s="7"/>
    </row>
    <row r="10510" spans="11:33" ht="14.5" x14ac:dyDescent="0.35">
      <c r="K10510" s="4"/>
      <c r="AC10510" s="7"/>
      <c r="AD10510" s="7"/>
      <c r="AE10510" s="7"/>
      <c r="AF10510" s="8"/>
      <c r="AG10510" s="7"/>
    </row>
    <row r="10511" spans="11:33" ht="14.5" x14ac:dyDescent="0.35">
      <c r="K10511" s="4"/>
      <c r="AC10511" s="7"/>
      <c r="AD10511" s="7"/>
      <c r="AE10511" s="7"/>
      <c r="AF10511" s="8"/>
      <c r="AG10511" s="7"/>
    </row>
    <row r="10512" spans="11:33" ht="14.5" x14ac:dyDescent="0.35">
      <c r="K10512" s="4"/>
      <c r="AC10512" s="7"/>
      <c r="AD10512" s="7"/>
      <c r="AE10512" s="7"/>
      <c r="AF10512" s="8"/>
      <c r="AG10512" s="7"/>
    </row>
    <row r="10513" spans="11:33" ht="14.5" x14ac:dyDescent="0.35">
      <c r="K10513" s="4"/>
      <c r="AC10513" s="7"/>
      <c r="AD10513" s="7"/>
      <c r="AE10513" s="7"/>
      <c r="AF10513" s="8"/>
      <c r="AG10513" s="7"/>
    </row>
    <row r="10514" spans="11:33" ht="14.5" x14ac:dyDescent="0.35">
      <c r="K10514" s="4"/>
      <c r="AC10514" s="7"/>
      <c r="AD10514" s="7"/>
      <c r="AE10514" s="7"/>
      <c r="AF10514" s="8"/>
      <c r="AG10514" s="7"/>
    </row>
    <row r="10515" spans="11:33" ht="14.5" x14ac:dyDescent="0.35">
      <c r="K10515" s="4"/>
      <c r="AC10515" s="7"/>
      <c r="AD10515" s="7"/>
      <c r="AE10515" s="7"/>
      <c r="AF10515" s="8"/>
      <c r="AG10515" s="7"/>
    </row>
    <row r="10516" spans="11:33" ht="14.5" x14ac:dyDescent="0.35">
      <c r="K10516" s="4"/>
      <c r="AC10516" s="7"/>
      <c r="AD10516" s="7"/>
      <c r="AE10516" s="7"/>
      <c r="AF10516" s="8"/>
      <c r="AG10516" s="7"/>
    </row>
    <row r="10517" spans="11:33" ht="14.5" x14ac:dyDescent="0.35">
      <c r="K10517" s="4"/>
      <c r="AC10517" s="7"/>
      <c r="AD10517" s="7"/>
      <c r="AE10517" s="7"/>
      <c r="AF10517" s="8"/>
      <c r="AG10517" s="7"/>
    </row>
    <row r="10518" spans="11:33" ht="14.5" x14ac:dyDescent="0.35">
      <c r="K10518" s="4"/>
      <c r="AC10518" s="7"/>
      <c r="AD10518" s="7"/>
      <c r="AE10518" s="7"/>
      <c r="AF10518" s="8"/>
      <c r="AG10518" s="7"/>
    </row>
    <row r="10519" spans="11:33" ht="14.5" x14ac:dyDescent="0.35">
      <c r="K10519" s="4"/>
      <c r="AC10519" s="7"/>
      <c r="AD10519" s="7"/>
      <c r="AE10519" s="7"/>
      <c r="AF10519" s="8"/>
      <c r="AG10519" s="7"/>
    </row>
    <row r="10520" spans="11:33" ht="14.5" x14ac:dyDescent="0.35">
      <c r="K10520" s="4"/>
      <c r="AC10520" s="7"/>
      <c r="AD10520" s="7"/>
      <c r="AE10520" s="7"/>
      <c r="AF10520" s="8"/>
      <c r="AG10520" s="7"/>
    </row>
    <row r="10521" spans="11:33" ht="14.5" x14ac:dyDescent="0.35">
      <c r="K10521" s="4"/>
      <c r="AC10521" s="7"/>
      <c r="AD10521" s="7"/>
      <c r="AE10521" s="7"/>
      <c r="AF10521" s="8"/>
      <c r="AG10521" s="7"/>
    </row>
    <row r="10522" spans="11:33" ht="14.5" x14ac:dyDescent="0.35">
      <c r="K10522" s="4"/>
      <c r="AC10522" s="7"/>
      <c r="AD10522" s="7"/>
      <c r="AE10522" s="7"/>
      <c r="AF10522" s="8"/>
      <c r="AG10522" s="7"/>
    </row>
    <row r="10523" spans="11:33" ht="14.5" x14ac:dyDescent="0.35">
      <c r="K10523" s="4"/>
      <c r="AC10523" s="7"/>
      <c r="AD10523" s="7"/>
      <c r="AE10523" s="7"/>
      <c r="AF10523" s="8"/>
      <c r="AG10523" s="7"/>
    </row>
    <row r="10524" spans="11:33" ht="14.5" x14ac:dyDescent="0.35">
      <c r="K10524" s="4"/>
      <c r="AC10524" s="7"/>
      <c r="AD10524" s="7"/>
      <c r="AE10524" s="7"/>
      <c r="AF10524" s="8"/>
      <c r="AG10524" s="7"/>
    </row>
    <row r="10525" spans="11:33" ht="14.5" x14ac:dyDescent="0.35">
      <c r="K10525" s="4"/>
      <c r="AC10525" s="7"/>
      <c r="AD10525" s="7"/>
      <c r="AE10525" s="7"/>
      <c r="AF10525" s="8"/>
      <c r="AG10525" s="7"/>
    </row>
    <row r="10526" spans="11:33" ht="14.5" x14ac:dyDescent="0.35">
      <c r="K10526" s="4"/>
      <c r="AC10526" s="7"/>
      <c r="AD10526" s="7"/>
      <c r="AE10526" s="7"/>
      <c r="AF10526" s="8"/>
      <c r="AG10526" s="7"/>
    </row>
    <row r="10527" spans="11:33" ht="14.5" x14ac:dyDescent="0.35">
      <c r="K10527" s="4"/>
      <c r="AC10527" s="7"/>
      <c r="AD10527" s="7"/>
      <c r="AE10527" s="7"/>
      <c r="AF10527" s="8"/>
      <c r="AG10527" s="7"/>
    </row>
    <row r="10528" spans="11:33" ht="14.5" x14ac:dyDescent="0.35">
      <c r="K10528" s="4"/>
      <c r="AC10528" s="7"/>
      <c r="AD10528" s="7"/>
      <c r="AE10528" s="7"/>
      <c r="AF10528" s="8"/>
      <c r="AG10528" s="7"/>
    </row>
    <row r="10529" spans="11:33" ht="14.5" x14ac:dyDescent="0.35">
      <c r="K10529" s="4"/>
      <c r="AC10529" s="7"/>
      <c r="AD10529" s="7"/>
      <c r="AE10529" s="7"/>
      <c r="AF10529" s="8"/>
      <c r="AG10529" s="7"/>
    </row>
    <row r="10530" spans="11:33" ht="14.5" x14ac:dyDescent="0.35">
      <c r="K10530" s="4"/>
      <c r="AC10530" s="7"/>
      <c r="AD10530" s="7"/>
      <c r="AE10530" s="7"/>
      <c r="AF10530" s="8"/>
      <c r="AG10530" s="7"/>
    </row>
    <row r="10531" spans="11:33" ht="14.5" x14ac:dyDescent="0.35">
      <c r="K10531" s="4"/>
      <c r="AC10531" s="7"/>
      <c r="AD10531" s="7"/>
      <c r="AE10531" s="7"/>
      <c r="AF10531" s="8"/>
      <c r="AG10531" s="7"/>
    </row>
    <row r="10532" spans="11:33" ht="14.5" x14ac:dyDescent="0.35">
      <c r="K10532" s="4"/>
      <c r="AC10532" s="7"/>
      <c r="AD10532" s="7"/>
      <c r="AE10532" s="7"/>
      <c r="AF10532" s="8"/>
      <c r="AG10532" s="7"/>
    </row>
    <row r="10533" spans="11:33" ht="14.5" x14ac:dyDescent="0.35">
      <c r="K10533" s="4"/>
      <c r="AC10533" s="7"/>
      <c r="AD10533" s="7"/>
      <c r="AE10533" s="7"/>
      <c r="AF10533" s="8"/>
      <c r="AG10533" s="7"/>
    </row>
    <row r="10534" spans="11:33" ht="14.5" x14ac:dyDescent="0.35">
      <c r="K10534" s="4"/>
      <c r="AC10534" s="7"/>
      <c r="AD10534" s="7"/>
      <c r="AE10534" s="7"/>
      <c r="AF10534" s="8"/>
      <c r="AG10534" s="7"/>
    </row>
    <row r="10535" spans="11:33" ht="14.5" x14ac:dyDescent="0.35">
      <c r="K10535" s="4"/>
      <c r="AC10535" s="7"/>
      <c r="AD10535" s="7"/>
      <c r="AE10535" s="7"/>
      <c r="AF10535" s="8"/>
      <c r="AG10535" s="7"/>
    </row>
    <row r="10536" spans="11:33" ht="14.5" x14ac:dyDescent="0.35">
      <c r="K10536" s="4"/>
      <c r="AC10536" s="7"/>
      <c r="AD10536" s="7"/>
      <c r="AE10536" s="7"/>
      <c r="AF10536" s="8"/>
      <c r="AG10536" s="7"/>
    </row>
    <row r="10537" spans="11:33" ht="14.5" x14ac:dyDescent="0.35">
      <c r="K10537" s="4"/>
      <c r="AC10537" s="7"/>
      <c r="AD10537" s="7"/>
      <c r="AE10537" s="7"/>
      <c r="AF10537" s="8"/>
      <c r="AG10537" s="7"/>
    </row>
    <row r="10538" spans="11:33" ht="14.5" x14ac:dyDescent="0.35">
      <c r="K10538" s="4"/>
      <c r="AC10538" s="7"/>
      <c r="AD10538" s="7"/>
      <c r="AE10538" s="7"/>
      <c r="AF10538" s="8"/>
      <c r="AG10538" s="7"/>
    </row>
    <row r="10539" spans="11:33" ht="14.5" x14ac:dyDescent="0.35">
      <c r="K10539" s="4"/>
      <c r="AC10539" s="7"/>
      <c r="AD10539" s="7"/>
      <c r="AE10539" s="7"/>
      <c r="AF10539" s="8"/>
      <c r="AG10539" s="7"/>
    </row>
    <row r="10540" spans="11:33" ht="14.5" x14ac:dyDescent="0.35">
      <c r="K10540" s="4"/>
      <c r="AC10540" s="7"/>
      <c r="AD10540" s="7"/>
      <c r="AE10540" s="7"/>
      <c r="AF10540" s="8"/>
      <c r="AG10540" s="7"/>
    </row>
    <row r="10541" spans="11:33" ht="14.5" x14ac:dyDescent="0.35">
      <c r="K10541" s="4"/>
      <c r="AC10541" s="7"/>
      <c r="AD10541" s="7"/>
      <c r="AE10541" s="7"/>
      <c r="AF10541" s="8"/>
      <c r="AG10541" s="7"/>
    </row>
    <row r="10542" spans="11:33" ht="14.5" x14ac:dyDescent="0.35">
      <c r="K10542" s="4"/>
      <c r="AC10542" s="7"/>
      <c r="AD10542" s="7"/>
      <c r="AE10542" s="7"/>
      <c r="AF10542" s="8"/>
      <c r="AG10542" s="7"/>
    </row>
    <row r="10543" spans="11:33" ht="14.5" x14ac:dyDescent="0.35">
      <c r="K10543" s="4"/>
      <c r="AC10543" s="7"/>
      <c r="AD10543" s="7"/>
      <c r="AE10543" s="7"/>
      <c r="AF10543" s="8"/>
      <c r="AG10543" s="7"/>
    </row>
    <row r="10544" spans="11:33" ht="14.5" x14ac:dyDescent="0.35">
      <c r="K10544" s="4"/>
      <c r="AC10544" s="7"/>
      <c r="AD10544" s="7"/>
      <c r="AE10544" s="7"/>
      <c r="AF10544" s="8"/>
      <c r="AG10544" s="7"/>
    </row>
    <row r="10545" spans="11:33" ht="14.5" x14ac:dyDescent="0.35">
      <c r="K10545" s="4"/>
      <c r="AC10545" s="7"/>
      <c r="AD10545" s="7"/>
      <c r="AE10545" s="7"/>
      <c r="AF10545" s="8"/>
      <c r="AG10545" s="7"/>
    </row>
    <row r="10546" spans="11:33" ht="14.5" x14ac:dyDescent="0.35">
      <c r="K10546" s="4"/>
      <c r="AC10546" s="7"/>
      <c r="AD10546" s="7"/>
      <c r="AE10546" s="7"/>
      <c r="AF10546" s="8"/>
      <c r="AG10546" s="7"/>
    </row>
    <row r="10547" spans="11:33" ht="14.5" x14ac:dyDescent="0.35">
      <c r="K10547" s="4"/>
      <c r="AC10547" s="7"/>
      <c r="AD10547" s="7"/>
      <c r="AE10547" s="7"/>
      <c r="AF10547" s="8"/>
      <c r="AG10547" s="7"/>
    </row>
    <row r="10548" spans="11:33" ht="14.5" x14ac:dyDescent="0.35">
      <c r="K10548" s="4"/>
      <c r="AC10548" s="7"/>
      <c r="AD10548" s="7"/>
      <c r="AE10548" s="7"/>
      <c r="AF10548" s="8"/>
      <c r="AG10548" s="7"/>
    </row>
    <row r="10549" spans="11:33" ht="14.5" x14ac:dyDescent="0.35">
      <c r="K10549" s="4"/>
      <c r="AC10549" s="7"/>
      <c r="AD10549" s="7"/>
      <c r="AE10549" s="7"/>
      <c r="AF10549" s="8"/>
      <c r="AG10549" s="7"/>
    </row>
    <row r="10550" spans="11:33" ht="14.5" x14ac:dyDescent="0.35">
      <c r="K10550" s="4"/>
      <c r="AC10550" s="7"/>
      <c r="AD10550" s="7"/>
      <c r="AE10550" s="7"/>
      <c r="AF10550" s="8"/>
      <c r="AG10550" s="7"/>
    </row>
    <row r="10551" spans="11:33" ht="14.5" x14ac:dyDescent="0.35">
      <c r="K10551" s="4"/>
      <c r="AC10551" s="7"/>
      <c r="AD10551" s="7"/>
      <c r="AE10551" s="7"/>
      <c r="AF10551" s="8"/>
      <c r="AG10551" s="7"/>
    </row>
    <row r="10552" spans="11:33" ht="14.5" x14ac:dyDescent="0.35">
      <c r="K10552" s="4"/>
      <c r="AC10552" s="7"/>
      <c r="AD10552" s="7"/>
      <c r="AE10552" s="7"/>
      <c r="AF10552" s="8"/>
      <c r="AG10552" s="7"/>
    </row>
    <row r="10553" spans="11:33" ht="14.5" x14ac:dyDescent="0.35">
      <c r="K10553" s="4"/>
      <c r="AC10553" s="7"/>
      <c r="AD10553" s="7"/>
      <c r="AE10553" s="7"/>
      <c r="AF10553" s="8"/>
      <c r="AG10553" s="7"/>
    </row>
    <row r="10554" spans="11:33" ht="14.5" x14ac:dyDescent="0.35">
      <c r="K10554" s="4"/>
      <c r="AC10554" s="7"/>
      <c r="AD10554" s="7"/>
      <c r="AE10554" s="7"/>
      <c r="AF10554" s="8"/>
      <c r="AG10554" s="7"/>
    </row>
    <row r="10555" spans="11:33" ht="14.5" x14ac:dyDescent="0.35">
      <c r="K10555" s="4"/>
      <c r="AC10555" s="7"/>
      <c r="AD10555" s="7"/>
      <c r="AE10555" s="7"/>
      <c r="AF10555" s="8"/>
      <c r="AG10555" s="7"/>
    </row>
    <row r="10556" spans="11:33" ht="14.5" x14ac:dyDescent="0.35">
      <c r="K10556" s="4"/>
      <c r="AC10556" s="7"/>
      <c r="AD10556" s="7"/>
      <c r="AE10556" s="7"/>
      <c r="AF10556" s="8"/>
      <c r="AG10556" s="7"/>
    </row>
    <row r="10557" spans="11:33" ht="14.5" x14ac:dyDescent="0.35">
      <c r="K10557" s="4"/>
      <c r="AC10557" s="7"/>
      <c r="AD10557" s="7"/>
      <c r="AE10557" s="7"/>
      <c r="AF10557" s="8"/>
      <c r="AG10557" s="7"/>
    </row>
    <row r="10558" spans="11:33" ht="14.5" x14ac:dyDescent="0.35">
      <c r="K10558" s="4"/>
      <c r="AC10558" s="7"/>
      <c r="AD10558" s="7"/>
      <c r="AE10558" s="7"/>
      <c r="AF10558" s="8"/>
      <c r="AG10558" s="7"/>
    </row>
    <row r="10559" spans="11:33" ht="14.5" x14ac:dyDescent="0.35">
      <c r="K10559" s="4"/>
      <c r="AC10559" s="7"/>
      <c r="AD10559" s="7"/>
      <c r="AE10559" s="7"/>
      <c r="AF10559" s="8"/>
      <c r="AG10559" s="7"/>
    </row>
    <row r="10560" spans="11:33" ht="14.5" x14ac:dyDescent="0.35">
      <c r="K10560" s="4"/>
      <c r="AC10560" s="7"/>
      <c r="AD10560" s="7"/>
      <c r="AE10560" s="7"/>
      <c r="AF10560" s="8"/>
      <c r="AG10560" s="7"/>
    </row>
    <row r="10561" spans="11:33" ht="14.5" x14ac:dyDescent="0.35">
      <c r="K10561" s="4"/>
      <c r="AC10561" s="7"/>
      <c r="AD10561" s="7"/>
      <c r="AE10561" s="7"/>
      <c r="AF10561" s="8"/>
      <c r="AG10561" s="7"/>
    </row>
    <row r="10562" spans="11:33" ht="14.5" x14ac:dyDescent="0.35">
      <c r="K10562" s="4"/>
      <c r="AC10562" s="7"/>
      <c r="AD10562" s="7"/>
      <c r="AE10562" s="7"/>
      <c r="AF10562" s="8"/>
      <c r="AG10562" s="7"/>
    </row>
    <row r="10563" spans="11:33" ht="14.5" x14ac:dyDescent="0.35">
      <c r="K10563" s="4"/>
      <c r="AC10563" s="7"/>
      <c r="AD10563" s="7"/>
      <c r="AE10563" s="7"/>
      <c r="AF10563" s="8"/>
      <c r="AG10563" s="7"/>
    </row>
    <row r="10564" spans="11:33" ht="14.5" x14ac:dyDescent="0.35">
      <c r="K10564" s="4"/>
      <c r="AC10564" s="7"/>
      <c r="AD10564" s="7"/>
      <c r="AE10564" s="7"/>
      <c r="AF10564" s="8"/>
      <c r="AG10564" s="7"/>
    </row>
    <row r="10565" spans="11:33" ht="14.5" x14ac:dyDescent="0.35">
      <c r="K10565" s="4"/>
      <c r="AC10565" s="7"/>
      <c r="AD10565" s="7"/>
      <c r="AE10565" s="7"/>
      <c r="AF10565" s="8"/>
      <c r="AG10565" s="7"/>
    </row>
    <row r="10566" spans="11:33" ht="14.5" x14ac:dyDescent="0.35">
      <c r="K10566" s="4"/>
      <c r="AC10566" s="7"/>
      <c r="AD10566" s="7"/>
      <c r="AE10566" s="7"/>
      <c r="AF10566" s="8"/>
      <c r="AG10566" s="7"/>
    </row>
    <row r="10567" spans="11:33" ht="14.5" x14ac:dyDescent="0.35">
      <c r="K10567" s="4"/>
      <c r="AC10567" s="7"/>
      <c r="AD10567" s="7"/>
      <c r="AE10567" s="7"/>
      <c r="AF10567" s="8"/>
      <c r="AG10567" s="7"/>
    </row>
    <row r="10568" spans="11:33" ht="14.5" x14ac:dyDescent="0.35">
      <c r="K10568" s="4"/>
      <c r="AC10568" s="7"/>
      <c r="AD10568" s="7"/>
      <c r="AE10568" s="7"/>
      <c r="AF10568" s="8"/>
      <c r="AG10568" s="7"/>
    </row>
    <row r="10569" spans="11:33" ht="14.5" x14ac:dyDescent="0.35">
      <c r="K10569" s="4"/>
      <c r="AC10569" s="7"/>
      <c r="AD10569" s="7"/>
      <c r="AE10569" s="7"/>
      <c r="AF10569" s="8"/>
      <c r="AG10569" s="7"/>
    </row>
    <row r="10570" spans="11:33" ht="14.5" x14ac:dyDescent="0.35">
      <c r="K10570" s="4"/>
      <c r="AC10570" s="7"/>
      <c r="AD10570" s="7"/>
      <c r="AE10570" s="7"/>
      <c r="AF10570" s="8"/>
      <c r="AG10570" s="7"/>
    </row>
    <row r="10571" spans="11:33" ht="14.5" x14ac:dyDescent="0.35">
      <c r="K10571" s="4"/>
      <c r="AC10571" s="7"/>
      <c r="AD10571" s="7"/>
      <c r="AE10571" s="7"/>
      <c r="AF10571" s="8"/>
      <c r="AG10571" s="7"/>
    </row>
    <row r="10572" spans="11:33" ht="14.5" x14ac:dyDescent="0.35">
      <c r="K10572" s="4"/>
      <c r="AC10572" s="7"/>
      <c r="AD10572" s="7"/>
      <c r="AE10572" s="7"/>
      <c r="AF10572" s="8"/>
      <c r="AG10572" s="7"/>
    </row>
    <row r="10573" spans="11:33" ht="14.5" x14ac:dyDescent="0.35">
      <c r="K10573" s="4"/>
      <c r="AC10573" s="7"/>
      <c r="AD10573" s="7"/>
      <c r="AE10573" s="7"/>
      <c r="AF10573" s="8"/>
      <c r="AG10573" s="7"/>
    </row>
    <row r="10574" spans="11:33" ht="14.5" x14ac:dyDescent="0.35">
      <c r="K10574" s="4"/>
      <c r="AC10574" s="7"/>
      <c r="AD10574" s="7"/>
      <c r="AE10574" s="7"/>
      <c r="AF10574" s="8"/>
      <c r="AG10574" s="7"/>
    </row>
    <row r="10575" spans="11:33" ht="14.5" x14ac:dyDescent="0.35">
      <c r="K10575" s="4"/>
      <c r="AC10575" s="7"/>
      <c r="AD10575" s="7"/>
      <c r="AE10575" s="7"/>
      <c r="AF10575" s="8"/>
      <c r="AG10575" s="7"/>
    </row>
    <row r="10576" spans="11:33" ht="14.5" x14ac:dyDescent="0.35">
      <c r="K10576" s="4"/>
      <c r="AC10576" s="7"/>
      <c r="AD10576" s="7"/>
      <c r="AE10576" s="7"/>
      <c r="AF10576" s="8"/>
      <c r="AG10576" s="7"/>
    </row>
    <row r="10577" spans="11:33" ht="14.5" x14ac:dyDescent="0.35">
      <c r="K10577" s="4"/>
      <c r="AC10577" s="7"/>
      <c r="AD10577" s="7"/>
      <c r="AE10577" s="7"/>
      <c r="AF10577" s="8"/>
      <c r="AG10577" s="7"/>
    </row>
    <row r="10578" spans="11:33" ht="14.5" x14ac:dyDescent="0.35">
      <c r="K10578" s="4"/>
      <c r="AC10578" s="7"/>
      <c r="AD10578" s="7"/>
      <c r="AE10578" s="7"/>
      <c r="AF10578" s="8"/>
      <c r="AG10578" s="7"/>
    </row>
    <row r="10579" spans="11:33" ht="14.5" x14ac:dyDescent="0.35">
      <c r="K10579" s="4"/>
      <c r="AC10579" s="7"/>
      <c r="AD10579" s="7"/>
      <c r="AE10579" s="7"/>
      <c r="AF10579" s="8"/>
      <c r="AG10579" s="7"/>
    </row>
    <row r="10580" spans="11:33" ht="14.5" x14ac:dyDescent="0.35">
      <c r="K10580" s="4"/>
      <c r="AC10580" s="7"/>
      <c r="AD10580" s="7"/>
      <c r="AE10580" s="7"/>
      <c r="AF10580" s="8"/>
      <c r="AG10580" s="7"/>
    </row>
    <row r="10581" spans="11:33" ht="14.5" x14ac:dyDescent="0.35">
      <c r="K10581" s="4"/>
      <c r="AC10581" s="7"/>
      <c r="AD10581" s="7"/>
      <c r="AE10581" s="7"/>
      <c r="AF10581" s="8"/>
      <c r="AG10581" s="7"/>
    </row>
    <row r="10582" spans="11:33" ht="14.5" x14ac:dyDescent="0.35">
      <c r="K10582" s="4"/>
      <c r="AC10582" s="7"/>
      <c r="AD10582" s="7"/>
      <c r="AE10582" s="7"/>
      <c r="AF10582" s="8"/>
      <c r="AG10582" s="7"/>
    </row>
    <row r="10583" spans="11:33" ht="14.5" x14ac:dyDescent="0.35">
      <c r="K10583" s="4"/>
      <c r="AC10583" s="7"/>
      <c r="AD10583" s="7"/>
      <c r="AE10583" s="7"/>
      <c r="AF10583" s="8"/>
      <c r="AG10583" s="7"/>
    </row>
    <row r="10584" spans="11:33" ht="14.5" x14ac:dyDescent="0.35">
      <c r="K10584" s="4"/>
      <c r="AC10584" s="7"/>
      <c r="AD10584" s="7"/>
      <c r="AE10584" s="7"/>
      <c r="AF10584" s="8"/>
      <c r="AG10584" s="7"/>
    </row>
    <row r="10585" spans="11:33" ht="14.5" x14ac:dyDescent="0.35">
      <c r="K10585" s="4"/>
      <c r="AC10585" s="7"/>
      <c r="AD10585" s="7"/>
      <c r="AE10585" s="7"/>
      <c r="AF10585" s="8"/>
      <c r="AG10585" s="7"/>
    </row>
    <row r="10586" spans="11:33" ht="14.5" x14ac:dyDescent="0.35">
      <c r="K10586" s="4"/>
      <c r="AC10586" s="7"/>
      <c r="AD10586" s="7"/>
      <c r="AE10586" s="7"/>
      <c r="AF10586" s="8"/>
      <c r="AG10586" s="7"/>
    </row>
    <row r="10587" spans="11:33" ht="14.5" x14ac:dyDescent="0.35">
      <c r="K10587" s="4"/>
      <c r="AC10587" s="7"/>
      <c r="AD10587" s="7"/>
      <c r="AE10587" s="7"/>
      <c r="AF10587" s="8"/>
      <c r="AG10587" s="7"/>
    </row>
    <row r="10588" spans="11:33" ht="14.5" x14ac:dyDescent="0.35">
      <c r="K10588" s="4"/>
      <c r="AC10588" s="7"/>
      <c r="AD10588" s="7"/>
      <c r="AE10588" s="7"/>
      <c r="AF10588" s="8"/>
      <c r="AG10588" s="7"/>
    </row>
    <row r="10589" spans="11:33" ht="14.5" x14ac:dyDescent="0.35">
      <c r="K10589" s="4"/>
      <c r="AC10589" s="7"/>
      <c r="AD10589" s="7"/>
      <c r="AE10589" s="7"/>
      <c r="AF10589" s="8"/>
      <c r="AG10589" s="7"/>
    </row>
    <row r="10590" spans="11:33" ht="14.5" x14ac:dyDescent="0.35">
      <c r="K10590" s="4"/>
      <c r="AC10590" s="7"/>
      <c r="AD10590" s="7"/>
      <c r="AE10590" s="7"/>
      <c r="AF10590" s="8"/>
      <c r="AG10590" s="7"/>
    </row>
    <row r="10591" spans="11:33" ht="14.5" x14ac:dyDescent="0.35">
      <c r="K10591" s="4"/>
      <c r="AC10591" s="7"/>
      <c r="AD10591" s="7"/>
      <c r="AE10591" s="7"/>
      <c r="AF10591" s="8"/>
      <c r="AG10591" s="7"/>
    </row>
    <row r="10592" spans="11:33" ht="14.5" x14ac:dyDescent="0.35">
      <c r="K10592" s="4"/>
      <c r="AC10592" s="7"/>
      <c r="AD10592" s="7"/>
      <c r="AE10592" s="7"/>
      <c r="AF10592" s="8"/>
      <c r="AG10592" s="7"/>
    </row>
    <row r="10593" spans="11:33" ht="14.5" x14ac:dyDescent="0.35">
      <c r="K10593" s="4"/>
      <c r="AC10593" s="7"/>
      <c r="AD10593" s="7"/>
      <c r="AE10593" s="7"/>
      <c r="AF10593" s="8"/>
      <c r="AG10593" s="7"/>
    </row>
    <row r="10594" spans="11:33" ht="14.5" x14ac:dyDescent="0.35">
      <c r="K10594" s="4"/>
      <c r="AC10594" s="7"/>
      <c r="AD10594" s="7"/>
      <c r="AE10594" s="7"/>
      <c r="AF10594" s="8"/>
      <c r="AG10594" s="7"/>
    </row>
    <row r="10595" spans="11:33" ht="14.5" x14ac:dyDescent="0.35">
      <c r="K10595" s="4"/>
      <c r="AC10595" s="7"/>
      <c r="AD10595" s="7"/>
      <c r="AE10595" s="7"/>
      <c r="AF10595" s="8"/>
      <c r="AG10595" s="7"/>
    </row>
    <row r="10596" spans="11:33" ht="14.5" x14ac:dyDescent="0.35">
      <c r="K10596" s="4"/>
      <c r="AC10596" s="7"/>
      <c r="AD10596" s="7"/>
      <c r="AE10596" s="7"/>
      <c r="AF10596" s="8"/>
      <c r="AG10596" s="7"/>
    </row>
    <row r="10597" spans="11:33" ht="14.5" x14ac:dyDescent="0.35">
      <c r="K10597" s="4"/>
      <c r="AC10597" s="7"/>
      <c r="AD10597" s="7"/>
      <c r="AE10597" s="7"/>
      <c r="AF10597" s="8"/>
      <c r="AG10597" s="7"/>
    </row>
    <row r="10598" spans="11:33" ht="14.5" x14ac:dyDescent="0.35">
      <c r="K10598" s="4"/>
      <c r="AC10598" s="7"/>
      <c r="AD10598" s="7"/>
      <c r="AE10598" s="7"/>
      <c r="AF10598" s="8"/>
      <c r="AG10598" s="7"/>
    </row>
    <row r="10599" spans="11:33" ht="14.5" x14ac:dyDescent="0.35">
      <c r="K10599" s="4"/>
      <c r="AC10599" s="7"/>
      <c r="AD10599" s="7"/>
      <c r="AE10599" s="7"/>
      <c r="AF10599" s="8"/>
      <c r="AG10599" s="7"/>
    </row>
    <row r="10600" spans="11:33" ht="14.5" x14ac:dyDescent="0.35">
      <c r="K10600" s="4"/>
      <c r="AC10600" s="7"/>
      <c r="AD10600" s="7"/>
      <c r="AE10600" s="7"/>
      <c r="AF10600" s="8"/>
      <c r="AG10600" s="7"/>
    </row>
    <row r="10601" spans="11:33" ht="14.5" x14ac:dyDescent="0.35">
      <c r="K10601" s="4"/>
      <c r="AC10601" s="7"/>
      <c r="AD10601" s="7"/>
      <c r="AE10601" s="7"/>
      <c r="AF10601" s="8"/>
      <c r="AG10601" s="7"/>
    </row>
    <row r="10602" spans="11:33" ht="14.5" x14ac:dyDescent="0.35">
      <c r="K10602" s="4"/>
      <c r="AC10602" s="7"/>
      <c r="AD10602" s="7"/>
      <c r="AE10602" s="7"/>
      <c r="AF10602" s="8"/>
      <c r="AG10602" s="7"/>
    </row>
    <row r="10603" spans="11:33" ht="14.5" x14ac:dyDescent="0.35">
      <c r="K10603" s="4"/>
      <c r="AC10603" s="7"/>
      <c r="AD10603" s="7"/>
      <c r="AE10603" s="7"/>
      <c r="AF10603" s="8"/>
      <c r="AG10603" s="7"/>
    </row>
    <row r="10604" spans="11:33" ht="14.5" x14ac:dyDescent="0.35">
      <c r="K10604" s="4"/>
      <c r="AC10604" s="7"/>
      <c r="AD10604" s="7"/>
      <c r="AE10604" s="7"/>
      <c r="AF10604" s="8"/>
      <c r="AG10604" s="7"/>
    </row>
    <row r="10605" spans="11:33" ht="14.5" x14ac:dyDescent="0.35">
      <c r="K10605" s="4"/>
      <c r="AC10605" s="7"/>
      <c r="AD10605" s="7"/>
      <c r="AE10605" s="7"/>
      <c r="AF10605" s="8"/>
      <c r="AG10605" s="7"/>
    </row>
    <row r="10606" spans="11:33" ht="14.5" x14ac:dyDescent="0.35">
      <c r="K10606" s="4"/>
      <c r="AC10606" s="7"/>
      <c r="AD10606" s="7"/>
      <c r="AE10606" s="7"/>
      <c r="AF10606" s="8"/>
      <c r="AG10606" s="7"/>
    </row>
    <row r="10607" spans="11:33" ht="14.5" x14ac:dyDescent="0.35">
      <c r="K10607" s="4"/>
      <c r="AC10607" s="7"/>
      <c r="AD10607" s="7"/>
      <c r="AE10607" s="7"/>
      <c r="AF10607" s="8"/>
      <c r="AG10607" s="7"/>
    </row>
    <row r="10608" spans="11:33" ht="14.5" x14ac:dyDescent="0.35">
      <c r="K10608" s="4"/>
      <c r="AC10608" s="7"/>
      <c r="AD10608" s="7"/>
      <c r="AE10608" s="7"/>
      <c r="AF10608" s="8"/>
      <c r="AG10608" s="7"/>
    </row>
    <row r="10609" spans="11:33" ht="14.5" x14ac:dyDescent="0.35">
      <c r="K10609" s="4"/>
      <c r="AC10609" s="7"/>
      <c r="AD10609" s="7"/>
      <c r="AE10609" s="7"/>
      <c r="AF10609" s="8"/>
      <c r="AG10609" s="7"/>
    </row>
    <row r="10610" spans="11:33" ht="14.5" x14ac:dyDescent="0.35">
      <c r="K10610" s="4"/>
      <c r="AC10610" s="7"/>
      <c r="AD10610" s="7"/>
      <c r="AE10610" s="7"/>
      <c r="AF10610" s="8"/>
      <c r="AG10610" s="7"/>
    </row>
    <row r="10611" spans="11:33" ht="14.5" x14ac:dyDescent="0.35">
      <c r="K10611" s="4"/>
      <c r="AC10611" s="7"/>
      <c r="AD10611" s="7"/>
      <c r="AE10611" s="7"/>
      <c r="AF10611" s="8"/>
      <c r="AG10611" s="7"/>
    </row>
    <row r="10612" spans="11:33" ht="14.5" x14ac:dyDescent="0.35">
      <c r="K10612" s="4"/>
      <c r="AC10612" s="7"/>
      <c r="AD10612" s="7"/>
      <c r="AE10612" s="7"/>
      <c r="AF10612" s="8"/>
      <c r="AG10612" s="7"/>
    </row>
    <row r="10613" spans="11:33" ht="14.5" x14ac:dyDescent="0.35">
      <c r="K10613" s="4"/>
      <c r="AC10613" s="7"/>
      <c r="AD10613" s="7"/>
      <c r="AE10613" s="7"/>
      <c r="AF10613" s="8"/>
      <c r="AG10613" s="7"/>
    </row>
    <row r="10614" spans="11:33" ht="14.5" x14ac:dyDescent="0.35">
      <c r="K10614" s="4"/>
      <c r="AC10614" s="7"/>
      <c r="AD10614" s="7"/>
      <c r="AE10614" s="7"/>
      <c r="AF10614" s="8"/>
      <c r="AG10614" s="7"/>
    </row>
    <row r="10615" spans="11:33" ht="14.5" x14ac:dyDescent="0.35">
      <c r="K10615" s="4"/>
      <c r="AC10615" s="7"/>
      <c r="AD10615" s="7"/>
      <c r="AE10615" s="7"/>
      <c r="AF10615" s="8"/>
      <c r="AG10615" s="7"/>
    </row>
    <row r="10616" spans="11:33" ht="14.5" x14ac:dyDescent="0.35">
      <c r="K10616" s="4"/>
      <c r="AC10616" s="7"/>
      <c r="AD10616" s="7"/>
      <c r="AE10616" s="7"/>
      <c r="AF10616" s="8"/>
      <c r="AG10616" s="7"/>
    </row>
    <row r="10617" spans="11:33" ht="14.5" x14ac:dyDescent="0.35">
      <c r="K10617" s="4"/>
      <c r="AC10617" s="7"/>
      <c r="AD10617" s="7"/>
      <c r="AE10617" s="7"/>
      <c r="AF10617" s="8"/>
      <c r="AG10617" s="7"/>
    </row>
    <row r="10618" spans="11:33" ht="14.5" x14ac:dyDescent="0.35">
      <c r="K10618" s="4"/>
      <c r="AC10618" s="7"/>
      <c r="AD10618" s="7"/>
      <c r="AE10618" s="7"/>
      <c r="AF10618" s="8"/>
      <c r="AG10618" s="7"/>
    </row>
    <row r="10619" spans="11:33" ht="14.5" x14ac:dyDescent="0.35">
      <c r="K10619" s="4"/>
      <c r="AC10619" s="7"/>
      <c r="AD10619" s="7"/>
      <c r="AE10619" s="7"/>
      <c r="AF10619" s="8"/>
      <c r="AG10619" s="7"/>
    </row>
    <row r="10620" spans="11:33" ht="14.5" x14ac:dyDescent="0.35">
      <c r="K10620" s="4"/>
      <c r="AC10620" s="7"/>
      <c r="AD10620" s="7"/>
      <c r="AE10620" s="7"/>
      <c r="AF10620" s="8"/>
      <c r="AG10620" s="7"/>
    </row>
    <row r="10621" spans="11:33" ht="14.5" x14ac:dyDescent="0.35">
      <c r="K10621" s="4"/>
      <c r="AC10621" s="7"/>
      <c r="AD10621" s="7"/>
      <c r="AE10621" s="7"/>
      <c r="AF10621" s="8"/>
      <c r="AG10621" s="7"/>
    </row>
    <row r="10622" spans="11:33" ht="14.5" x14ac:dyDescent="0.35">
      <c r="K10622" s="4"/>
      <c r="AC10622" s="7"/>
      <c r="AD10622" s="7"/>
      <c r="AE10622" s="7"/>
      <c r="AF10622" s="8"/>
      <c r="AG10622" s="7"/>
    </row>
    <row r="10623" spans="11:33" ht="14.5" x14ac:dyDescent="0.35">
      <c r="K10623" s="4"/>
      <c r="AC10623" s="7"/>
      <c r="AD10623" s="7"/>
      <c r="AE10623" s="7"/>
      <c r="AF10623" s="8"/>
      <c r="AG10623" s="7"/>
    </row>
    <row r="10624" spans="11:33" ht="14.5" x14ac:dyDescent="0.35">
      <c r="K10624" s="4"/>
      <c r="AC10624" s="7"/>
      <c r="AD10624" s="7"/>
      <c r="AE10624" s="7"/>
      <c r="AF10624" s="8"/>
      <c r="AG10624" s="7"/>
    </row>
    <row r="10625" spans="11:33" ht="14.5" x14ac:dyDescent="0.35">
      <c r="K10625" s="4"/>
      <c r="AC10625" s="7"/>
      <c r="AD10625" s="7"/>
      <c r="AE10625" s="7"/>
      <c r="AF10625" s="8"/>
      <c r="AG10625" s="7"/>
    </row>
    <row r="10626" spans="11:33" ht="14.5" x14ac:dyDescent="0.35">
      <c r="K10626" s="4"/>
      <c r="AC10626" s="7"/>
      <c r="AD10626" s="7"/>
      <c r="AE10626" s="7"/>
      <c r="AF10626" s="8"/>
      <c r="AG10626" s="7"/>
    </row>
    <row r="10627" spans="11:33" ht="14.5" x14ac:dyDescent="0.35">
      <c r="K10627" s="4"/>
      <c r="AC10627" s="7"/>
      <c r="AD10627" s="7"/>
      <c r="AE10627" s="7"/>
      <c r="AF10627" s="8"/>
      <c r="AG10627" s="7"/>
    </row>
    <row r="10628" spans="11:33" ht="14.5" x14ac:dyDescent="0.35">
      <c r="K10628" s="4"/>
      <c r="AC10628" s="7"/>
      <c r="AD10628" s="7"/>
      <c r="AE10628" s="7"/>
      <c r="AF10628" s="8"/>
      <c r="AG10628" s="7"/>
    </row>
    <row r="10629" spans="11:33" ht="14.5" x14ac:dyDescent="0.35">
      <c r="K10629" s="4"/>
      <c r="AC10629" s="7"/>
      <c r="AD10629" s="7"/>
      <c r="AE10629" s="7"/>
      <c r="AF10629" s="8"/>
      <c r="AG10629" s="7"/>
    </row>
    <row r="10630" spans="11:33" ht="14.5" x14ac:dyDescent="0.35">
      <c r="K10630" s="4"/>
      <c r="AC10630" s="7"/>
      <c r="AD10630" s="7"/>
      <c r="AE10630" s="7"/>
      <c r="AF10630" s="8"/>
      <c r="AG10630" s="7"/>
    </row>
    <row r="10631" spans="11:33" ht="14.5" x14ac:dyDescent="0.35">
      <c r="K10631" s="4"/>
      <c r="AC10631" s="7"/>
      <c r="AD10631" s="7"/>
      <c r="AE10631" s="7"/>
      <c r="AF10631" s="8"/>
      <c r="AG10631" s="7"/>
    </row>
    <row r="10632" spans="11:33" ht="14.5" x14ac:dyDescent="0.35">
      <c r="K10632" s="4"/>
      <c r="AC10632" s="7"/>
      <c r="AD10632" s="7"/>
      <c r="AE10632" s="7"/>
      <c r="AF10632" s="8"/>
      <c r="AG10632" s="7"/>
    </row>
    <row r="10633" spans="11:33" ht="14.5" x14ac:dyDescent="0.35">
      <c r="K10633" s="4"/>
      <c r="AC10633" s="7"/>
      <c r="AD10633" s="7"/>
      <c r="AE10633" s="7"/>
      <c r="AF10633" s="8"/>
      <c r="AG10633" s="7"/>
    </row>
    <row r="10634" spans="11:33" ht="14.5" x14ac:dyDescent="0.35">
      <c r="K10634" s="4"/>
      <c r="AC10634" s="7"/>
      <c r="AD10634" s="7"/>
      <c r="AE10634" s="7"/>
      <c r="AF10634" s="8"/>
      <c r="AG10634" s="7"/>
    </row>
    <row r="10635" spans="11:33" ht="14.5" x14ac:dyDescent="0.35">
      <c r="K10635" s="4"/>
      <c r="AC10635" s="7"/>
      <c r="AD10635" s="7"/>
      <c r="AE10635" s="7"/>
      <c r="AF10635" s="8"/>
      <c r="AG10635" s="7"/>
    </row>
    <row r="10636" spans="11:33" ht="14.5" x14ac:dyDescent="0.35">
      <c r="K10636" s="4"/>
      <c r="AC10636" s="7"/>
      <c r="AD10636" s="7"/>
      <c r="AE10636" s="7"/>
      <c r="AF10636" s="8"/>
      <c r="AG10636" s="7"/>
    </row>
    <row r="10637" spans="11:33" ht="14.5" x14ac:dyDescent="0.35">
      <c r="K10637" s="4"/>
      <c r="AC10637" s="7"/>
      <c r="AD10637" s="7"/>
      <c r="AE10637" s="7"/>
      <c r="AF10637" s="8"/>
      <c r="AG10637" s="7"/>
    </row>
    <row r="10638" spans="11:33" ht="14.5" x14ac:dyDescent="0.35">
      <c r="K10638" s="4"/>
      <c r="AC10638" s="7"/>
      <c r="AD10638" s="7"/>
      <c r="AE10638" s="7"/>
      <c r="AF10638" s="8"/>
      <c r="AG10638" s="7"/>
    </row>
    <row r="10639" spans="11:33" ht="14.5" x14ac:dyDescent="0.35">
      <c r="K10639" s="4"/>
      <c r="AC10639" s="7"/>
      <c r="AD10639" s="7"/>
      <c r="AE10639" s="7"/>
      <c r="AF10639" s="8"/>
      <c r="AG10639" s="7"/>
    </row>
    <row r="10640" spans="11:33" ht="14.5" x14ac:dyDescent="0.35">
      <c r="K10640" s="4"/>
      <c r="AC10640" s="7"/>
      <c r="AD10640" s="7"/>
      <c r="AE10640" s="7"/>
      <c r="AF10640" s="8"/>
      <c r="AG10640" s="7"/>
    </row>
    <row r="10641" spans="11:33" ht="14.5" x14ac:dyDescent="0.35">
      <c r="K10641" s="4"/>
      <c r="AC10641" s="7"/>
      <c r="AD10641" s="7"/>
      <c r="AE10641" s="7"/>
      <c r="AF10641" s="8"/>
      <c r="AG10641" s="7"/>
    </row>
    <row r="10642" spans="11:33" ht="14.5" x14ac:dyDescent="0.35">
      <c r="K10642" s="4"/>
      <c r="AC10642" s="7"/>
      <c r="AD10642" s="7"/>
      <c r="AE10642" s="7"/>
      <c r="AF10642" s="8"/>
      <c r="AG10642" s="7"/>
    </row>
    <row r="10643" spans="11:33" ht="14.5" x14ac:dyDescent="0.35">
      <c r="K10643" s="4"/>
      <c r="AC10643" s="7"/>
      <c r="AD10643" s="7"/>
      <c r="AE10643" s="7"/>
      <c r="AF10643" s="8"/>
      <c r="AG10643" s="7"/>
    </row>
    <row r="10644" spans="11:33" ht="14.5" x14ac:dyDescent="0.35">
      <c r="K10644" s="4"/>
      <c r="AC10644" s="7"/>
      <c r="AD10644" s="7"/>
      <c r="AE10644" s="7"/>
      <c r="AF10644" s="8"/>
      <c r="AG10644" s="7"/>
    </row>
    <row r="10645" spans="11:33" ht="14.5" x14ac:dyDescent="0.35">
      <c r="K10645" s="4"/>
      <c r="AC10645" s="7"/>
      <c r="AD10645" s="7"/>
      <c r="AE10645" s="7"/>
      <c r="AF10645" s="8"/>
      <c r="AG10645" s="7"/>
    </row>
    <row r="10646" spans="11:33" ht="14.5" x14ac:dyDescent="0.35">
      <c r="K10646" s="4"/>
      <c r="AC10646" s="7"/>
      <c r="AD10646" s="7"/>
      <c r="AE10646" s="7"/>
      <c r="AF10646" s="8"/>
      <c r="AG10646" s="7"/>
    </row>
    <row r="10647" spans="11:33" ht="14.5" x14ac:dyDescent="0.35">
      <c r="K10647" s="4"/>
      <c r="AC10647" s="7"/>
      <c r="AD10647" s="7"/>
      <c r="AE10647" s="7"/>
      <c r="AF10647" s="8"/>
      <c r="AG10647" s="7"/>
    </row>
    <row r="10648" spans="11:33" ht="14.5" x14ac:dyDescent="0.35">
      <c r="K10648" s="4"/>
      <c r="AC10648" s="7"/>
      <c r="AD10648" s="7"/>
      <c r="AE10648" s="7"/>
      <c r="AF10648" s="8"/>
      <c r="AG10648" s="7"/>
    </row>
    <row r="10649" spans="11:33" ht="14.5" x14ac:dyDescent="0.35">
      <c r="K10649" s="4"/>
      <c r="AC10649" s="7"/>
      <c r="AD10649" s="7"/>
      <c r="AE10649" s="7"/>
      <c r="AF10649" s="8"/>
      <c r="AG10649" s="7"/>
    </row>
    <row r="10650" spans="11:33" ht="14.5" x14ac:dyDescent="0.35">
      <c r="K10650" s="4"/>
      <c r="AC10650" s="7"/>
      <c r="AD10650" s="7"/>
      <c r="AE10650" s="7"/>
      <c r="AF10650" s="8"/>
      <c r="AG10650" s="7"/>
    </row>
    <row r="10651" spans="11:33" ht="14.5" x14ac:dyDescent="0.35">
      <c r="K10651" s="4"/>
      <c r="AC10651" s="7"/>
      <c r="AD10651" s="7"/>
      <c r="AE10651" s="7"/>
      <c r="AF10651" s="8"/>
      <c r="AG10651" s="7"/>
    </row>
    <row r="10652" spans="11:33" ht="14.5" x14ac:dyDescent="0.35">
      <c r="K10652" s="4"/>
      <c r="AC10652" s="7"/>
      <c r="AD10652" s="7"/>
      <c r="AE10652" s="7"/>
      <c r="AF10652" s="8"/>
      <c r="AG10652" s="7"/>
    </row>
    <row r="10653" spans="11:33" ht="14.5" x14ac:dyDescent="0.35">
      <c r="K10653" s="4"/>
      <c r="AC10653" s="7"/>
      <c r="AD10653" s="7"/>
      <c r="AE10653" s="7"/>
      <c r="AF10653" s="8"/>
      <c r="AG10653" s="7"/>
    </row>
    <row r="10654" spans="11:33" ht="14.5" x14ac:dyDescent="0.35">
      <c r="K10654" s="4"/>
      <c r="AC10654" s="7"/>
      <c r="AD10654" s="7"/>
      <c r="AE10654" s="7"/>
      <c r="AF10654" s="8"/>
      <c r="AG10654" s="7"/>
    </row>
    <row r="10655" spans="11:33" ht="14.5" x14ac:dyDescent="0.35">
      <c r="K10655" s="4"/>
      <c r="AC10655" s="7"/>
      <c r="AD10655" s="7"/>
      <c r="AE10655" s="7"/>
      <c r="AF10655" s="8"/>
      <c r="AG10655" s="7"/>
    </row>
    <row r="10656" spans="11:33" ht="14.5" x14ac:dyDescent="0.35">
      <c r="K10656" s="4"/>
      <c r="AC10656" s="7"/>
      <c r="AD10656" s="7"/>
      <c r="AE10656" s="7"/>
      <c r="AF10656" s="8"/>
      <c r="AG10656" s="7"/>
    </row>
    <row r="10657" spans="11:33" ht="14.5" x14ac:dyDescent="0.35">
      <c r="K10657" s="4"/>
      <c r="AC10657" s="7"/>
      <c r="AD10657" s="7"/>
      <c r="AE10657" s="7"/>
      <c r="AF10657" s="8"/>
      <c r="AG10657" s="7"/>
    </row>
    <row r="10658" spans="11:33" ht="14.5" x14ac:dyDescent="0.35">
      <c r="K10658" s="4"/>
      <c r="AC10658" s="7"/>
      <c r="AD10658" s="7"/>
      <c r="AE10658" s="7"/>
      <c r="AF10658" s="8"/>
      <c r="AG10658" s="7"/>
    </row>
    <row r="10659" spans="11:33" ht="14.5" x14ac:dyDescent="0.35">
      <c r="K10659" s="4"/>
      <c r="AC10659" s="7"/>
      <c r="AD10659" s="7"/>
      <c r="AE10659" s="7"/>
      <c r="AF10659" s="8"/>
      <c r="AG10659" s="7"/>
    </row>
    <row r="10660" spans="11:33" ht="14.5" x14ac:dyDescent="0.35">
      <c r="K10660" s="4"/>
      <c r="AC10660" s="7"/>
      <c r="AD10660" s="7"/>
      <c r="AE10660" s="7"/>
      <c r="AF10660" s="8"/>
      <c r="AG10660" s="7"/>
    </row>
    <row r="10661" spans="11:33" ht="14.5" x14ac:dyDescent="0.35">
      <c r="K10661" s="4"/>
      <c r="AC10661" s="7"/>
      <c r="AD10661" s="7"/>
      <c r="AE10661" s="7"/>
      <c r="AF10661" s="8"/>
      <c r="AG10661" s="7"/>
    </row>
    <row r="10662" spans="11:33" ht="14.5" x14ac:dyDescent="0.35">
      <c r="K10662" s="4"/>
      <c r="AC10662" s="7"/>
      <c r="AD10662" s="7"/>
      <c r="AE10662" s="7"/>
      <c r="AF10662" s="8"/>
      <c r="AG10662" s="7"/>
    </row>
    <row r="10663" spans="11:33" ht="14.5" x14ac:dyDescent="0.35">
      <c r="K10663" s="4"/>
      <c r="AC10663" s="7"/>
      <c r="AD10663" s="7"/>
      <c r="AE10663" s="7"/>
      <c r="AF10663" s="8"/>
      <c r="AG10663" s="7"/>
    </row>
    <row r="10664" spans="11:33" ht="14.5" x14ac:dyDescent="0.35">
      <c r="K10664" s="4"/>
      <c r="AC10664" s="7"/>
      <c r="AD10664" s="7"/>
      <c r="AE10664" s="7"/>
      <c r="AF10664" s="8"/>
      <c r="AG10664" s="7"/>
    </row>
    <row r="10665" spans="11:33" ht="14.5" x14ac:dyDescent="0.35">
      <c r="K10665" s="4"/>
      <c r="AC10665" s="7"/>
      <c r="AD10665" s="7"/>
      <c r="AE10665" s="7"/>
      <c r="AF10665" s="8"/>
      <c r="AG10665" s="7"/>
    </row>
    <row r="10666" spans="11:33" ht="14.5" x14ac:dyDescent="0.35">
      <c r="K10666" s="4"/>
      <c r="AC10666" s="7"/>
      <c r="AD10666" s="7"/>
      <c r="AE10666" s="7"/>
      <c r="AF10666" s="8"/>
      <c r="AG10666" s="7"/>
    </row>
    <row r="10667" spans="11:33" ht="14.5" x14ac:dyDescent="0.35">
      <c r="K10667" s="4"/>
      <c r="AC10667" s="7"/>
      <c r="AD10667" s="7"/>
      <c r="AE10667" s="7"/>
      <c r="AF10667" s="8"/>
      <c r="AG10667" s="7"/>
    </row>
    <row r="10668" spans="11:33" ht="14.5" x14ac:dyDescent="0.35">
      <c r="K10668" s="4"/>
      <c r="AC10668" s="7"/>
      <c r="AD10668" s="7"/>
      <c r="AE10668" s="7"/>
      <c r="AF10668" s="8"/>
      <c r="AG10668" s="7"/>
    </row>
    <row r="10669" spans="11:33" ht="14.5" x14ac:dyDescent="0.35">
      <c r="K10669" s="4"/>
      <c r="AC10669" s="7"/>
      <c r="AD10669" s="7"/>
      <c r="AE10669" s="7"/>
      <c r="AF10669" s="8"/>
      <c r="AG10669" s="7"/>
    </row>
    <row r="10670" spans="11:33" ht="14.5" x14ac:dyDescent="0.35">
      <c r="K10670" s="4"/>
      <c r="AC10670" s="7"/>
      <c r="AD10670" s="7"/>
      <c r="AE10670" s="7"/>
      <c r="AF10670" s="8"/>
      <c r="AG10670" s="7"/>
    </row>
    <row r="10671" spans="11:33" ht="14.5" x14ac:dyDescent="0.35">
      <c r="K10671" s="4"/>
      <c r="AC10671" s="7"/>
      <c r="AD10671" s="7"/>
      <c r="AE10671" s="7"/>
      <c r="AF10671" s="8"/>
      <c r="AG10671" s="7"/>
    </row>
    <row r="10672" spans="11:33" ht="14.5" x14ac:dyDescent="0.35">
      <c r="K10672" s="4"/>
      <c r="AC10672" s="7"/>
      <c r="AD10672" s="7"/>
      <c r="AE10672" s="7"/>
      <c r="AF10672" s="8"/>
      <c r="AG10672" s="7"/>
    </row>
    <row r="10673" spans="11:33" ht="14.5" x14ac:dyDescent="0.35">
      <c r="K10673" s="4"/>
      <c r="AC10673" s="7"/>
      <c r="AD10673" s="7"/>
      <c r="AE10673" s="7"/>
      <c r="AF10673" s="8"/>
      <c r="AG10673" s="7"/>
    </row>
    <row r="10674" spans="11:33" ht="14.5" x14ac:dyDescent="0.35">
      <c r="K10674" s="4"/>
      <c r="AC10674" s="7"/>
      <c r="AD10674" s="7"/>
      <c r="AE10674" s="7"/>
      <c r="AF10674" s="8"/>
      <c r="AG10674" s="7"/>
    </row>
    <row r="10675" spans="11:33" ht="14.5" x14ac:dyDescent="0.35">
      <c r="K10675" s="4"/>
      <c r="AC10675" s="7"/>
      <c r="AD10675" s="7"/>
      <c r="AE10675" s="7"/>
      <c r="AF10675" s="8"/>
      <c r="AG10675" s="7"/>
    </row>
    <row r="10676" spans="11:33" ht="14.5" x14ac:dyDescent="0.35">
      <c r="K10676" s="4"/>
      <c r="AC10676" s="7"/>
      <c r="AD10676" s="7"/>
      <c r="AE10676" s="7"/>
      <c r="AF10676" s="8"/>
      <c r="AG10676" s="7"/>
    </row>
    <row r="10677" spans="11:33" ht="14.5" x14ac:dyDescent="0.35">
      <c r="K10677" s="4"/>
      <c r="AC10677" s="7"/>
      <c r="AD10677" s="7"/>
      <c r="AE10677" s="7"/>
      <c r="AF10677" s="8"/>
      <c r="AG10677" s="7"/>
    </row>
    <row r="10678" spans="11:33" ht="14.5" x14ac:dyDescent="0.35">
      <c r="K10678" s="4"/>
      <c r="AC10678" s="7"/>
      <c r="AD10678" s="7"/>
      <c r="AE10678" s="7"/>
      <c r="AF10678" s="8"/>
      <c r="AG10678" s="7"/>
    </row>
    <row r="10679" spans="11:33" ht="14.5" x14ac:dyDescent="0.35">
      <c r="K10679" s="4"/>
      <c r="AC10679" s="7"/>
      <c r="AD10679" s="7"/>
      <c r="AE10679" s="7"/>
      <c r="AF10679" s="8"/>
      <c r="AG10679" s="7"/>
    </row>
    <row r="10680" spans="11:33" ht="14.5" x14ac:dyDescent="0.35">
      <c r="K10680" s="4"/>
      <c r="AC10680" s="7"/>
      <c r="AD10680" s="7"/>
      <c r="AE10680" s="7"/>
      <c r="AF10680" s="8"/>
      <c r="AG10680" s="7"/>
    </row>
    <row r="10681" spans="11:33" ht="14.5" x14ac:dyDescent="0.35">
      <c r="K10681" s="4"/>
      <c r="AC10681" s="7"/>
      <c r="AD10681" s="7"/>
      <c r="AE10681" s="7"/>
      <c r="AF10681" s="8"/>
      <c r="AG10681" s="7"/>
    </row>
    <row r="10682" spans="11:33" ht="14.5" x14ac:dyDescent="0.35">
      <c r="K10682" s="4"/>
      <c r="AC10682" s="7"/>
      <c r="AD10682" s="7"/>
      <c r="AE10682" s="7"/>
      <c r="AF10682" s="8"/>
      <c r="AG10682" s="7"/>
    </row>
    <row r="10683" spans="11:33" ht="14.5" x14ac:dyDescent="0.35">
      <c r="K10683" s="4"/>
      <c r="AC10683" s="7"/>
      <c r="AD10683" s="7"/>
      <c r="AE10683" s="7"/>
      <c r="AF10683" s="8"/>
      <c r="AG10683" s="7"/>
    </row>
    <row r="10684" spans="11:33" ht="14.5" x14ac:dyDescent="0.35">
      <c r="K10684" s="4"/>
      <c r="AC10684" s="7"/>
      <c r="AD10684" s="7"/>
      <c r="AE10684" s="7"/>
      <c r="AF10684" s="8"/>
      <c r="AG10684" s="7"/>
    </row>
    <row r="10685" spans="11:33" ht="14.5" x14ac:dyDescent="0.35">
      <c r="K10685" s="4"/>
      <c r="AC10685" s="7"/>
      <c r="AD10685" s="7"/>
      <c r="AE10685" s="7"/>
      <c r="AF10685" s="8"/>
      <c r="AG10685" s="7"/>
    </row>
    <row r="10686" spans="11:33" ht="14.5" x14ac:dyDescent="0.35">
      <c r="K10686" s="4"/>
      <c r="AC10686" s="7"/>
      <c r="AD10686" s="7"/>
      <c r="AE10686" s="7"/>
      <c r="AF10686" s="8"/>
      <c r="AG10686" s="7"/>
    </row>
    <row r="10687" spans="11:33" ht="14.5" x14ac:dyDescent="0.35">
      <c r="K10687" s="4"/>
      <c r="AC10687" s="7"/>
      <c r="AD10687" s="7"/>
      <c r="AE10687" s="7"/>
      <c r="AF10687" s="8"/>
      <c r="AG10687" s="7"/>
    </row>
    <row r="10688" spans="11:33" ht="14.5" x14ac:dyDescent="0.35">
      <c r="K10688" s="4"/>
      <c r="AC10688" s="7"/>
      <c r="AD10688" s="7"/>
      <c r="AE10688" s="7"/>
      <c r="AF10688" s="8"/>
      <c r="AG10688" s="7"/>
    </row>
    <row r="10689" spans="11:33" ht="14.5" x14ac:dyDescent="0.35">
      <c r="K10689" s="4"/>
      <c r="AC10689" s="7"/>
      <c r="AD10689" s="7"/>
      <c r="AE10689" s="7"/>
      <c r="AF10689" s="8"/>
      <c r="AG10689" s="7"/>
    </row>
    <row r="10690" spans="11:33" ht="14.5" x14ac:dyDescent="0.35">
      <c r="K10690" s="4"/>
      <c r="AC10690" s="7"/>
      <c r="AD10690" s="7"/>
      <c r="AE10690" s="7"/>
      <c r="AF10690" s="8"/>
      <c r="AG10690" s="7"/>
    </row>
    <row r="10691" spans="11:33" ht="14.5" x14ac:dyDescent="0.35">
      <c r="K10691" s="4"/>
      <c r="AC10691" s="7"/>
      <c r="AD10691" s="7"/>
      <c r="AE10691" s="7"/>
      <c r="AF10691" s="8"/>
      <c r="AG10691" s="7"/>
    </row>
    <row r="10692" spans="11:33" ht="14.5" x14ac:dyDescent="0.35">
      <c r="K10692" s="4"/>
      <c r="AC10692" s="7"/>
      <c r="AD10692" s="7"/>
      <c r="AE10692" s="7"/>
      <c r="AF10692" s="8"/>
      <c r="AG10692" s="7"/>
    </row>
    <row r="10693" spans="11:33" ht="14.5" x14ac:dyDescent="0.35">
      <c r="K10693" s="4"/>
      <c r="AC10693" s="7"/>
      <c r="AD10693" s="7"/>
      <c r="AE10693" s="7"/>
      <c r="AF10693" s="8"/>
      <c r="AG10693" s="7"/>
    </row>
    <row r="10694" spans="11:33" ht="14.5" x14ac:dyDescent="0.35">
      <c r="K10694" s="4"/>
      <c r="AC10694" s="7"/>
      <c r="AD10694" s="7"/>
      <c r="AE10694" s="7"/>
      <c r="AF10694" s="8"/>
      <c r="AG10694" s="7"/>
    </row>
    <row r="10695" spans="11:33" ht="14.5" x14ac:dyDescent="0.35">
      <c r="K10695" s="4"/>
      <c r="AC10695" s="7"/>
      <c r="AD10695" s="7"/>
      <c r="AE10695" s="7"/>
      <c r="AF10695" s="8"/>
      <c r="AG10695" s="7"/>
    </row>
    <row r="10696" spans="11:33" ht="14.5" x14ac:dyDescent="0.35">
      <c r="K10696" s="4"/>
      <c r="AC10696" s="7"/>
      <c r="AD10696" s="7"/>
      <c r="AE10696" s="7"/>
      <c r="AF10696" s="8"/>
      <c r="AG10696" s="7"/>
    </row>
    <row r="10697" spans="11:33" ht="14.5" x14ac:dyDescent="0.35">
      <c r="K10697" s="4"/>
      <c r="AC10697" s="7"/>
      <c r="AD10697" s="7"/>
      <c r="AE10697" s="7"/>
      <c r="AF10697" s="8"/>
      <c r="AG10697" s="7"/>
    </row>
    <row r="10698" spans="11:33" ht="14.5" x14ac:dyDescent="0.35">
      <c r="K10698" s="4"/>
      <c r="AC10698" s="7"/>
      <c r="AD10698" s="7"/>
      <c r="AE10698" s="7"/>
      <c r="AF10698" s="8"/>
      <c r="AG10698" s="7"/>
    </row>
    <row r="10699" spans="11:33" ht="14.5" x14ac:dyDescent="0.35">
      <c r="K10699" s="4"/>
      <c r="AC10699" s="7"/>
      <c r="AD10699" s="7"/>
      <c r="AE10699" s="7"/>
      <c r="AF10699" s="8"/>
      <c r="AG10699" s="7"/>
    </row>
    <row r="10700" spans="11:33" ht="14.5" x14ac:dyDescent="0.35">
      <c r="K10700" s="4"/>
      <c r="AC10700" s="7"/>
      <c r="AD10700" s="7"/>
      <c r="AE10700" s="7"/>
      <c r="AF10700" s="8"/>
      <c r="AG10700" s="7"/>
    </row>
    <row r="10701" spans="11:33" ht="14.5" x14ac:dyDescent="0.35">
      <c r="K10701" s="4"/>
      <c r="AC10701" s="7"/>
      <c r="AD10701" s="7"/>
      <c r="AE10701" s="7"/>
      <c r="AF10701" s="8"/>
      <c r="AG10701" s="7"/>
    </row>
    <row r="10702" spans="11:33" ht="14.5" x14ac:dyDescent="0.35">
      <c r="K10702" s="4"/>
      <c r="AC10702" s="7"/>
      <c r="AD10702" s="7"/>
      <c r="AE10702" s="7"/>
      <c r="AF10702" s="8"/>
      <c r="AG10702" s="7"/>
    </row>
    <row r="10703" spans="11:33" ht="14.5" x14ac:dyDescent="0.35">
      <c r="K10703" s="4"/>
      <c r="AC10703" s="7"/>
      <c r="AD10703" s="7"/>
      <c r="AE10703" s="7"/>
      <c r="AF10703" s="8"/>
      <c r="AG10703" s="7"/>
    </row>
    <row r="10704" spans="11:33" ht="14.5" x14ac:dyDescent="0.35">
      <c r="K10704" s="4"/>
      <c r="AC10704" s="7"/>
      <c r="AD10704" s="7"/>
      <c r="AE10704" s="7"/>
      <c r="AF10704" s="8"/>
      <c r="AG10704" s="7"/>
    </row>
    <row r="10705" spans="11:33" ht="14.5" x14ac:dyDescent="0.35">
      <c r="K10705" s="4"/>
      <c r="AC10705" s="7"/>
      <c r="AD10705" s="7"/>
      <c r="AE10705" s="7"/>
      <c r="AF10705" s="8"/>
      <c r="AG10705" s="7"/>
    </row>
    <row r="10706" spans="11:33" ht="14.5" x14ac:dyDescent="0.35">
      <c r="K10706" s="4"/>
      <c r="AC10706" s="7"/>
      <c r="AD10706" s="7"/>
      <c r="AE10706" s="7"/>
      <c r="AF10706" s="8"/>
      <c r="AG10706" s="7"/>
    </row>
    <row r="10707" spans="11:33" ht="14.5" x14ac:dyDescent="0.35">
      <c r="K10707" s="4"/>
      <c r="AC10707" s="7"/>
      <c r="AD10707" s="7"/>
      <c r="AE10707" s="7"/>
      <c r="AF10707" s="8"/>
      <c r="AG10707" s="7"/>
    </row>
    <row r="10708" spans="11:33" ht="14.5" x14ac:dyDescent="0.35">
      <c r="K10708" s="4"/>
      <c r="AC10708" s="7"/>
      <c r="AD10708" s="7"/>
      <c r="AE10708" s="7"/>
      <c r="AF10708" s="8"/>
      <c r="AG10708" s="7"/>
    </row>
    <row r="10709" spans="11:33" ht="14.5" x14ac:dyDescent="0.35">
      <c r="K10709" s="4"/>
      <c r="AC10709" s="7"/>
      <c r="AD10709" s="7"/>
      <c r="AE10709" s="7"/>
      <c r="AF10709" s="8"/>
      <c r="AG10709" s="7"/>
    </row>
    <row r="10710" spans="11:33" ht="14.5" x14ac:dyDescent="0.35">
      <c r="K10710" s="4"/>
      <c r="AC10710" s="7"/>
      <c r="AD10710" s="7"/>
      <c r="AE10710" s="7"/>
      <c r="AF10710" s="8"/>
      <c r="AG10710" s="7"/>
    </row>
    <row r="10711" spans="11:33" ht="14.5" x14ac:dyDescent="0.35">
      <c r="K10711" s="4"/>
      <c r="AC10711" s="7"/>
      <c r="AD10711" s="7"/>
      <c r="AE10711" s="7"/>
      <c r="AF10711" s="8"/>
      <c r="AG10711" s="7"/>
    </row>
    <row r="10712" spans="11:33" ht="14.5" x14ac:dyDescent="0.35">
      <c r="K10712" s="4"/>
      <c r="AC10712" s="7"/>
      <c r="AD10712" s="7"/>
      <c r="AE10712" s="7"/>
      <c r="AF10712" s="8"/>
      <c r="AG10712" s="7"/>
    </row>
    <row r="10713" spans="11:33" ht="14.5" x14ac:dyDescent="0.35">
      <c r="K10713" s="4"/>
      <c r="AC10713" s="7"/>
      <c r="AD10713" s="7"/>
      <c r="AE10713" s="7"/>
      <c r="AF10713" s="8"/>
      <c r="AG10713" s="7"/>
    </row>
    <row r="10714" spans="11:33" ht="14.5" x14ac:dyDescent="0.35">
      <c r="K10714" s="4"/>
      <c r="AC10714" s="7"/>
      <c r="AD10714" s="7"/>
      <c r="AE10714" s="7"/>
      <c r="AF10714" s="8"/>
      <c r="AG10714" s="7"/>
    </row>
    <row r="10715" spans="11:33" ht="14.5" x14ac:dyDescent="0.35">
      <c r="K10715" s="4"/>
      <c r="AC10715" s="7"/>
      <c r="AD10715" s="7"/>
      <c r="AE10715" s="7"/>
      <c r="AF10715" s="8"/>
      <c r="AG10715" s="7"/>
    </row>
    <row r="10716" spans="11:33" ht="14.5" x14ac:dyDescent="0.35">
      <c r="K10716" s="4"/>
      <c r="AC10716" s="7"/>
      <c r="AD10716" s="7"/>
      <c r="AE10716" s="7"/>
      <c r="AF10716" s="8"/>
      <c r="AG10716" s="7"/>
    </row>
    <row r="10717" spans="11:33" ht="14.5" x14ac:dyDescent="0.35">
      <c r="K10717" s="4"/>
      <c r="AC10717" s="7"/>
      <c r="AD10717" s="7"/>
      <c r="AE10717" s="7"/>
      <c r="AF10717" s="8"/>
      <c r="AG10717" s="7"/>
    </row>
    <row r="10718" spans="11:33" ht="14.5" x14ac:dyDescent="0.35">
      <c r="K10718" s="4"/>
      <c r="AC10718" s="7"/>
      <c r="AD10718" s="7"/>
      <c r="AE10718" s="7"/>
      <c r="AF10718" s="8"/>
      <c r="AG10718" s="7"/>
    </row>
    <row r="10719" spans="11:33" ht="14.5" x14ac:dyDescent="0.35">
      <c r="K10719" s="4"/>
      <c r="AC10719" s="7"/>
      <c r="AD10719" s="7"/>
      <c r="AE10719" s="7"/>
      <c r="AF10719" s="8"/>
      <c r="AG10719" s="7"/>
    </row>
    <row r="10720" spans="11:33" ht="14.5" x14ac:dyDescent="0.35">
      <c r="K10720" s="4"/>
      <c r="AC10720" s="7"/>
      <c r="AD10720" s="7"/>
      <c r="AE10720" s="7"/>
      <c r="AF10720" s="8"/>
      <c r="AG10720" s="7"/>
    </row>
    <row r="10721" spans="11:33" ht="14.5" x14ac:dyDescent="0.35">
      <c r="K10721" s="4"/>
      <c r="AC10721" s="7"/>
      <c r="AD10721" s="7"/>
      <c r="AE10721" s="7"/>
      <c r="AF10721" s="8"/>
      <c r="AG10721" s="7"/>
    </row>
    <row r="10722" spans="11:33" ht="14.5" x14ac:dyDescent="0.35">
      <c r="K10722" s="4"/>
      <c r="AC10722" s="7"/>
      <c r="AD10722" s="7"/>
      <c r="AE10722" s="7"/>
      <c r="AF10722" s="8"/>
      <c r="AG10722" s="7"/>
    </row>
    <row r="10723" spans="11:33" ht="14.5" x14ac:dyDescent="0.35">
      <c r="K10723" s="4"/>
      <c r="AC10723" s="7"/>
      <c r="AD10723" s="7"/>
      <c r="AE10723" s="7"/>
      <c r="AF10723" s="8"/>
      <c r="AG10723" s="7"/>
    </row>
    <row r="10724" spans="11:33" ht="14.5" x14ac:dyDescent="0.35">
      <c r="K10724" s="4"/>
      <c r="AC10724" s="7"/>
      <c r="AD10724" s="7"/>
      <c r="AE10724" s="7"/>
      <c r="AF10724" s="8"/>
      <c r="AG10724" s="7"/>
    </row>
    <row r="10725" spans="11:33" ht="14.5" x14ac:dyDescent="0.35">
      <c r="K10725" s="4"/>
      <c r="AC10725" s="7"/>
      <c r="AD10725" s="7"/>
      <c r="AE10725" s="7"/>
      <c r="AF10725" s="8"/>
      <c r="AG10725" s="7"/>
    </row>
    <row r="10726" spans="11:33" ht="14.5" x14ac:dyDescent="0.35">
      <c r="K10726" s="4"/>
      <c r="AC10726" s="7"/>
      <c r="AD10726" s="7"/>
      <c r="AE10726" s="7"/>
      <c r="AF10726" s="8"/>
      <c r="AG10726" s="7"/>
    </row>
    <row r="10727" spans="11:33" ht="14.5" x14ac:dyDescent="0.35">
      <c r="K10727" s="4"/>
      <c r="AC10727" s="7"/>
      <c r="AD10727" s="7"/>
      <c r="AE10727" s="7"/>
      <c r="AF10727" s="8"/>
      <c r="AG10727" s="7"/>
    </row>
    <row r="10728" spans="11:33" ht="14.5" x14ac:dyDescent="0.35">
      <c r="K10728" s="4"/>
      <c r="AC10728" s="7"/>
      <c r="AD10728" s="7"/>
      <c r="AE10728" s="7"/>
      <c r="AF10728" s="8"/>
      <c r="AG10728" s="7"/>
    </row>
    <row r="10729" spans="11:33" ht="14.5" x14ac:dyDescent="0.35">
      <c r="K10729" s="4"/>
      <c r="AC10729" s="7"/>
      <c r="AD10729" s="7"/>
      <c r="AE10729" s="7"/>
      <c r="AF10729" s="8"/>
      <c r="AG10729" s="7"/>
    </row>
    <row r="10730" spans="11:33" ht="14.5" x14ac:dyDescent="0.35">
      <c r="K10730" s="4"/>
      <c r="AC10730" s="7"/>
      <c r="AD10730" s="7"/>
      <c r="AE10730" s="7"/>
      <c r="AF10730" s="8"/>
      <c r="AG10730" s="7"/>
    </row>
    <row r="10731" spans="11:33" ht="14.5" x14ac:dyDescent="0.35">
      <c r="K10731" s="4"/>
      <c r="AC10731" s="7"/>
      <c r="AD10731" s="7"/>
      <c r="AE10731" s="7"/>
      <c r="AF10731" s="8"/>
      <c r="AG10731" s="7"/>
    </row>
    <row r="10732" spans="11:33" ht="14.5" x14ac:dyDescent="0.35">
      <c r="K10732" s="4"/>
      <c r="AC10732" s="7"/>
      <c r="AD10732" s="7"/>
      <c r="AE10732" s="7"/>
      <c r="AF10732" s="8"/>
      <c r="AG10732" s="7"/>
    </row>
    <row r="10733" spans="11:33" ht="14.5" x14ac:dyDescent="0.35">
      <c r="K10733" s="4"/>
      <c r="AC10733" s="7"/>
      <c r="AD10733" s="7"/>
      <c r="AE10733" s="7"/>
      <c r="AF10733" s="8"/>
      <c r="AG10733" s="7"/>
    </row>
    <row r="10734" spans="11:33" ht="14.5" x14ac:dyDescent="0.35">
      <c r="K10734" s="4"/>
      <c r="AC10734" s="7"/>
      <c r="AD10734" s="7"/>
      <c r="AE10734" s="7"/>
      <c r="AF10734" s="8"/>
      <c r="AG10734" s="7"/>
    </row>
    <row r="10735" spans="11:33" ht="14.5" x14ac:dyDescent="0.35">
      <c r="K10735" s="4"/>
      <c r="AC10735" s="7"/>
      <c r="AD10735" s="7"/>
      <c r="AE10735" s="7"/>
      <c r="AF10735" s="8"/>
      <c r="AG10735" s="7"/>
    </row>
    <row r="10736" spans="11:33" ht="14.5" x14ac:dyDescent="0.35">
      <c r="K10736" s="4"/>
      <c r="AC10736" s="7"/>
      <c r="AD10736" s="7"/>
      <c r="AE10736" s="7"/>
      <c r="AF10736" s="8"/>
      <c r="AG10736" s="7"/>
    </row>
    <row r="10737" spans="11:33" ht="14.5" x14ac:dyDescent="0.35">
      <c r="K10737" s="4"/>
      <c r="AC10737" s="7"/>
      <c r="AD10737" s="7"/>
      <c r="AE10737" s="7"/>
      <c r="AF10737" s="8"/>
      <c r="AG10737" s="7"/>
    </row>
    <row r="10738" spans="11:33" ht="14.5" x14ac:dyDescent="0.35">
      <c r="K10738" s="4"/>
      <c r="AC10738" s="7"/>
      <c r="AD10738" s="7"/>
      <c r="AE10738" s="7"/>
      <c r="AF10738" s="8"/>
      <c r="AG10738" s="7"/>
    </row>
    <row r="10739" spans="11:33" ht="14.5" x14ac:dyDescent="0.35">
      <c r="K10739" s="4"/>
      <c r="AC10739" s="7"/>
      <c r="AD10739" s="7"/>
      <c r="AE10739" s="7"/>
      <c r="AF10739" s="8"/>
      <c r="AG10739" s="7"/>
    </row>
    <row r="10740" spans="11:33" ht="14.5" x14ac:dyDescent="0.35">
      <c r="K10740" s="4"/>
      <c r="AC10740" s="7"/>
      <c r="AD10740" s="7"/>
      <c r="AE10740" s="7"/>
      <c r="AF10740" s="8"/>
      <c r="AG10740" s="7"/>
    </row>
    <row r="10741" spans="11:33" ht="14.5" x14ac:dyDescent="0.35">
      <c r="K10741" s="4"/>
      <c r="AC10741" s="7"/>
      <c r="AD10741" s="7"/>
      <c r="AE10741" s="7"/>
      <c r="AF10741" s="8"/>
      <c r="AG10741" s="7"/>
    </row>
    <row r="10742" spans="11:33" ht="14.5" x14ac:dyDescent="0.35">
      <c r="K10742" s="4"/>
      <c r="AC10742" s="7"/>
      <c r="AD10742" s="7"/>
      <c r="AE10742" s="7"/>
      <c r="AF10742" s="8"/>
      <c r="AG10742" s="7"/>
    </row>
    <row r="10743" spans="11:33" ht="14.5" x14ac:dyDescent="0.35">
      <c r="K10743" s="4"/>
      <c r="AC10743" s="7"/>
      <c r="AD10743" s="7"/>
      <c r="AE10743" s="7"/>
      <c r="AF10743" s="8"/>
      <c r="AG10743" s="7"/>
    </row>
    <row r="10744" spans="11:33" ht="14.5" x14ac:dyDescent="0.35">
      <c r="K10744" s="4"/>
      <c r="AC10744" s="7"/>
      <c r="AD10744" s="7"/>
      <c r="AE10744" s="7"/>
      <c r="AF10744" s="8"/>
      <c r="AG10744" s="7"/>
    </row>
    <row r="10745" spans="11:33" ht="14.5" x14ac:dyDescent="0.35">
      <c r="K10745" s="4"/>
      <c r="AC10745" s="7"/>
      <c r="AD10745" s="7"/>
      <c r="AE10745" s="7"/>
      <c r="AF10745" s="8"/>
      <c r="AG10745" s="7"/>
    </row>
    <row r="10746" spans="11:33" ht="14.5" x14ac:dyDescent="0.35">
      <c r="K10746" s="4"/>
      <c r="AC10746" s="7"/>
      <c r="AD10746" s="7"/>
      <c r="AE10746" s="7"/>
      <c r="AF10746" s="8"/>
      <c r="AG10746" s="7"/>
    </row>
    <row r="10747" spans="11:33" ht="14.5" x14ac:dyDescent="0.35">
      <c r="K10747" s="4"/>
      <c r="AC10747" s="7"/>
      <c r="AD10747" s="7"/>
      <c r="AE10747" s="7"/>
      <c r="AF10747" s="8"/>
      <c r="AG10747" s="7"/>
    </row>
    <row r="10748" spans="11:33" ht="14.5" x14ac:dyDescent="0.35">
      <c r="K10748" s="4"/>
      <c r="AC10748" s="7"/>
      <c r="AD10748" s="7"/>
      <c r="AE10748" s="7"/>
      <c r="AF10748" s="8"/>
      <c r="AG10748" s="7"/>
    </row>
    <row r="10749" spans="11:33" ht="14.5" x14ac:dyDescent="0.35">
      <c r="K10749" s="4"/>
      <c r="AC10749" s="7"/>
      <c r="AD10749" s="7"/>
      <c r="AE10749" s="7"/>
      <c r="AF10749" s="8"/>
      <c r="AG10749" s="7"/>
    </row>
    <row r="10750" spans="11:33" ht="14.5" x14ac:dyDescent="0.35">
      <c r="K10750" s="4"/>
      <c r="AC10750" s="7"/>
      <c r="AD10750" s="7"/>
      <c r="AE10750" s="7"/>
      <c r="AF10750" s="8"/>
      <c r="AG10750" s="7"/>
    </row>
    <row r="10751" spans="11:33" ht="14.5" x14ac:dyDescent="0.35">
      <c r="K10751" s="4"/>
      <c r="AC10751" s="7"/>
      <c r="AD10751" s="7"/>
      <c r="AE10751" s="7"/>
      <c r="AF10751" s="8"/>
      <c r="AG10751" s="7"/>
    </row>
    <row r="10752" spans="11:33" ht="14.5" x14ac:dyDescent="0.35">
      <c r="K10752" s="4"/>
      <c r="AC10752" s="7"/>
      <c r="AD10752" s="7"/>
      <c r="AE10752" s="7"/>
      <c r="AF10752" s="8"/>
      <c r="AG10752" s="7"/>
    </row>
    <row r="10753" spans="11:33" ht="14.5" x14ac:dyDescent="0.35">
      <c r="K10753" s="4"/>
      <c r="AC10753" s="7"/>
      <c r="AD10753" s="7"/>
      <c r="AE10753" s="7"/>
      <c r="AF10753" s="8"/>
      <c r="AG10753" s="7"/>
    </row>
    <row r="10754" spans="11:33" ht="14.5" x14ac:dyDescent="0.35">
      <c r="K10754" s="4"/>
      <c r="AC10754" s="7"/>
      <c r="AD10754" s="7"/>
      <c r="AE10754" s="7"/>
      <c r="AF10754" s="8"/>
      <c r="AG10754" s="7"/>
    </row>
    <row r="10755" spans="11:33" ht="14.5" x14ac:dyDescent="0.35">
      <c r="K10755" s="4"/>
      <c r="AC10755" s="7"/>
      <c r="AD10755" s="7"/>
      <c r="AE10755" s="7"/>
      <c r="AF10755" s="8"/>
      <c r="AG10755" s="7"/>
    </row>
    <row r="10756" spans="11:33" ht="14.5" x14ac:dyDescent="0.35">
      <c r="K10756" s="4"/>
      <c r="AC10756" s="7"/>
      <c r="AD10756" s="7"/>
      <c r="AE10756" s="7"/>
      <c r="AF10756" s="8"/>
      <c r="AG10756" s="7"/>
    </row>
    <row r="10757" spans="11:33" ht="14.5" x14ac:dyDescent="0.35">
      <c r="K10757" s="4"/>
      <c r="AC10757" s="7"/>
      <c r="AD10757" s="7"/>
      <c r="AE10757" s="7"/>
      <c r="AF10757" s="8"/>
      <c r="AG10757" s="7"/>
    </row>
    <row r="10758" spans="11:33" ht="14.5" x14ac:dyDescent="0.35">
      <c r="K10758" s="4"/>
      <c r="AC10758" s="7"/>
      <c r="AD10758" s="7"/>
      <c r="AE10758" s="7"/>
      <c r="AF10758" s="8"/>
      <c r="AG10758" s="7"/>
    </row>
    <row r="10759" spans="11:33" ht="14.5" x14ac:dyDescent="0.35">
      <c r="K10759" s="4"/>
      <c r="AC10759" s="7"/>
      <c r="AD10759" s="7"/>
      <c r="AE10759" s="7"/>
      <c r="AF10759" s="8"/>
      <c r="AG10759" s="7"/>
    </row>
    <row r="10760" spans="11:33" ht="14.5" x14ac:dyDescent="0.35">
      <c r="K10760" s="4"/>
      <c r="AC10760" s="7"/>
      <c r="AD10760" s="7"/>
      <c r="AE10760" s="7"/>
      <c r="AF10760" s="8"/>
      <c r="AG10760" s="7"/>
    </row>
    <row r="10761" spans="11:33" ht="14.5" x14ac:dyDescent="0.35">
      <c r="K10761" s="4"/>
      <c r="AC10761" s="7"/>
      <c r="AD10761" s="7"/>
      <c r="AE10761" s="7"/>
      <c r="AF10761" s="8"/>
      <c r="AG10761" s="7"/>
    </row>
    <row r="10762" spans="11:33" ht="14.5" x14ac:dyDescent="0.35">
      <c r="K10762" s="4"/>
      <c r="AC10762" s="7"/>
      <c r="AD10762" s="7"/>
      <c r="AE10762" s="7"/>
      <c r="AF10762" s="8"/>
      <c r="AG10762" s="7"/>
    </row>
    <row r="10763" spans="11:33" ht="14.5" x14ac:dyDescent="0.35">
      <c r="K10763" s="4"/>
      <c r="AC10763" s="7"/>
      <c r="AD10763" s="7"/>
      <c r="AE10763" s="7"/>
      <c r="AF10763" s="8"/>
      <c r="AG10763" s="7"/>
    </row>
    <row r="10764" spans="11:33" ht="14.5" x14ac:dyDescent="0.35">
      <c r="K10764" s="4"/>
      <c r="AC10764" s="7"/>
      <c r="AD10764" s="7"/>
      <c r="AE10764" s="7"/>
      <c r="AF10764" s="8"/>
      <c r="AG10764" s="7"/>
    </row>
    <row r="10765" spans="11:33" ht="14.5" x14ac:dyDescent="0.35">
      <c r="K10765" s="4"/>
      <c r="AC10765" s="7"/>
      <c r="AD10765" s="7"/>
      <c r="AE10765" s="7"/>
      <c r="AF10765" s="8"/>
      <c r="AG10765" s="7"/>
    </row>
    <row r="10766" spans="11:33" ht="14.5" x14ac:dyDescent="0.35">
      <c r="K10766" s="4"/>
      <c r="AC10766" s="7"/>
      <c r="AD10766" s="7"/>
      <c r="AE10766" s="7"/>
      <c r="AF10766" s="8"/>
      <c r="AG10766" s="7"/>
    </row>
    <row r="10767" spans="11:33" ht="14.5" x14ac:dyDescent="0.35">
      <c r="K10767" s="4"/>
      <c r="AC10767" s="7"/>
      <c r="AD10767" s="7"/>
      <c r="AE10767" s="7"/>
      <c r="AF10767" s="8"/>
      <c r="AG10767" s="7"/>
    </row>
    <row r="10768" spans="11:33" ht="14.5" x14ac:dyDescent="0.35">
      <c r="K10768" s="4"/>
      <c r="AC10768" s="7"/>
      <c r="AD10768" s="7"/>
      <c r="AE10768" s="7"/>
      <c r="AF10768" s="8"/>
      <c r="AG10768" s="7"/>
    </row>
    <row r="10769" spans="11:33" ht="14.5" x14ac:dyDescent="0.35">
      <c r="K10769" s="4"/>
      <c r="AC10769" s="7"/>
      <c r="AD10769" s="7"/>
      <c r="AE10769" s="7"/>
      <c r="AF10769" s="8"/>
      <c r="AG10769" s="7"/>
    </row>
    <row r="10770" spans="11:33" ht="14.5" x14ac:dyDescent="0.35">
      <c r="K10770" s="4"/>
      <c r="AC10770" s="7"/>
      <c r="AD10770" s="7"/>
      <c r="AE10770" s="7"/>
      <c r="AF10770" s="8"/>
      <c r="AG10770" s="7"/>
    </row>
    <row r="10771" spans="11:33" ht="14.5" x14ac:dyDescent="0.35">
      <c r="K10771" s="4"/>
      <c r="AC10771" s="7"/>
      <c r="AD10771" s="7"/>
      <c r="AE10771" s="7"/>
      <c r="AF10771" s="8"/>
      <c r="AG10771" s="7"/>
    </row>
    <row r="10772" spans="11:33" ht="14.5" x14ac:dyDescent="0.35">
      <c r="K10772" s="4"/>
      <c r="AC10772" s="7"/>
      <c r="AD10772" s="7"/>
      <c r="AE10772" s="7"/>
      <c r="AF10772" s="8"/>
      <c r="AG10772" s="7"/>
    </row>
    <row r="10773" spans="11:33" ht="14.5" x14ac:dyDescent="0.35">
      <c r="K10773" s="4"/>
      <c r="AC10773" s="7"/>
      <c r="AD10773" s="7"/>
      <c r="AE10773" s="7"/>
      <c r="AF10773" s="8"/>
      <c r="AG10773" s="7"/>
    </row>
    <row r="10774" spans="11:33" ht="14.5" x14ac:dyDescent="0.35">
      <c r="K10774" s="4"/>
      <c r="AC10774" s="7"/>
      <c r="AD10774" s="7"/>
      <c r="AE10774" s="7"/>
      <c r="AF10774" s="8"/>
      <c r="AG10774" s="7"/>
    </row>
    <row r="10775" spans="11:33" ht="14.5" x14ac:dyDescent="0.35">
      <c r="K10775" s="4"/>
      <c r="AC10775" s="7"/>
      <c r="AD10775" s="7"/>
      <c r="AE10775" s="7"/>
      <c r="AF10775" s="8"/>
      <c r="AG10775" s="7"/>
    </row>
    <row r="10776" spans="11:33" ht="14.5" x14ac:dyDescent="0.35">
      <c r="K10776" s="4"/>
      <c r="AC10776" s="7"/>
      <c r="AD10776" s="7"/>
      <c r="AE10776" s="7"/>
      <c r="AF10776" s="8"/>
      <c r="AG10776" s="7"/>
    </row>
    <row r="10777" spans="11:33" ht="14.5" x14ac:dyDescent="0.35">
      <c r="K10777" s="4"/>
      <c r="AC10777" s="7"/>
      <c r="AD10777" s="7"/>
      <c r="AE10777" s="7"/>
      <c r="AF10777" s="8"/>
      <c r="AG10777" s="7"/>
    </row>
    <row r="10778" spans="11:33" ht="14.5" x14ac:dyDescent="0.35">
      <c r="K10778" s="4"/>
      <c r="AC10778" s="7"/>
      <c r="AD10778" s="7"/>
      <c r="AE10778" s="7"/>
      <c r="AF10778" s="8"/>
      <c r="AG10778" s="7"/>
    </row>
    <row r="10779" spans="11:33" ht="14.5" x14ac:dyDescent="0.35">
      <c r="K10779" s="4"/>
      <c r="AC10779" s="7"/>
      <c r="AD10779" s="7"/>
      <c r="AE10779" s="7"/>
      <c r="AF10779" s="8"/>
      <c r="AG10779" s="7"/>
    </row>
    <row r="10780" spans="11:33" ht="14.5" x14ac:dyDescent="0.35">
      <c r="K10780" s="4"/>
      <c r="AC10780" s="7"/>
      <c r="AD10780" s="7"/>
      <c r="AE10780" s="7"/>
      <c r="AF10780" s="8"/>
      <c r="AG10780" s="7"/>
    </row>
    <row r="10781" spans="11:33" ht="14.5" x14ac:dyDescent="0.35">
      <c r="K10781" s="4"/>
      <c r="AC10781" s="7"/>
      <c r="AD10781" s="7"/>
      <c r="AE10781" s="7"/>
      <c r="AF10781" s="8"/>
      <c r="AG10781" s="7"/>
    </row>
    <row r="10782" spans="11:33" ht="14.5" x14ac:dyDescent="0.35">
      <c r="K10782" s="4"/>
      <c r="AC10782" s="7"/>
      <c r="AD10782" s="7"/>
      <c r="AE10782" s="7"/>
      <c r="AF10782" s="8"/>
      <c r="AG10782" s="7"/>
    </row>
    <row r="10783" spans="11:33" ht="14.5" x14ac:dyDescent="0.35">
      <c r="K10783" s="4"/>
      <c r="AC10783" s="7"/>
      <c r="AD10783" s="7"/>
      <c r="AE10783" s="7"/>
      <c r="AF10783" s="8"/>
      <c r="AG10783" s="7"/>
    </row>
    <row r="10784" spans="11:33" ht="14.5" x14ac:dyDescent="0.35">
      <c r="K10784" s="4"/>
      <c r="AC10784" s="7"/>
      <c r="AD10784" s="7"/>
      <c r="AE10784" s="7"/>
      <c r="AF10784" s="8"/>
      <c r="AG10784" s="7"/>
    </row>
    <row r="10785" spans="11:33" ht="14.5" x14ac:dyDescent="0.35">
      <c r="K10785" s="4"/>
      <c r="AC10785" s="7"/>
      <c r="AD10785" s="7"/>
      <c r="AE10785" s="7"/>
      <c r="AF10785" s="8"/>
      <c r="AG10785" s="7"/>
    </row>
    <row r="10786" spans="11:33" ht="14.5" x14ac:dyDescent="0.35">
      <c r="K10786" s="4"/>
      <c r="AC10786" s="7"/>
      <c r="AD10786" s="7"/>
      <c r="AE10786" s="7"/>
      <c r="AF10786" s="8"/>
      <c r="AG10786" s="7"/>
    </row>
    <row r="10787" spans="11:33" ht="14.5" x14ac:dyDescent="0.35">
      <c r="K10787" s="4"/>
      <c r="AC10787" s="7"/>
      <c r="AD10787" s="7"/>
      <c r="AE10787" s="7"/>
      <c r="AF10787" s="8"/>
      <c r="AG10787" s="7"/>
    </row>
    <row r="10788" spans="11:33" ht="14.5" x14ac:dyDescent="0.35">
      <c r="K10788" s="4"/>
      <c r="AC10788" s="7"/>
      <c r="AD10788" s="7"/>
      <c r="AE10788" s="7"/>
      <c r="AF10788" s="8"/>
      <c r="AG10788" s="7"/>
    </row>
    <row r="10789" spans="11:33" ht="14.5" x14ac:dyDescent="0.35">
      <c r="K10789" s="4"/>
      <c r="AC10789" s="7"/>
      <c r="AD10789" s="7"/>
      <c r="AE10789" s="7"/>
      <c r="AF10789" s="8"/>
      <c r="AG10789" s="7"/>
    </row>
    <row r="10790" spans="11:33" ht="14.5" x14ac:dyDescent="0.35">
      <c r="K10790" s="4"/>
      <c r="AC10790" s="7"/>
      <c r="AD10790" s="7"/>
      <c r="AE10790" s="7"/>
      <c r="AF10790" s="8"/>
      <c r="AG10790" s="7"/>
    </row>
    <row r="10791" spans="11:33" ht="14.5" x14ac:dyDescent="0.35">
      <c r="K10791" s="4"/>
      <c r="AC10791" s="7"/>
      <c r="AD10791" s="7"/>
      <c r="AE10791" s="7"/>
      <c r="AF10791" s="8"/>
      <c r="AG10791" s="7"/>
    </row>
    <row r="10792" spans="11:33" ht="14.5" x14ac:dyDescent="0.35">
      <c r="K10792" s="4"/>
      <c r="AC10792" s="7"/>
      <c r="AD10792" s="7"/>
      <c r="AE10792" s="7"/>
      <c r="AF10792" s="8"/>
      <c r="AG10792" s="7"/>
    </row>
    <row r="10793" spans="11:33" ht="14.5" x14ac:dyDescent="0.35">
      <c r="K10793" s="4"/>
      <c r="AC10793" s="7"/>
      <c r="AD10793" s="7"/>
      <c r="AE10793" s="7"/>
      <c r="AF10793" s="8"/>
      <c r="AG10793" s="7"/>
    </row>
    <row r="10794" spans="11:33" ht="14.5" x14ac:dyDescent="0.35">
      <c r="K10794" s="4"/>
      <c r="AC10794" s="7"/>
      <c r="AD10794" s="7"/>
      <c r="AE10794" s="7"/>
      <c r="AF10794" s="8"/>
      <c r="AG10794" s="7"/>
    </row>
    <row r="10795" spans="11:33" ht="14.5" x14ac:dyDescent="0.35">
      <c r="K10795" s="4"/>
      <c r="AC10795" s="7"/>
      <c r="AD10795" s="7"/>
      <c r="AE10795" s="7"/>
      <c r="AF10795" s="8"/>
      <c r="AG10795" s="7"/>
    </row>
    <row r="10796" spans="11:33" ht="14.5" x14ac:dyDescent="0.35">
      <c r="K10796" s="4"/>
      <c r="AC10796" s="7"/>
      <c r="AD10796" s="7"/>
      <c r="AE10796" s="7"/>
      <c r="AF10796" s="8"/>
      <c r="AG10796" s="7"/>
    </row>
    <row r="10797" spans="11:33" ht="14.5" x14ac:dyDescent="0.35">
      <c r="K10797" s="4"/>
      <c r="AC10797" s="7"/>
      <c r="AD10797" s="7"/>
      <c r="AE10797" s="7"/>
      <c r="AF10797" s="8"/>
      <c r="AG10797" s="7"/>
    </row>
    <row r="10798" spans="11:33" ht="14.5" x14ac:dyDescent="0.35">
      <c r="K10798" s="4"/>
      <c r="AC10798" s="7"/>
      <c r="AD10798" s="7"/>
      <c r="AE10798" s="7"/>
      <c r="AF10798" s="8"/>
      <c r="AG10798" s="7"/>
    </row>
    <row r="10799" spans="11:33" ht="14.5" x14ac:dyDescent="0.35">
      <c r="K10799" s="4"/>
      <c r="AC10799" s="7"/>
      <c r="AD10799" s="7"/>
      <c r="AE10799" s="7"/>
      <c r="AF10799" s="8"/>
      <c r="AG10799" s="7"/>
    </row>
    <row r="10800" spans="11:33" ht="14.5" x14ac:dyDescent="0.35">
      <c r="K10800" s="4"/>
      <c r="AC10800" s="7"/>
      <c r="AD10800" s="7"/>
      <c r="AE10800" s="7"/>
      <c r="AF10800" s="8"/>
      <c r="AG10800" s="7"/>
    </row>
    <row r="10801" spans="11:33" ht="14.5" x14ac:dyDescent="0.35">
      <c r="K10801" s="4"/>
      <c r="AC10801" s="7"/>
      <c r="AD10801" s="7"/>
      <c r="AE10801" s="7"/>
      <c r="AF10801" s="8"/>
      <c r="AG10801" s="7"/>
    </row>
    <row r="10802" spans="11:33" ht="14.5" x14ac:dyDescent="0.35">
      <c r="K10802" s="4"/>
      <c r="AC10802" s="7"/>
      <c r="AD10802" s="7"/>
      <c r="AE10802" s="7"/>
      <c r="AF10802" s="8"/>
      <c r="AG10802" s="7"/>
    </row>
    <row r="10803" spans="11:33" ht="14.5" x14ac:dyDescent="0.35">
      <c r="K10803" s="4"/>
      <c r="AC10803" s="7"/>
      <c r="AD10803" s="7"/>
      <c r="AE10803" s="7"/>
      <c r="AF10803" s="8"/>
      <c r="AG10803" s="7"/>
    </row>
    <row r="10804" spans="11:33" ht="14.5" x14ac:dyDescent="0.35">
      <c r="K10804" s="4"/>
      <c r="AC10804" s="7"/>
      <c r="AD10804" s="7"/>
      <c r="AE10804" s="7"/>
      <c r="AF10804" s="8"/>
      <c r="AG10804" s="7"/>
    </row>
    <row r="10805" spans="11:33" ht="14.5" x14ac:dyDescent="0.35">
      <c r="K10805" s="4"/>
      <c r="AC10805" s="7"/>
      <c r="AD10805" s="7"/>
      <c r="AE10805" s="7"/>
      <c r="AF10805" s="8"/>
      <c r="AG10805" s="7"/>
    </row>
    <row r="10806" spans="11:33" ht="14.5" x14ac:dyDescent="0.35">
      <c r="K10806" s="4"/>
      <c r="AC10806" s="7"/>
      <c r="AD10806" s="7"/>
      <c r="AE10806" s="7"/>
      <c r="AF10806" s="8"/>
      <c r="AG10806" s="7"/>
    </row>
    <row r="10807" spans="11:33" ht="14.5" x14ac:dyDescent="0.35">
      <c r="K10807" s="4"/>
      <c r="AC10807" s="7"/>
      <c r="AD10807" s="7"/>
      <c r="AE10807" s="7"/>
      <c r="AF10807" s="8"/>
      <c r="AG10807" s="7"/>
    </row>
    <row r="10808" spans="11:33" ht="14.5" x14ac:dyDescent="0.35">
      <c r="K10808" s="4"/>
      <c r="AC10808" s="7"/>
      <c r="AD10808" s="7"/>
      <c r="AE10808" s="7"/>
      <c r="AF10808" s="8"/>
      <c r="AG10808" s="7"/>
    </row>
    <row r="10809" spans="11:33" ht="14.5" x14ac:dyDescent="0.35">
      <c r="K10809" s="4"/>
      <c r="AC10809" s="7"/>
      <c r="AD10809" s="7"/>
      <c r="AE10809" s="7"/>
      <c r="AF10809" s="8"/>
      <c r="AG10809" s="7"/>
    </row>
    <row r="10810" spans="11:33" ht="14.5" x14ac:dyDescent="0.35">
      <c r="K10810" s="4"/>
      <c r="AC10810" s="7"/>
      <c r="AD10810" s="7"/>
      <c r="AE10810" s="7"/>
      <c r="AF10810" s="8"/>
      <c r="AG10810" s="7"/>
    </row>
    <row r="10811" spans="11:33" ht="14.5" x14ac:dyDescent="0.35">
      <c r="K10811" s="4"/>
      <c r="AC10811" s="7"/>
      <c r="AD10811" s="7"/>
      <c r="AE10811" s="7"/>
      <c r="AF10811" s="8"/>
      <c r="AG10811" s="7"/>
    </row>
    <row r="10812" spans="11:33" ht="14.5" x14ac:dyDescent="0.35">
      <c r="K10812" s="4"/>
      <c r="AC10812" s="7"/>
      <c r="AD10812" s="7"/>
      <c r="AE10812" s="7"/>
      <c r="AF10812" s="8"/>
      <c r="AG10812" s="7"/>
    </row>
    <row r="10813" spans="11:33" ht="14.5" x14ac:dyDescent="0.35">
      <c r="K10813" s="4"/>
      <c r="AC10813" s="7"/>
      <c r="AD10813" s="7"/>
      <c r="AE10813" s="7"/>
      <c r="AF10813" s="8"/>
      <c r="AG10813" s="7"/>
    </row>
    <row r="10814" spans="11:33" ht="14.5" x14ac:dyDescent="0.35">
      <c r="K10814" s="4"/>
      <c r="AC10814" s="7"/>
      <c r="AD10814" s="7"/>
      <c r="AE10814" s="7"/>
      <c r="AF10814" s="8"/>
      <c r="AG10814" s="7"/>
    </row>
    <row r="10815" spans="11:33" ht="14.5" x14ac:dyDescent="0.35">
      <c r="K10815" s="4"/>
      <c r="AC10815" s="7"/>
      <c r="AD10815" s="7"/>
      <c r="AE10815" s="7"/>
      <c r="AF10815" s="8"/>
      <c r="AG10815" s="7"/>
    </row>
    <row r="10816" spans="11:33" ht="14.5" x14ac:dyDescent="0.35">
      <c r="K10816" s="4"/>
      <c r="AC10816" s="7"/>
      <c r="AD10816" s="7"/>
      <c r="AE10816" s="7"/>
      <c r="AF10816" s="8"/>
      <c r="AG10816" s="7"/>
    </row>
    <row r="10817" spans="11:33" ht="14.5" x14ac:dyDescent="0.35">
      <c r="K10817" s="4"/>
      <c r="AC10817" s="7"/>
      <c r="AD10817" s="7"/>
      <c r="AE10817" s="7"/>
      <c r="AF10817" s="8"/>
      <c r="AG10817" s="7"/>
    </row>
    <row r="10818" spans="11:33" ht="14.5" x14ac:dyDescent="0.35">
      <c r="K10818" s="4"/>
      <c r="AC10818" s="7"/>
      <c r="AD10818" s="7"/>
      <c r="AE10818" s="7"/>
      <c r="AF10818" s="8"/>
      <c r="AG10818" s="7"/>
    </row>
    <row r="10819" spans="11:33" ht="14.5" x14ac:dyDescent="0.35">
      <c r="K10819" s="4"/>
      <c r="AC10819" s="7"/>
      <c r="AD10819" s="7"/>
      <c r="AE10819" s="7"/>
      <c r="AF10819" s="8"/>
      <c r="AG10819" s="7"/>
    </row>
    <row r="10820" spans="11:33" ht="14.5" x14ac:dyDescent="0.35">
      <c r="K10820" s="4"/>
      <c r="AC10820" s="7"/>
      <c r="AD10820" s="7"/>
      <c r="AE10820" s="7"/>
      <c r="AF10820" s="8"/>
      <c r="AG10820" s="7"/>
    </row>
    <row r="10821" spans="11:33" ht="14.5" x14ac:dyDescent="0.35">
      <c r="K10821" s="4"/>
      <c r="AC10821" s="7"/>
      <c r="AD10821" s="7"/>
      <c r="AE10821" s="7"/>
      <c r="AF10821" s="8"/>
      <c r="AG10821" s="7"/>
    </row>
    <row r="10822" spans="11:33" ht="14.5" x14ac:dyDescent="0.35">
      <c r="K10822" s="4"/>
      <c r="AC10822" s="7"/>
      <c r="AD10822" s="7"/>
      <c r="AE10822" s="7"/>
      <c r="AF10822" s="8"/>
      <c r="AG10822" s="7"/>
    </row>
    <row r="10823" spans="11:33" ht="14.5" x14ac:dyDescent="0.35">
      <c r="K10823" s="4"/>
      <c r="AC10823" s="7"/>
      <c r="AD10823" s="7"/>
      <c r="AE10823" s="7"/>
      <c r="AF10823" s="8"/>
      <c r="AG10823" s="7"/>
    </row>
    <row r="10824" spans="11:33" ht="14.5" x14ac:dyDescent="0.35">
      <c r="K10824" s="4"/>
      <c r="AC10824" s="7"/>
      <c r="AD10824" s="7"/>
      <c r="AE10824" s="7"/>
      <c r="AF10824" s="8"/>
      <c r="AG10824" s="7"/>
    </row>
    <row r="10825" spans="11:33" ht="14.5" x14ac:dyDescent="0.35">
      <c r="K10825" s="4"/>
      <c r="AC10825" s="7"/>
      <c r="AD10825" s="7"/>
      <c r="AE10825" s="7"/>
      <c r="AF10825" s="8"/>
      <c r="AG10825" s="7"/>
    </row>
    <row r="10826" spans="11:33" ht="14.5" x14ac:dyDescent="0.35">
      <c r="K10826" s="4"/>
      <c r="AC10826" s="7"/>
      <c r="AD10826" s="7"/>
      <c r="AE10826" s="7"/>
      <c r="AF10826" s="8"/>
      <c r="AG10826" s="7"/>
    </row>
    <row r="10827" spans="11:33" ht="14.5" x14ac:dyDescent="0.35">
      <c r="K10827" s="4"/>
      <c r="AC10827" s="7"/>
      <c r="AD10827" s="7"/>
      <c r="AE10827" s="7"/>
      <c r="AF10827" s="8"/>
      <c r="AG10827" s="7"/>
    </row>
    <row r="10828" spans="11:33" ht="14.5" x14ac:dyDescent="0.35">
      <c r="K10828" s="4"/>
      <c r="AC10828" s="7"/>
      <c r="AD10828" s="7"/>
      <c r="AE10828" s="7"/>
      <c r="AF10828" s="8"/>
      <c r="AG10828" s="7"/>
    </row>
    <row r="10829" spans="11:33" ht="14.5" x14ac:dyDescent="0.35">
      <c r="K10829" s="4"/>
      <c r="AC10829" s="7"/>
      <c r="AD10829" s="7"/>
      <c r="AE10829" s="7"/>
      <c r="AF10829" s="8"/>
      <c r="AG10829" s="7"/>
    </row>
    <row r="10830" spans="11:33" ht="14.5" x14ac:dyDescent="0.35">
      <c r="K10830" s="4"/>
      <c r="AC10830" s="7"/>
      <c r="AD10830" s="7"/>
      <c r="AE10830" s="7"/>
      <c r="AF10830" s="8"/>
      <c r="AG10830" s="7"/>
    </row>
    <row r="10831" spans="11:33" ht="14.5" x14ac:dyDescent="0.35">
      <c r="K10831" s="4"/>
      <c r="AC10831" s="7"/>
      <c r="AD10831" s="7"/>
      <c r="AE10831" s="7"/>
      <c r="AF10831" s="8"/>
      <c r="AG10831" s="7"/>
    </row>
    <row r="10832" spans="11:33" ht="14.5" x14ac:dyDescent="0.35">
      <c r="K10832" s="4"/>
      <c r="AC10832" s="7"/>
      <c r="AD10832" s="7"/>
      <c r="AE10832" s="7"/>
      <c r="AF10832" s="8"/>
      <c r="AG10832" s="7"/>
    </row>
    <row r="10833" spans="11:33" ht="14.5" x14ac:dyDescent="0.35">
      <c r="K10833" s="4"/>
      <c r="AC10833" s="7"/>
      <c r="AD10833" s="7"/>
      <c r="AE10833" s="7"/>
      <c r="AF10833" s="8"/>
      <c r="AG10833" s="7"/>
    </row>
    <row r="10834" spans="11:33" ht="14.5" x14ac:dyDescent="0.35">
      <c r="K10834" s="4"/>
      <c r="AC10834" s="7"/>
      <c r="AD10834" s="7"/>
      <c r="AE10834" s="7"/>
      <c r="AF10834" s="8"/>
      <c r="AG10834" s="7"/>
    </row>
    <row r="10835" spans="11:33" ht="14.5" x14ac:dyDescent="0.35">
      <c r="K10835" s="4"/>
      <c r="AC10835" s="7"/>
      <c r="AD10835" s="7"/>
      <c r="AE10835" s="7"/>
      <c r="AF10835" s="8"/>
      <c r="AG10835" s="7"/>
    </row>
    <row r="10836" spans="11:33" ht="14.5" x14ac:dyDescent="0.35">
      <c r="K10836" s="4"/>
      <c r="AC10836" s="7"/>
      <c r="AD10836" s="7"/>
      <c r="AE10836" s="7"/>
      <c r="AF10836" s="8"/>
      <c r="AG10836" s="7"/>
    </row>
    <row r="10837" spans="11:33" ht="14.5" x14ac:dyDescent="0.35">
      <c r="K10837" s="4"/>
      <c r="AC10837" s="7"/>
      <c r="AD10837" s="7"/>
      <c r="AE10837" s="7"/>
      <c r="AF10837" s="8"/>
      <c r="AG10837" s="7"/>
    </row>
    <row r="10838" spans="11:33" ht="14.5" x14ac:dyDescent="0.35">
      <c r="K10838" s="4"/>
      <c r="AC10838" s="7"/>
      <c r="AD10838" s="7"/>
      <c r="AE10838" s="7"/>
      <c r="AF10838" s="8"/>
      <c r="AG10838" s="7"/>
    </row>
    <row r="10839" spans="11:33" ht="14.5" x14ac:dyDescent="0.35">
      <c r="K10839" s="4"/>
      <c r="AC10839" s="7"/>
      <c r="AD10839" s="7"/>
      <c r="AE10839" s="7"/>
      <c r="AF10839" s="8"/>
      <c r="AG10839" s="7"/>
    </row>
    <row r="10840" spans="11:33" ht="14.5" x14ac:dyDescent="0.35">
      <c r="K10840" s="4"/>
      <c r="AC10840" s="7"/>
      <c r="AD10840" s="7"/>
      <c r="AE10840" s="7"/>
      <c r="AF10840" s="8"/>
      <c r="AG10840" s="7"/>
    </row>
    <row r="10841" spans="11:33" ht="14.5" x14ac:dyDescent="0.35">
      <c r="K10841" s="4"/>
      <c r="AC10841" s="7"/>
      <c r="AD10841" s="7"/>
      <c r="AE10841" s="7"/>
      <c r="AF10841" s="8"/>
      <c r="AG10841" s="7"/>
    </row>
    <row r="10842" spans="11:33" ht="14.5" x14ac:dyDescent="0.35">
      <c r="K10842" s="4"/>
      <c r="AC10842" s="7"/>
      <c r="AD10842" s="7"/>
      <c r="AE10842" s="7"/>
      <c r="AF10842" s="8"/>
      <c r="AG10842" s="7"/>
    </row>
    <row r="10843" spans="11:33" ht="14.5" x14ac:dyDescent="0.35">
      <c r="K10843" s="4"/>
      <c r="AC10843" s="7"/>
      <c r="AD10843" s="7"/>
      <c r="AE10843" s="7"/>
      <c r="AF10843" s="8"/>
      <c r="AG10843" s="7"/>
    </row>
    <row r="10844" spans="11:33" ht="14.5" x14ac:dyDescent="0.35">
      <c r="K10844" s="4"/>
      <c r="AC10844" s="7"/>
      <c r="AD10844" s="7"/>
      <c r="AE10844" s="7"/>
      <c r="AF10844" s="8"/>
      <c r="AG10844" s="7"/>
    </row>
    <row r="10845" spans="11:33" ht="14.5" x14ac:dyDescent="0.35">
      <c r="K10845" s="4"/>
      <c r="AC10845" s="7"/>
      <c r="AD10845" s="7"/>
      <c r="AE10845" s="7"/>
      <c r="AF10845" s="8"/>
      <c r="AG10845" s="7"/>
    </row>
    <row r="10846" spans="11:33" ht="14.5" x14ac:dyDescent="0.35">
      <c r="K10846" s="4"/>
      <c r="AC10846" s="7"/>
      <c r="AD10846" s="7"/>
      <c r="AE10846" s="7"/>
      <c r="AF10846" s="8"/>
      <c r="AG10846" s="7"/>
    </row>
    <row r="10847" spans="11:33" ht="14.5" x14ac:dyDescent="0.35">
      <c r="K10847" s="4"/>
      <c r="AC10847" s="7"/>
      <c r="AD10847" s="7"/>
      <c r="AE10847" s="7"/>
      <c r="AF10847" s="8"/>
      <c r="AG10847" s="7"/>
    </row>
    <row r="10848" spans="11:33" ht="14.5" x14ac:dyDescent="0.35">
      <c r="K10848" s="4"/>
      <c r="AC10848" s="7"/>
      <c r="AD10848" s="7"/>
      <c r="AE10848" s="7"/>
      <c r="AF10848" s="8"/>
      <c r="AG10848" s="7"/>
    </row>
    <row r="10849" spans="11:33" ht="14.5" x14ac:dyDescent="0.35">
      <c r="K10849" s="4"/>
      <c r="AC10849" s="7"/>
      <c r="AD10849" s="7"/>
      <c r="AE10849" s="7"/>
      <c r="AF10849" s="8"/>
      <c r="AG10849" s="7"/>
    </row>
    <row r="10850" spans="11:33" ht="14.5" x14ac:dyDescent="0.35">
      <c r="K10850" s="4"/>
      <c r="AC10850" s="7"/>
      <c r="AD10850" s="7"/>
      <c r="AE10850" s="7"/>
      <c r="AF10850" s="8"/>
      <c r="AG10850" s="7"/>
    </row>
    <row r="10851" spans="11:33" ht="14.5" x14ac:dyDescent="0.35">
      <c r="K10851" s="4"/>
      <c r="AC10851" s="7"/>
      <c r="AD10851" s="7"/>
      <c r="AE10851" s="7"/>
      <c r="AF10851" s="8"/>
      <c r="AG10851" s="7"/>
    </row>
    <row r="10852" spans="11:33" ht="14.5" x14ac:dyDescent="0.35">
      <c r="K10852" s="4"/>
      <c r="AC10852" s="7"/>
      <c r="AD10852" s="7"/>
      <c r="AE10852" s="7"/>
      <c r="AF10852" s="8"/>
      <c r="AG10852" s="7"/>
    </row>
    <row r="10853" spans="11:33" ht="14.5" x14ac:dyDescent="0.35">
      <c r="K10853" s="4"/>
      <c r="AC10853" s="7"/>
      <c r="AD10853" s="7"/>
      <c r="AE10853" s="7"/>
      <c r="AF10853" s="8"/>
      <c r="AG10853" s="7"/>
    </row>
    <row r="10854" spans="11:33" ht="14.5" x14ac:dyDescent="0.35">
      <c r="K10854" s="4"/>
      <c r="AC10854" s="7"/>
      <c r="AD10854" s="7"/>
      <c r="AE10854" s="7"/>
      <c r="AF10854" s="8"/>
      <c r="AG10854" s="7"/>
    </row>
    <row r="10855" spans="11:33" ht="14.5" x14ac:dyDescent="0.35">
      <c r="K10855" s="4"/>
      <c r="AC10855" s="7"/>
      <c r="AD10855" s="7"/>
      <c r="AE10855" s="7"/>
      <c r="AF10855" s="8"/>
      <c r="AG10855" s="7"/>
    </row>
    <row r="10856" spans="11:33" ht="14.5" x14ac:dyDescent="0.35">
      <c r="K10856" s="4"/>
      <c r="AC10856" s="7"/>
      <c r="AD10856" s="7"/>
      <c r="AE10856" s="7"/>
      <c r="AF10856" s="8"/>
      <c r="AG10856" s="7"/>
    </row>
    <row r="10857" spans="11:33" ht="14.5" x14ac:dyDescent="0.35">
      <c r="K10857" s="4"/>
      <c r="AC10857" s="7"/>
      <c r="AD10857" s="7"/>
      <c r="AE10857" s="7"/>
      <c r="AF10857" s="8"/>
      <c r="AG10857" s="7"/>
    </row>
    <row r="10858" spans="11:33" ht="14.5" x14ac:dyDescent="0.35">
      <c r="K10858" s="4"/>
      <c r="AC10858" s="7"/>
      <c r="AD10858" s="7"/>
      <c r="AE10858" s="7"/>
      <c r="AF10858" s="8"/>
      <c r="AG10858" s="7"/>
    </row>
    <row r="10859" spans="11:33" ht="14.5" x14ac:dyDescent="0.35">
      <c r="K10859" s="4"/>
      <c r="AC10859" s="7"/>
      <c r="AD10859" s="7"/>
      <c r="AE10859" s="7"/>
      <c r="AF10859" s="8"/>
      <c r="AG10859" s="7"/>
    </row>
    <row r="10860" spans="11:33" ht="14.5" x14ac:dyDescent="0.35">
      <c r="K10860" s="4"/>
      <c r="AC10860" s="7"/>
      <c r="AD10860" s="7"/>
      <c r="AE10860" s="7"/>
      <c r="AF10860" s="8"/>
      <c r="AG10860" s="7"/>
    </row>
    <row r="10861" spans="11:33" ht="14.5" x14ac:dyDescent="0.35">
      <c r="K10861" s="4"/>
      <c r="AC10861" s="7"/>
      <c r="AD10861" s="7"/>
      <c r="AE10861" s="7"/>
      <c r="AF10861" s="8"/>
      <c r="AG10861" s="7"/>
    </row>
    <row r="10862" spans="11:33" ht="14.5" x14ac:dyDescent="0.35">
      <c r="K10862" s="4"/>
      <c r="AC10862" s="7"/>
      <c r="AD10862" s="7"/>
      <c r="AE10862" s="7"/>
      <c r="AF10862" s="8"/>
      <c r="AG10862" s="7"/>
    </row>
    <row r="10863" spans="11:33" ht="14.5" x14ac:dyDescent="0.35">
      <c r="K10863" s="4"/>
      <c r="AC10863" s="7"/>
      <c r="AD10863" s="7"/>
      <c r="AE10863" s="7"/>
      <c r="AF10863" s="8"/>
      <c r="AG10863" s="7"/>
    </row>
    <row r="10864" spans="11:33" ht="14.5" x14ac:dyDescent="0.35">
      <c r="K10864" s="4"/>
      <c r="AC10864" s="7"/>
      <c r="AD10864" s="7"/>
      <c r="AE10864" s="7"/>
      <c r="AF10864" s="8"/>
      <c r="AG10864" s="7"/>
    </row>
    <row r="10865" spans="11:33" ht="14.5" x14ac:dyDescent="0.35">
      <c r="K10865" s="4"/>
      <c r="AC10865" s="7"/>
      <c r="AD10865" s="7"/>
      <c r="AE10865" s="7"/>
      <c r="AF10865" s="8"/>
      <c r="AG10865" s="7"/>
    </row>
    <row r="10866" spans="11:33" ht="14.5" x14ac:dyDescent="0.35">
      <c r="K10866" s="4"/>
      <c r="AC10866" s="7"/>
      <c r="AD10866" s="7"/>
      <c r="AE10866" s="7"/>
      <c r="AF10866" s="8"/>
      <c r="AG10866" s="7"/>
    </row>
    <row r="10867" spans="11:33" ht="14.5" x14ac:dyDescent="0.35">
      <c r="K10867" s="4"/>
      <c r="AC10867" s="7"/>
      <c r="AD10867" s="7"/>
      <c r="AE10867" s="7"/>
      <c r="AF10867" s="8"/>
      <c r="AG10867" s="7"/>
    </row>
    <row r="10868" spans="11:33" ht="14.5" x14ac:dyDescent="0.35">
      <c r="K10868" s="4"/>
      <c r="AC10868" s="7"/>
      <c r="AD10868" s="7"/>
      <c r="AE10868" s="7"/>
      <c r="AF10868" s="8"/>
      <c r="AG10868" s="7"/>
    </row>
    <row r="10869" spans="11:33" ht="14.5" x14ac:dyDescent="0.35">
      <c r="K10869" s="4"/>
      <c r="AC10869" s="7"/>
      <c r="AD10869" s="7"/>
      <c r="AE10869" s="7"/>
      <c r="AF10869" s="8"/>
      <c r="AG10869" s="7"/>
    </row>
    <row r="10870" spans="11:33" ht="14.5" x14ac:dyDescent="0.35">
      <c r="K10870" s="4"/>
      <c r="AC10870" s="7"/>
      <c r="AD10870" s="7"/>
      <c r="AE10870" s="7"/>
      <c r="AF10870" s="8"/>
      <c r="AG10870" s="7"/>
    </row>
    <row r="10871" spans="11:33" ht="14.5" x14ac:dyDescent="0.35">
      <c r="K10871" s="4"/>
      <c r="AC10871" s="7"/>
      <c r="AD10871" s="7"/>
      <c r="AE10871" s="7"/>
      <c r="AF10871" s="8"/>
      <c r="AG10871" s="7"/>
    </row>
    <row r="10872" spans="11:33" ht="14.5" x14ac:dyDescent="0.35">
      <c r="K10872" s="4"/>
      <c r="AC10872" s="7"/>
      <c r="AD10872" s="7"/>
      <c r="AE10872" s="7"/>
      <c r="AF10872" s="8"/>
      <c r="AG10872" s="7"/>
    </row>
    <row r="10873" spans="11:33" ht="14.5" x14ac:dyDescent="0.35">
      <c r="K10873" s="4"/>
      <c r="AC10873" s="7"/>
      <c r="AD10873" s="7"/>
      <c r="AE10873" s="7"/>
      <c r="AF10873" s="8"/>
      <c r="AG10873" s="7"/>
    </row>
    <row r="10874" spans="11:33" ht="14.5" x14ac:dyDescent="0.35">
      <c r="K10874" s="4"/>
      <c r="AC10874" s="7"/>
      <c r="AD10874" s="7"/>
      <c r="AE10874" s="7"/>
      <c r="AF10874" s="8"/>
      <c r="AG10874" s="7"/>
    </row>
    <row r="10875" spans="11:33" ht="14.5" x14ac:dyDescent="0.35">
      <c r="K10875" s="4"/>
      <c r="AC10875" s="7"/>
      <c r="AD10875" s="7"/>
      <c r="AE10875" s="7"/>
      <c r="AF10875" s="8"/>
      <c r="AG10875" s="7"/>
    </row>
    <row r="10876" spans="11:33" ht="14.5" x14ac:dyDescent="0.35">
      <c r="K10876" s="4"/>
      <c r="AC10876" s="7"/>
      <c r="AD10876" s="7"/>
      <c r="AE10876" s="7"/>
      <c r="AF10876" s="8"/>
      <c r="AG10876" s="7"/>
    </row>
    <row r="10877" spans="11:33" ht="14.5" x14ac:dyDescent="0.35">
      <c r="K10877" s="4"/>
      <c r="AC10877" s="7"/>
      <c r="AD10877" s="7"/>
      <c r="AE10877" s="7"/>
      <c r="AF10877" s="8"/>
      <c r="AG10877" s="7"/>
    </row>
    <row r="10878" spans="11:33" ht="14.5" x14ac:dyDescent="0.35">
      <c r="K10878" s="4"/>
      <c r="AC10878" s="7"/>
      <c r="AD10878" s="7"/>
      <c r="AE10878" s="7"/>
      <c r="AF10878" s="8"/>
      <c r="AG10878" s="7"/>
    </row>
    <row r="10879" spans="11:33" ht="14.5" x14ac:dyDescent="0.35">
      <c r="K10879" s="4"/>
      <c r="AC10879" s="7"/>
      <c r="AD10879" s="7"/>
      <c r="AE10879" s="7"/>
      <c r="AF10879" s="8"/>
      <c r="AG10879" s="7"/>
    </row>
    <row r="10880" spans="11:33" ht="14.5" x14ac:dyDescent="0.35">
      <c r="K10880" s="4"/>
      <c r="AC10880" s="7"/>
      <c r="AD10880" s="7"/>
      <c r="AE10880" s="7"/>
      <c r="AF10880" s="8"/>
      <c r="AG10880" s="7"/>
    </row>
    <row r="10881" spans="11:33" ht="14.5" x14ac:dyDescent="0.35">
      <c r="K10881" s="4"/>
      <c r="AC10881" s="7"/>
      <c r="AD10881" s="7"/>
      <c r="AE10881" s="7"/>
      <c r="AF10881" s="8"/>
      <c r="AG10881" s="7"/>
    </row>
    <row r="10882" spans="11:33" ht="14.5" x14ac:dyDescent="0.35">
      <c r="K10882" s="4"/>
      <c r="AC10882" s="7"/>
      <c r="AD10882" s="7"/>
      <c r="AE10882" s="7"/>
      <c r="AF10882" s="8"/>
      <c r="AG10882" s="7"/>
    </row>
    <row r="10883" spans="11:33" ht="14.5" x14ac:dyDescent="0.35">
      <c r="K10883" s="4"/>
      <c r="AC10883" s="7"/>
      <c r="AD10883" s="7"/>
      <c r="AE10883" s="7"/>
      <c r="AF10883" s="8"/>
      <c r="AG10883" s="7"/>
    </row>
    <row r="10884" spans="11:33" ht="14.5" x14ac:dyDescent="0.35">
      <c r="K10884" s="4"/>
      <c r="AC10884" s="7"/>
      <c r="AD10884" s="7"/>
      <c r="AE10884" s="7"/>
      <c r="AF10884" s="8"/>
      <c r="AG10884" s="7"/>
    </row>
    <row r="10885" spans="11:33" ht="14.5" x14ac:dyDescent="0.35">
      <c r="K10885" s="4"/>
      <c r="AC10885" s="7"/>
      <c r="AD10885" s="7"/>
      <c r="AE10885" s="7"/>
      <c r="AF10885" s="8"/>
      <c r="AG10885" s="7"/>
    </row>
    <row r="10886" spans="11:33" ht="14.5" x14ac:dyDescent="0.35">
      <c r="K10886" s="4"/>
      <c r="AC10886" s="7"/>
      <c r="AD10886" s="7"/>
      <c r="AE10886" s="7"/>
      <c r="AF10886" s="8"/>
      <c r="AG10886" s="7"/>
    </row>
    <row r="10887" spans="11:33" ht="14.5" x14ac:dyDescent="0.35">
      <c r="K10887" s="4"/>
      <c r="AC10887" s="7"/>
      <c r="AD10887" s="7"/>
      <c r="AE10887" s="7"/>
      <c r="AF10887" s="8"/>
      <c r="AG10887" s="7"/>
    </row>
    <row r="10888" spans="11:33" ht="14.5" x14ac:dyDescent="0.35">
      <c r="K10888" s="4"/>
      <c r="AC10888" s="7"/>
      <c r="AD10888" s="7"/>
      <c r="AE10888" s="7"/>
      <c r="AF10888" s="8"/>
      <c r="AG10888" s="7"/>
    </row>
    <row r="10889" spans="11:33" ht="14.5" x14ac:dyDescent="0.35">
      <c r="K10889" s="4"/>
      <c r="AC10889" s="7"/>
      <c r="AD10889" s="7"/>
      <c r="AE10889" s="7"/>
      <c r="AF10889" s="8"/>
      <c r="AG10889" s="7"/>
    </row>
    <row r="10890" spans="11:33" ht="14.5" x14ac:dyDescent="0.35">
      <c r="K10890" s="4"/>
      <c r="AC10890" s="7"/>
      <c r="AD10890" s="7"/>
      <c r="AE10890" s="7"/>
      <c r="AF10890" s="8"/>
      <c r="AG10890" s="7"/>
    </row>
    <row r="10891" spans="11:33" ht="14.5" x14ac:dyDescent="0.35">
      <c r="K10891" s="4"/>
      <c r="AC10891" s="7"/>
      <c r="AD10891" s="7"/>
      <c r="AE10891" s="7"/>
      <c r="AF10891" s="8"/>
      <c r="AG10891" s="7"/>
    </row>
    <row r="10892" spans="11:33" ht="14.5" x14ac:dyDescent="0.35">
      <c r="K10892" s="4"/>
      <c r="AC10892" s="7"/>
      <c r="AD10892" s="7"/>
      <c r="AE10892" s="7"/>
      <c r="AF10892" s="8"/>
      <c r="AG10892" s="7"/>
    </row>
    <row r="10893" spans="11:33" ht="14.5" x14ac:dyDescent="0.35">
      <c r="K10893" s="4"/>
      <c r="AC10893" s="7"/>
      <c r="AD10893" s="7"/>
      <c r="AE10893" s="7"/>
      <c r="AF10893" s="8"/>
      <c r="AG10893" s="7"/>
    </row>
    <row r="10894" spans="11:33" ht="14.5" x14ac:dyDescent="0.35">
      <c r="K10894" s="4"/>
      <c r="AC10894" s="7"/>
      <c r="AD10894" s="7"/>
      <c r="AE10894" s="7"/>
      <c r="AF10894" s="8"/>
      <c r="AG10894" s="7"/>
    </row>
    <row r="10895" spans="11:33" ht="14.5" x14ac:dyDescent="0.35">
      <c r="K10895" s="4"/>
      <c r="AC10895" s="7"/>
      <c r="AD10895" s="7"/>
      <c r="AE10895" s="7"/>
      <c r="AF10895" s="8"/>
      <c r="AG10895" s="7"/>
    </row>
    <row r="10896" spans="11:33" ht="14.5" x14ac:dyDescent="0.35">
      <c r="K10896" s="4"/>
      <c r="AC10896" s="7"/>
      <c r="AD10896" s="7"/>
      <c r="AE10896" s="7"/>
      <c r="AF10896" s="8"/>
      <c r="AG10896" s="7"/>
    </row>
    <row r="10897" spans="11:33" ht="14.5" x14ac:dyDescent="0.35">
      <c r="K10897" s="4"/>
      <c r="AC10897" s="7"/>
      <c r="AD10897" s="7"/>
      <c r="AE10897" s="7"/>
      <c r="AF10897" s="8"/>
      <c r="AG10897" s="7"/>
    </row>
    <row r="10898" spans="11:33" ht="14.5" x14ac:dyDescent="0.35">
      <c r="K10898" s="4"/>
      <c r="AC10898" s="7"/>
      <c r="AD10898" s="7"/>
      <c r="AE10898" s="7"/>
      <c r="AF10898" s="8"/>
      <c r="AG10898" s="7"/>
    </row>
    <row r="10899" spans="11:33" ht="14.5" x14ac:dyDescent="0.35">
      <c r="K10899" s="4"/>
      <c r="AC10899" s="7"/>
      <c r="AD10899" s="7"/>
      <c r="AE10899" s="7"/>
      <c r="AF10899" s="8"/>
      <c r="AG10899" s="7"/>
    </row>
    <row r="10900" spans="11:33" ht="14.5" x14ac:dyDescent="0.35">
      <c r="K10900" s="4"/>
      <c r="AC10900" s="7"/>
      <c r="AD10900" s="7"/>
      <c r="AE10900" s="7"/>
      <c r="AF10900" s="8"/>
      <c r="AG10900" s="7"/>
    </row>
    <row r="10901" spans="11:33" ht="14.5" x14ac:dyDescent="0.35">
      <c r="K10901" s="4"/>
      <c r="AC10901" s="7"/>
      <c r="AD10901" s="7"/>
      <c r="AE10901" s="7"/>
      <c r="AF10901" s="8"/>
      <c r="AG10901" s="7"/>
    </row>
    <row r="10902" spans="11:33" ht="14.5" x14ac:dyDescent="0.35">
      <c r="K10902" s="4"/>
      <c r="AC10902" s="7"/>
      <c r="AD10902" s="7"/>
      <c r="AE10902" s="7"/>
      <c r="AF10902" s="8"/>
      <c r="AG10902" s="7"/>
    </row>
    <row r="10903" spans="11:33" ht="14.5" x14ac:dyDescent="0.35">
      <c r="K10903" s="4"/>
      <c r="AC10903" s="7"/>
      <c r="AD10903" s="7"/>
      <c r="AE10903" s="7"/>
      <c r="AF10903" s="8"/>
      <c r="AG10903" s="7"/>
    </row>
    <row r="10904" spans="11:33" ht="14.5" x14ac:dyDescent="0.35">
      <c r="K10904" s="4"/>
      <c r="AC10904" s="7"/>
      <c r="AD10904" s="7"/>
      <c r="AE10904" s="7"/>
      <c r="AF10904" s="8"/>
      <c r="AG10904" s="7"/>
    </row>
    <row r="10905" spans="11:33" ht="14.5" x14ac:dyDescent="0.35">
      <c r="K10905" s="4"/>
      <c r="AC10905" s="7"/>
      <c r="AD10905" s="7"/>
      <c r="AE10905" s="7"/>
      <c r="AF10905" s="8"/>
      <c r="AG10905" s="7"/>
    </row>
    <row r="10906" spans="11:33" ht="14.5" x14ac:dyDescent="0.35">
      <c r="K10906" s="4"/>
      <c r="AC10906" s="7"/>
      <c r="AD10906" s="7"/>
      <c r="AE10906" s="7"/>
      <c r="AF10906" s="8"/>
      <c r="AG10906" s="7"/>
    </row>
    <row r="10907" spans="11:33" ht="14.5" x14ac:dyDescent="0.35">
      <c r="K10907" s="4"/>
      <c r="AC10907" s="7"/>
      <c r="AD10907" s="7"/>
      <c r="AE10907" s="7"/>
      <c r="AF10907" s="8"/>
      <c r="AG10907" s="7"/>
    </row>
    <row r="10908" spans="11:33" ht="14.5" x14ac:dyDescent="0.35">
      <c r="K10908" s="4"/>
      <c r="AC10908" s="7"/>
      <c r="AD10908" s="7"/>
      <c r="AE10908" s="7"/>
      <c r="AF10908" s="8"/>
      <c r="AG10908" s="7"/>
    </row>
    <row r="10909" spans="11:33" ht="14.5" x14ac:dyDescent="0.35">
      <c r="K10909" s="4"/>
      <c r="AC10909" s="7"/>
      <c r="AD10909" s="7"/>
      <c r="AE10909" s="7"/>
      <c r="AF10909" s="8"/>
      <c r="AG10909" s="7"/>
    </row>
    <row r="10910" spans="11:33" ht="14.5" x14ac:dyDescent="0.35">
      <c r="K10910" s="4"/>
      <c r="AC10910" s="7"/>
      <c r="AD10910" s="7"/>
      <c r="AE10910" s="7"/>
      <c r="AF10910" s="8"/>
      <c r="AG10910" s="7"/>
    </row>
    <row r="10911" spans="11:33" ht="14.5" x14ac:dyDescent="0.35">
      <c r="K10911" s="4"/>
      <c r="AC10911" s="7"/>
      <c r="AD10911" s="7"/>
      <c r="AE10911" s="7"/>
      <c r="AF10911" s="8"/>
      <c r="AG10911" s="7"/>
    </row>
    <row r="10912" spans="11:33" ht="14.5" x14ac:dyDescent="0.35">
      <c r="K10912" s="4"/>
      <c r="AC10912" s="7"/>
      <c r="AD10912" s="7"/>
      <c r="AE10912" s="7"/>
      <c r="AF10912" s="8"/>
      <c r="AG10912" s="7"/>
    </row>
    <row r="10913" spans="11:33" ht="14.5" x14ac:dyDescent="0.35">
      <c r="K10913" s="4"/>
      <c r="AC10913" s="7"/>
      <c r="AD10913" s="7"/>
      <c r="AE10913" s="7"/>
      <c r="AF10913" s="8"/>
      <c r="AG10913" s="7"/>
    </row>
    <row r="10914" spans="11:33" ht="14.5" x14ac:dyDescent="0.35">
      <c r="K10914" s="4"/>
      <c r="AC10914" s="7"/>
      <c r="AD10914" s="7"/>
      <c r="AE10914" s="7"/>
      <c r="AF10914" s="8"/>
      <c r="AG10914" s="7"/>
    </row>
    <row r="10915" spans="11:33" ht="14.5" x14ac:dyDescent="0.35">
      <c r="K10915" s="4"/>
      <c r="AC10915" s="7"/>
      <c r="AD10915" s="7"/>
      <c r="AE10915" s="7"/>
      <c r="AF10915" s="8"/>
      <c r="AG10915" s="7"/>
    </row>
    <row r="10916" spans="11:33" ht="14.5" x14ac:dyDescent="0.35">
      <c r="K10916" s="4"/>
      <c r="AC10916" s="7"/>
      <c r="AD10916" s="7"/>
      <c r="AE10916" s="7"/>
      <c r="AF10916" s="8"/>
      <c r="AG10916" s="7"/>
    </row>
    <row r="10917" spans="11:33" ht="14.5" x14ac:dyDescent="0.35">
      <c r="K10917" s="4"/>
      <c r="AC10917" s="7"/>
      <c r="AD10917" s="7"/>
      <c r="AE10917" s="7"/>
      <c r="AF10917" s="8"/>
      <c r="AG10917" s="7"/>
    </row>
    <row r="10918" spans="11:33" ht="14.5" x14ac:dyDescent="0.35">
      <c r="K10918" s="4"/>
      <c r="AC10918" s="7"/>
      <c r="AD10918" s="7"/>
      <c r="AE10918" s="7"/>
      <c r="AF10918" s="8"/>
      <c r="AG10918" s="7"/>
    </row>
    <row r="10919" spans="11:33" ht="14.5" x14ac:dyDescent="0.35">
      <c r="K10919" s="4"/>
      <c r="AC10919" s="7"/>
      <c r="AD10919" s="7"/>
      <c r="AE10919" s="7"/>
      <c r="AF10919" s="8"/>
      <c r="AG10919" s="7"/>
    </row>
    <row r="10920" spans="11:33" ht="14.5" x14ac:dyDescent="0.35">
      <c r="K10920" s="4"/>
      <c r="AC10920" s="7"/>
      <c r="AD10920" s="7"/>
      <c r="AE10920" s="7"/>
      <c r="AF10920" s="8"/>
      <c r="AG10920" s="7"/>
    </row>
    <row r="10921" spans="11:33" ht="14.5" x14ac:dyDescent="0.35">
      <c r="K10921" s="4"/>
      <c r="AC10921" s="7"/>
      <c r="AD10921" s="7"/>
      <c r="AE10921" s="7"/>
      <c r="AF10921" s="8"/>
      <c r="AG10921" s="7"/>
    </row>
    <row r="10922" spans="11:33" ht="14.5" x14ac:dyDescent="0.35">
      <c r="K10922" s="4"/>
      <c r="AC10922" s="7"/>
      <c r="AD10922" s="7"/>
      <c r="AE10922" s="7"/>
      <c r="AF10922" s="8"/>
      <c r="AG10922" s="7"/>
    </row>
    <row r="10923" spans="11:33" ht="14.5" x14ac:dyDescent="0.35">
      <c r="K10923" s="4"/>
      <c r="AC10923" s="7"/>
      <c r="AD10923" s="7"/>
      <c r="AE10923" s="7"/>
      <c r="AF10923" s="8"/>
      <c r="AG10923" s="7"/>
    </row>
    <row r="10924" spans="11:33" ht="14.5" x14ac:dyDescent="0.35">
      <c r="K10924" s="4"/>
      <c r="AC10924" s="7"/>
      <c r="AD10924" s="7"/>
      <c r="AE10924" s="7"/>
      <c r="AF10924" s="8"/>
      <c r="AG10924" s="7"/>
    </row>
    <row r="10925" spans="11:33" ht="14.5" x14ac:dyDescent="0.35">
      <c r="K10925" s="4"/>
      <c r="AC10925" s="7"/>
      <c r="AD10925" s="7"/>
      <c r="AE10925" s="7"/>
      <c r="AF10925" s="8"/>
      <c r="AG10925" s="7"/>
    </row>
    <row r="10926" spans="11:33" ht="14.5" x14ac:dyDescent="0.35">
      <c r="K10926" s="4"/>
      <c r="AC10926" s="7"/>
      <c r="AD10926" s="7"/>
      <c r="AE10926" s="7"/>
      <c r="AF10926" s="8"/>
      <c r="AG10926" s="7"/>
    </row>
    <row r="10927" spans="11:33" ht="14.5" x14ac:dyDescent="0.35">
      <c r="K10927" s="4"/>
      <c r="AC10927" s="7"/>
      <c r="AD10927" s="7"/>
      <c r="AE10927" s="7"/>
      <c r="AF10927" s="8"/>
      <c r="AG10927" s="7"/>
    </row>
    <row r="10928" spans="11:33" ht="14.5" x14ac:dyDescent="0.35">
      <c r="K10928" s="4"/>
      <c r="AC10928" s="7"/>
      <c r="AD10928" s="7"/>
      <c r="AE10928" s="7"/>
      <c r="AF10928" s="8"/>
      <c r="AG10928" s="7"/>
    </row>
    <row r="10929" spans="11:33" ht="14.5" x14ac:dyDescent="0.35">
      <c r="K10929" s="4"/>
      <c r="AC10929" s="7"/>
      <c r="AD10929" s="7"/>
      <c r="AE10929" s="7"/>
      <c r="AF10929" s="8"/>
      <c r="AG10929" s="7"/>
    </row>
    <row r="10930" spans="11:33" ht="14.5" x14ac:dyDescent="0.35">
      <c r="K10930" s="4"/>
      <c r="AC10930" s="7"/>
      <c r="AD10930" s="7"/>
      <c r="AE10930" s="7"/>
      <c r="AF10930" s="8"/>
      <c r="AG10930" s="7"/>
    </row>
    <row r="10931" spans="11:33" ht="14.5" x14ac:dyDescent="0.35">
      <c r="K10931" s="4"/>
      <c r="AC10931" s="7"/>
      <c r="AD10931" s="7"/>
      <c r="AE10931" s="7"/>
      <c r="AF10931" s="8"/>
      <c r="AG10931" s="7"/>
    </row>
    <row r="10932" spans="11:33" ht="14.5" x14ac:dyDescent="0.35">
      <c r="K10932" s="4"/>
      <c r="AC10932" s="7"/>
      <c r="AD10932" s="7"/>
      <c r="AE10932" s="7"/>
      <c r="AF10932" s="8"/>
      <c r="AG10932" s="7"/>
    </row>
    <row r="10933" spans="11:33" ht="14.5" x14ac:dyDescent="0.35">
      <c r="K10933" s="4"/>
      <c r="AC10933" s="7"/>
      <c r="AD10933" s="7"/>
      <c r="AE10933" s="7"/>
      <c r="AF10933" s="8"/>
      <c r="AG10933" s="7"/>
    </row>
    <row r="10934" spans="11:33" ht="14.5" x14ac:dyDescent="0.35">
      <c r="K10934" s="4"/>
      <c r="AC10934" s="7"/>
      <c r="AD10934" s="7"/>
      <c r="AE10934" s="7"/>
      <c r="AF10934" s="8"/>
      <c r="AG10934" s="7"/>
    </row>
    <row r="10935" spans="11:33" ht="14.5" x14ac:dyDescent="0.35">
      <c r="K10935" s="4"/>
      <c r="AC10935" s="7"/>
      <c r="AD10935" s="7"/>
      <c r="AE10935" s="7"/>
      <c r="AF10935" s="8"/>
      <c r="AG10935" s="7"/>
    </row>
    <row r="10936" spans="11:33" ht="14.5" x14ac:dyDescent="0.35">
      <c r="K10936" s="4"/>
      <c r="AC10936" s="7"/>
      <c r="AD10936" s="7"/>
      <c r="AE10936" s="7"/>
      <c r="AF10936" s="8"/>
      <c r="AG10936" s="7"/>
    </row>
    <row r="10937" spans="11:33" ht="14.5" x14ac:dyDescent="0.35">
      <c r="K10937" s="4"/>
      <c r="AC10937" s="7"/>
      <c r="AD10937" s="7"/>
      <c r="AE10937" s="7"/>
      <c r="AF10937" s="8"/>
      <c r="AG10937" s="7"/>
    </row>
    <row r="10938" spans="11:33" ht="14.5" x14ac:dyDescent="0.35">
      <c r="K10938" s="4"/>
      <c r="AC10938" s="7"/>
      <c r="AD10938" s="7"/>
      <c r="AE10938" s="7"/>
      <c r="AF10938" s="8"/>
      <c r="AG10938" s="7"/>
    </row>
    <row r="10939" spans="11:33" ht="14.5" x14ac:dyDescent="0.35">
      <c r="K10939" s="4"/>
      <c r="AC10939" s="7"/>
      <c r="AD10939" s="7"/>
      <c r="AE10939" s="7"/>
      <c r="AF10939" s="8"/>
      <c r="AG10939" s="7"/>
    </row>
    <row r="10940" spans="11:33" ht="14.5" x14ac:dyDescent="0.35">
      <c r="K10940" s="4"/>
      <c r="AC10940" s="7"/>
      <c r="AD10940" s="7"/>
      <c r="AE10940" s="7"/>
      <c r="AF10940" s="8"/>
      <c r="AG10940" s="7"/>
    </row>
    <row r="10941" spans="11:33" ht="14.5" x14ac:dyDescent="0.35">
      <c r="K10941" s="4"/>
      <c r="AC10941" s="7"/>
      <c r="AD10941" s="7"/>
      <c r="AE10941" s="7"/>
      <c r="AF10941" s="8"/>
      <c r="AG10941" s="7"/>
    </row>
    <row r="10942" spans="11:33" ht="14.5" x14ac:dyDescent="0.35">
      <c r="K10942" s="4"/>
      <c r="AC10942" s="7"/>
      <c r="AD10942" s="7"/>
      <c r="AE10942" s="7"/>
      <c r="AF10942" s="8"/>
      <c r="AG10942" s="7"/>
    </row>
    <row r="10943" spans="11:33" ht="14.5" x14ac:dyDescent="0.35">
      <c r="K10943" s="4"/>
      <c r="AC10943" s="7"/>
      <c r="AD10943" s="7"/>
      <c r="AE10943" s="7"/>
      <c r="AF10943" s="8"/>
      <c r="AG10943" s="7"/>
    </row>
    <row r="10944" spans="11:33" ht="14.5" x14ac:dyDescent="0.35">
      <c r="K10944" s="4"/>
      <c r="AC10944" s="7"/>
      <c r="AD10944" s="7"/>
      <c r="AE10944" s="7"/>
      <c r="AF10944" s="8"/>
      <c r="AG10944" s="7"/>
    </row>
    <row r="10945" spans="11:33" ht="14.5" x14ac:dyDescent="0.35">
      <c r="K10945" s="4"/>
      <c r="AC10945" s="7"/>
      <c r="AD10945" s="7"/>
      <c r="AE10945" s="7"/>
      <c r="AF10945" s="8"/>
      <c r="AG10945" s="7"/>
    </row>
    <row r="10946" spans="11:33" ht="14.5" x14ac:dyDescent="0.35">
      <c r="K10946" s="4"/>
      <c r="AC10946" s="7"/>
      <c r="AD10946" s="7"/>
      <c r="AE10946" s="7"/>
      <c r="AF10946" s="8"/>
      <c r="AG10946" s="7"/>
    </row>
    <row r="10947" spans="11:33" ht="14.5" x14ac:dyDescent="0.35">
      <c r="K10947" s="4"/>
      <c r="AC10947" s="7"/>
      <c r="AD10947" s="7"/>
      <c r="AE10947" s="7"/>
      <c r="AF10947" s="8"/>
      <c r="AG10947" s="7"/>
    </row>
    <row r="10948" spans="11:33" ht="14.5" x14ac:dyDescent="0.35">
      <c r="K10948" s="4"/>
      <c r="AC10948" s="7"/>
      <c r="AD10948" s="7"/>
      <c r="AE10948" s="7"/>
      <c r="AF10948" s="8"/>
      <c r="AG10948" s="7"/>
    </row>
    <row r="10949" spans="11:33" ht="14.5" x14ac:dyDescent="0.35">
      <c r="K10949" s="4"/>
      <c r="AC10949" s="7"/>
      <c r="AD10949" s="7"/>
      <c r="AE10949" s="7"/>
      <c r="AF10949" s="8"/>
      <c r="AG10949" s="7"/>
    </row>
    <row r="10950" spans="11:33" ht="14.5" x14ac:dyDescent="0.35">
      <c r="K10950" s="4"/>
      <c r="AC10950" s="7"/>
      <c r="AD10950" s="7"/>
      <c r="AE10950" s="7"/>
      <c r="AF10950" s="8"/>
      <c r="AG10950" s="7"/>
    </row>
    <row r="10951" spans="11:33" ht="14.5" x14ac:dyDescent="0.35">
      <c r="K10951" s="4"/>
      <c r="AC10951" s="7"/>
      <c r="AD10951" s="7"/>
      <c r="AE10951" s="7"/>
      <c r="AF10951" s="8"/>
      <c r="AG10951" s="7"/>
    </row>
    <row r="10952" spans="11:33" ht="14.5" x14ac:dyDescent="0.35">
      <c r="K10952" s="4"/>
      <c r="AC10952" s="7"/>
      <c r="AD10952" s="7"/>
      <c r="AE10952" s="7"/>
      <c r="AF10952" s="8"/>
      <c r="AG10952" s="7"/>
    </row>
    <row r="10953" spans="11:33" ht="14.5" x14ac:dyDescent="0.35">
      <c r="K10953" s="4"/>
      <c r="AC10953" s="7"/>
      <c r="AD10953" s="7"/>
      <c r="AE10953" s="7"/>
      <c r="AF10953" s="8"/>
      <c r="AG10953" s="7"/>
    </row>
    <row r="10954" spans="11:33" ht="14.5" x14ac:dyDescent="0.35">
      <c r="K10954" s="4"/>
      <c r="AC10954" s="7"/>
      <c r="AD10954" s="7"/>
      <c r="AE10954" s="7"/>
      <c r="AF10954" s="8"/>
      <c r="AG10954" s="7"/>
    </row>
    <row r="10955" spans="11:33" ht="14.5" x14ac:dyDescent="0.35">
      <c r="K10955" s="4"/>
      <c r="AC10955" s="7"/>
      <c r="AD10955" s="7"/>
      <c r="AE10955" s="7"/>
      <c r="AF10955" s="8"/>
      <c r="AG10955" s="7"/>
    </row>
    <row r="10956" spans="11:33" ht="14.5" x14ac:dyDescent="0.35">
      <c r="K10956" s="4"/>
      <c r="AC10956" s="7"/>
      <c r="AD10956" s="7"/>
      <c r="AE10956" s="7"/>
      <c r="AF10956" s="8"/>
      <c r="AG10956" s="7"/>
    </row>
    <row r="10957" spans="11:33" ht="14.5" x14ac:dyDescent="0.35">
      <c r="K10957" s="4"/>
      <c r="AC10957" s="7"/>
      <c r="AD10957" s="7"/>
      <c r="AE10957" s="7"/>
      <c r="AF10957" s="8"/>
      <c r="AG10957" s="7"/>
    </row>
    <row r="10958" spans="11:33" ht="14.5" x14ac:dyDescent="0.35">
      <c r="K10958" s="4"/>
      <c r="AC10958" s="7"/>
      <c r="AD10958" s="7"/>
      <c r="AE10958" s="7"/>
      <c r="AF10958" s="8"/>
      <c r="AG10958" s="7"/>
    </row>
    <row r="10959" spans="11:33" ht="14.5" x14ac:dyDescent="0.35">
      <c r="K10959" s="4"/>
      <c r="AC10959" s="7"/>
      <c r="AD10959" s="7"/>
      <c r="AE10959" s="7"/>
      <c r="AF10959" s="8"/>
      <c r="AG10959" s="7"/>
    </row>
    <row r="10960" spans="11:33" ht="14.5" x14ac:dyDescent="0.35">
      <c r="K10960" s="4"/>
      <c r="AC10960" s="7"/>
      <c r="AD10960" s="7"/>
      <c r="AE10960" s="7"/>
      <c r="AF10960" s="8"/>
      <c r="AG10960" s="7"/>
    </row>
    <row r="10961" spans="11:33" ht="14.5" x14ac:dyDescent="0.35">
      <c r="K10961" s="4"/>
      <c r="AC10961" s="7"/>
      <c r="AD10961" s="7"/>
      <c r="AE10961" s="7"/>
      <c r="AF10961" s="8"/>
      <c r="AG10961" s="7"/>
    </row>
    <row r="10962" spans="11:33" ht="14.5" x14ac:dyDescent="0.35">
      <c r="K10962" s="4"/>
      <c r="AC10962" s="7"/>
      <c r="AD10962" s="7"/>
      <c r="AE10962" s="7"/>
      <c r="AF10962" s="8"/>
      <c r="AG10962" s="7"/>
    </row>
    <row r="10963" spans="11:33" ht="14.5" x14ac:dyDescent="0.35">
      <c r="K10963" s="4"/>
      <c r="AC10963" s="7"/>
      <c r="AD10963" s="7"/>
      <c r="AE10963" s="7"/>
      <c r="AF10963" s="8"/>
      <c r="AG10963" s="7"/>
    </row>
    <row r="10964" spans="11:33" ht="14.5" x14ac:dyDescent="0.35">
      <c r="K10964" s="4"/>
      <c r="AC10964" s="7"/>
      <c r="AD10964" s="7"/>
      <c r="AE10964" s="7"/>
      <c r="AF10964" s="8"/>
      <c r="AG10964" s="7"/>
    </row>
    <row r="10965" spans="11:33" ht="14.5" x14ac:dyDescent="0.35">
      <c r="K10965" s="4"/>
      <c r="AC10965" s="7"/>
      <c r="AD10965" s="7"/>
      <c r="AE10965" s="7"/>
      <c r="AF10965" s="8"/>
      <c r="AG10965" s="7"/>
    </row>
    <row r="10966" spans="11:33" ht="14.5" x14ac:dyDescent="0.35">
      <c r="K10966" s="4"/>
      <c r="AC10966" s="7"/>
      <c r="AD10966" s="7"/>
      <c r="AE10966" s="7"/>
      <c r="AF10966" s="8"/>
      <c r="AG10966" s="7"/>
    </row>
    <row r="10967" spans="11:33" ht="14.5" x14ac:dyDescent="0.35">
      <c r="K10967" s="4"/>
      <c r="AC10967" s="7"/>
      <c r="AD10967" s="7"/>
      <c r="AE10967" s="7"/>
      <c r="AF10967" s="8"/>
      <c r="AG10967" s="7"/>
    </row>
    <row r="10968" spans="11:33" ht="14.5" x14ac:dyDescent="0.35">
      <c r="K10968" s="4"/>
      <c r="AC10968" s="7"/>
      <c r="AD10968" s="7"/>
      <c r="AE10968" s="7"/>
      <c r="AF10968" s="8"/>
      <c r="AG10968" s="7"/>
    </row>
    <row r="10969" spans="11:33" ht="14.5" x14ac:dyDescent="0.35">
      <c r="K10969" s="4"/>
      <c r="AC10969" s="7"/>
      <c r="AD10969" s="7"/>
      <c r="AE10969" s="7"/>
      <c r="AF10969" s="8"/>
      <c r="AG10969" s="7"/>
    </row>
    <row r="10970" spans="11:33" ht="14.5" x14ac:dyDescent="0.35">
      <c r="K10970" s="4"/>
      <c r="AC10970" s="7"/>
      <c r="AD10970" s="7"/>
      <c r="AE10970" s="7"/>
      <c r="AF10970" s="8"/>
      <c r="AG10970" s="7"/>
    </row>
    <row r="10971" spans="11:33" ht="14.5" x14ac:dyDescent="0.35">
      <c r="K10971" s="4"/>
      <c r="AC10971" s="7"/>
      <c r="AD10971" s="7"/>
      <c r="AE10971" s="7"/>
      <c r="AF10971" s="8"/>
      <c r="AG10971" s="7"/>
    </row>
    <row r="10972" spans="11:33" ht="14.5" x14ac:dyDescent="0.35">
      <c r="K10972" s="4"/>
      <c r="AC10972" s="7"/>
      <c r="AD10972" s="7"/>
      <c r="AE10972" s="7"/>
      <c r="AF10972" s="8"/>
      <c r="AG10972" s="7"/>
    </row>
    <row r="10973" spans="11:33" ht="14.5" x14ac:dyDescent="0.35">
      <c r="K10973" s="4"/>
      <c r="AC10973" s="7"/>
      <c r="AD10973" s="7"/>
      <c r="AE10973" s="7"/>
      <c r="AF10973" s="8"/>
      <c r="AG10973" s="7"/>
    </row>
    <row r="10974" spans="11:33" ht="14.5" x14ac:dyDescent="0.35">
      <c r="K10974" s="4"/>
      <c r="AC10974" s="7"/>
      <c r="AD10974" s="7"/>
      <c r="AE10974" s="7"/>
      <c r="AF10974" s="8"/>
      <c r="AG10974" s="7"/>
    </row>
    <row r="10975" spans="11:33" ht="14.5" x14ac:dyDescent="0.35">
      <c r="K10975" s="4"/>
      <c r="AC10975" s="7"/>
      <c r="AD10975" s="7"/>
      <c r="AE10975" s="7"/>
      <c r="AF10975" s="8"/>
      <c r="AG10975" s="7"/>
    </row>
    <row r="10976" spans="11:33" ht="14.5" x14ac:dyDescent="0.35">
      <c r="K10976" s="4"/>
      <c r="AC10976" s="7"/>
      <c r="AD10976" s="7"/>
      <c r="AE10976" s="7"/>
      <c r="AF10976" s="8"/>
      <c r="AG10976" s="7"/>
    </row>
    <row r="10977" spans="11:33" ht="14.5" x14ac:dyDescent="0.35">
      <c r="K10977" s="4"/>
      <c r="AC10977" s="7"/>
      <c r="AD10977" s="7"/>
      <c r="AE10977" s="7"/>
      <c r="AF10977" s="8"/>
      <c r="AG10977" s="7"/>
    </row>
    <row r="10978" spans="11:33" ht="14.5" x14ac:dyDescent="0.35">
      <c r="K10978" s="4"/>
      <c r="AC10978" s="7"/>
      <c r="AD10978" s="7"/>
      <c r="AE10978" s="7"/>
      <c r="AF10978" s="8"/>
      <c r="AG10978" s="7"/>
    </row>
    <row r="10979" spans="11:33" ht="14.5" x14ac:dyDescent="0.35">
      <c r="K10979" s="4"/>
      <c r="AC10979" s="7"/>
      <c r="AD10979" s="7"/>
      <c r="AE10979" s="7"/>
      <c r="AF10979" s="8"/>
      <c r="AG10979" s="7"/>
    </row>
    <row r="10980" spans="11:33" ht="14.5" x14ac:dyDescent="0.35">
      <c r="K10980" s="4"/>
      <c r="AC10980" s="7"/>
      <c r="AD10980" s="7"/>
      <c r="AE10980" s="7"/>
      <c r="AF10980" s="8"/>
      <c r="AG10980" s="7"/>
    </row>
    <row r="10981" spans="11:33" ht="14.5" x14ac:dyDescent="0.35">
      <c r="K10981" s="4"/>
      <c r="AC10981" s="7"/>
      <c r="AD10981" s="7"/>
      <c r="AE10981" s="7"/>
      <c r="AF10981" s="8"/>
      <c r="AG10981" s="7"/>
    </row>
    <row r="10982" spans="11:33" ht="14.5" x14ac:dyDescent="0.35">
      <c r="K10982" s="4"/>
      <c r="AC10982" s="7"/>
      <c r="AD10982" s="7"/>
      <c r="AE10982" s="7"/>
      <c r="AF10982" s="8"/>
      <c r="AG10982" s="7"/>
    </row>
    <row r="10983" spans="11:33" ht="14.5" x14ac:dyDescent="0.35">
      <c r="K10983" s="4"/>
      <c r="AC10983" s="7"/>
      <c r="AD10983" s="7"/>
      <c r="AE10983" s="7"/>
      <c r="AF10983" s="8"/>
      <c r="AG10983" s="7"/>
    </row>
    <row r="10984" spans="11:33" ht="14.5" x14ac:dyDescent="0.35">
      <c r="K10984" s="4"/>
      <c r="AC10984" s="7"/>
      <c r="AD10984" s="7"/>
      <c r="AE10984" s="7"/>
      <c r="AF10984" s="8"/>
      <c r="AG10984" s="7"/>
    </row>
    <row r="10985" spans="11:33" ht="14.5" x14ac:dyDescent="0.35">
      <c r="K10985" s="4"/>
      <c r="AC10985" s="7"/>
      <c r="AD10985" s="7"/>
      <c r="AE10985" s="7"/>
      <c r="AF10985" s="8"/>
      <c r="AG10985" s="7"/>
    </row>
    <row r="10986" spans="11:33" ht="14.5" x14ac:dyDescent="0.35">
      <c r="K10986" s="4"/>
      <c r="AC10986" s="7"/>
      <c r="AD10986" s="7"/>
      <c r="AE10986" s="7"/>
      <c r="AF10986" s="8"/>
      <c r="AG10986" s="7"/>
    </row>
    <row r="10987" spans="11:33" ht="14.5" x14ac:dyDescent="0.35">
      <c r="K10987" s="4"/>
      <c r="AC10987" s="7"/>
      <c r="AD10987" s="7"/>
      <c r="AE10987" s="7"/>
      <c r="AF10987" s="8"/>
      <c r="AG10987" s="7"/>
    </row>
    <row r="10988" spans="11:33" ht="14.5" x14ac:dyDescent="0.35">
      <c r="K10988" s="4"/>
      <c r="AC10988" s="7"/>
      <c r="AD10988" s="7"/>
      <c r="AE10988" s="7"/>
      <c r="AF10988" s="8"/>
      <c r="AG10988" s="7"/>
    </row>
    <row r="10989" spans="11:33" ht="14.5" x14ac:dyDescent="0.35">
      <c r="K10989" s="4"/>
      <c r="AC10989" s="7"/>
      <c r="AD10989" s="7"/>
      <c r="AE10989" s="7"/>
      <c r="AF10989" s="8"/>
      <c r="AG10989" s="7"/>
    </row>
    <row r="10990" spans="11:33" ht="14.5" x14ac:dyDescent="0.35">
      <c r="K10990" s="4"/>
      <c r="AC10990" s="7"/>
      <c r="AD10990" s="7"/>
      <c r="AE10990" s="7"/>
      <c r="AF10990" s="8"/>
      <c r="AG10990" s="7"/>
    </row>
    <row r="10991" spans="11:33" ht="14.5" x14ac:dyDescent="0.35">
      <c r="K10991" s="4"/>
      <c r="AC10991" s="7"/>
      <c r="AD10991" s="7"/>
      <c r="AE10991" s="7"/>
      <c r="AF10991" s="8"/>
      <c r="AG10991" s="7"/>
    </row>
    <row r="10992" spans="11:33" ht="14.5" x14ac:dyDescent="0.35">
      <c r="K10992" s="4"/>
      <c r="AC10992" s="7"/>
      <c r="AD10992" s="7"/>
      <c r="AE10992" s="7"/>
      <c r="AF10992" s="8"/>
      <c r="AG10992" s="7"/>
    </row>
    <row r="10993" spans="11:33" ht="14.5" x14ac:dyDescent="0.35">
      <c r="K10993" s="4"/>
      <c r="AC10993" s="7"/>
      <c r="AD10993" s="7"/>
      <c r="AE10993" s="7"/>
      <c r="AF10993" s="8"/>
      <c r="AG10993" s="7"/>
    </row>
    <row r="10994" spans="11:33" ht="14.5" x14ac:dyDescent="0.35">
      <c r="K10994" s="4"/>
      <c r="AC10994" s="7"/>
      <c r="AD10994" s="7"/>
      <c r="AE10994" s="7"/>
      <c r="AF10994" s="8"/>
      <c r="AG10994" s="7"/>
    </row>
    <row r="10995" spans="11:33" ht="14.5" x14ac:dyDescent="0.35">
      <c r="K10995" s="4"/>
      <c r="AC10995" s="7"/>
      <c r="AD10995" s="7"/>
      <c r="AE10995" s="7"/>
      <c r="AF10995" s="8"/>
      <c r="AG10995" s="7"/>
    </row>
    <row r="10996" spans="11:33" ht="14.5" x14ac:dyDescent="0.35">
      <c r="K10996" s="4"/>
      <c r="AC10996" s="7"/>
      <c r="AD10996" s="7"/>
      <c r="AE10996" s="7"/>
      <c r="AF10996" s="8"/>
      <c r="AG10996" s="7"/>
    </row>
    <row r="10997" spans="11:33" ht="14.5" x14ac:dyDescent="0.35">
      <c r="K10997" s="4"/>
      <c r="AC10997" s="7"/>
      <c r="AD10997" s="7"/>
      <c r="AE10997" s="7"/>
      <c r="AF10997" s="8"/>
      <c r="AG10997" s="7"/>
    </row>
    <row r="10998" spans="11:33" ht="14.5" x14ac:dyDescent="0.35">
      <c r="K10998" s="4"/>
      <c r="AC10998" s="7"/>
      <c r="AD10998" s="7"/>
      <c r="AE10998" s="7"/>
      <c r="AF10998" s="8"/>
      <c r="AG10998" s="7"/>
    </row>
    <row r="10999" spans="11:33" ht="14.5" x14ac:dyDescent="0.35">
      <c r="K10999" s="4"/>
      <c r="AC10999" s="7"/>
      <c r="AD10999" s="7"/>
      <c r="AE10999" s="7"/>
      <c r="AF10999" s="8"/>
      <c r="AG10999" s="7"/>
    </row>
    <row r="11000" spans="11:33" ht="14.5" x14ac:dyDescent="0.35">
      <c r="K11000" s="4"/>
      <c r="AC11000" s="7"/>
      <c r="AD11000" s="7"/>
      <c r="AE11000" s="7"/>
      <c r="AF11000" s="8"/>
      <c r="AG11000" s="7"/>
    </row>
    <row r="11001" spans="11:33" ht="14.5" x14ac:dyDescent="0.35">
      <c r="K11001" s="4"/>
      <c r="AC11001" s="7"/>
      <c r="AD11001" s="7"/>
      <c r="AE11001" s="7"/>
      <c r="AF11001" s="8"/>
      <c r="AG11001" s="7"/>
    </row>
    <row r="11002" spans="11:33" ht="14.5" x14ac:dyDescent="0.35">
      <c r="K11002" s="4"/>
      <c r="AC11002" s="7"/>
      <c r="AD11002" s="7"/>
      <c r="AE11002" s="7"/>
      <c r="AF11002" s="8"/>
      <c r="AG11002" s="7"/>
    </row>
    <row r="11003" spans="11:33" ht="14.5" x14ac:dyDescent="0.35">
      <c r="K11003" s="4"/>
      <c r="AC11003" s="7"/>
      <c r="AD11003" s="7"/>
      <c r="AE11003" s="7"/>
      <c r="AF11003" s="8"/>
      <c r="AG11003" s="7"/>
    </row>
    <row r="11004" spans="11:33" ht="14.5" x14ac:dyDescent="0.35">
      <c r="K11004" s="4"/>
      <c r="AC11004" s="7"/>
      <c r="AD11004" s="7"/>
      <c r="AE11004" s="7"/>
      <c r="AF11004" s="8"/>
      <c r="AG11004" s="7"/>
    </row>
    <row r="11005" spans="11:33" ht="14.5" x14ac:dyDescent="0.35">
      <c r="K11005" s="4"/>
      <c r="AC11005" s="7"/>
      <c r="AD11005" s="7"/>
      <c r="AE11005" s="7"/>
      <c r="AF11005" s="8"/>
      <c r="AG11005" s="7"/>
    </row>
    <row r="11006" spans="11:33" ht="14.5" x14ac:dyDescent="0.35">
      <c r="K11006" s="4"/>
      <c r="AC11006" s="7"/>
      <c r="AD11006" s="7"/>
      <c r="AE11006" s="7"/>
      <c r="AF11006" s="8"/>
      <c r="AG11006" s="7"/>
    </row>
    <row r="11007" spans="11:33" ht="14.5" x14ac:dyDescent="0.35">
      <c r="K11007" s="4"/>
      <c r="AC11007" s="7"/>
      <c r="AD11007" s="7"/>
      <c r="AE11007" s="7"/>
      <c r="AF11007" s="8"/>
      <c r="AG11007" s="7"/>
    </row>
    <row r="11008" spans="11:33" ht="14.5" x14ac:dyDescent="0.35">
      <c r="K11008" s="4"/>
      <c r="AC11008" s="7"/>
      <c r="AD11008" s="7"/>
      <c r="AE11008" s="7"/>
      <c r="AF11008" s="8"/>
      <c r="AG11008" s="7"/>
    </row>
    <row r="11009" spans="11:33" ht="14.5" x14ac:dyDescent="0.35">
      <c r="K11009" s="4"/>
      <c r="AC11009" s="7"/>
      <c r="AD11009" s="7"/>
      <c r="AE11009" s="7"/>
      <c r="AF11009" s="8"/>
      <c r="AG11009" s="7"/>
    </row>
    <row r="11010" spans="11:33" ht="14.5" x14ac:dyDescent="0.35">
      <c r="K11010" s="4"/>
      <c r="AC11010" s="7"/>
      <c r="AD11010" s="7"/>
      <c r="AE11010" s="7"/>
      <c r="AF11010" s="8"/>
      <c r="AG11010" s="7"/>
    </row>
    <row r="11011" spans="11:33" ht="14.5" x14ac:dyDescent="0.35">
      <c r="K11011" s="4"/>
      <c r="AC11011" s="7"/>
      <c r="AD11011" s="7"/>
      <c r="AE11011" s="7"/>
      <c r="AF11011" s="8"/>
      <c r="AG11011" s="7"/>
    </row>
    <row r="11012" spans="11:33" ht="14.5" x14ac:dyDescent="0.35">
      <c r="K11012" s="4"/>
      <c r="AC11012" s="7"/>
      <c r="AD11012" s="7"/>
      <c r="AE11012" s="7"/>
      <c r="AF11012" s="8"/>
      <c r="AG11012" s="7"/>
    </row>
    <row r="11013" spans="11:33" ht="14.5" x14ac:dyDescent="0.35">
      <c r="K11013" s="4"/>
      <c r="AC11013" s="7"/>
      <c r="AD11013" s="7"/>
      <c r="AE11013" s="7"/>
      <c r="AF11013" s="8"/>
      <c r="AG11013" s="7"/>
    </row>
    <row r="11014" spans="11:33" ht="14.5" x14ac:dyDescent="0.35">
      <c r="K11014" s="4"/>
      <c r="AC11014" s="7"/>
      <c r="AD11014" s="7"/>
      <c r="AE11014" s="7"/>
      <c r="AF11014" s="8"/>
      <c r="AG11014" s="7"/>
    </row>
    <row r="11015" spans="11:33" ht="14.5" x14ac:dyDescent="0.35">
      <c r="K11015" s="4"/>
      <c r="AC11015" s="7"/>
      <c r="AD11015" s="7"/>
      <c r="AE11015" s="7"/>
      <c r="AF11015" s="8"/>
      <c r="AG11015" s="7"/>
    </row>
    <row r="11016" spans="11:33" ht="14.5" x14ac:dyDescent="0.35">
      <c r="K11016" s="4"/>
      <c r="AC11016" s="7"/>
      <c r="AD11016" s="7"/>
      <c r="AE11016" s="7"/>
      <c r="AF11016" s="8"/>
      <c r="AG11016" s="7"/>
    </row>
    <row r="11017" spans="11:33" ht="14.5" x14ac:dyDescent="0.35">
      <c r="K11017" s="4"/>
      <c r="AC11017" s="7"/>
      <c r="AD11017" s="7"/>
      <c r="AE11017" s="7"/>
      <c r="AF11017" s="8"/>
      <c r="AG11017" s="7"/>
    </row>
    <row r="11018" spans="11:33" ht="14.5" x14ac:dyDescent="0.35">
      <c r="K11018" s="4"/>
      <c r="AC11018" s="7"/>
      <c r="AD11018" s="7"/>
      <c r="AE11018" s="7"/>
      <c r="AF11018" s="8"/>
      <c r="AG11018" s="7"/>
    </row>
    <row r="11019" spans="11:33" ht="14.5" x14ac:dyDescent="0.35">
      <c r="K11019" s="4"/>
      <c r="AC11019" s="7"/>
      <c r="AD11019" s="7"/>
      <c r="AE11019" s="7"/>
      <c r="AF11019" s="8"/>
      <c r="AG11019" s="7"/>
    </row>
    <row r="11020" spans="11:33" ht="14.5" x14ac:dyDescent="0.35">
      <c r="K11020" s="4"/>
      <c r="AC11020" s="7"/>
      <c r="AD11020" s="7"/>
      <c r="AE11020" s="7"/>
      <c r="AF11020" s="8"/>
      <c r="AG11020" s="7"/>
    </row>
    <row r="11021" spans="11:33" ht="14.5" x14ac:dyDescent="0.35">
      <c r="K11021" s="4"/>
      <c r="AC11021" s="7"/>
      <c r="AD11021" s="7"/>
      <c r="AE11021" s="7"/>
      <c r="AF11021" s="8"/>
      <c r="AG11021" s="7"/>
    </row>
    <row r="11022" spans="11:33" ht="14.5" x14ac:dyDescent="0.35">
      <c r="K11022" s="4"/>
      <c r="AC11022" s="7"/>
      <c r="AD11022" s="7"/>
      <c r="AE11022" s="7"/>
      <c r="AF11022" s="8"/>
      <c r="AG11022" s="7"/>
    </row>
    <row r="11023" spans="11:33" ht="14.5" x14ac:dyDescent="0.35">
      <c r="K11023" s="4"/>
      <c r="AC11023" s="7"/>
      <c r="AD11023" s="7"/>
      <c r="AE11023" s="7"/>
      <c r="AF11023" s="8"/>
      <c r="AG11023" s="7"/>
    </row>
    <row r="11024" spans="11:33" ht="14.5" x14ac:dyDescent="0.35">
      <c r="K11024" s="4"/>
      <c r="AC11024" s="7"/>
      <c r="AD11024" s="7"/>
      <c r="AE11024" s="7"/>
      <c r="AF11024" s="8"/>
      <c r="AG11024" s="7"/>
    </row>
    <row r="11025" spans="11:33" ht="14.5" x14ac:dyDescent="0.35">
      <c r="K11025" s="4"/>
      <c r="AC11025" s="7"/>
      <c r="AD11025" s="7"/>
      <c r="AE11025" s="7"/>
      <c r="AF11025" s="8"/>
      <c r="AG11025" s="7"/>
    </row>
    <row r="11026" spans="11:33" ht="14.5" x14ac:dyDescent="0.35">
      <c r="K11026" s="4"/>
      <c r="AC11026" s="7"/>
      <c r="AD11026" s="7"/>
      <c r="AE11026" s="7"/>
      <c r="AF11026" s="8"/>
      <c r="AG11026" s="7"/>
    </row>
    <row r="11027" spans="11:33" ht="14.5" x14ac:dyDescent="0.35">
      <c r="K11027" s="4"/>
      <c r="AC11027" s="7"/>
      <c r="AD11027" s="7"/>
      <c r="AE11027" s="7"/>
      <c r="AF11027" s="8"/>
      <c r="AG11027" s="7"/>
    </row>
    <row r="11028" spans="11:33" ht="14.5" x14ac:dyDescent="0.35">
      <c r="K11028" s="4"/>
      <c r="AC11028" s="7"/>
      <c r="AD11028" s="7"/>
      <c r="AE11028" s="7"/>
      <c r="AF11028" s="8"/>
      <c r="AG11028" s="7"/>
    </row>
    <row r="11029" spans="11:33" ht="14.5" x14ac:dyDescent="0.35">
      <c r="K11029" s="4"/>
      <c r="AC11029" s="7"/>
      <c r="AD11029" s="7"/>
      <c r="AE11029" s="7"/>
      <c r="AF11029" s="8"/>
      <c r="AG11029" s="7"/>
    </row>
    <row r="11030" spans="11:33" ht="14.5" x14ac:dyDescent="0.35">
      <c r="K11030" s="4"/>
      <c r="AC11030" s="7"/>
      <c r="AD11030" s="7"/>
      <c r="AE11030" s="7"/>
      <c r="AF11030" s="8"/>
      <c r="AG11030" s="7"/>
    </row>
    <row r="11031" spans="11:33" ht="14.5" x14ac:dyDescent="0.35">
      <c r="K11031" s="4"/>
      <c r="AC11031" s="7"/>
      <c r="AD11031" s="7"/>
      <c r="AE11031" s="7"/>
      <c r="AF11031" s="8"/>
      <c r="AG11031" s="7"/>
    </row>
    <row r="11032" spans="11:33" ht="14.5" x14ac:dyDescent="0.35">
      <c r="K11032" s="4"/>
      <c r="AC11032" s="7"/>
      <c r="AD11032" s="7"/>
      <c r="AE11032" s="7"/>
      <c r="AF11032" s="8"/>
      <c r="AG11032" s="7"/>
    </row>
    <row r="11033" spans="11:33" ht="14.5" x14ac:dyDescent="0.35">
      <c r="K11033" s="4"/>
      <c r="AC11033" s="7"/>
      <c r="AD11033" s="7"/>
      <c r="AE11033" s="7"/>
      <c r="AF11033" s="8"/>
      <c r="AG11033" s="7"/>
    </row>
    <row r="11034" spans="11:33" ht="14.5" x14ac:dyDescent="0.35">
      <c r="K11034" s="4"/>
      <c r="AC11034" s="7"/>
      <c r="AD11034" s="7"/>
      <c r="AE11034" s="7"/>
      <c r="AF11034" s="8"/>
      <c r="AG11034" s="7"/>
    </row>
    <row r="11035" spans="11:33" ht="14.5" x14ac:dyDescent="0.35">
      <c r="K11035" s="4"/>
      <c r="AC11035" s="7"/>
      <c r="AD11035" s="7"/>
      <c r="AE11035" s="7"/>
      <c r="AF11035" s="8"/>
      <c r="AG11035" s="7"/>
    </row>
    <row r="11036" spans="11:33" ht="14.5" x14ac:dyDescent="0.35">
      <c r="K11036" s="4"/>
      <c r="AC11036" s="7"/>
      <c r="AD11036" s="7"/>
      <c r="AE11036" s="7"/>
      <c r="AF11036" s="8"/>
      <c r="AG11036" s="7"/>
    </row>
    <row r="11037" spans="11:33" ht="14.5" x14ac:dyDescent="0.35">
      <c r="K11037" s="4"/>
      <c r="AC11037" s="7"/>
      <c r="AD11037" s="7"/>
      <c r="AE11037" s="7"/>
      <c r="AF11037" s="8"/>
      <c r="AG11037" s="7"/>
    </row>
    <row r="11038" spans="11:33" ht="14.5" x14ac:dyDescent="0.35">
      <c r="K11038" s="4"/>
      <c r="AC11038" s="7"/>
      <c r="AD11038" s="7"/>
      <c r="AE11038" s="7"/>
      <c r="AF11038" s="8"/>
      <c r="AG11038" s="7"/>
    </row>
    <row r="11039" spans="11:33" ht="14.5" x14ac:dyDescent="0.35">
      <c r="K11039" s="4"/>
      <c r="AC11039" s="7"/>
      <c r="AD11039" s="7"/>
      <c r="AE11039" s="7"/>
      <c r="AF11039" s="8"/>
      <c r="AG11039" s="7"/>
    </row>
    <row r="11040" spans="11:33" ht="14.5" x14ac:dyDescent="0.35">
      <c r="K11040" s="4"/>
      <c r="AC11040" s="7"/>
      <c r="AD11040" s="7"/>
      <c r="AE11040" s="7"/>
      <c r="AF11040" s="8"/>
      <c r="AG11040" s="7"/>
    </row>
    <row r="11041" spans="11:33" ht="14.5" x14ac:dyDescent="0.35">
      <c r="K11041" s="4"/>
      <c r="AC11041" s="7"/>
      <c r="AD11041" s="7"/>
      <c r="AE11041" s="7"/>
      <c r="AF11041" s="8"/>
      <c r="AG11041" s="7"/>
    </row>
    <row r="11042" spans="11:33" ht="14.5" x14ac:dyDescent="0.35">
      <c r="K11042" s="4"/>
      <c r="AC11042" s="7"/>
      <c r="AD11042" s="7"/>
      <c r="AE11042" s="7"/>
      <c r="AF11042" s="8"/>
      <c r="AG11042" s="7"/>
    </row>
    <row r="11043" spans="11:33" ht="14.5" x14ac:dyDescent="0.35">
      <c r="K11043" s="4"/>
      <c r="AC11043" s="7"/>
      <c r="AD11043" s="7"/>
      <c r="AE11043" s="7"/>
      <c r="AF11043" s="8"/>
      <c r="AG11043" s="7"/>
    </row>
    <row r="11044" spans="11:33" ht="14.5" x14ac:dyDescent="0.35">
      <c r="K11044" s="4"/>
      <c r="AC11044" s="7"/>
      <c r="AD11044" s="7"/>
      <c r="AE11044" s="7"/>
      <c r="AF11044" s="8"/>
      <c r="AG11044" s="7"/>
    </row>
    <row r="11045" spans="11:33" ht="14.5" x14ac:dyDescent="0.35">
      <c r="K11045" s="4"/>
      <c r="AC11045" s="7"/>
      <c r="AD11045" s="7"/>
      <c r="AE11045" s="7"/>
      <c r="AF11045" s="8"/>
      <c r="AG11045" s="7"/>
    </row>
    <row r="11046" spans="11:33" ht="14.5" x14ac:dyDescent="0.35">
      <c r="K11046" s="4"/>
      <c r="AC11046" s="7"/>
      <c r="AD11046" s="7"/>
      <c r="AE11046" s="7"/>
      <c r="AF11046" s="8"/>
      <c r="AG11046" s="7"/>
    </row>
    <row r="11047" spans="11:33" ht="14.5" x14ac:dyDescent="0.35">
      <c r="K11047" s="4"/>
      <c r="AC11047" s="7"/>
      <c r="AD11047" s="7"/>
      <c r="AE11047" s="7"/>
      <c r="AF11047" s="8"/>
      <c r="AG11047" s="7"/>
    </row>
    <row r="11048" spans="11:33" ht="14.5" x14ac:dyDescent="0.35">
      <c r="K11048" s="4"/>
      <c r="AC11048" s="7"/>
      <c r="AD11048" s="7"/>
      <c r="AE11048" s="7"/>
      <c r="AF11048" s="8"/>
      <c r="AG11048" s="7"/>
    </row>
    <row r="11049" spans="11:33" ht="14.5" x14ac:dyDescent="0.35">
      <c r="K11049" s="4"/>
      <c r="AC11049" s="7"/>
      <c r="AD11049" s="7"/>
      <c r="AE11049" s="7"/>
      <c r="AF11049" s="8"/>
      <c r="AG11049" s="7"/>
    </row>
    <row r="11050" spans="11:33" ht="14.5" x14ac:dyDescent="0.35">
      <c r="K11050" s="4"/>
      <c r="AC11050" s="7"/>
      <c r="AD11050" s="7"/>
      <c r="AE11050" s="7"/>
      <c r="AF11050" s="8"/>
      <c r="AG11050" s="7"/>
    </row>
    <row r="11051" spans="11:33" ht="14.5" x14ac:dyDescent="0.35">
      <c r="K11051" s="4"/>
      <c r="AC11051" s="7"/>
      <c r="AD11051" s="7"/>
      <c r="AE11051" s="7"/>
      <c r="AF11051" s="8"/>
      <c r="AG11051" s="7"/>
    </row>
    <row r="11052" spans="11:33" ht="14.5" x14ac:dyDescent="0.35">
      <c r="K11052" s="4"/>
      <c r="AC11052" s="7"/>
      <c r="AD11052" s="7"/>
      <c r="AE11052" s="7"/>
      <c r="AF11052" s="8"/>
      <c r="AG11052" s="7"/>
    </row>
    <row r="11053" spans="11:33" ht="14.5" x14ac:dyDescent="0.35">
      <c r="K11053" s="4"/>
      <c r="AC11053" s="7"/>
      <c r="AD11053" s="7"/>
      <c r="AE11053" s="7"/>
      <c r="AF11053" s="8"/>
      <c r="AG11053" s="7"/>
    </row>
    <row r="11054" spans="11:33" ht="14.5" x14ac:dyDescent="0.35">
      <c r="K11054" s="4"/>
      <c r="AC11054" s="7"/>
      <c r="AD11054" s="7"/>
      <c r="AE11054" s="7"/>
      <c r="AF11054" s="8"/>
      <c r="AG11054" s="7"/>
    </row>
    <row r="11055" spans="11:33" ht="14.5" x14ac:dyDescent="0.35">
      <c r="K11055" s="4"/>
      <c r="AC11055" s="7"/>
      <c r="AD11055" s="7"/>
      <c r="AE11055" s="7"/>
      <c r="AF11055" s="8"/>
      <c r="AG11055" s="7"/>
    </row>
    <row r="11056" spans="11:33" ht="14.5" x14ac:dyDescent="0.35">
      <c r="K11056" s="4"/>
      <c r="AC11056" s="7"/>
      <c r="AD11056" s="7"/>
      <c r="AE11056" s="7"/>
      <c r="AF11056" s="8"/>
      <c r="AG11056" s="7"/>
    </row>
    <row r="11057" spans="11:33" ht="14.5" x14ac:dyDescent="0.35">
      <c r="K11057" s="4"/>
      <c r="AC11057" s="7"/>
      <c r="AD11057" s="7"/>
      <c r="AE11057" s="7"/>
      <c r="AF11057" s="8"/>
      <c r="AG11057" s="7"/>
    </row>
    <row r="11058" spans="11:33" ht="14.5" x14ac:dyDescent="0.35">
      <c r="K11058" s="4"/>
      <c r="AC11058" s="7"/>
      <c r="AD11058" s="7"/>
      <c r="AE11058" s="7"/>
      <c r="AF11058" s="8"/>
      <c r="AG11058" s="7"/>
    </row>
    <row r="11059" spans="11:33" ht="14.5" x14ac:dyDescent="0.35">
      <c r="K11059" s="4"/>
      <c r="AC11059" s="7"/>
      <c r="AD11059" s="7"/>
      <c r="AE11059" s="7"/>
      <c r="AF11059" s="8"/>
      <c r="AG11059" s="7"/>
    </row>
    <row r="11060" spans="11:33" ht="14.5" x14ac:dyDescent="0.35">
      <c r="K11060" s="4"/>
      <c r="AC11060" s="7"/>
      <c r="AD11060" s="7"/>
      <c r="AE11060" s="7"/>
      <c r="AF11060" s="8"/>
      <c r="AG11060" s="7"/>
    </row>
    <row r="11061" spans="11:33" ht="14.5" x14ac:dyDescent="0.35">
      <c r="K11061" s="4"/>
      <c r="AC11061" s="7"/>
      <c r="AD11061" s="7"/>
      <c r="AE11061" s="7"/>
      <c r="AF11061" s="8"/>
      <c r="AG11061" s="7"/>
    </row>
    <row r="11062" spans="11:33" ht="14.5" x14ac:dyDescent="0.35">
      <c r="K11062" s="4"/>
      <c r="AC11062" s="7"/>
      <c r="AD11062" s="7"/>
      <c r="AE11062" s="7"/>
      <c r="AF11062" s="8"/>
      <c r="AG11062" s="7"/>
    </row>
    <row r="11063" spans="11:33" ht="14.5" x14ac:dyDescent="0.35">
      <c r="K11063" s="4"/>
      <c r="AC11063" s="7"/>
      <c r="AD11063" s="7"/>
      <c r="AE11063" s="7"/>
      <c r="AF11063" s="8"/>
      <c r="AG11063" s="7"/>
    </row>
    <row r="11064" spans="11:33" ht="14.5" x14ac:dyDescent="0.35">
      <c r="K11064" s="4"/>
      <c r="AC11064" s="7"/>
      <c r="AD11064" s="7"/>
      <c r="AE11064" s="7"/>
      <c r="AF11064" s="8"/>
      <c r="AG11064" s="7"/>
    </row>
    <row r="11065" spans="11:33" ht="14.5" x14ac:dyDescent="0.35">
      <c r="K11065" s="4"/>
      <c r="AC11065" s="7"/>
      <c r="AD11065" s="7"/>
      <c r="AE11065" s="7"/>
      <c r="AF11065" s="8"/>
      <c r="AG11065" s="7"/>
    </row>
    <row r="11066" spans="11:33" ht="14.5" x14ac:dyDescent="0.35">
      <c r="K11066" s="4"/>
      <c r="AC11066" s="7"/>
      <c r="AD11066" s="7"/>
      <c r="AE11066" s="7"/>
      <c r="AF11066" s="8"/>
      <c r="AG11066" s="7"/>
    </row>
    <row r="11067" spans="11:33" ht="14.5" x14ac:dyDescent="0.35">
      <c r="K11067" s="4"/>
      <c r="AC11067" s="7"/>
      <c r="AD11067" s="7"/>
      <c r="AE11067" s="7"/>
      <c r="AF11067" s="8"/>
      <c r="AG11067" s="7"/>
    </row>
    <row r="11068" spans="11:33" ht="14.5" x14ac:dyDescent="0.35">
      <c r="K11068" s="4"/>
      <c r="AC11068" s="7"/>
      <c r="AD11068" s="7"/>
      <c r="AE11068" s="7"/>
      <c r="AF11068" s="8"/>
      <c r="AG11068" s="7"/>
    </row>
    <row r="11069" spans="11:33" ht="14.5" x14ac:dyDescent="0.35">
      <c r="K11069" s="4"/>
      <c r="AC11069" s="7"/>
      <c r="AD11069" s="7"/>
      <c r="AE11069" s="7"/>
      <c r="AF11069" s="8"/>
      <c r="AG11069" s="7"/>
    </row>
    <row r="11070" spans="11:33" ht="14.5" x14ac:dyDescent="0.35">
      <c r="K11070" s="4"/>
      <c r="AC11070" s="7"/>
      <c r="AD11070" s="7"/>
      <c r="AE11070" s="7"/>
      <c r="AF11070" s="8"/>
      <c r="AG11070" s="7"/>
    </row>
    <row r="11071" spans="11:33" ht="14.5" x14ac:dyDescent="0.35">
      <c r="K11071" s="4"/>
      <c r="AC11071" s="7"/>
      <c r="AD11071" s="7"/>
      <c r="AE11071" s="7"/>
      <c r="AF11071" s="8"/>
      <c r="AG11071" s="7"/>
    </row>
    <row r="11072" spans="11:33" ht="14.5" x14ac:dyDescent="0.35">
      <c r="K11072" s="4"/>
      <c r="AC11072" s="7"/>
      <c r="AD11072" s="7"/>
      <c r="AE11072" s="7"/>
      <c r="AF11072" s="8"/>
      <c r="AG11072" s="7"/>
    </row>
    <row r="11073" spans="11:33" ht="14.5" x14ac:dyDescent="0.35">
      <c r="K11073" s="4"/>
      <c r="AC11073" s="7"/>
      <c r="AD11073" s="7"/>
      <c r="AE11073" s="7"/>
      <c r="AF11073" s="8"/>
      <c r="AG11073" s="7"/>
    </row>
    <row r="11074" spans="11:33" ht="14.5" x14ac:dyDescent="0.35">
      <c r="K11074" s="4"/>
      <c r="AC11074" s="7"/>
      <c r="AD11074" s="7"/>
      <c r="AE11074" s="7"/>
      <c r="AF11074" s="8"/>
      <c r="AG11074" s="7"/>
    </row>
    <row r="11075" spans="11:33" ht="14.5" x14ac:dyDescent="0.35">
      <c r="K11075" s="4"/>
      <c r="AC11075" s="7"/>
      <c r="AD11075" s="7"/>
      <c r="AE11075" s="7"/>
      <c r="AF11075" s="8"/>
      <c r="AG11075" s="7"/>
    </row>
    <row r="11076" spans="11:33" ht="14.5" x14ac:dyDescent="0.35">
      <c r="K11076" s="4"/>
      <c r="AC11076" s="7"/>
      <c r="AD11076" s="7"/>
      <c r="AE11076" s="7"/>
      <c r="AF11076" s="8"/>
      <c r="AG11076" s="7"/>
    </row>
    <row r="11077" spans="11:33" ht="14.5" x14ac:dyDescent="0.35">
      <c r="K11077" s="4"/>
      <c r="AC11077" s="7"/>
      <c r="AD11077" s="7"/>
      <c r="AE11077" s="7"/>
      <c r="AF11077" s="8"/>
      <c r="AG11077" s="7"/>
    </row>
    <row r="11078" spans="11:33" ht="14.5" x14ac:dyDescent="0.35">
      <c r="K11078" s="4"/>
      <c r="AC11078" s="7"/>
      <c r="AD11078" s="7"/>
      <c r="AE11078" s="7"/>
      <c r="AF11078" s="8"/>
      <c r="AG11078" s="7"/>
    </row>
    <row r="11079" spans="11:33" ht="14.5" x14ac:dyDescent="0.35">
      <c r="K11079" s="4"/>
      <c r="AC11079" s="7"/>
      <c r="AD11079" s="7"/>
      <c r="AE11079" s="7"/>
      <c r="AF11079" s="8"/>
      <c r="AG11079" s="7"/>
    </row>
    <row r="11080" spans="11:33" ht="14.5" x14ac:dyDescent="0.35">
      <c r="K11080" s="4"/>
      <c r="AC11080" s="7"/>
      <c r="AD11080" s="7"/>
      <c r="AE11080" s="7"/>
      <c r="AF11080" s="8"/>
      <c r="AG11080" s="7"/>
    </row>
    <row r="11081" spans="11:33" ht="14.5" x14ac:dyDescent="0.35">
      <c r="K11081" s="4"/>
      <c r="AC11081" s="7"/>
      <c r="AD11081" s="7"/>
      <c r="AE11081" s="7"/>
      <c r="AF11081" s="8"/>
      <c r="AG11081" s="7"/>
    </row>
    <row r="11082" spans="11:33" ht="14.5" x14ac:dyDescent="0.35">
      <c r="K11082" s="4"/>
      <c r="AC11082" s="7"/>
      <c r="AD11082" s="7"/>
      <c r="AE11082" s="7"/>
      <c r="AF11082" s="8"/>
      <c r="AG11082" s="7"/>
    </row>
    <row r="11083" spans="11:33" ht="14.5" x14ac:dyDescent="0.35">
      <c r="K11083" s="4"/>
      <c r="AC11083" s="7"/>
      <c r="AD11083" s="7"/>
      <c r="AE11083" s="7"/>
      <c r="AF11083" s="8"/>
      <c r="AG11083" s="7"/>
    </row>
    <row r="11084" spans="11:33" ht="14.5" x14ac:dyDescent="0.35">
      <c r="K11084" s="4"/>
      <c r="AC11084" s="7"/>
      <c r="AD11084" s="7"/>
      <c r="AE11084" s="7"/>
      <c r="AF11084" s="8"/>
      <c r="AG11084" s="7"/>
    </row>
    <row r="11085" spans="11:33" ht="14.5" x14ac:dyDescent="0.35">
      <c r="K11085" s="4"/>
      <c r="AC11085" s="7"/>
      <c r="AD11085" s="7"/>
      <c r="AE11085" s="7"/>
      <c r="AF11085" s="8"/>
      <c r="AG11085" s="7"/>
    </row>
    <row r="11086" spans="11:33" ht="14.5" x14ac:dyDescent="0.35">
      <c r="K11086" s="4"/>
      <c r="AC11086" s="7"/>
      <c r="AD11086" s="7"/>
      <c r="AE11086" s="7"/>
      <c r="AF11086" s="8"/>
      <c r="AG11086" s="7"/>
    </row>
    <row r="11087" spans="11:33" ht="14.5" x14ac:dyDescent="0.35">
      <c r="K11087" s="4"/>
      <c r="AC11087" s="7"/>
      <c r="AD11087" s="7"/>
      <c r="AE11087" s="7"/>
      <c r="AF11087" s="8"/>
      <c r="AG11087" s="7"/>
    </row>
    <row r="11088" spans="11:33" ht="14.5" x14ac:dyDescent="0.35">
      <c r="K11088" s="4"/>
      <c r="AC11088" s="7"/>
      <c r="AD11088" s="7"/>
      <c r="AE11088" s="7"/>
      <c r="AF11088" s="8"/>
      <c r="AG11088" s="7"/>
    </row>
    <row r="11089" spans="11:33" ht="14.5" x14ac:dyDescent="0.35">
      <c r="K11089" s="4"/>
      <c r="AC11089" s="7"/>
      <c r="AD11089" s="7"/>
      <c r="AE11089" s="7"/>
      <c r="AF11089" s="8"/>
      <c r="AG11089" s="7"/>
    </row>
    <row r="11090" spans="11:33" ht="14.5" x14ac:dyDescent="0.35">
      <c r="K11090" s="4"/>
      <c r="AC11090" s="7"/>
      <c r="AD11090" s="7"/>
      <c r="AE11090" s="7"/>
      <c r="AF11090" s="8"/>
      <c r="AG11090" s="7"/>
    </row>
    <row r="11091" spans="11:33" ht="14.5" x14ac:dyDescent="0.35">
      <c r="K11091" s="4"/>
      <c r="AC11091" s="7"/>
      <c r="AD11091" s="7"/>
      <c r="AE11091" s="7"/>
      <c r="AF11091" s="8"/>
      <c r="AG11091" s="7"/>
    </row>
    <row r="11092" spans="11:33" ht="14.5" x14ac:dyDescent="0.35">
      <c r="K11092" s="4"/>
      <c r="AC11092" s="7"/>
      <c r="AD11092" s="7"/>
      <c r="AE11092" s="7"/>
      <c r="AF11092" s="8"/>
      <c r="AG11092" s="7"/>
    </row>
    <row r="11093" spans="11:33" ht="14.5" x14ac:dyDescent="0.35">
      <c r="K11093" s="4"/>
      <c r="AC11093" s="7"/>
      <c r="AD11093" s="7"/>
      <c r="AE11093" s="7"/>
      <c r="AF11093" s="8"/>
      <c r="AG11093" s="7"/>
    </row>
    <row r="11094" spans="11:33" ht="14.5" x14ac:dyDescent="0.35">
      <c r="K11094" s="4"/>
      <c r="AC11094" s="7"/>
      <c r="AD11094" s="7"/>
      <c r="AE11094" s="7"/>
      <c r="AF11094" s="8"/>
      <c r="AG11094" s="7"/>
    </row>
    <row r="11095" spans="11:33" ht="14.5" x14ac:dyDescent="0.35">
      <c r="K11095" s="4"/>
      <c r="AC11095" s="7"/>
      <c r="AD11095" s="7"/>
      <c r="AE11095" s="7"/>
      <c r="AF11095" s="8"/>
      <c r="AG11095" s="7"/>
    </row>
    <row r="11096" spans="11:33" ht="14.5" x14ac:dyDescent="0.35">
      <c r="K11096" s="4"/>
      <c r="AC11096" s="7"/>
      <c r="AD11096" s="7"/>
      <c r="AE11096" s="7"/>
      <c r="AF11096" s="8"/>
      <c r="AG11096" s="7"/>
    </row>
    <row r="11097" spans="11:33" ht="14.5" x14ac:dyDescent="0.35">
      <c r="K11097" s="4"/>
      <c r="AC11097" s="7"/>
      <c r="AD11097" s="7"/>
      <c r="AE11097" s="7"/>
      <c r="AF11097" s="8"/>
      <c r="AG11097" s="7"/>
    </row>
    <row r="11098" spans="11:33" ht="14.5" x14ac:dyDescent="0.35">
      <c r="K11098" s="4"/>
      <c r="AC11098" s="7"/>
      <c r="AD11098" s="7"/>
      <c r="AE11098" s="7"/>
      <c r="AF11098" s="8"/>
      <c r="AG11098" s="7"/>
    </row>
    <row r="11099" spans="11:33" ht="14.5" x14ac:dyDescent="0.35">
      <c r="K11099" s="4"/>
      <c r="AC11099" s="7"/>
      <c r="AD11099" s="7"/>
      <c r="AE11099" s="7"/>
      <c r="AF11099" s="8"/>
      <c r="AG11099" s="7"/>
    </row>
    <row r="11100" spans="11:33" ht="14.5" x14ac:dyDescent="0.35">
      <c r="K11100" s="4"/>
      <c r="AC11100" s="7"/>
      <c r="AD11100" s="7"/>
      <c r="AE11100" s="7"/>
      <c r="AF11100" s="8"/>
      <c r="AG11100" s="7"/>
    </row>
    <row r="11101" spans="11:33" ht="14.5" x14ac:dyDescent="0.35">
      <c r="K11101" s="4"/>
      <c r="AC11101" s="7"/>
      <c r="AD11101" s="7"/>
      <c r="AE11101" s="7"/>
      <c r="AF11101" s="8"/>
      <c r="AG11101" s="7"/>
    </row>
    <row r="11102" spans="11:33" ht="14.5" x14ac:dyDescent="0.35">
      <c r="K11102" s="4"/>
      <c r="AC11102" s="7"/>
      <c r="AD11102" s="7"/>
      <c r="AE11102" s="7"/>
      <c r="AF11102" s="8"/>
      <c r="AG11102" s="7"/>
    </row>
    <row r="11103" spans="11:33" ht="14.5" x14ac:dyDescent="0.35">
      <c r="K11103" s="4"/>
      <c r="AC11103" s="7"/>
      <c r="AD11103" s="7"/>
      <c r="AE11103" s="7"/>
      <c r="AF11103" s="8"/>
      <c r="AG11103" s="7"/>
    </row>
    <row r="11104" spans="11:33" ht="14.5" x14ac:dyDescent="0.35">
      <c r="K11104" s="4"/>
      <c r="AC11104" s="7"/>
      <c r="AD11104" s="7"/>
      <c r="AE11104" s="7"/>
      <c r="AF11104" s="8"/>
      <c r="AG11104" s="7"/>
    </row>
    <row r="11105" spans="11:33" ht="14.5" x14ac:dyDescent="0.35">
      <c r="K11105" s="4"/>
      <c r="AC11105" s="7"/>
      <c r="AD11105" s="7"/>
      <c r="AE11105" s="7"/>
      <c r="AF11105" s="8"/>
      <c r="AG11105" s="7"/>
    </row>
    <row r="11106" spans="11:33" ht="14.5" x14ac:dyDescent="0.35">
      <c r="K11106" s="4"/>
      <c r="AC11106" s="7"/>
      <c r="AD11106" s="7"/>
      <c r="AE11106" s="7"/>
      <c r="AF11106" s="8"/>
      <c r="AG11106" s="7"/>
    </row>
    <row r="11107" spans="11:33" ht="14.5" x14ac:dyDescent="0.35">
      <c r="K11107" s="4"/>
      <c r="AC11107" s="7"/>
      <c r="AD11107" s="7"/>
      <c r="AE11107" s="7"/>
      <c r="AF11107" s="8"/>
      <c r="AG11107" s="7"/>
    </row>
    <row r="11108" spans="11:33" ht="14.5" x14ac:dyDescent="0.35">
      <c r="K11108" s="4"/>
      <c r="AC11108" s="7"/>
      <c r="AD11108" s="7"/>
      <c r="AE11108" s="7"/>
      <c r="AF11108" s="8"/>
      <c r="AG11108" s="7"/>
    </row>
    <row r="11109" spans="11:33" ht="14.5" x14ac:dyDescent="0.35">
      <c r="K11109" s="4"/>
      <c r="AC11109" s="7"/>
      <c r="AD11109" s="7"/>
      <c r="AE11109" s="7"/>
      <c r="AF11109" s="8"/>
      <c r="AG11109" s="7"/>
    </row>
    <row r="11110" spans="11:33" ht="14.5" x14ac:dyDescent="0.35">
      <c r="K11110" s="4"/>
      <c r="AC11110" s="7"/>
      <c r="AD11110" s="7"/>
      <c r="AE11110" s="7"/>
      <c r="AF11110" s="8"/>
      <c r="AG11110" s="7"/>
    </row>
    <row r="11111" spans="11:33" ht="14.5" x14ac:dyDescent="0.35">
      <c r="K11111" s="4"/>
      <c r="AC11111" s="7"/>
      <c r="AD11111" s="7"/>
      <c r="AE11111" s="7"/>
      <c r="AF11111" s="8"/>
      <c r="AG11111" s="7"/>
    </row>
    <row r="11112" spans="11:33" ht="14.5" x14ac:dyDescent="0.35">
      <c r="K11112" s="4"/>
      <c r="AC11112" s="7"/>
      <c r="AD11112" s="7"/>
      <c r="AE11112" s="7"/>
      <c r="AF11112" s="8"/>
      <c r="AG11112" s="7"/>
    </row>
    <row r="11113" spans="11:33" ht="14.5" x14ac:dyDescent="0.35">
      <c r="K11113" s="4"/>
      <c r="AC11113" s="7"/>
      <c r="AD11113" s="7"/>
      <c r="AE11113" s="7"/>
      <c r="AF11113" s="8"/>
      <c r="AG11113" s="7"/>
    </row>
    <row r="11114" spans="11:33" ht="14.5" x14ac:dyDescent="0.35">
      <c r="K11114" s="4"/>
      <c r="AC11114" s="7"/>
      <c r="AD11114" s="7"/>
      <c r="AE11114" s="7"/>
      <c r="AF11114" s="8"/>
      <c r="AG11114" s="7"/>
    </row>
    <row r="11115" spans="11:33" ht="14.5" x14ac:dyDescent="0.35">
      <c r="K11115" s="4"/>
      <c r="AC11115" s="7"/>
      <c r="AD11115" s="7"/>
      <c r="AE11115" s="7"/>
      <c r="AF11115" s="8"/>
      <c r="AG11115" s="7"/>
    </row>
    <row r="11116" spans="11:33" ht="14.5" x14ac:dyDescent="0.35">
      <c r="K11116" s="4"/>
      <c r="AC11116" s="7"/>
      <c r="AD11116" s="7"/>
      <c r="AE11116" s="7"/>
      <c r="AF11116" s="8"/>
      <c r="AG11116" s="7"/>
    </row>
    <row r="11117" spans="11:33" ht="14.5" x14ac:dyDescent="0.35">
      <c r="K11117" s="4"/>
      <c r="AC11117" s="7"/>
      <c r="AD11117" s="7"/>
      <c r="AE11117" s="7"/>
      <c r="AF11117" s="8"/>
      <c r="AG11117" s="7"/>
    </row>
    <row r="11118" spans="11:33" ht="14.5" x14ac:dyDescent="0.35">
      <c r="K11118" s="4"/>
      <c r="AC11118" s="7"/>
      <c r="AD11118" s="7"/>
      <c r="AE11118" s="7"/>
      <c r="AF11118" s="8"/>
      <c r="AG11118" s="7"/>
    </row>
    <row r="11119" spans="11:33" ht="14.5" x14ac:dyDescent="0.35">
      <c r="K11119" s="4"/>
      <c r="AC11119" s="7"/>
      <c r="AD11119" s="7"/>
      <c r="AE11119" s="7"/>
      <c r="AF11119" s="8"/>
      <c r="AG11119" s="7"/>
    </row>
    <row r="11120" spans="11:33" ht="14.5" x14ac:dyDescent="0.35">
      <c r="K11120" s="4"/>
      <c r="AC11120" s="7"/>
      <c r="AD11120" s="7"/>
      <c r="AE11120" s="7"/>
      <c r="AF11120" s="8"/>
      <c r="AG11120" s="7"/>
    </row>
    <row r="11121" spans="11:33" ht="14.5" x14ac:dyDescent="0.35">
      <c r="K11121" s="4"/>
      <c r="AC11121" s="7"/>
      <c r="AD11121" s="7"/>
      <c r="AE11121" s="7"/>
      <c r="AF11121" s="8"/>
      <c r="AG11121" s="7"/>
    </row>
    <row r="11122" spans="11:33" ht="14.5" x14ac:dyDescent="0.35">
      <c r="K11122" s="4"/>
      <c r="AC11122" s="7"/>
      <c r="AD11122" s="7"/>
      <c r="AE11122" s="7"/>
      <c r="AF11122" s="8"/>
      <c r="AG11122" s="7"/>
    </row>
    <row r="11123" spans="11:33" ht="14.5" x14ac:dyDescent="0.35">
      <c r="K11123" s="4"/>
      <c r="AC11123" s="7"/>
      <c r="AD11123" s="7"/>
      <c r="AE11123" s="7"/>
      <c r="AF11123" s="8"/>
      <c r="AG11123" s="7"/>
    </row>
    <row r="11124" spans="11:33" ht="14.5" x14ac:dyDescent="0.35">
      <c r="K11124" s="4"/>
      <c r="AC11124" s="7"/>
      <c r="AD11124" s="7"/>
      <c r="AE11124" s="7"/>
      <c r="AF11124" s="8"/>
      <c r="AG11124" s="7"/>
    </row>
    <row r="11125" spans="11:33" ht="14.5" x14ac:dyDescent="0.35">
      <c r="K11125" s="4"/>
      <c r="AC11125" s="7"/>
      <c r="AD11125" s="7"/>
      <c r="AE11125" s="7"/>
      <c r="AF11125" s="8"/>
      <c r="AG11125" s="7"/>
    </row>
    <row r="11126" spans="11:33" ht="14.5" x14ac:dyDescent="0.35">
      <c r="K11126" s="4"/>
      <c r="AC11126" s="7"/>
      <c r="AD11126" s="7"/>
      <c r="AE11126" s="7"/>
      <c r="AF11126" s="8"/>
      <c r="AG11126" s="7"/>
    </row>
    <row r="11127" spans="11:33" ht="14.5" x14ac:dyDescent="0.35">
      <c r="K11127" s="4"/>
      <c r="AC11127" s="7"/>
      <c r="AD11127" s="7"/>
      <c r="AE11127" s="7"/>
      <c r="AF11127" s="8"/>
      <c r="AG11127" s="7"/>
    </row>
    <row r="11128" spans="11:33" ht="14.5" x14ac:dyDescent="0.35">
      <c r="K11128" s="4"/>
      <c r="AC11128" s="7"/>
      <c r="AD11128" s="7"/>
      <c r="AE11128" s="7"/>
      <c r="AF11128" s="8"/>
      <c r="AG11128" s="7"/>
    </row>
    <row r="11129" spans="11:33" ht="14.5" x14ac:dyDescent="0.35">
      <c r="K11129" s="4"/>
      <c r="AC11129" s="7"/>
      <c r="AD11129" s="7"/>
      <c r="AE11129" s="7"/>
      <c r="AF11129" s="8"/>
      <c r="AG11129" s="7"/>
    </row>
    <row r="11130" spans="11:33" ht="14.5" x14ac:dyDescent="0.35">
      <c r="K11130" s="4"/>
      <c r="AC11130" s="7"/>
      <c r="AD11130" s="7"/>
      <c r="AE11130" s="7"/>
      <c r="AF11130" s="8"/>
      <c r="AG11130" s="7"/>
    </row>
    <row r="11131" spans="11:33" ht="14.5" x14ac:dyDescent="0.35">
      <c r="K11131" s="4"/>
      <c r="AC11131" s="7"/>
      <c r="AD11131" s="7"/>
      <c r="AE11131" s="7"/>
      <c r="AF11131" s="8"/>
      <c r="AG11131" s="7"/>
    </row>
    <row r="11132" spans="11:33" ht="14.5" x14ac:dyDescent="0.35">
      <c r="K11132" s="4"/>
      <c r="AC11132" s="7"/>
      <c r="AD11132" s="7"/>
      <c r="AE11132" s="7"/>
      <c r="AF11132" s="8"/>
      <c r="AG11132" s="7"/>
    </row>
    <row r="11133" spans="11:33" ht="14.5" x14ac:dyDescent="0.35">
      <c r="K11133" s="4"/>
      <c r="AC11133" s="7"/>
      <c r="AD11133" s="7"/>
      <c r="AE11133" s="7"/>
      <c r="AF11133" s="8"/>
      <c r="AG11133" s="7"/>
    </row>
    <row r="11134" spans="11:33" ht="14.5" x14ac:dyDescent="0.35">
      <c r="K11134" s="4"/>
      <c r="AC11134" s="7"/>
      <c r="AD11134" s="7"/>
      <c r="AE11134" s="7"/>
      <c r="AF11134" s="8"/>
      <c r="AG11134" s="7"/>
    </row>
    <row r="11135" spans="11:33" ht="14.5" x14ac:dyDescent="0.35">
      <c r="K11135" s="4"/>
      <c r="AC11135" s="7"/>
      <c r="AD11135" s="7"/>
      <c r="AE11135" s="7"/>
      <c r="AF11135" s="8"/>
      <c r="AG11135" s="7"/>
    </row>
    <row r="11136" spans="11:33" ht="14.5" x14ac:dyDescent="0.35">
      <c r="K11136" s="4"/>
      <c r="AC11136" s="7"/>
      <c r="AD11136" s="7"/>
      <c r="AE11136" s="7"/>
      <c r="AF11136" s="8"/>
      <c r="AG11136" s="7"/>
    </row>
    <row r="11137" spans="11:33" ht="14.5" x14ac:dyDescent="0.35">
      <c r="K11137" s="4"/>
      <c r="AC11137" s="7"/>
      <c r="AD11137" s="7"/>
      <c r="AE11137" s="7"/>
      <c r="AF11137" s="8"/>
      <c r="AG11137" s="7"/>
    </row>
    <row r="11138" spans="11:33" ht="14.5" x14ac:dyDescent="0.35">
      <c r="K11138" s="4"/>
      <c r="AC11138" s="7"/>
      <c r="AD11138" s="7"/>
      <c r="AE11138" s="7"/>
      <c r="AF11138" s="8"/>
      <c r="AG11138" s="7"/>
    </row>
    <row r="11139" spans="11:33" ht="14.5" x14ac:dyDescent="0.35">
      <c r="K11139" s="4"/>
      <c r="AC11139" s="7"/>
      <c r="AD11139" s="7"/>
      <c r="AE11139" s="7"/>
      <c r="AF11139" s="8"/>
      <c r="AG11139" s="7"/>
    </row>
    <row r="11140" spans="11:33" ht="14.5" x14ac:dyDescent="0.35">
      <c r="K11140" s="4"/>
      <c r="AC11140" s="7"/>
      <c r="AD11140" s="7"/>
      <c r="AE11140" s="7"/>
      <c r="AF11140" s="8"/>
      <c r="AG11140" s="7"/>
    </row>
    <row r="11141" spans="11:33" ht="14.5" x14ac:dyDescent="0.35">
      <c r="K11141" s="4"/>
      <c r="AC11141" s="7"/>
      <c r="AD11141" s="7"/>
      <c r="AE11141" s="7"/>
      <c r="AF11141" s="8"/>
      <c r="AG11141" s="7"/>
    </row>
    <row r="11142" spans="11:33" ht="14.5" x14ac:dyDescent="0.35">
      <c r="K11142" s="4"/>
      <c r="AC11142" s="7"/>
      <c r="AD11142" s="7"/>
      <c r="AE11142" s="7"/>
      <c r="AF11142" s="8"/>
      <c r="AG11142" s="7"/>
    </row>
    <row r="11143" spans="11:33" ht="14.5" x14ac:dyDescent="0.35">
      <c r="K11143" s="4"/>
      <c r="AC11143" s="7"/>
      <c r="AD11143" s="7"/>
      <c r="AE11143" s="7"/>
      <c r="AF11143" s="8"/>
      <c r="AG11143" s="7"/>
    </row>
    <row r="11144" spans="11:33" ht="14.5" x14ac:dyDescent="0.35">
      <c r="K11144" s="4"/>
      <c r="AC11144" s="7"/>
      <c r="AD11144" s="7"/>
      <c r="AE11144" s="7"/>
      <c r="AF11144" s="8"/>
      <c r="AG11144" s="7"/>
    </row>
    <row r="11145" spans="11:33" ht="14.5" x14ac:dyDescent="0.35">
      <c r="K11145" s="4"/>
      <c r="AC11145" s="7"/>
      <c r="AD11145" s="7"/>
      <c r="AE11145" s="7"/>
      <c r="AF11145" s="8"/>
      <c r="AG11145" s="7"/>
    </row>
    <row r="11146" spans="11:33" ht="14.5" x14ac:dyDescent="0.35">
      <c r="K11146" s="4"/>
      <c r="AC11146" s="7"/>
      <c r="AD11146" s="7"/>
      <c r="AE11146" s="7"/>
      <c r="AF11146" s="8"/>
      <c r="AG11146" s="7"/>
    </row>
    <row r="11147" spans="11:33" ht="14.5" x14ac:dyDescent="0.35">
      <c r="K11147" s="4"/>
      <c r="AC11147" s="7"/>
      <c r="AD11147" s="7"/>
      <c r="AE11147" s="7"/>
      <c r="AF11147" s="8"/>
      <c r="AG11147" s="7"/>
    </row>
    <row r="11148" spans="11:33" ht="14.5" x14ac:dyDescent="0.35">
      <c r="K11148" s="4"/>
      <c r="AC11148" s="7"/>
      <c r="AD11148" s="7"/>
      <c r="AE11148" s="7"/>
      <c r="AF11148" s="8"/>
      <c r="AG11148" s="7"/>
    </row>
    <row r="11149" spans="11:33" ht="14.5" x14ac:dyDescent="0.35">
      <c r="K11149" s="4"/>
      <c r="AC11149" s="7"/>
      <c r="AD11149" s="7"/>
      <c r="AE11149" s="7"/>
      <c r="AF11149" s="8"/>
      <c r="AG11149" s="7"/>
    </row>
    <row r="11150" spans="11:33" ht="14.5" x14ac:dyDescent="0.35">
      <c r="K11150" s="4"/>
      <c r="AC11150" s="7"/>
      <c r="AD11150" s="7"/>
      <c r="AE11150" s="7"/>
      <c r="AF11150" s="8"/>
      <c r="AG11150" s="7"/>
    </row>
    <row r="11151" spans="11:33" ht="14.5" x14ac:dyDescent="0.35">
      <c r="K11151" s="4"/>
      <c r="AC11151" s="7"/>
      <c r="AD11151" s="7"/>
      <c r="AE11151" s="7"/>
      <c r="AF11151" s="8"/>
      <c r="AG11151" s="7"/>
    </row>
    <row r="11152" spans="11:33" ht="14.5" x14ac:dyDescent="0.35">
      <c r="K11152" s="4"/>
      <c r="AC11152" s="7"/>
      <c r="AD11152" s="7"/>
      <c r="AE11152" s="7"/>
      <c r="AF11152" s="8"/>
      <c r="AG11152" s="7"/>
    </row>
    <row r="11153" spans="11:33" ht="14.5" x14ac:dyDescent="0.35">
      <c r="K11153" s="4"/>
      <c r="AC11153" s="7"/>
      <c r="AD11153" s="7"/>
      <c r="AE11153" s="7"/>
      <c r="AF11153" s="8"/>
      <c r="AG11153" s="7"/>
    </row>
    <row r="11154" spans="11:33" ht="14.5" x14ac:dyDescent="0.35">
      <c r="K11154" s="4"/>
      <c r="AC11154" s="7"/>
      <c r="AD11154" s="7"/>
      <c r="AE11154" s="7"/>
      <c r="AF11154" s="8"/>
      <c r="AG11154" s="7"/>
    </row>
    <row r="11155" spans="11:33" ht="14.5" x14ac:dyDescent="0.35">
      <c r="K11155" s="4"/>
      <c r="AC11155" s="7"/>
      <c r="AD11155" s="7"/>
      <c r="AE11155" s="7"/>
      <c r="AF11155" s="8"/>
      <c r="AG11155" s="7"/>
    </row>
    <row r="11156" spans="11:33" ht="14.5" x14ac:dyDescent="0.35">
      <c r="K11156" s="4"/>
      <c r="AC11156" s="7"/>
      <c r="AD11156" s="7"/>
      <c r="AE11156" s="7"/>
      <c r="AF11156" s="8"/>
      <c r="AG11156" s="7"/>
    </row>
    <row r="11157" spans="11:33" ht="14.5" x14ac:dyDescent="0.35">
      <c r="K11157" s="4"/>
      <c r="AC11157" s="7"/>
      <c r="AD11157" s="7"/>
      <c r="AE11157" s="7"/>
      <c r="AF11157" s="8"/>
      <c r="AG11157" s="7"/>
    </row>
    <row r="11158" spans="11:33" ht="14.5" x14ac:dyDescent="0.35">
      <c r="K11158" s="4"/>
      <c r="AC11158" s="7"/>
      <c r="AD11158" s="7"/>
      <c r="AE11158" s="7"/>
      <c r="AF11158" s="8"/>
      <c r="AG11158" s="7"/>
    </row>
    <row r="11159" spans="11:33" ht="14.5" x14ac:dyDescent="0.35">
      <c r="K11159" s="4"/>
      <c r="AC11159" s="7"/>
      <c r="AD11159" s="7"/>
      <c r="AE11159" s="7"/>
      <c r="AF11159" s="8"/>
      <c r="AG11159" s="7"/>
    </row>
    <row r="11160" spans="11:33" ht="14.5" x14ac:dyDescent="0.35">
      <c r="K11160" s="4"/>
      <c r="AC11160" s="7"/>
      <c r="AD11160" s="7"/>
      <c r="AE11160" s="7"/>
      <c r="AF11160" s="8"/>
      <c r="AG11160" s="7"/>
    </row>
    <row r="11161" spans="11:33" ht="14.5" x14ac:dyDescent="0.35">
      <c r="K11161" s="4"/>
      <c r="AC11161" s="7"/>
      <c r="AD11161" s="7"/>
      <c r="AE11161" s="7"/>
      <c r="AF11161" s="8"/>
      <c r="AG11161" s="7"/>
    </row>
    <row r="11162" spans="11:33" ht="14.5" x14ac:dyDescent="0.35">
      <c r="K11162" s="4"/>
      <c r="AC11162" s="7"/>
      <c r="AD11162" s="7"/>
      <c r="AE11162" s="7"/>
      <c r="AF11162" s="8"/>
      <c r="AG11162" s="7"/>
    </row>
    <row r="11163" spans="11:33" ht="14.5" x14ac:dyDescent="0.35">
      <c r="K11163" s="4"/>
      <c r="AC11163" s="7"/>
      <c r="AD11163" s="7"/>
      <c r="AE11163" s="7"/>
      <c r="AF11163" s="8"/>
      <c r="AG11163" s="7"/>
    </row>
    <row r="11164" spans="11:33" ht="14.5" x14ac:dyDescent="0.35">
      <c r="K11164" s="4"/>
      <c r="AC11164" s="7"/>
      <c r="AD11164" s="7"/>
      <c r="AE11164" s="7"/>
      <c r="AF11164" s="8"/>
      <c r="AG11164" s="7"/>
    </row>
    <row r="11165" spans="11:33" ht="14.5" x14ac:dyDescent="0.35">
      <c r="K11165" s="4"/>
      <c r="AC11165" s="7"/>
      <c r="AD11165" s="7"/>
      <c r="AE11165" s="7"/>
      <c r="AF11165" s="8"/>
      <c r="AG11165" s="7"/>
    </row>
    <row r="11166" spans="11:33" ht="14.5" x14ac:dyDescent="0.35">
      <c r="K11166" s="4"/>
      <c r="AC11166" s="7"/>
      <c r="AD11166" s="7"/>
      <c r="AE11166" s="7"/>
      <c r="AF11166" s="8"/>
      <c r="AG11166" s="7"/>
    </row>
    <row r="11167" spans="11:33" ht="14.5" x14ac:dyDescent="0.35">
      <c r="K11167" s="4"/>
      <c r="AC11167" s="7"/>
      <c r="AD11167" s="7"/>
      <c r="AE11167" s="7"/>
      <c r="AF11167" s="8"/>
      <c r="AG11167" s="7"/>
    </row>
    <row r="11168" spans="11:33" ht="14.5" x14ac:dyDescent="0.35">
      <c r="K11168" s="4"/>
      <c r="AC11168" s="7"/>
      <c r="AD11168" s="7"/>
      <c r="AE11168" s="7"/>
      <c r="AF11168" s="8"/>
      <c r="AG11168" s="7"/>
    </row>
    <row r="11169" spans="11:33" ht="14.5" x14ac:dyDescent="0.35">
      <c r="K11169" s="4"/>
      <c r="AC11169" s="7"/>
      <c r="AD11169" s="7"/>
      <c r="AE11169" s="7"/>
      <c r="AF11169" s="8"/>
      <c r="AG11169" s="7"/>
    </row>
    <row r="11170" spans="11:33" ht="14.5" x14ac:dyDescent="0.35">
      <c r="K11170" s="4"/>
      <c r="AC11170" s="7"/>
      <c r="AD11170" s="7"/>
      <c r="AE11170" s="7"/>
      <c r="AF11170" s="8"/>
      <c r="AG11170" s="7"/>
    </row>
    <row r="11171" spans="11:33" ht="14.5" x14ac:dyDescent="0.35">
      <c r="K11171" s="4"/>
      <c r="AC11171" s="7"/>
      <c r="AD11171" s="7"/>
      <c r="AE11171" s="7"/>
      <c r="AF11171" s="8"/>
      <c r="AG11171" s="7"/>
    </row>
    <row r="11172" spans="11:33" ht="14.5" x14ac:dyDescent="0.35">
      <c r="K11172" s="4"/>
      <c r="AC11172" s="7"/>
      <c r="AD11172" s="7"/>
      <c r="AE11172" s="7"/>
      <c r="AF11172" s="8"/>
      <c r="AG11172" s="7"/>
    </row>
    <row r="11173" spans="11:33" ht="14.5" x14ac:dyDescent="0.35">
      <c r="K11173" s="4"/>
      <c r="AC11173" s="7"/>
      <c r="AD11173" s="7"/>
      <c r="AE11173" s="7"/>
      <c r="AF11173" s="8"/>
      <c r="AG11173" s="7"/>
    </row>
    <row r="11174" spans="11:33" ht="14.5" x14ac:dyDescent="0.35">
      <c r="K11174" s="4"/>
      <c r="AC11174" s="7"/>
      <c r="AD11174" s="7"/>
      <c r="AE11174" s="7"/>
      <c r="AF11174" s="8"/>
      <c r="AG11174" s="7"/>
    </row>
    <row r="11175" spans="11:33" ht="14.5" x14ac:dyDescent="0.35">
      <c r="K11175" s="4"/>
      <c r="AC11175" s="7"/>
      <c r="AD11175" s="7"/>
      <c r="AE11175" s="7"/>
      <c r="AF11175" s="8"/>
      <c r="AG11175" s="7"/>
    </row>
    <row r="11176" spans="11:33" ht="14.5" x14ac:dyDescent="0.35">
      <c r="K11176" s="4"/>
      <c r="AC11176" s="7"/>
      <c r="AD11176" s="7"/>
      <c r="AE11176" s="7"/>
      <c r="AF11176" s="8"/>
      <c r="AG11176" s="7"/>
    </row>
    <row r="11177" spans="11:33" ht="14.5" x14ac:dyDescent="0.35">
      <c r="K11177" s="4"/>
      <c r="AC11177" s="7"/>
      <c r="AD11177" s="7"/>
      <c r="AE11177" s="7"/>
      <c r="AF11177" s="8"/>
      <c r="AG11177" s="7"/>
    </row>
    <row r="11178" spans="11:33" ht="14.5" x14ac:dyDescent="0.35">
      <c r="K11178" s="4"/>
      <c r="AC11178" s="7"/>
      <c r="AD11178" s="7"/>
      <c r="AE11178" s="7"/>
      <c r="AF11178" s="8"/>
      <c r="AG11178" s="7"/>
    </row>
    <row r="11179" spans="11:33" ht="14.5" x14ac:dyDescent="0.35">
      <c r="K11179" s="4"/>
      <c r="AC11179" s="7"/>
      <c r="AD11179" s="7"/>
      <c r="AE11179" s="7"/>
      <c r="AF11179" s="8"/>
      <c r="AG11179" s="7"/>
    </row>
    <row r="11180" spans="11:33" ht="14.5" x14ac:dyDescent="0.35">
      <c r="K11180" s="4"/>
      <c r="AC11180" s="7"/>
      <c r="AD11180" s="7"/>
      <c r="AE11180" s="7"/>
      <c r="AF11180" s="8"/>
      <c r="AG11180" s="7"/>
    </row>
    <row r="11181" spans="11:33" ht="14.5" x14ac:dyDescent="0.35">
      <c r="K11181" s="4"/>
      <c r="AC11181" s="7"/>
      <c r="AD11181" s="7"/>
      <c r="AE11181" s="7"/>
      <c r="AF11181" s="8"/>
      <c r="AG11181" s="7"/>
    </row>
    <row r="11182" spans="11:33" ht="14.5" x14ac:dyDescent="0.35">
      <c r="K11182" s="4"/>
      <c r="AC11182" s="7"/>
      <c r="AD11182" s="7"/>
      <c r="AE11182" s="7"/>
      <c r="AF11182" s="8"/>
      <c r="AG11182" s="7"/>
    </row>
    <row r="11183" spans="11:33" ht="14.5" x14ac:dyDescent="0.35">
      <c r="K11183" s="4"/>
      <c r="AC11183" s="7"/>
      <c r="AD11183" s="7"/>
      <c r="AE11183" s="7"/>
      <c r="AF11183" s="8"/>
      <c r="AG11183" s="7"/>
    </row>
    <row r="11184" spans="11:33" ht="14.5" x14ac:dyDescent="0.35">
      <c r="K11184" s="4"/>
      <c r="AC11184" s="7"/>
      <c r="AD11184" s="7"/>
      <c r="AE11184" s="7"/>
      <c r="AF11184" s="8"/>
      <c r="AG11184" s="7"/>
    </row>
    <row r="11185" spans="11:33" ht="14.5" x14ac:dyDescent="0.35">
      <c r="K11185" s="4"/>
      <c r="AC11185" s="7"/>
      <c r="AD11185" s="7"/>
      <c r="AE11185" s="7"/>
      <c r="AF11185" s="8"/>
      <c r="AG11185" s="7"/>
    </row>
    <row r="11186" spans="11:33" ht="14.5" x14ac:dyDescent="0.35">
      <c r="K11186" s="4"/>
      <c r="AC11186" s="7"/>
      <c r="AD11186" s="7"/>
      <c r="AE11186" s="7"/>
      <c r="AF11186" s="8"/>
      <c r="AG11186" s="7"/>
    </row>
    <row r="11187" spans="11:33" ht="14.5" x14ac:dyDescent="0.35">
      <c r="K11187" s="4"/>
      <c r="AC11187" s="7"/>
      <c r="AD11187" s="7"/>
      <c r="AE11187" s="7"/>
      <c r="AF11187" s="8"/>
      <c r="AG11187" s="7"/>
    </row>
    <row r="11188" spans="11:33" ht="14.5" x14ac:dyDescent="0.35">
      <c r="K11188" s="4"/>
      <c r="AC11188" s="7"/>
      <c r="AD11188" s="7"/>
      <c r="AE11188" s="7"/>
      <c r="AF11188" s="8"/>
      <c r="AG11188" s="7"/>
    </row>
    <row r="11189" spans="11:33" ht="14.5" x14ac:dyDescent="0.35">
      <c r="K11189" s="4"/>
      <c r="AC11189" s="7"/>
      <c r="AD11189" s="7"/>
      <c r="AE11189" s="7"/>
      <c r="AF11189" s="8"/>
      <c r="AG11189" s="7"/>
    </row>
    <row r="11190" spans="11:33" ht="14.5" x14ac:dyDescent="0.35">
      <c r="K11190" s="4"/>
      <c r="AC11190" s="7"/>
      <c r="AD11190" s="7"/>
      <c r="AE11190" s="7"/>
      <c r="AF11190" s="8"/>
      <c r="AG11190" s="7"/>
    </row>
    <row r="11191" spans="11:33" ht="14.5" x14ac:dyDescent="0.35">
      <c r="K11191" s="4"/>
      <c r="AC11191" s="7"/>
      <c r="AD11191" s="7"/>
      <c r="AE11191" s="7"/>
      <c r="AF11191" s="8"/>
      <c r="AG11191" s="7"/>
    </row>
    <row r="11192" spans="11:33" ht="14.5" x14ac:dyDescent="0.35">
      <c r="K11192" s="4"/>
      <c r="AC11192" s="7"/>
      <c r="AD11192" s="7"/>
      <c r="AE11192" s="7"/>
      <c r="AF11192" s="8"/>
      <c r="AG11192" s="7"/>
    </row>
    <row r="11193" spans="11:33" ht="14.5" x14ac:dyDescent="0.35">
      <c r="K11193" s="4"/>
      <c r="AC11193" s="7"/>
      <c r="AD11193" s="7"/>
      <c r="AE11193" s="7"/>
      <c r="AF11193" s="8"/>
      <c r="AG11193" s="7"/>
    </row>
    <row r="11194" spans="11:33" ht="14.5" x14ac:dyDescent="0.35">
      <c r="K11194" s="4"/>
      <c r="AC11194" s="7"/>
      <c r="AD11194" s="7"/>
      <c r="AE11194" s="7"/>
      <c r="AF11194" s="8"/>
      <c r="AG11194" s="7"/>
    </row>
    <row r="11195" spans="11:33" ht="14.5" x14ac:dyDescent="0.35">
      <c r="K11195" s="4"/>
      <c r="AC11195" s="7"/>
      <c r="AD11195" s="7"/>
      <c r="AE11195" s="7"/>
      <c r="AF11195" s="8"/>
      <c r="AG11195" s="7"/>
    </row>
    <row r="11196" spans="11:33" ht="14.5" x14ac:dyDescent="0.35">
      <c r="K11196" s="4"/>
      <c r="AC11196" s="7"/>
      <c r="AD11196" s="7"/>
      <c r="AE11196" s="7"/>
      <c r="AF11196" s="8"/>
      <c r="AG11196" s="7"/>
    </row>
    <row r="11197" spans="11:33" ht="14.5" x14ac:dyDescent="0.35">
      <c r="K11197" s="4"/>
      <c r="AC11197" s="7"/>
      <c r="AD11197" s="7"/>
      <c r="AE11197" s="7"/>
      <c r="AF11197" s="8"/>
      <c r="AG11197" s="7"/>
    </row>
    <row r="11198" spans="11:33" ht="14.5" x14ac:dyDescent="0.35">
      <c r="K11198" s="4"/>
      <c r="AC11198" s="7"/>
      <c r="AD11198" s="7"/>
      <c r="AE11198" s="7"/>
      <c r="AF11198" s="8"/>
      <c r="AG11198" s="7"/>
    </row>
    <row r="11199" spans="11:33" ht="14.5" x14ac:dyDescent="0.35">
      <c r="K11199" s="4"/>
      <c r="AC11199" s="7"/>
      <c r="AD11199" s="7"/>
      <c r="AE11199" s="7"/>
      <c r="AF11199" s="8"/>
      <c r="AG11199" s="7"/>
    </row>
    <row r="11200" spans="11:33" ht="14.5" x14ac:dyDescent="0.35">
      <c r="K11200" s="4"/>
      <c r="AC11200" s="7"/>
      <c r="AD11200" s="7"/>
      <c r="AE11200" s="7"/>
      <c r="AF11200" s="8"/>
      <c r="AG11200" s="7"/>
    </row>
    <row r="11201" spans="11:33" ht="14.5" x14ac:dyDescent="0.35">
      <c r="K11201" s="4"/>
      <c r="AC11201" s="7"/>
      <c r="AD11201" s="7"/>
      <c r="AE11201" s="7"/>
      <c r="AF11201" s="8"/>
      <c r="AG11201" s="7"/>
    </row>
    <row r="11202" spans="11:33" ht="14.5" x14ac:dyDescent="0.35">
      <c r="K11202" s="4"/>
      <c r="AC11202" s="7"/>
      <c r="AD11202" s="7"/>
      <c r="AE11202" s="7"/>
      <c r="AF11202" s="8"/>
      <c r="AG11202" s="7"/>
    </row>
    <row r="11203" spans="11:33" ht="14.5" x14ac:dyDescent="0.35">
      <c r="K11203" s="4"/>
      <c r="AC11203" s="7"/>
      <c r="AD11203" s="7"/>
      <c r="AE11203" s="7"/>
      <c r="AF11203" s="8"/>
      <c r="AG11203" s="7"/>
    </row>
    <row r="11204" spans="11:33" ht="14.5" x14ac:dyDescent="0.35">
      <c r="K11204" s="4"/>
      <c r="AC11204" s="7"/>
      <c r="AD11204" s="7"/>
      <c r="AE11204" s="7"/>
      <c r="AF11204" s="8"/>
      <c r="AG11204" s="7"/>
    </row>
    <row r="11205" spans="11:33" ht="14.5" x14ac:dyDescent="0.35">
      <c r="K11205" s="4"/>
      <c r="AC11205" s="7"/>
      <c r="AD11205" s="7"/>
      <c r="AE11205" s="7"/>
      <c r="AF11205" s="8"/>
      <c r="AG11205" s="7"/>
    </row>
    <row r="11206" spans="11:33" ht="14.5" x14ac:dyDescent="0.35">
      <c r="K11206" s="4"/>
      <c r="AC11206" s="7"/>
      <c r="AD11206" s="7"/>
      <c r="AE11206" s="7"/>
      <c r="AF11206" s="8"/>
      <c r="AG11206" s="7"/>
    </row>
    <row r="11207" spans="11:33" ht="14.5" x14ac:dyDescent="0.35">
      <c r="K11207" s="4"/>
      <c r="AC11207" s="7"/>
      <c r="AD11207" s="7"/>
      <c r="AE11207" s="7"/>
      <c r="AF11207" s="8"/>
      <c r="AG11207" s="7"/>
    </row>
    <row r="11208" spans="11:33" ht="14.5" x14ac:dyDescent="0.35">
      <c r="K11208" s="4"/>
      <c r="AC11208" s="7"/>
      <c r="AD11208" s="7"/>
      <c r="AE11208" s="7"/>
      <c r="AF11208" s="8"/>
      <c r="AG11208" s="7"/>
    </row>
    <row r="11209" spans="11:33" ht="14.5" x14ac:dyDescent="0.35">
      <c r="K11209" s="4"/>
      <c r="AC11209" s="7"/>
      <c r="AD11209" s="7"/>
      <c r="AE11209" s="7"/>
      <c r="AF11209" s="8"/>
      <c r="AG11209" s="7"/>
    </row>
    <row r="11210" spans="11:33" ht="14.5" x14ac:dyDescent="0.35">
      <c r="K11210" s="4"/>
      <c r="AC11210" s="7"/>
      <c r="AD11210" s="7"/>
      <c r="AE11210" s="7"/>
      <c r="AF11210" s="8"/>
      <c r="AG11210" s="7"/>
    </row>
    <row r="11211" spans="11:33" ht="14.5" x14ac:dyDescent="0.35">
      <c r="K11211" s="4"/>
      <c r="AC11211" s="7"/>
      <c r="AD11211" s="7"/>
      <c r="AE11211" s="7"/>
      <c r="AF11211" s="8"/>
      <c r="AG11211" s="7"/>
    </row>
    <row r="11212" spans="11:33" ht="14.5" x14ac:dyDescent="0.35">
      <c r="K11212" s="4"/>
      <c r="AC11212" s="7"/>
      <c r="AD11212" s="7"/>
      <c r="AE11212" s="7"/>
      <c r="AF11212" s="8"/>
      <c r="AG11212" s="7"/>
    </row>
    <row r="11213" spans="11:33" ht="14.5" x14ac:dyDescent="0.35">
      <c r="K11213" s="4"/>
      <c r="AC11213" s="7"/>
      <c r="AD11213" s="7"/>
      <c r="AE11213" s="7"/>
      <c r="AF11213" s="8"/>
      <c r="AG11213" s="7"/>
    </row>
    <row r="11214" spans="11:33" ht="14.5" x14ac:dyDescent="0.35">
      <c r="K11214" s="4"/>
      <c r="AC11214" s="7"/>
      <c r="AD11214" s="7"/>
      <c r="AE11214" s="7"/>
      <c r="AF11214" s="8"/>
      <c r="AG11214" s="7"/>
    </row>
    <row r="11215" spans="11:33" ht="14.5" x14ac:dyDescent="0.35">
      <c r="K11215" s="4"/>
      <c r="AC11215" s="7"/>
      <c r="AD11215" s="7"/>
      <c r="AE11215" s="7"/>
      <c r="AF11215" s="8"/>
      <c r="AG11215" s="7"/>
    </row>
    <row r="11216" spans="11:33" ht="14.5" x14ac:dyDescent="0.35">
      <c r="K11216" s="4"/>
      <c r="AC11216" s="7"/>
      <c r="AD11216" s="7"/>
      <c r="AE11216" s="7"/>
      <c r="AF11216" s="8"/>
      <c r="AG11216" s="7"/>
    </row>
    <row r="11217" spans="11:33" ht="14.5" x14ac:dyDescent="0.35">
      <c r="K11217" s="4"/>
      <c r="AC11217" s="7"/>
      <c r="AD11217" s="7"/>
      <c r="AE11217" s="7"/>
      <c r="AF11217" s="8"/>
      <c r="AG11217" s="7"/>
    </row>
    <row r="11218" spans="11:33" ht="14.5" x14ac:dyDescent="0.35">
      <c r="K11218" s="4"/>
      <c r="AC11218" s="7"/>
      <c r="AD11218" s="7"/>
      <c r="AE11218" s="7"/>
      <c r="AF11218" s="8"/>
      <c r="AG11218" s="7"/>
    </row>
    <row r="11219" spans="11:33" ht="14.5" x14ac:dyDescent="0.35">
      <c r="K11219" s="4"/>
      <c r="AC11219" s="7"/>
      <c r="AD11219" s="7"/>
      <c r="AE11219" s="7"/>
      <c r="AF11219" s="8"/>
      <c r="AG11219" s="7"/>
    </row>
    <row r="11220" spans="11:33" ht="14.5" x14ac:dyDescent="0.35">
      <c r="K11220" s="4"/>
      <c r="AC11220" s="7"/>
      <c r="AD11220" s="7"/>
      <c r="AE11220" s="7"/>
      <c r="AF11220" s="8"/>
      <c r="AG11220" s="7"/>
    </row>
    <row r="11221" spans="11:33" ht="14.5" x14ac:dyDescent="0.35">
      <c r="K11221" s="4"/>
      <c r="AC11221" s="7"/>
      <c r="AD11221" s="7"/>
      <c r="AE11221" s="7"/>
      <c r="AF11221" s="8"/>
      <c r="AG11221" s="7"/>
    </row>
    <row r="11222" spans="11:33" ht="14.5" x14ac:dyDescent="0.35">
      <c r="K11222" s="4"/>
      <c r="AC11222" s="7"/>
      <c r="AD11222" s="7"/>
      <c r="AE11222" s="7"/>
      <c r="AF11222" s="8"/>
      <c r="AG11222" s="7"/>
    </row>
    <row r="11223" spans="11:33" ht="14.5" x14ac:dyDescent="0.35">
      <c r="K11223" s="4"/>
      <c r="AC11223" s="7"/>
      <c r="AD11223" s="7"/>
      <c r="AE11223" s="7"/>
      <c r="AF11223" s="8"/>
      <c r="AG11223" s="7"/>
    </row>
    <row r="11224" spans="11:33" ht="14.5" x14ac:dyDescent="0.35">
      <c r="K11224" s="4"/>
      <c r="AC11224" s="7"/>
      <c r="AD11224" s="7"/>
      <c r="AE11224" s="7"/>
      <c r="AF11224" s="8"/>
      <c r="AG11224" s="7"/>
    </row>
    <row r="11225" spans="11:33" ht="14.5" x14ac:dyDescent="0.35">
      <c r="K11225" s="4"/>
      <c r="AC11225" s="7"/>
      <c r="AD11225" s="7"/>
      <c r="AE11225" s="7"/>
      <c r="AF11225" s="8"/>
      <c r="AG11225" s="7"/>
    </row>
    <row r="11226" spans="11:33" ht="14.5" x14ac:dyDescent="0.35">
      <c r="K11226" s="4"/>
      <c r="AC11226" s="7"/>
      <c r="AD11226" s="7"/>
      <c r="AE11226" s="7"/>
      <c r="AF11226" s="8"/>
      <c r="AG11226" s="7"/>
    </row>
    <row r="11227" spans="11:33" ht="14.5" x14ac:dyDescent="0.35">
      <c r="K11227" s="4"/>
      <c r="AC11227" s="7"/>
      <c r="AD11227" s="7"/>
      <c r="AE11227" s="7"/>
      <c r="AF11227" s="8"/>
      <c r="AG11227" s="7"/>
    </row>
    <row r="11228" spans="11:33" ht="14.5" x14ac:dyDescent="0.35">
      <c r="K11228" s="4"/>
      <c r="AC11228" s="7"/>
      <c r="AD11228" s="7"/>
      <c r="AE11228" s="7"/>
      <c r="AF11228" s="8"/>
      <c r="AG11228" s="7"/>
    </row>
    <row r="11229" spans="11:33" ht="14.5" x14ac:dyDescent="0.35">
      <c r="K11229" s="4"/>
      <c r="AC11229" s="7"/>
      <c r="AD11229" s="7"/>
      <c r="AE11229" s="7"/>
      <c r="AF11229" s="8"/>
      <c r="AG11229" s="7"/>
    </row>
    <row r="11230" spans="11:33" ht="14.5" x14ac:dyDescent="0.35">
      <c r="K11230" s="4"/>
      <c r="AC11230" s="7"/>
      <c r="AD11230" s="7"/>
      <c r="AE11230" s="7"/>
      <c r="AF11230" s="8"/>
      <c r="AG11230" s="7"/>
    </row>
    <row r="11231" spans="11:33" ht="14.5" x14ac:dyDescent="0.35">
      <c r="K11231" s="4"/>
      <c r="AC11231" s="7"/>
      <c r="AD11231" s="7"/>
      <c r="AE11231" s="7"/>
      <c r="AF11231" s="8"/>
      <c r="AG11231" s="7"/>
    </row>
    <row r="11232" spans="11:33" ht="14.5" x14ac:dyDescent="0.35">
      <c r="K11232" s="4"/>
      <c r="AC11232" s="7"/>
      <c r="AD11232" s="7"/>
      <c r="AE11232" s="7"/>
      <c r="AF11232" s="8"/>
      <c r="AG11232" s="7"/>
    </row>
    <row r="11233" spans="11:33" ht="14.5" x14ac:dyDescent="0.35">
      <c r="K11233" s="4"/>
      <c r="AC11233" s="7"/>
      <c r="AD11233" s="7"/>
      <c r="AE11233" s="7"/>
      <c r="AF11233" s="8"/>
      <c r="AG11233" s="7"/>
    </row>
    <row r="11234" spans="11:33" ht="14.5" x14ac:dyDescent="0.35">
      <c r="K11234" s="4"/>
      <c r="AC11234" s="7"/>
      <c r="AD11234" s="7"/>
      <c r="AE11234" s="7"/>
      <c r="AF11234" s="8"/>
      <c r="AG11234" s="7"/>
    </row>
    <row r="11235" spans="11:33" ht="14.5" x14ac:dyDescent="0.35">
      <c r="K11235" s="4"/>
      <c r="AC11235" s="7"/>
      <c r="AD11235" s="7"/>
      <c r="AE11235" s="7"/>
      <c r="AF11235" s="8"/>
      <c r="AG11235" s="7"/>
    </row>
    <row r="11236" spans="11:33" ht="14.5" x14ac:dyDescent="0.35">
      <c r="K11236" s="4"/>
      <c r="AC11236" s="7"/>
      <c r="AD11236" s="7"/>
      <c r="AE11236" s="7"/>
      <c r="AF11236" s="8"/>
      <c r="AG11236" s="7"/>
    </row>
    <row r="11237" spans="11:33" ht="14.5" x14ac:dyDescent="0.35">
      <c r="K11237" s="4"/>
      <c r="AC11237" s="7"/>
      <c r="AD11237" s="7"/>
      <c r="AE11237" s="7"/>
      <c r="AF11237" s="8"/>
      <c r="AG11237" s="7"/>
    </row>
    <row r="11238" spans="11:33" ht="14.5" x14ac:dyDescent="0.35">
      <c r="K11238" s="4"/>
      <c r="AC11238" s="7"/>
      <c r="AD11238" s="7"/>
      <c r="AE11238" s="7"/>
      <c r="AF11238" s="8"/>
      <c r="AG11238" s="7"/>
    </row>
    <row r="11239" spans="11:33" ht="14.5" x14ac:dyDescent="0.35">
      <c r="K11239" s="4"/>
      <c r="AC11239" s="7"/>
      <c r="AD11239" s="7"/>
      <c r="AE11239" s="7"/>
      <c r="AF11239" s="8"/>
      <c r="AG11239" s="7"/>
    </row>
    <row r="11240" spans="11:33" ht="14.5" x14ac:dyDescent="0.35">
      <c r="K11240" s="4"/>
      <c r="AC11240" s="7"/>
      <c r="AD11240" s="7"/>
      <c r="AE11240" s="7"/>
      <c r="AF11240" s="8"/>
      <c r="AG11240" s="7"/>
    </row>
    <row r="11241" spans="11:33" ht="14.5" x14ac:dyDescent="0.35">
      <c r="K11241" s="4"/>
      <c r="AC11241" s="7"/>
      <c r="AD11241" s="7"/>
      <c r="AE11241" s="7"/>
      <c r="AF11241" s="8"/>
      <c r="AG11241" s="7"/>
    </row>
    <row r="11242" spans="11:33" ht="14.5" x14ac:dyDescent="0.35">
      <c r="K11242" s="4"/>
      <c r="AC11242" s="7"/>
      <c r="AD11242" s="7"/>
      <c r="AE11242" s="7"/>
      <c r="AF11242" s="8"/>
      <c r="AG11242" s="7"/>
    </row>
    <row r="11243" spans="11:33" ht="14.5" x14ac:dyDescent="0.35">
      <c r="K11243" s="4"/>
      <c r="AC11243" s="7"/>
      <c r="AD11243" s="7"/>
      <c r="AE11243" s="7"/>
      <c r="AF11243" s="8"/>
      <c r="AG11243" s="7"/>
    </row>
    <row r="11244" spans="11:33" ht="14.5" x14ac:dyDescent="0.35">
      <c r="K11244" s="4"/>
      <c r="AC11244" s="7"/>
      <c r="AD11244" s="7"/>
      <c r="AE11244" s="7"/>
      <c r="AF11244" s="8"/>
      <c r="AG11244" s="7"/>
    </row>
    <row r="11245" spans="11:33" ht="14.5" x14ac:dyDescent="0.35">
      <c r="K11245" s="4"/>
      <c r="AC11245" s="7"/>
      <c r="AD11245" s="7"/>
      <c r="AE11245" s="7"/>
      <c r="AF11245" s="8"/>
      <c r="AG11245" s="7"/>
    </row>
    <row r="11246" spans="11:33" ht="14.5" x14ac:dyDescent="0.35">
      <c r="K11246" s="4"/>
      <c r="AC11246" s="7"/>
      <c r="AD11246" s="7"/>
      <c r="AE11246" s="7"/>
      <c r="AF11246" s="8"/>
      <c r="AG11246" s="7"/>
    </row>
    <row r="11247" spans="11:33" ht="14.5" x14ac:dyDescent="0.35">
      <c r="K11247" s="4"/>
      <c r="AC11247" s="7"/>
      <c r="AD11247" s="7"/>
      <c r="AE11247" s="7"/>
      <c r="AF11247" s="8"/>
      <c r="AG11247" s="7"/>
    </row>
    <row r="11248" spans="11:33" ht="14.5" x14ac:dyDescent="0.35">
      <c r="K11248" s="4"/>
      <c r="AC11248" s="7"/>
      <c r="AD11248" s="7"/>
      <c r="AE11248" s="7"/>
      <c r="AF11248" s="8"/>
      <c r="AG11248" s="7"/>
    </row>
    <row r="11249" spans="11:33" ht="14.5" x14ac:dyDescent="0.35">
      <c r="K11249" s="4"/>
      <c r="AC11249" s="7"/>
      <c r="AD11249" s="7"/>
      <c r="AE11249" s="7"/>
      <c r="AF11249" s="8"/>
      <c r="AG11249" s="7"/>
    </row>
    <row r="11250" spans="11:33" ht="14.5" x14ac:dyDescent="0.35">
      <c r="K11250" s="4"/>
      <c r="AC11250" s="7"/>
      <c r="AD11250" s="7"/>
      <c r="AE11250" s="7"/>
      <c r="AF11250" s="8"/>
      <c r="AG11250" s="7"/>
    </row>
    <row r="11251" spans="11:33" ht="14.5" x14ac:dyDescent="0.35">
      <c r="K11251" s="4"/>
      <c r="AC11251" s="7"/>
      <c r="AD11251" s="7"/>
      <c r="AE11251" s="7"/>
      <c r="AF11251" s="8"/>
      <c r="AG11251" s="7"/>
    </row>
    <row r="11252" spans="11:33" ht="14.5" x14ac:dyDescent="0.35">
      <c r="K11252" s="4"/>
      <c r="AC11252" s="7"/>
      <c r="AD11252" s="7"/>
      <c r="AE11252" s="7"/>
      <c r="AF11252" s="8"/>
      <c r="AG11252" s="7"/>
    </row>
    <row r="11253" spans="11:33" ht="14.5" x14ac:dyDescent="0.35">
      <c r="K11253" s="4"/>
      <c r="AC11253" s="7"/>
      <c r="AD11253" s="7"/>
      <c r="AE11253" s="7"/>
      <c r="AF11253" s="8"/>
      <c r="AG11253" s="7"/>
    </row>
    <row r="11254" spans="11:33" ht="14.5" x14ac:dyDescent="0.35">
      <c r="K11254" s="4"/>
      <c r="AC11254" s="7"/>
      <c r="AD11254" s="7"/>
      <c r="AE11254" s="7"/>
      <c r="AF11254" s="8"/>
      <c r="AG11254" s="7"/>
    </row>
    <row r="11255" spans="11:33" ht="14.5" x14ac:dyDescent="0.35">
      <c r="K11255" s="4"/>
      <c r="AC11255" s="7"/>
      <c r="AD11255" s="7"/>
      <c r="AE11255" s="7"/>
      <c r="AF11255" s="8"/>
      <c r="AG11255" s="7"/>
    </row>
    <row r="11256" spans="11:33" ht="14.5" x14ac:dyDescent="0.35">
      <c r="K11256" s="4"/>
      <c r="AC11256" s="7"/>
      <c r="AD11256" s="7"/>
      <c r="AE11256" s="7"/>
      <c r="AF11256" s="8"/>
      <c r="AG11256" s="7"/>
    </row>
    <row r="11257" spans="11:33" ht="14.5" x14ac:dyDescent="0.35">
      <c r="K11257" s="4"/>
      <c r="AC11257" s="7"/>
      <c r="AD11257" s="7"/>
      <c r="AE11257" s="7"/>
      <c r="AF11257" s="8"/>
      <c r="AG11257" s="7"/>
    </row>
    <row r="11258" spans="11:33" ht="14.5" x14ac:dyDescent="0.35">
      <c r="K11258" s="4"/>
      <c r="AC11258" s="7"/>
      <c r="AD11258" s="7"/>
      <c r="AE11258" s="7"/>
      <c r="AF11258" s="8"/>
      <c r="AG11258" s="7"/>
    </row>
    <row r="11259" spans="11:33" ht="14.5" x14ac:dyDescent="0.35">
      <c r="K11259" s="4"/>
      <c r="AC11259" s="7"/>
      <c r="AD11259" s="7"/>
      <c r="AE11259" s="7"/>
      <c r="AF11259" s="8"/>
      <c r="AG11259" s="7"/>
    </row>
    <row r="11260" spans="11:33" ht="14.5" x14ac:dyDescent="0.35">
      <c r="K11260" s="4"/>
      <c r="AC11260" s="7"/>
      <c r="AD11260" s="7"/>
      <c r="AE11260" s="7"/>
      <c r="AF11260" s="8"/>
      <c r="AG11260" s="7"/>
    </row>
    <row r="11261" spans="11:33" ht="14.5" x14ac:dyDescent="0.35">
      <c r="K11261" s="4"/>
      <c r="AC11261" s="7"/>
      <c r="AD11261" s="7"/>
      <c r="AE11261" s="7"/>
      <c r="AF11261" s="8"/>
      <c r="AG11261" s="7"/>
    </row>
    <row r="11262" spans="11:33" ht="14.5" x14ac:dyDescent="0.35">
      <c r="K11262" s="4"/>
      <c r="AC11262" s="7"/>
      <c r="AD11262" s="7"/>
      <c r="AE11262" s="7"/>
      <c r="AF11262" s="8"/>
      <c r="AG11262" s="7"/>
    </row>
    <row r="11263" spans="11:33" ht="14.5" x14ac:dyDescent="0.35">
      <c r="K11263" s="4"/>
      <c r="AC11263" s="7"/>
      <c r="AD11263" s="7"/>
      <c r="AE11263" s="7"/>
      <c r="AF11263" s="8"/>
      <c r="AG11263" s="7"/>
    </row>
    <row r="11264" spans="11:33" ht="14.5" x14ac:dyDescent="0.35">
      <c r="K11264" s="4"/>
      <c r="AC11264" s="7"/>
      <c r="AD11264" s="7"/>
      <c r="AE11264" s="7"/>
      <c r="AF11264" s="8"/>
      <c r="AG11264" s="7"/>
    </row>
    <row r="11265" spans="11:33" ht="14.5" x14ac:dyDescent="0.35">
      <c r="K11265" s="4"/>
      <c r="AC11265" s="7"/>
      <c r="AD11265" s="7"/>
      <c r="AE11265" s="7"/>
      <c r="AF11265" s="8"/>
      <c r="AG11265" s="7"/>
    </row>
    <row r="11266" spans="11:33" ht="14.5" x14ac:dyDescent="0.35">
      <c r="K11266" s="4"/>
      <c r="AC11266" s="7"/>
      <c r="AD11266" s="7"/>
      <c r="AE11266" s="7"/>
      <c r="AF11266" s="8"/>
      <c r="AG11266" s="7"/>
    </row>
    <row r="11267" spans="11:33" ht="14.5" x14ac:dyDescent="0.35">
      <c r="K11267" s="4"/>
      <c r="AC11267" s="7"/>
      <c r="AD11267" s="7"/>
      <c r="AE11267" s="7"/>
      <c r="AF11267" s="8"/>
      <c r="AG11267" s="7"/>
    </row>
    <row r="11268" spans="11:33" ht="14.5" x14ac:dyDescent="0.35">
      <c r="K11268" s="4"/>
      <c r="AC11268" s="7"/>
      <c r="AD11268" s="7"/>
      <c r="AE11268" s="7"/>
      <c r="AF11268" s="8"/>
      <c r="AG11268" s="7"/>
    </row>
    <row r="11269" spans="11:33" ht="14.5" x14ac:dyDescent="0.35">
      <c r="K11269" s="4"/>
      <c r="AC11269" s="7"/>
      <c r="AD11269" s="7"/>
      <c r="AE11269" s="7"/>
      <c r="AF11269" s="8"/>
      <c r="AG11269" s="7"/>
    </row>
    <row r="11270" spans="11:33" ht="14.5" x14ac:dyDescent="0.35">
      <c r="K11270" s="4"/>
      <c r="AC11270" s="7"/>
      <c r="AD11270" s="7"/>
      <c r="AE11270" s="7"/>
      <c r="AF11270" s="8"/>
      <c r="AG11270" s="7"/>
    </row>
    <row r="11271" spans="11:33" ht="14.5" x14ac:dyDescent="0.35">
      <c r="K11271" s="4"/>
      <c r="AC11271" s="7"/>
      <c r="AD11271" s="7"/>
      <c r="AE11271" s="7"/>
      <c r="AF11271" s="8"/>
      <c r="AG11271" s="7"/>
    </row>
    <row r="11272" spans="11:33" ht="14.5" x14ac:dyDescent="0.35">
      <c r="K11272" s="4"/>
      <c r="AC11272" s="7"/>
      <c r="AD11272" s="7"/>
      <c r="AE11272" s="7"/>
      <c r="AF11272" s="8"/>
      <c r="AG11272" s="7"/>
    </row>
    <row r="11273" spans="11:33" ht="14.5" x14ac:dyDescent="0.35">
      <c r="K11273" s="4"/>
      <c r="AC11273" s="7"/>
      <c r="AD11273" s="7"/>
      <c r="AE11273" s="7"/>
      <c r="AF11273" s="8"/>
      <c r="AG11273" s="7"/>
    </row>
    <row r="11274" spans="11:33" ht="14.5" x14ac:dyDescent="0.35">
      <c r="K11274" s="4"/>
      <c r="AC11274" s="7"/>
      <c r="AD11274" s="7"/>
      <c r="AE11274" s="7"/>
      <c r="AF11274" s="8"/>
      <c r="AG11274" s="7"/>
    </row>
    <row r="11275" spans="11:33" ht="14.5" x14ac:dyDescent="0.35">
      <c r="K11275" s="4"/>
      <c r="AC11275" s="7"/>
      <c r="AD11275" s="7"/>
      <c r="AE11275" s="7"/>
      <c r="AF11275" s="8"/>
      <c r="AG11275" s="7"/>
    </row>
    <row r="11276" spans="11:33" ht="14.5" x14ac:dyDescent="0.35">
      <c r="K11276" s="4"/>
      <c r="AC11276" s="7"/>
      <c r="AD11276" s="7"/>
      <c r="AE11276" s="7"/>
      <c r="AF11276" s="8"/>
      <c r="AG11276" s="7"/>
    </row>
    <row r="11277" spans="11:33" ht="14.5" x14ac:dyDescent="0.35">
      <c r="K11277" s="4"/>
      <c r="AC11277" s="7"/>
      <c r="AD11277" s="7"/>
      <c r="AE11277" s="7"/>
      <c r="AF11277" s="8"/>
      <c r="AG11277" s="7"/>
    </row>
    <row r="11278" spans="11:33" ht="14.5" x14ac:dyDescent="0.35">
      <c r="K11278" s="4"/>
      <c r="AC11278" s="7"/>
      <c r="AD11278" s="7"/>
      <c r="AE11278" s="7"/>
      <c r="AF11278" s="8"/>
      <c r="AG11278" s="7"/>
    </row>
    <row r="11279" spans="11:33" ht="14.5" x14ac:dyDescent="0.35">
      <c r="K11279" s="4"/>
      <c r="AC11279" s="7"/>
      <c r="AD11279" s="7"/>
      <c r="AE11279" s="7"/>
      <c r="AF11279" s="8"/>
      <c r="AG11279" s="7"/>
    </row>
    <row r="11280" spans="11:33" ht="14.5" x14ac:dyDescent="0.35">
      <c r="K11280" s="4"/>
      <c r="AC11280" s="7"/>
      <c r="AD11280" s="7"/>
      <c r="AE11280" s="7"/>
      <c r="AF11280" s="8"/>
      <c r="AG11280" s="7"/>
    </row>
    <row r="11281" spans="11:33" ht="14.5" x14ac:dyDescent="0.35">
      <c r="K11281" s="4"/>
      <c r="AC11281" s="7"/>
      <c r="AD11281" s="7"/>
      <c r="AE11281" s="7"/>
      <c r="AF11281" s="8"/>
      <c r="AG11281" s="7"/>
    </row>
    <row r="11282" spans="11:33" ht="14.5" x14ac:dyDescent="0.35">
      <c r="K11282" s="4"/>
      <c r="AC11282" s="7"/>
      <c r="AD11282" s="7"/>
      <c r="AE11282" s="7"/>
      <c r="AF11282" s="8"/>
      <c r="AG11282" s="7"/>
    </row>
    <row r="11283" spans="11:33" ht="14.5" x14ac:dyDescent="0.35">
      <c r="K11283" s="4"/>
      <c r="AC11283" s="7"/>
      <c r="AD11283" s="7"/>
      <c r="AE11283" s="7"/>
      <c r="AF11283" s="8"/>
      <c r="AG11283" s="7"/>
    </row>
    <row r="11284" spans="11:33" ht="14.5" x14ac:dyDescent="0.35">
      <c r="K11284" s="4"/>
      <c r="AC11284" s="7"/>
      <c r="AD11284" s="7"/>
      <c r="AE11284" s="7"/>
      <c r="AF11284" s="8"/>
      <c r="AG11284" s="7"/>
    </row>
    <row r="11285" spans="11:33" ht="14.5" x14ac:dyDescent="0.35">
      <c r="K11285" s="4"/>
      <c r="AC11285" s="7"/>
      <c r="AD11285" s="7"/>
      <c r="AE11285" s="7"/>
      <c r="AF11285" s="8"/>
      <c r="AG11285" s="7"/>
    </row>
    <row r="11286" spans="11:33" ht="14.5" x14ac:dyDescent="0.35">
      <c r="K11286" s="4"/>
      <c r="AC11286" s="7"/>
      <c r="AD11286" s="7"/>
      <c r="AE11286" s="7"/>
      <c r="AF11286" s="8"/>
      <c r="AG11286" s="7"/>
    </row>
    <row r="11287" spans="11:33" ht="14.5" x14ac:dyDescent="0.35">
      <c r="K11287" s="4"/>
      <c r="AC11287" s="7"/>
      <c r="AD11287" s="7"/>
      <c r="AE11287" s="7"/>
      <c r="AF11287" s="8"/>
      <c r="AG11287" s="7"/>
    </row>
    <row r="11288" spans="11:33" ht="14.5" x14ac:dyDescent="0.35">
      <c r="K11288" s="4"/>
      <c r="AC11288" s="7"/>
      <c r="AD11288" s="7"/>
      <c r="AE11288" s="7"/>
      <c r="AF11288" s="8"/>
      <c r="AG11288" s="7"/>
    </row>
    <row r="11289" spans="11:33" ht="14.5" x14ac:dyDescent="0.35">
      <c r="K11289" s="4"/>
      <c r="AC11289" s="7"/>
      <c r="AD11289" s="7"/>
      <c r="AE11289" s="7"/>
      <c r="AF11289" s="8"/>
      <c r="AG11289" s="7"/>
    </row>
    <row r="11290" spans="11:33" ht="14.5" x14ac:dyDescent="0.35">
      <c r="K11290" s="4"/>
      <c r="AC11290" s="7"/>
      <c r="AD11290" s="7"/>
      <c r="AE11290" s="7"/>
      <c r="AF11290" s="8"/>
      <c r="AG11290" s="7"/>
    </row>
    <row r="11291" spans="11:33" ht="14.5" x14ac:dyDescent="0.35">
      <c r="K11291" s="4"/>
      <c r="AC11291" s="7"/>
      <c r="AD11291" s="7"/>
      <c r="AE11291" s="7"/>
      <c r="AF11291" s="8"/>
      <c r="AG11291" s="7"/>
    </row>
    <row r="11292" spans="11:33" ht="14.5" x14ac:dyDescent="0.35">
      <c r="K11292" s="4"/>
      <c r="AC11292" s="7"/>
      <c r="AD11292" s="7"/>
      <c r="AE11292" s="7"/>
      <c r="AF11292" s="8"/>
      <c r="AG11292" s="7"/>
    </row>
    <row r="11293" spans="11:33" ht="14.5" x14ac:dyDescent="0.35">
      <c r="K11293" s="4"/>
      <c r="AC11293" s="7"/>
      <c r="AD11293" s="7"/>
      <c r="AE11293" s="7"/>
      <c r="AF11293" s="8"/>
      <c r="AG11293" s="7"/>
    </row>
    <row r="11294" spans="11:33" ht="14.5" x14ac:dyDescent="0.35">
      <c r="K11294" s="4"/>
      <c r="AC11294" s="7"/>
      <c r="AD11294" s="7"/>
      <c r="AE11294" s="7"/>
      <c r="AF11294" s="8"/>
      <c r="AG11294" s="7"/>
    </row>
    <row r="11295" spans="11:33" ht="14.5" x14ac:dyDescent="0.35">
      <c r="K11295" s="4"/>
      <c r="AC11295" s="7"/>
      <c r="AD11295" s="7"/>
      <c r="AE11295" s="7"/>
      <c r="AF11295" s="8"/>
      <c r="AG11295" s="7"/>
    </row>
    <row r="11296" spans="11:33" ht="14.5" x14ac:dyDescent="0.35">
      <c r="K11296" s="4"/>
      <c r="AC11296" s="7"/>
      <c r="AD11296" s="7"/>
      <c r="AE11296" s="7"/>
      <c r="AF11296" s="8"/>
      <c r="AG11296" s="7"/>
    </row>
    <row r="11297" spans="11:33" ht="14.5" x14ac:dyDescent="0.35">
      <c r="K11297" s="4"/>
      <c r="AC11297" s="7"/>
      <c r="AD11297" s="7"/>
      <c r="AE11297" s="7"/>
      <c r="AF11297" s="8"/>
      <c r="AG11297" s="7"/>
    </row>
    <row r="11298" spans="11:33" ht="14.5" x14ac:dyDescent="0.35">
      <c r="K11298" s="4"/>
      <c r="AC11298" s="7"/>
      <c r="AD11298" s="7"/>
      <c r="AE11298" s="7"/>
      <c r="AF11298" s="8"/>
      <c r="AG11298" s="7"/>
    </row>
    <row r="11299" spans="11:33" ht="14.5" x14ac:dyDescent="0.35">
      <c r="K11299" s="4"/>
      <c r="AC11299" s="7"/>
      <c r="AD11299" s="7"/>
      <c r="AE11299" s="7"/>
      <c r="AF11299" s="8"/>
      <c r="AG11299" s="7"/>
    </row>
    <row r="11300" spans="11:33" ht="14.5" x14ac:dyDescent="0.35">
      <c r="K11300" s="4"/>
      <c r="AC11300" s="7"/>
      <c r="AD11300" s="7"/>
      <c r="AE11300" s="7"/>
      <c r="AF11300" s="8"/>
      <c r="AG11300" s="7"/>
    </row>
    <row r="11301" spans="11:33" ht="14.5" x14ac:dyDescent="0.35">
      <c r="K11301" s="4"/>
      <c r="AC11301" s="7"/>
      <c r="AD11301" s="7"/>
      <c r="AE11301" s="7"/>
      <c r="AF11301" s="8"/>
      <c r="AG11301" s="7"/>
    </row>
    <row r="11302" spans="11:33" ht="14.5" x14ac:dyDescent="0.35">
      <c r="K11302" s="4"/>
      <c r="AC11302" s="7"/>
      <c r="AD11302" s="7"/>
      <c r="AE11302" s="7"/>
      <c r="AF11302" s="8"/>
      <c r="AG11302" s="7"/>
    </row>
    <row r="11303" spans="11:33" ht="14.5" x14ac:dyDescent="0.35">
      <c r="K11303" s="4"/>
      <c r="AC11303" s="7"/>
      <c r="AD11303" s="7"/>
      <c r="AE11303" s="7"/>
      <c r="AF11303" s="8"/>
      <c r="AG11303" s="7"/>
    </row>
    <row r="11304" spans="11:33" ht="14.5" x14ac:dyDescent="0.35">
      <c r="K11304" s="4"/>
      <c r="AC11304" s="7"/>
      <c r="AD11304" s="7"/>
      <c r="AE11304" s="7"/>
      <c r="AF11304" s="8"/>
      <c r="AG11304" s="7"/>
    </row>
    <row r="11305" spans="11:33" ht="14.5" x14ac:dyDescent="0.35">
      <c r="K11305" s="4"/>
      <c r="AC11305" s="7"/>
      <c r="AD11305" s="7"/>
      <c r="AE11305" s="7"/>
      <c r="AF11305" s="8"/>
      <c r="AG11305" s="7"/>
    </row>
    <row r="11306" spans="11:33" ht="14.5" x14ac:dyDescent="0.35">
      <c r="K11306" s="4"/>
      <c r="AC11306" s="7"/>
      <c r="AD11306" s="7"/>
      <c r="AE11306" s="7"/>
      <c r="AF11306" s="8"/>
      <c r="AG11306" s="7"/>
    </row>
    <row r="11307" spans="11:33" ht="14.5" x14ac:dyDescent="0.35">
      <c r="K11307" s="4"/>
      <c r="AC11307" s="7"/>
      <c r="AD11307" s="7"/>
      <c r="AE11307" s="7"/>
      <c r="AF11307" s="8"/>
      <c r="AG11307" s="7"/>
    </row>
    <row r="11308" spans="11:33" ht="14.5" x14ac:dyDescent="0.35">
      <c r="K11308" s="4"/>
      <c r="AC11308" s="7"/>
      <c r="AD11308" s="7"/>
      <c r="AE11308" s="7"/>
      <c r="AF11308" s="8"/>
      <c r="AG11308" s="7"/>
    </row>
    <row r="11309" spans="11:33" ht="14.5" x14ac:dyDescent="0.35">
      <c r="K11309" s="4"/>
      <c r="AC11309" s="7"/>
      <c r="AD11309" s="7"/>
      <c r="AE11309" s="7"/>
      <c r="AF11309" s="8"/>
      <c r="AG11309" s="7"/>
    </row>
    <row r="11310" spans="11:33" ht="14.5" x14ac:dyDescent="0.35">
      <c r="K11310" s="4"/>
      <c r="AC11310" s="7"/>
      <c r="AD11310" s="7"/>
      <c r="AE11310" s="7"/>
      <c r="AF11310" s="8"/>
      <c r="AG11310" s="7"/>
    </row>
    <row r="11311" spans="11:33" ht="14.5" x14ac:dyDescent="0.35">
      <c r="K11311" s="4"/>
      <c r="AC11311" s="7"/>
      <c r="AD11311" s="7"/>
      <c r="AE11311" s="7"/>
      <c r="AF11311" s="8"/>
      <c r="AG11311" s="7"/>
    </row>
    <row r="11312" spans="11:33" ht="14.5" x14ac:dyDescent="0.35">
      <c r="K11312" s="4"/>
      <c r="AC11312" s="7"/>
      <c r="AD11312" s="7"/>
      <c r="AE11312" s="7"/>
      <c r="AF11312" s="8"/>
      <c r="AG11312" s="7"/>
    </row>
    <row r="11313" spans="11:33" ht="14.5" x14ac:dyDescent="0.35">
      <c r="K11313" s="4"/>
      <c r="AC11313" s="7"/>
      <c r="AD11313" s="7"/>
      <c r="AE11313" s="7"/>
      <c r="AF11313" s="8"/>
      <c r="AG11313" s="7"/>
    </row>
    <row r="11314" spans="11:33" ht="14.5" x14ac:dyDescent="0.35">
      <c r="K11314" s="4"/>
      <c r="AC11314" s="7"/>
      <c r="AD11314" s="7"/>
      <c r="AE11314" s="7"/>
      <c r="AF11314" s="8"/>
      <c r="AG11314" s="7"/>
    </row>
    <row r="11315" spans="11:33" ht="14.5" x14ac:dyDescent="0.35">
      <c r="K11315" s="4"/>
      <c r="AC11315" s="7"/>
      <c r="AD11315" s="7"/>
      <c r="AE11315" s="7"/>
      <c r="AF11315" s="8"/>
      <c r="AG11315" s="7"/>
    </row>
    <row r="11316" spans="11:33" ht="14.5" x14ac:dyDescent="0.35">
      <c r="K11316" s="4"/>
      <c r="AC11316" s="7"/>
      <c r="AD11316" s="7"/>
      <c r="AE11316" s="7"/>
      <c r="AF11316" s="8"/>
      <c r="AG11316" s="7"/>
    </row>
    <row r="11317" spans="11:33" ht="14.5" x14ac:dyDescent="0.35">
      <c r="K11317" s="4"/>
      <c r="AC11317" s="7"/>
      <c r="AD11317" s="7"/>
      <c r="AE11317" s="7"/>
      <c r="AF11317" s="8"/>
      <c r="AG11317" s="7"/>
    </row>
    <row r="11318" spans="11:33" ht="14.5" x14ac:dyDescent="0.35">
      <c r="K11318" s="4"/>
      <c r="AC11318" s="7"/>
      <c r="AD11318" s="7"/>
      <c r="AE11318" s="7"/>
      <c r="AF11318" s="8"/>
      <c r="AG11318" s="7"/>
    </row>
    <row r="11319" spans="11:33" ht="14.5" x14ac:dyDescent="0.35">
      <c r="K11319" s="4"/>
      <c r="AC11319" s="7"/>
      <c r="AD11319" s="7"/>
      <c r="AE11319" s="7"/>
      <c r="AF11319" s="8"/>
      <c r="AG11319" s="7"/>
    </row>
    <row r="11320" spans="11:33" ht="14.5" x14ac:dyDescent="0.35">
      <c r="K11320" s="4"/>
      <c r="AC11320" s="7"/>
      <c r="AD11320" s="7"/>
      <c r="AE11320" s="7"/>
      <c r="AF11320" s="8"/>
      <c r="AG11320" s="7"/>
    </row>
    <row r="11321" spans="11:33" ht="14.5" x14ac:dyDescent="0.35">
      <c r="K11321" s="4"/>
      <c r="AC11321" s="7"/>
      <c r="AD11321" s="7"/>
      <c r="AE11321" s="7"/>
      <c r="AF11321" s="8"/>
      <c r="AG11321" s="7"/>
    </row>
    <row r="11322" spans="11:33" ht="14.5" x14ac:dyDescent="0.35">
      <c r="K11322" s="4"/>
      <c r="AC11322" s="7"/>
      <c r="AD11322" s="7"/>
      <c r="AE11322" s="7"/>
      <c r="AF11322" s="8"/>
      <c r="AG11322" s="7"/>
    </row>
    <row r="11323" spans="11:33" ht="14.5" x14ac:dyDescent="0.35">
      <c r="K11323" s="4"/>
      <c r="AC11323" s="7"/>
      <c r="AD11323" s="7"/>
      <c r="AE11323" s="7"/>
      <c r="AF11323" s="8"/>
      <c r="AG11323" s="7"/>
    </row>
    <row r="11324" spans="11:33" ht="14.5" x14ac:dyDescent="0.35">
      <c r="K11324" s="4"/>
      <c r="AC11324" s="7"/>
      <c r="AD11324" s="7"/>
      <c r="AE11324" s="7"/>
      <c r="AF11324" s="8"/>
      <c r="AG11324" s="7"/>
    </row>
    <row r="11325" spans="11:33" ht="14.5" x14ac:dyDescent="0.35">
      <c r="K11325" s="4"/>
      <c r="AC11325" s="7"/>
      <c r="AD11325" s="7"/>
      <c r="AE11325" s="7"/>
      <c r="AF11325" s="8"/>
      <c r="AG11325" s="7"/>
    </row>
    <row r="11326" spans="11:33" ht="14.5" x14ac:dyDescent="0.35">
      <c r="K11326" s="4"/>
      <c r="AC11326" s="7"/>
      <c r="AD11326" s="7"/>
      <c r="AE11326" s="7"/>
      <c r="AF11326" s="8"/>
      <c r="AG11326" s="7"/>
    </row>
    <row r="11327" spans="11:33" ht="14.5" x14ac:dyDescent="0.35">
      <c r="K11327" s="4"/>
      <c r="AC11327" s="7"/>
      <c r="AD11327" s="7"/>
      <c r="AE11327" s="7"/>
      <c r="AF11327" s="8"/>
      <c r="AG11327" s="7"/>
    </row>
    <row r="11328" spans="11:33" ht="14.5" x14ac:dyDescent="0.35">
      <c r="K11328" s="4"/>
      <c r="AC11328" s="7"/>
      <c r="AD11328" s="7"/>
      <c r="AE11328" s="7"/>
      <c r="AF11328" s="8"/>
      <c r="AG11328" s="7"/>
    </row>
    <row r="11329" spans="11:33" ht="14.5" x14ac:dyDescent="0.35">
      <c r="K11329" s="4"/>
      <c r="AC11329" s="7"/>
      <c r="AD11329" s="7"/>
      <c r="AE11329" s="7"/>
      <c r="AF11329" s="8"/>
      <c r="AG11329" s="7"/>
    </row>
    <row r="11330" spans="11:33" ht="14.5" x14ac:dyDescent="0.35">
      <c r="K11330" s="4"/>
      <c r="AC11330" s="7"/>
      <c r="AD11330" s="7"/>
      <c r="AE11330" s="7"/>
      <c r="AF11330" s="8"/>
      <c r="AG11330" s="7"/>
    </row>
    <row r="11331" spans="11:33" ht="14.5" x14ac:dyDescent="0.35">
      <c r="K11331" s="4"/>
      <c r="AC11331" s="7"/>
      <c r="AD11331" s="7"/>
      <c r="AE11331" s="7"/>
      <c r="AF11331" s="8"/>
      <c r="AG11331" s="7"/>
    </row>
    <row r="11332" spans="11:33" ht="14.5" x14ac:dyDescent="0.35">
      <c r="K11332" s="4"/>
      <c r="AC11332" s="7"/>
      <c r="AD11332" s="7"/>
      <c r="AE11332" s="7"/>
      <c r="AF11332" s="8"/>
      <c r="AG11332" s="7"/>
    </row>
    <row r="11333" spans="11:33" ht="14.5" x14ac:dyDescent="0.35">
      <c r="K11333" s="4"/>
      <c r="AC11333" s="7"/>
      <c r="AD11333" s="7"/>
      <c r="AE11333" s="7"/>
      <c r="AF11333" s="8"/>
      <c r="AG11333" s="7"/>
    </row>
    <row r="11334" spans="11:33" ht="14.5" x14ac:dyDescent="0.35">
      <c r="K11334" s="4"/>
      <c r="AC11334" s="7"/>
      <c r="AD11334" s="7"/>
      <c r="AE11334" s="7"/>
      <c r="AF11334" s="8"/>
      <c r="AG11334" s="7"/>
    </row>
    <row r="11335" spans="11:33" ht="14.5" x14ac:dyDescent="0.35">
      <c r="K11335" s="4"/>
      <c r="AC11335" s="7"/>
      <c r="AD11335" s="7"/>
      <c r="AE11335" s="7"/>
      <c r="AF11335" s="8"/>
      <c r="AG11335" s="7"/>
    </row>
    <row r="11336" spans="11:33" ht="14.5" x14ac:dyDescent="0.35">
      <c r="K11336" s="4"/>
      <c r="AC11336" s="7"/>
      <c r="AD11336" s="7"/>
      <c r="AE11336" s="7"/>
      <c r="AF11336" s="8"/>
      <c r="AG11336" s="7"/>
    </row>
    <row r="11337" spans="11:33" ht="14.5" x14ac:dyDescent="0.35">
      <c r="K11337" s="4"/>
      <c r="AC11337" s="7"/>
      <c r="AD11337" s="7"/>
      <c r="AE11337" s="7"/>
      <c r="AF11337" s="8"/>
      <c r="AG11337" s="7"/>
    </row>
    <row r="11338" spans="11:33" ht="14.5" x14ac:dyDescent="0.35">
      <c r="K11338" s="4"/>
      <c r="AC11338" s="7"/>
      <c r="AD11338" s="7"/>
      <c r="AE11338" s="7"/>
      <c r="AF11338" s="8"/>
      <c r="AG11338" s="7"/>
    </row>
    <row r="11339" spans="11:33" ht="14.5" x14ac:dyDescent="0.35">
      <c r="K11339" s="4"/>
      <c r="AC11339" s="7"/>
      <c r="AD11339" s="7"/>
      <c r="AE11339" s="7"/>
      <c r="AF11339" s="8"/>
      <c r="AG11339" s="7"/>
    </row>
    <row r="11340" spans="11:33" ht="14.5" x14ac:dyDescent="0.35">
      <c r="K11340" s="4"/>
      <c r="AC11340" s="7"/>
      <c r="AD11340" s="7"/>
      <c r="AE11340" s="7"/>
      <c r="AF11340" s="8"/>
      <c r="AG11340" s="7"/>
    </row>
    <row r="11341" spans="11:33" ht="14.5" x14ac:dyDescent="0.35">
      <c r="K11341" s="4"/>
      <c r="AC11341" s="7"/>
      <c r="AD11341" s="7"/>
      <c r="AE11341" s="7"/>
      <c r="AF11341" s="8"/>
      <c r="AG11341" s="7"/>
    </row>
    <row r="11342" spans="11:33" ht="14.5" x14ac:dyDescent="0.35">
      <c r="K11342" s="4"/>
      <c r="AC11342" s="7"/>
      <c r="AD11342" s="7"/>
      <c r="AE11342" s="7"/>
      <c r="AF11342" s="8"/>
      <c r="AG11342" s="7"/>
    </row>
    <row r="11343" spans="11:33" ht="14.5" x14ac:dyDescent="0.35">
      <c r="K11343" s="4"/>
      <c r="AC11343" s="7"/>
      <c r="AD11343" s="7"/>
      <c r="AE11343" s="7"/>
      <c r="AF11343" s="8"/>
      <c r="AG11343" s="7"/>
    </row>
    <row r="11344" spans="11:33" ht="14.5" x14ac:dyDescent="0.35">
      <c r="K11344" s="4"/>
      <c r="AC11344" s="7"/>
      <c r="AD11344" s="7"/>
      <c r="AE11344" s="7"/>
      <c r="AF11344" s="8"/>
      <c r="AG11344" s="7"/>
    </row>
    <row r="11345" spans="11:33" ht="14.5" x14ac:dyDescent="0.35">
      <c r="K11345" s="4"/>
      <c r="AC11345" s="7"/>
      <c r="AD11345" s="7"/>
      <c r="AE11345" s="7"/>
      <c r="AF11345" s="8"/>
      <c r="AG11345" s="7"/>
    </row>
    <row r="11346" spans="11:33" ht="14.5" x14ac:dyDescent="0.35">
      <c r="K11346" s="4"/>
      <c r="AC11346" s="7"/>
      <c r="AD11346" s="7"/>
      <c r="AE11346" s="7"/>
      <c r="AF11346" s="8"/>
      <c r="AG11346" s="7"/>
    </row>
    <row r="11347" spans="11:33" ht="14.5" x14ac:dyDescent="0.35">
      <c r="K11347" s="4"/>
      <c r="AC11347" s="7"/>
      <c r="AD11347" s="7"/>
      <c r="AE11347" s="7"/>
      <c r="AF11347" s="8"/>
      <c r="AG11347" s="7"/>
    </row>
    <row r="11348" spans="11:33" ht="14.5" x14ac:dyDescent="0.35">
      <c r="K11348" s="4"/>
      <c r="AC11348" s="7"/>
      <c r="AD11348" s="7"/>
      <c r="AE11348" s="7"/>
      <c r="AF11348" s="8"/>
      <c r="AG11348" s="7"/>
    </row>
    <row r="11349" spans="11:33" ht="14.5" x14ac:dyDescent="0.35">
      <c r="K11349" s="4"/>
      <c r="AC11349" s="7"/>
      <c r="AD11349" s="7"/>
      <c r="AE11349" s="7"/>
      <c r="AF11349" s="8"/>
      <c r="AG11349" s="7"/>
    </row>
    <row r="11350" spans="11:33" ht="14.5" x14ac:dyDescent="0.35">
      <c r="K11350" s="4"/>
      <c r="AC11350" s="7"/>
      <c r="AD11350" s="7"/>
      <c r="AE11350" s="7"/>
      <c r="AF11350" s="8"/>
      <c r="AG11350" s="7"/>
    </row>
    <row r="11351" spans="11:33" ht="14.5" x14ac:dyDescent="0.35">
      <c r="K11351" s="4"/>
      <c r="AC11351" s="7"/>
      <c r="AD11351" s="7"/>
      <c r="AE11351" s="7"/>
      <c r="AF11351" s="8"/>
      <c r="AG11351" s="7"/>
    </row>
    <row r="11352" spans="11:33" ht="14.5" x14ac:dyDescent="0.35">
      <c r="K11352" s="4"/>
      <c r="AC11352" s="7"/>
      <c r="AD11352" s="7"/>
      <c r="AE11352" s="7"/>
      <c r="AF11352" s="8"/>
      <c r="AG11352" s="7"/>
    </row>
    <row r="11353" spans="11:33" ht="14.5" x14ac:dyDescent="0.35">
      <c r="K11353" s="4"/>
      <c r="AC11353" s="7"/>
      <c r="AD11353" s="7"/>
      <c r="AE11353" s="7"/>
      <c r="AF11353" s="8"/>
      <c r="AG11353" s="7"/>
    </row>
    <row r="11354" spans="11:33" ht="14.5" x14ac:dyDescent="0.35">
      <c r="K11354" s="4"/>
      <c r="AC11354" s="7"/>
      <c r="AD11354" s="7"/>
      <c r="AE11354" s="7"/>
      <c r="AF11354" s="8"/>
      <c r="AG11354" s="7"/>
    </row>
    <row r="11355" spans="11:33" ht="14.5" x14ac:dyDescent="0.35">
      <c r="K11355" s="4"/>
      <c r="AC11355" s="7"/>
      <c r="AD11355" s="7"/>
      <c r="AE11355" s="7"/>
      <c r="AF11355" s="8"/>
      <c r="AG11355" s="7"/>
    </row>
    <row r="11356" spans="11:33" ht="14.5" x14ac:dyDescent="0.35">
      <c r="K11356" s="4"/>
      <c r="AC11356" s="7"/>
      <c r="AD11356" s="7"/>
      <c r="AE11356" s="7"/>
      <c r="AF11356" s="8"/>
      <c r="AG11356" s="7"/>
    </row>
    <row r="11357" spans="11:33" ht="14.5" x14ac:dyDescent="0.35">
      <c r="K11357" s="4"/>
      <c r="AC11357" s="7"/>
      <c r="AD11357" s="7"/>
      <c r="AE11357" s="7"/>
      <c r="AF11357" s="8"/>
      <c r="AG11357" s="7"/>
    </row>
    <row r="11358" spans="11:33" ht="14.5" x14ac:dyDescent="0.35">
      <c r="K11358" s="4"/>
      <c r="AC11358" s="7"/>
      <c r="AD11358" s="7"/>
      <c r="AE11358" s="7"/>
      <c r="AF11358" s="8"/>
      <c r="AG11358" s="7"/>
    </row>
    <row r="11359" spans="11:33" ht="14.5" x14ac:dyDescent="0.35">
      <c r="K11359" s="4"/>
      <c r="AC11359" s="7"/>
      <c r="AD11359" s="7"/>
      <c r="AE11359" s="7"/>
      <c r="AF11359" s="8"/>
      <c r="AG11359" s="7"/>
    </row>
    <row r="11360" spans="11:33" ht="14.5" x14ac:dyDescent="0.35">
      <c r="K11360" s="4"/>
      <c r="AC11360" s="7"/>
      <c r="AD11360" s="7"/>
      <c r="AE11360" s="7"/>
      <c r="AF11360" s="8"/>
      <c r="AG11360" s="7"/>
    </row>
    <row r="11361" spans="11:33" ht="14.5" x14ac:dyDescent="0.35">
      <c r="K11361" s="4"/>
      <c r="AC11361" s="7"/>
      <c r="AD11361" s="7"/>
      <c r="AE11361" s="7"/>
      <c r="AF11361" s="8"/>
      <c r="AG11361" s="7"/>
    </row>
    <row r="11362" spans="11:33" ht="14.5" x14ac:dyDescent="0.35">
      <c r="K11362" s="4"/>
      <c r="AC11362" s="7"/>
      <c r="AD11362" s="7"/>
      <c r="AE11362" s="7"/>
      <c r="AF11362" s="8"/>
      <c r="AG11362" s="7"/>
    </row>
    <row r="11363" spans="11:33" ht="14.5" x14ac:dyDescent="0.35">
      <c r="K11363" s="4"/>
      <c r="AC11363" s="7"/>
      <c r="AD11363" s="7"/>
      <c r="AE11363" s="7"/>
      <c r="AF11363" s="8"/>
      <c r="AG11363" s="7"/>
    </row>
    <row r="11364" spans="11:33" ht="14.5" x14ac:dyDescent="0.35">
      <c r="K11364" s="4"/>
      <c r="AC11364" s="7"/>
      <c r="AD11364" s="7"/>
      <c r="AE11364" s="7"/>
      <c r="AF11364" s="8"/>
      <c r="AG11364" s="7"/>
    </row>
    <row r="11365" spans="11:33" ht="14.5" x14ac:dyDescent="0.35">
      <c r="K11365" s="4"/>
      <c r="AC11365" s="7"/>
      <c r="AD11365" s="7"/>
      <c r="AE11365" s="7"/>
      <c r="AF11365" s="8"/>
      <c r="AG11365" s="7"/>
    </row>
    <row r="11366" spans="11:33" ht="14.5" x14ac:dyDescent="0.35">
      <c r="K11366" s="4"/>
      <c r="AC11366" s="7"/>
      <c r="AD11366" s="7"/>
      <c r="AE11366" s="7"/>
      <c r="AF11366" s="8"/>
      <c r="AG11366" s="7"/>
    </row>
    <row r="11367" spans="11:33" ht="14.5" x14ac:dyDescent="0.35">
      <c r="K11367" s="4"/>
      <c r="AC11367" s="7"/>
      <c r="AD11367" s="7"/>
      <c r="AE11367" s="7"/>
      <c r="AF11367" s="8"/>
      <c r="AG11367" s="7"/>
    </row>
    <row r="11368" spans="11:33" ht="14.5" x14ac:dyDescent="0.35">
      <c r="K11368" s="4"/>
      <c r="AC11368" s="7"/>
      <c r="AD11368" s="7"/>
      <c r="AE11368" s="7"/>
      <c r="AF11368" s="8"/>
      <c r="AG11368" s="7"/>
    </row>
    <row r="11369" spans="11:33" ht="14.5" x14ac:dyDescent="0.35">
      <c r="K11369" s="4"/>
      <c r="AC11369" s="7"/>
      <c r="AD11369" s="7"/>
      <c r="AE11369" s="7"/>
      <c r="AF11369" s="8"/>
      <c r="AG11369" s="7"/>
    </row>
    <row r="11370" spans="11:33" ht="14.5" x14ac:dyDescent="0.35">
      <c r="K11370" s="4"/>
      <c r="AC11370" s="7"/>
      <c r="AD11370" s="7"/>
      <c r="AE11370" s="7"/>
      <c r="AF11370" s="8"/>
      <c r="AG11370" s="7"/>
    </row>
    <row r="11371" spans="11:33" ht="14.5" x14ac:dyDescent="0.35">
      <c r="K11371" s="4"/>
      <c r="AC11371" s="7"/>
      <c r="AD11371" s="7"/>
      <c r="AE11371" s="7"/>
      <c r="AF11371" s="8"/>
      <c r="AG11371" s="7"/>
    </row>
    <row r="11372" spans="11:33" ht="14.5" x14ac:dyDescent="0.35">
      <c r="K11372" s="4"/>
      <c r="AC11372" s="7"/>
      <c r="AD11372" s="7"/>
      <c r="AE11372" s="7"/>
      <c r="AF11372" s="8"/>
      <c r="AG11372" s="7"/>
    </row>
    <row r="11373" spans="11:33" ht="14.5" x14ac:dyDescent="0.35">
      <c r="K11373" s="4"/>
      <c r="AC11373" s="7"/>
      <c r="AD11373" s="7"/>
      <c r="AE11373" s="7"/>
      <c r="AF11373" s="8"/>
      <c r="AG11373" s="7"/>
    </row>
    <row r="11374" spans="11:33" ht="14.5" x14ac:dyDescent="0.35">
      <c r="K11374" s="4"/>
      <c r="AC11374" s="7"/>
      <c r="AD11374" s="7"/>
      <c r="AE11374" s="7"/>
      <c r="AF11374" s="8"/>
      <c r="AG11374" s="7"/>
    </row>
    <row r="11375" spans="11:33" ht="14.5" x14ac:dyDescent="0.35">
      <c r="K11375" s="4"/>
      <c r="AC11375" s="7"/>
      <c r="AD11375" s="7"/>
      <c r="AE11375" s="7"/>
      <c r="AF11375" s="8"/>
      <c r="AG11375" s="7"/>
    </row>
    <row r="11376" spans="11:33" ht="14.5" x14ac:dyDescent="0.35">
      <c r="K11376" s="4"/>
      <c r="AC11376" s="7"/>
      <c r="AD11376" s="7"/>
      <c r="AE11376" s="7"/>
      <c r="AF11376" s="8"/>
      <c r="AG11376" s="7"/>
    </row>
    <row r="11377" spans="11:33" ht="14.5" x14ac:dyDescent="0.35">
      <c r="K11377" s="4"/>
      <c r="AC11377" s="7"/>
      <c r="AD11377" s="7"/>
      <c r="AE11377" s="7"/>
      <c r="AF11377" s="8"/>
      <c r="AG11377" s="7"/>
    </row>
    <row r="11378" spans="11:33" ht="14.5" x14ac:dyDescent="0.35">
      <c r="K11378" s="4"/>
      <c r="AC11378" s="7"/>
      <c r="AD11378" s="7"/>
      <c r="AE11378" s="7"/>
      <c r="AF11378" s="8"/>
      <c r="AG11378" s="7"/>
    </row>
    <row r="11379" spans="11:33" ht="14.5" x14ac:dyDescent="0.35">
      <c r="K11379" s="4"/>
      <c r="AC11379" s="7"/>
      <c r="AD11379" s="7"/>
      <c r="AE11379" s="7"/>
      <c r="AF11379" s="8"/>
      <c r="AG11379" s="7"/>
    </row>
    <row r="11380" spans="11:33" ht="14.5" x14ac:dyDescent="0.35">
      <c r="K11380" s="4"/>
      <c r="AC11380" s="7"/>
      <c r="AD11380" s="7"/>
      <c r="AE11380" s="7"/>
      <c r="AF11380" s="8"/>
      <c r="AG11380" s="7"/>
    </row>
    <row r="11381" spans="11:33" ht="14.5" x14ac:dyDescent="0.35">
      <c r="K11381" s="4"/>
      <c r="AC11381" s="7"/>
      <c r="AD11381" s="7"/>
      <c r="AE11381" s="7"/>
      <c r="AF11381" s="8"/>
      <c r="AG11381" s="7"/>
    </row>
    <row r="11382" spans="11:33" ht="14.5" x14ac:dyDescent="0.35">
      <c r="K11382" s="4"/>
      <c r="AC11382" s="7"/>
      <c r="AD11382" s="7"/>
      <c r="AE11382" s="7"/>
      <c r="AF11382" s="8"/>
      <c r="AG11382" s="7"/>
    </row>
    <row r="11383" spans="11:33" ht="14.5" x14ac:dyDescent="0.35">
      <c r="K11383" s="4"/>
      <c r="AC11383" s="7"/>
      <c r="AD11383" s="7"/>
      <c r="AE11383" s="7"/>
      <c r="AF11383" s="8"/>
      <c r="AG11383" s="7"/>
    </row>
    <row r="11384" spans="11:33" ht="14.5" x14ac:dyDescent="0.35">
      <c r="K11384" s="4"/>
      <c r="AC11384" s="7"/>
      <c r="AD11384" s="7"/>
      <c r="AE11384" s="7"/>
      <c r="AF11384" s="8"/>
      <c r="AG11384" s="7"/>
    </row>
    <row r="11385" spans="11:33" ht="14.5" x14ac:dyDescent="0.35">
      <c r="K11385" s="4"/>
      <c r="AC11385" s="7"/>
      <c r="AD11385" s="7"/>
      <c r="AE11385" s="7"/>
      <c r="AF11385" s="8"/>
      <c r="AG11385" s="7"/>
    </row>
    <row r="11386" spans="11:33" ht="14.5" x14ac:dyDescent="0.35">
      <c r="K11386" s="4"/>
      <c r="AC11386" s="7"/>
      <c r="AD11386" s="7"/>
      <c r="AE11386" s="7"/>
      <c r="AF11386" s="8"/>
      <c r="AG11386" s="7"/>
    </row>
    <row r="11387" spans="11:33" ht="14.5" x14ac:dyDescent="0.35">
      <c r="K11387" s="4"/>
      <c r="AC11387" s="7"/>
      <c r="AD11387" s="7"/>
      <c r="AE11387" s="7"/>
      <c r="AF11387" s="8"/>
      <c r="AG11387" s="7"/>
    </row>
    <row r="11388" spans="11:33" ht="14.5" x14ac:dyDescent="0.35">
      <c r="K11388" s="4"/>
      <c r="AC11388" s="7"/>
      <c r="AD11388" s="7"/>
      <c r="AE11388" s="7"/>
      <c r="AF11388" s="8"/>
      <c r="AG11388" s="7"/>
    </row>
    <row r="11389" spans="11:33" ht="14.5" x14ac:dyDescent="0.35">
      <c r="K11389" s="4"/>
      <c r="AC11389" s="7"/>
      <c r="AD11389" s="7"/>
      <c r="AE11389" s="7"/>
      <c r="AF11389" s="8"/>
      <c r="AG11389" s="7"/>
    </row>
    <row r="11390" spans="11:33" ht="14.5" x14ac:dyDescent="0.35">
      <c r="K11390" s="4"/>
      <c r="AC11390" s="7"/>
      <c r="AD11390" s="7"/>
      <c r="AE11390" s="7"/>
      <c r="AF11390" s="8"/>
      <c r="AG11390" s="7"/>
    </row>
    <row r="11391" spans="11:33" ht="14.5" x14ac:dyDescent="0.35">
      <c r="K11391" s="4"/>
      <c r="AC11391" s="7"/>
      <c r="AD11391" s="7"/>
      <c r="AE11391" s="7"/>
      <c r="AF11391" s="8"/>
      <c r="AG11391" s="7"/>
    </row>
    <row r="11392" spans="11:33" ht="14.5" x14ac:dyDescent="0.35">
      <c r="K11392" s="4"/>
      <c r="AC11392" s="7"/>
      <c r="AD11392" s="7"/>
      <c r="AE11392" s="7"/>
      <c r="AF11392" s="8"/>
      <c r="AG11392" s="7"/>
    </row>
    <row r="11393" spans="11:33" ht="14.5" x14ac:dyDescent="0.35">
      <c r="K11393" s="4"/>
      <c r="AC11393" s="7"/>
      <c r="AD11393" s="7"/>
      <c r="AE11393" s="7"/>
      <c r="AF11393" s="8"/>
      <c r="AG11393" s="7"/>
    </row>
    <row r="11394" spans="11:33" ht="14.5" x14ac:dyDescent="0.35">
      <c r="K11394" s="4"/>
      <c r="AC11394" s="7"/>
      <c r="AD11394" s="7"/>
      <c r="AE11394" s="7"/>
      <c r="AF11394" s="8"/>
      <c r="AG11394" s="7"/>
    </row>
    <row r="11395" spans="11:33" ht="14.5" x14ac:dyDescent="0.35">
      <c r="K11395" s="4"/>
      <c r="AC11395" s="7"/>
      <c r="AD11395" s="7"/>
      <c r="AE11395" s="7"/>
      <c r="AF11395" s="8"/>
      <c r="AG11395" s="7"/>
    </row>
    <row r="11396" spans="11:33" ht="14.5" x14ac:dyDescent="0.35">
      <c r="K11396" s="4"/>
      <c r="AC11396" s="7"/>
      <c r="AD11396" s="7"/>
      <c r="AE11396" s="7"/>
      <c r="AF11396" s="8"/>
      <c r="AG11396" s="7"/>
    </row>
    <row r="11397" spans="11:33" ht="14.5" x14ac:dyDescent="0.35">
      <c r="K11397" s="4"/>
      <c r="AC11397" s="7"/>
      <c r="AD11397" s="7"/>
      <c r="AE11397" s="7"/>
      <c r="AF11397" s="8"/>
      <c r="AG11397" s="7"/>
    </row>
    <row r="11398" spans="11:33" ht="14.5" x14ac:dyDescent="0.35">
      <c r="K11398" s="4"/>
      <c r="AC11398" s="7"/>
      <c r="AD11398" s="7"/>
      <c r="AE11398" s="7"/>
      <c r="AF11398" s="8"/>
      <c r="AG11398" s="7"/>
    </row>
    <row r="11399" spans="11:33" ht="14.5" x14ac:dyDescent="0.35">
      <c r="K11399" s="4"/>
      <c r="AC11399" s="7"/>
      <c r="AD11399" s="7"/>
      <c r="AE11399" s="7"/>
      <c r="AF11399" s="8"/>
      <c r="AG11399" s="7"/>
    </row>
    <row r="11400" spans="11:33" ht="14.5" x14ac:dyDescent="0.35">
      <c r="K11400" s="4"/>
      <c r="AC11400" s="7"/>
      <c r="AD11400" s="7"/>
      <c r="AE11400" s="7"/>
      <c r="AF11400" s="8"/>
      <c r="AG11400" s="7"/>
    </row>
    <row r="11401" spans="11:33" ht="14.5" x14ac:dyDescent="0.35">
      <c r="K11401" s="4"/>
      <c r="AC11401" s="7"/>
      <c r="AD11401" s="7"/>
      <c r="AE11401" s="7"/>
      <c r="AF11401" s="8"/>
      <c r="AG11401" s="7"/>
    </row>
    <row r="11402" spans="11:33" ht="14.5" x14ac:dyDescent="0.35">
      <c r="K11402" s="4"/>
      <c r="AC11402" s="7"/>
      <c r="AD11402" s="7"/>
      <c r="AE11402" s="7"/>
      <c r="AF11402" s="8"/>
      <c r="AG11402" s="7"/>
    </row>
    <row r="11403" spans="11:33" ht="14.5" x14ac:dyDescent="0.35">
      <c r="K11403" s="4"/>
      <c r="AC11403" s="7"/>
      <c r="AD11403" s="7"/>
      <c r="AE11403" s="7"/>
      <c r="AF11403" s="8"/>
      <c r="AG11403" s="7"/>
    </row>
    <row r="11404" spans="11:33" ht="14.5" x14ac:dyDescent="0.35">
      <c r="K11404" s="4"/>
      <c r="AC11404" s="7"/>
      <c r="AD11404" s="7"/>
      <c r="AE11404" s="7"/>
      <c r="AF11404" s="8"/>
      <c r="AG11404" s="7"/>
    </row>
    <row r="11405" spans="11:33" ht="14.5" x14ac:dyDescent="0.35">
      <c r="K11405" s="4"/>
      <c r="AC11405" s="7"/>
      <c r="AD11405" s="7"/>
      <c r="AE11405" s="7"/>
      <c r="AF11405" s="8"/>
      <c r="AG11405" s="7"/>
    </row>
    <row r="11406" spans="11:33" ht="14.5" x14ac:dyDescent="0.35">
      <c r="K11406" s="4"/>
      <c r="AC11406" s="7"/>
      <c r="AD11406" s="7"/>
      <c r="AE11406" s="7"/>
      <c r="AF11406" s="8"/>
      <c r="AG11406" s="7"/>
    </row>
    <row r="11407" spans="11:33" ht="14.5" x14ac:dyDescent="0.35">
      <c r="K11407" s="4"/>
      <c r="AC11407" s="7"/>
      <c r="AD11407" s="7"/>
      <c r="AE11407" s="7"/>
      <c r="AF11407" s="8"/>
      <c r="AG11407" s="7"/>
    </row>
    <row r="11408" spans="11:33" ht="14.5" x14ac:dyDescent="0.35">
      <c r="K11408" s="4"/>
      <c r="AC11408" s="7"/>
      <c r="AD11408" s="7"/>
      <c r="AE11408" s="7"/>
      <c r="AF11408" s="8"/>
      <c r="AG11408" s="7"/>
    </row>
    <row r="11409" spans="11:33" ht="14.5" x14ac:dyDescent="0.35">
      <c r="K11409" s="4"/>
      <c r="AC11409" s="7"/>
      <c r="AD11409" s="7"/>
      <c r="AE11409" s="7"/>
      <c r="AF11409" s="8"/>
      <c r="AG11409" s="7"/>
    </row>
    <row r="11410" spans="11:33" ht="14.5" x14ac:dyDescent="0.35">
      <c r="K11410" s="4"/>
      <c r="AC11410" s="7"/>
      <c r="AD11410" s="7"/>
      <c r="AE11410" s="7"/>
      <c r="AF11410" s="8"/>
      <c r="AG11410" s="7"/>
    </row>
    <row r="11411" spans="11:33" ht="14.5" x14ac:dyDescent="0.35">
      <c r="K11411" s="4"/>
      <c r="AC11411" s="7"/>
      <c r="AD11411" s="7"/>
      <c r="AE11411" s="7"/>
      <c r="AF11411" s="8"/>
      <c r="AG11411" s="7"/>
    </row>
    <row r="11412" spans="11:33" ht="14.5" x14ac:dyDescent="0.35">
      <c r="K11412" s="4"/>
      <c r="AC11412" s="7"/>
      <c r="AD11412" s="7"/>
      <c r="AE11412" s="7"/>
      <c r="AF11412" s="8"/>
      <c r="AG11412" s="7"/>
    </row>
    <row r="11413" spans="11:33" ht="14.5" x14ac:dyDescent="0.35">
      <c r="K11413" s="4"/>
      <c r="AC11413" s="7"/>
      <c r="AD11413" s="7"/>
      <c r="AE11413" s="7"/>
      <c r="AF11413" s="8"/>
      <c r="AG11413" s="7"/>
    </row>
    <row r="11414" spans="11:33" ht="14.5" x14ac:dyDescent="0.35">
      <c r="K11414" s="4"/>
      <c r="AC11414" s="7"/>
      <c r="AD11414" s="7"/>
      <c r="AE11414" s="7"/>
      <c r="AF11414" s="8"/>
      <c r="AG11414" s="7"/>
    </row>
    <row r="11415" spans="11:33" ht="14.5" x14ac:dyDescent="0.35">
      <c r="K11415" s="4"/>
      <c r="AC11415" s="7"/>
      <c r="AD11415" s="7"/>
      <c r="AE11415" s="7"/>
      <c r="AF11415" s="8"/>
      <c r="AG11415" s="7"/>
    </row>
    <row r="11416" spans="11:33" ht="14.5" x14ac:dyDescent="0.35">
      <c r="K11416" s="4"/>
      <c r="AC11416" s="7"/>
      <c r="AD11416" s="7"/>
      <c r="AE11416" s="7"/>
      <c r="AF11416" s="8"/>
      <c r="AG11416" s="7"/>
    </row>
    <row r="11417" spans="11:33" ht="14.5" x14ac:dyDescent="0.35">
      <c r="K11417" s="4"/>
      <c r="AC11417" s="7"/>
      <c r="AD11417" s="7"/>
      <c r="AE11417" s="7"/>
      <c r="AF11417" s="8"/>
      <c r="AG11417" s="7"/>
    </row>
    <row r="11418" spans="11:33" ht="14.5" x14ac:dyDescent="0.35">
      <c r="K11418" s="4"/>
      <c r="AC11418" s="7"/>
      <c r="AD11418" s="7"/>
      <c r="AE11418" s="7"/>
      <c r="AF11418" s="8"/>
      <c r="AG11418" s="7"/>
    </row>
    <row r="11419" spans="11:33" ht="14.5" x14ac:dyDescent="0.35">
      <c r="K11419" s="4"/>
      <c r="AC11419" s="7"/>
      <c r="AD11419" s="7"/>
      <c r="AE11419" s="7"/>
      <c r="AF11419" s="8"/>
      <c r="AG11419" s="7"/>
    </row>
    <row r="11420" spans="11:33" ht="14.5" x14ac:dyDescent="0.35">
      <c r="K11420" s="4"/>
      <c r="AC11420" s="7"/>
      <c r="AD11420" s="7"/>
      <c r="AE11420" s="7"/>
      <c r="AF11420" s="8"/>
      <c r="AG11420" s="7"/>
    </row>
    <row r="11421" spans="11:33" ht="14.5" x14ac:dyDescent="0.35">
      <c r="K11421" s="4"/>
      <c r="AC11421" s="7"/>
      <c r="AD11421" s="7"/>
      <c r="AE11421" s="7"/>
      <c r="AF11421" s="8"/>
      <c r="AG11421" s="7"/>
    </row>
    <row r="11422" spans="11:33" ht="14.5" x14ac:dyDescent="0.35">
      <c r="K11422" s="4"/>
      <c r="AC11422" s="7"/>
      <c r="AD11422" s="7"/>
      <c r="AE11422" s="7"/>
      <c r="AF11422" s="8"/>
      <c r="AG11422" s="7"/>
    </row>
    <row r="11423" spans="11:33" ht="14.5" x14ac:dyDescent="0.35">
      <c r="K11423" s="4"/>
      <c r="AC11423" s="7"/>
      <c r="AD11423" s="7"/>
      <c r="AE11423" s="7"/>
      <c r="AF11423" s="8"/>
      <c r="AG11423" s="7"/>
    </row>
    <row r="11424" spans="11:33" ht="14.5" x14ac:dyDescent="0.35">
      <c r="K11424" s="4"/>
      <c r="AC11424" s="7"/>
      <c r="AD11424" s="7"/>
      <c r="AE11424" s="7"/>
      <c r="AF11424" s="8"/>
      <c r="AG11424" s="7"/>
    </row>
    <row r="11425" spans="11:33" ht="14.5" x14ac:dyDescent="0.35">
      <c r="K11425" s="4"/>
      <c r="AC11425" s="7"/>
      <c r="AD11425" s="7"/>
      <c r="AE11425" s="7"/>
      <c r="AF11425" s="8"/>
      <c r="AG11425" s="7"/>
    </row>
    <row r="11426" spans="11:33" ht="14.5" x14ac:dyDescent="0.35">
      <c r="K11426" s="4"/>
      <c r="AC11426" s="7"/>
      <c r="AD11426" s="7"/>
      <c r="AE11426" s="7"/>
      <c r="AF11426" s="8"/>
      <c r="AG11426" s="7"/>
    </row>
    <row r="11427" spans="11:33" ht="14.5" x14ac:dyDescent="0.35">
      <c r="K11427" s="4"/>
      <c r="AC11427" s="7"/>
      <c r="AD11427" s="7"/>
      <c r="AE11427" s="7"/>
      <c r="AF11427" s="8"/>
      <c r="AG11427" s="7"/>
    </row>
    <row r="11428" spans="11:33" ht="14.5" x14ac:dyDescent="0.35">
      <c r="K11428" s="4"/>
      <c r="AC11428" s="7"/>
      <c r="AD11428" s="7"/>
      <c r="AE11428" s="7"/>
      <c r="AF11428" s="8"/>
      <c r="AG11428" s="7"/>
    </row>
    <row r="11429" spans="11:33" ht="14.5" x14ac:dyDescent="0.35">
      <c r="K11429" s="4"/>
      <c r="AC11429" s="7"/>
      <c r="AD11429" s="7"/>
      <c r="AE11429" s="7"/>
      <c r="AF11429" s="8"/>
      <c r="AG11429" s="7"/>
    </row>
    <row r="11430" spans="11:33" ht="14.5" x14ac:dyDescent="0.35">
      <c r="K11430" s="4"/>
      <c r="AC11430" s="7"/>
      <c r="AD11430" s="7"/>
      <c r="AE11430" s="7"/>
      <c r="AF11430" s="8"/>
      <c r="AG11430" s="7"/>
    </row>
    <row r="11431" spans="11:33" ht="14.5" x14ac:dyDescent="0.35">
      <c r="K11431" s="4"/>
      <c r="AC11431" s="7"/>
      <c r="AD11431" s="7"/>
      <c r="AE11431" s="7"/>
      <c r="AF11431" s="8"/>
      <c r="AG11431" s="7"/>
    </row>
    <row r="11432" spans="11:33" ht="14.5" x14ac:dyDescent="0.35">
      <c r="K11432" s="4"/>
      <c r="AC11432" s="7"/>
      <c r="AD11432" s="7"/>
      <c r="AE11432" s="7"/>
      <c r="AF11432" s="8"/>
      <c r="AG11432" s="7"/>
    </row>
    <row r="11433" spans="11:33" ht="14.5" x14ac:dyDescent="0.35">
      <c r="K11433" s="4"/>
      <c r="AC11433" s="7"/>
      <c r="AD11433" s="7"/>
      <c r="AE11433" s="7"/>
      <c r="AF11433" s="8"/>
      <c r="AG11433" s="7"/>
    </row>
    <row r="11434" spans="11:33" ht="14.5" x14ac:dyDescent="0.35">
      <c r="K11434" s="4"/>
      <c r="AC11434" s="7"/>
      <c r="AD11434" s="7"/>
      <c r="AE11434" s="7"/>
      <c r="AF11434" s="8"/>
      <c r="AG11434" s="7"/>
    </row>
    <row r="11435" spans="11:33" ht="14.5" x14ac:dyDescent="0.35">
      <c r="K11435" s="4"/>
      <c r="AC11435" s="7"/>
      <c r="AD11435" s="7"/>
      <c r="AE11435" s="7"/>
      <c r="AF11435" s="8"/>
      <c r="AG11435" s="7"/>
    </row>
    <row r="11436" spans="11:33" ht="14.5" x14ac:dyDescent="0.35">
      <c r="K11436" s="4"/>
      <c r="AC11436" s="7"/>
      <c r="AD11436" s="7"/>
      <c r="AE11436" s="7"/>
      <c r="AF11436" s="8"/>
      <c r="AG11436" s="7"/>
    </row>
    <row r="11437" spans="11:33" ht="14.5" x14ac:dyDescent="0.35">
      <c r="K11437" s="4"/>
      <c r="AC11437" s="7"/>
      <c r="AD11437" s="7"/>
      <c r="AE11437" s="7"/>
      <c r="AF11437" s="8"/>
      <c r="AG11437" s="7"/>
    </row>
    <row r="11438" spans="11:33" ht="14.5" x14ac:dyDescent="0.35">
      <c r="K11438" s="4"/>
      <c r="AC11438" s="7"/>
      <c r="AD11438" s="7"/>
      <c r="AE11438" s="7"/>
      <c r="AF11438" s="8"/>
      <c r="AG11438" s="7"/>
    </row>
    <row r="11439" spans="11:33" ht="14.5" x14ac:dyDescent="0.35">
      <c r="K11439" s="4"/>
      <c r="AC11439" s="7"/>
      <c r="AD11439" s="7"/>
      <c r="AE11439" s="7"/>
      <c r="AF11439" s="8"/>
      <c r="AG11439" s="7"/>
    </row>
    <row r="11440" spans="11:33" ht="14.5" x14ac:dyDescent="0.35">
      <c r="K11440" s="4"/>
      <c r="AC11440" s="7"/>
      <c r="AD11440" s="7"/>
      <c r="AE11440" s="7"/>
      <c r="AF11440" s="8"/>
      <c r="AG11440" s="7"/>
    </row>
    <row r="11441" spans="11:33" ht="14.5" x14ac:dyDescent="0.35">
      <c r="K11441" s="4"/>
      <c r="AC11441" s="7"/>
      <c r="AD11441" s="7"/>
      <c r="AE11441" s="7"/>
      <c r="AF11441" s="8"/>
      <c r="AG11441" s="7"/>
    </row>
    <row r="11442" spans="11:33" ht="14.5" x14ac:dyDescent="0.35">
      <c r="K11442" s="4"/>
      <c r="AC11442" s="7"/>
      <c r="AD11442" s="7"/>
      <c r="AE11442" s="7"/>
      <c r="AF11442" s="8"/>
      <c r="AG11442" s="7"/>
    </row>
    <row r="11443" spans="11:33" ht="14.5" x14ac:dyDescent="0.35">
      <c r="K11443" s="4"/>
      <c r="AC11443" s="7"/>
      <c r="AD11443" s="7"/>
      <c r="AE11443" s="7"/>
      <c r="AF11443" s="8"/>
      <c r="AG11443" s="7"/>
    </row>
    <row r="11444" spans="11:33" ht="14.5" x14ac:dyDescent="0.35">
      <c r="K11444" s="4"/>
      <c r="AC11444" s="7"/>
      <c r="AD11444" s="7"/>
      <c r="AE11444" s="7"/>
      <c r="AF11444" s="8"/>
      <c r="AG11444" s="7"/>
    </row>
    <row r="11445" spans="11:33" ht="14.5" x14ac:dyDescent="0.35">
      <c r="K11445" s="4"/>
      <c r="AC11445" s="7"/>
      <c r="AD11445" s="7"/>
      <c r="AE11445" s="7"/>
      <c r="AF11445" s="8"/>
      <c r="AG11445" s="7"/>
    </row>
    <row r="11446" spans="11:33" ht="14.5" x14ac:dyDescent="0.35">
      <c r="K11446" s="4"/>
      <c r="AC11446" s="7"/>
      <c r="AD11446" s="7"/>
      <c r="AE11446" s="7"/>
      <c r="AF11446" s="8"/>
      <c r="AG11446" s="7"/>
    </row>
    <row r="11447" spans="11:33" ht="14.5" x14ac:dyDescent="0.35">
      <c r="K11447" s="4"/>
      <c r="AC11447" s="7"/>
      <c r="AD11447" s="7"/>
      <c r="AE11447" s="7"/>
      <c r="AF11447" s="8"/>
      <c r="AG11447" s="7"/>
    </row>
    <row r="11448" spans="11:33" ht="14.5" x14ac:dyDescent="0.35">
      <c r="K11448" s="4"/>
      <c r="AC11448" s="7"/>
      <c r="AD11448" s="7"/>
      <c r="AE11448" s="7"/>
      <c r="AF11448" s="8"/>
      <c r="AG11448" s="7"/>
    </row>
    <row r="11449" spans="11:33" ht="14.5" x14ac:dyDescent="0.35">
      <c r="K11449" s="4"/>
      <c r="AC11449" s="7"/>
      <c r="AD11449" s="7"/>
      <c r="AE11449" s="7"/>
      <c r="AF11449" s="8"/>
      <c r="AG11449" s="7"/>
    </row>
    <row r="11450" spans="11:33" ht="14.5" x14ac:dyDescent="0.35">
      <c r="K11450" s="4"/>
      <c r="AC11450" s="7"/>
      <c r="AD11450" s="7"/>
      <c r="AE11450" s="7"/>
      <c r="AF11450" s="8"/>
      <c r="AG11450" s="7"/>
    </row>
    <row r="11451" spans="11:33" ht="14.5" x14ac:dyDescent="0.35">
      <c r="K11451" s="4"/>
      <c r="AC11451" s="7"/>
      <c r="AD11451" s="7"/>
      <c r="AE11451" s="7"/>
      <c r="AF11451" s="8"/>
      <c r="AG11451" s="7"/>
    </row>
    <row r="11452" spans="11:33" ht="14.5" x14ac:dyDescent="0.35">
      <c r="K11452" s="4"/>
      <c r="AC11452" s="7"/>
      <c r="AD11452" s="7"/>
      <c r="AE11452" s="7"/>
      <c r="AF11452" s="8"/>
      <c r="AG11452" s="7"/>
    </row>
    <row r="11453" spans="11:33" ht="14.5" x14ac:dyDescent="0.35">
      <c r="K11453" s="4"/>
      <c r="AC11453" s="7"/>
      <c r="AD11453" s="7"/>
      <c r="AE11453" s="7"/>
      <c r="AF11453" s="8"/>
      <c r="AG11453" s="7"/>
    </row>
    <row r="11454" spans="11:33" ht="14.5" x14ac:dyDescent="0.35">
      <c r="K11454" s="4"/>
      <c r="AC11454" s="7"/>
      <c r="AD11454" s="7"/>
      <c r="AE11454" s="7"/>
      <c r="AF11454" s="8"/>
      <c r="AG11454" s="7"/>
    </row>
    <row r="11455" spans="11:33" ht="14.5" x14ac:dyDescent="0.35">
      <c r="K11455" s="4"/>
      <c r="AC11455" s="7"/>
      <c r="AD11455" s="7"/>
      <c r="AE11455" s="7"/>
      <c r="AF11455" s="8"/>
      <c r="AG11455" s="7"/>
    </row>
    <row r="11456" spans="11:33" ht="14.5" x14ac:dyDescent="0.35">
      <c r="K11456" s="4"/>
      <c r="AC11456" s="7"/>
      <c r="AD11456" s="7"/>
      <c r="AE11456" s="7"/>
      <c r="AF11456" s="8"/>
      <c r="AG11456" s="7"/>
    </row>
    <row r="11457" spans="11:33" ht="14.5" x14ac:dyDescent="0.35">
      <c r="K11457" s="4"/>
      <c r="AC11457" s="7"/>
      <c r="AD11457" s="7"/>
      <c r="AE11457" s="7"/>
      <c r="AF11457" s="8"/>
      <c r="AG11457" s="7"/>
    </row>
    <row r="11458" spans="11:33" ht="14.5" x14ac:dyDescent="0.35">
      <c r="K11458" s="4"/>
      <c r="AC11458" s="7"/>
      <c r="AD11458" s="7"/>
      <c r="AE11458" s="7"/>
      <c r="AF11458" s="8"/>
      <c r="AG11458" s="7"/>
    </row>
    <row r="11459" spans="11:33" ht="14.5" x14ac:dyDescent="0.35">
      <c r="K11459" s="4"/>
      <c r="AC11459" s="7"/>
      <c r="AD11459" s="7"/>
      <c r="AE11459" s="7"/>
      <c r="AF11459" s="8"/>
      <c r="AG11459" s="7"/>
    </row>
    <row r="11460" spans="11:33" ht="14.5" x14ac:dyDescent="0.35">
      <c r="K11460" s="4"/>
      <c r="AC11460" s="7"/>
      <c r="AD11460" s="7"/>
      <c r="AE11460" s="7"/>
      <c r="AF11460" s="8"/>
      <c r="AG11460" s="7"/>
    </row>
    <row r="11461" spans="11:33" ht="14.5" x14ac:dyDescent="0.35">
      <c r="K11461" s="4"/>
      <c r="AC11461" s="7"/>
      <c r="AD11461" s="7"/>
      <c r="AE11461" s="7"/>
      <c r="AF11461" s="8"/>
      <c r="AG11461" s="7"/>
    </row>
    <row r="11462" spans="11:33" ht="14.5" x14ac:dyDescent="0.35">
      <c r="K11462" s="4"/>
      <c r="AC11462" s="7"/>
      <c r="AD11462" s="7"/>
      <c r="AE11462" s="7"/>
      <c r="AF11462" s="8"/>
      <c r="AG11462" s="7"/>
    </row>
    <row r="11463" spans="11:33" ht="14.5" x14ac:dyDescent="0.35">
      <c r="K11463" s="4"/>
      <c r="AC11463" s="7"/>
      <c r="AD11463" s="7"/>
      <c r="AE11463" s="7"/>
      <c r="AF11463" s="8"/>
      <c r="AG11463" s="7"/>
    </row>
    <row r="11464" spans="11:33" ht="14.5" x14ac:dyDescent="0.35">
      <c r="K11464" s="4"/>
      <c r="AC11464" s="7"/>
      <c r="AD11464" s="7"/>
      <c r="AE11464" s="7"/>
      <c r="AF11464" s="8"/>
      <c r="AG11464" s="7"/>
    </row>
    <row r="11465" spans="11:33" ht="14.5" x14ac:dyDescent="0.35">
      <c r="K11465" s="4"/>
      <c r="AC11465" s="7"/>
      <c r="AD11465" s="7"/>
      <c r="AE11465" s="7"/>
      <c r="AF11465" s="8"/>
      <c r="AG11465" s="7"/>
    </row>
    <row r="11466" spans="11:33" ht="14.5" x14ac:dyDescent="0.35">
      <c r="K11466" s="4"/>
      <c r="AC11466" s="7"/>
      <c r="AD11466" s="7"/>
      <c r="AE11466" s="7"/>
      <c r="AF11466" s="8"/>
      <c r="AG11466" s="7"/>
    </row>
    <row r="11467" spans="11:33" ht="14.5" x14ac:dyDescent="0.35">
      <c r="K11467" s="4"/>
      <c r="AC11467" s="7"/>
      <c r="AD11467" s="7"/>
      <c r="AE11467" s="7"/>
      <c r="AF11467" s="8"/>
      <c r="AG11467" s="7"/>
    </row>
    <row r="11468" spans="11:33" ht="14.5" x14ac:dyDescent="0.35">
      <c r="K11468" s="4"/>
      <c r="AC11468" s="7"/>
      <c r="AD11468" s="7"/>
      <c r="AE11468" s="7"/>
      <c r="AF11468" s="8"/>
      <c r="AG11468" s="7"/>
    </row>
    <row r="11469" spans="11:33" ht="14.5" x14ac:dyDescent="0.35">
      <c r="K11469" s="4"/>
      <c r="AC11469" s="7"/>
      <c r="AD11469" s="7"/>
      <c r="AE11469" s="7"/>
      <c r="AF11469" s="8"/>
      <c r="AG11469" s="7"/>
    </row>
    <row r="11470" spans="11:33" ht="14.5" x14ac:dyDescent="0.35">
      <c r="K11470" s="4"/>
      <c r="AC11470" s="7"/>
      <c r="AD11470" s="7"/>
      <c r="AE11470" s="7"/>
      <c r="AF11470" s="8"/>
      <c r="AG11470" s="7"/>
    </row>
    <row r="11471" spans="11:33" ht="14.5" x14ac:dyDescent="0.35">
      <c r="K11471" s="4"/>
      <c r="AC11471" s="7"/>
      <c r="AD11471" s="7"/>
      <c r="AE11471" s="7"/>
      <c r="AF11471" s="8"/>
      <c r="AG11471" s="7"/>
    </row>
    <row r="11472" spans="11:33" ht="14.5" x14ac:dyDescent="0.35">
      <c r="K11472" s="4"/>
      <c r="AC11472" s="7"/>
      <c r="AD11472" s="7"/>
      <c r="AE11472" s="7"/>
      <c r="AF11472" s="8"/>
      <c r="AG11472" s="7"/>
    </row>
    <row r="11473" spans="11:33" ht="14.5" x14ac:dyDescent="0.35">
      <c r="K11473" s="4"/>
      <c r="AC11473" s="7"/>
      <c r="AD11473" s="7"/>
      <c r="AE11473" s="7"/>
      <c r="AF11473" s="8"/>
      <c r="AG11473" s="7"/>
    </row>
    <row r="11474" spans="11:33" ht="14.5" x14ac:dyDescent="0.35">
      <c r="K11474" s="4"/>
      <c r="AC11474" s="7"/>
      <c r="AD11474" s="7"/>
      <c r="AE11474" s="7"/>
      <c r="AF11474" s="8"/>
      <c r="AG11474" s="7"/>
    </row>
    <row r="11475" spans="11:33" ht="14.5" x14ac:dyDescent="0.35">
      <c r="K11475" s="4"/>
      <c r="AC11475" s="7"/>
      <c r="AD11475" s="7"/>
      <c r="AE11475" s="7"/>
      <c r="AF11475" s="8"/>
      <c r="AG11475" s="7"/>
    </row>
    <row r="11476" spans="11:33" ht="14.5" x14ac:dyDescent="0.35">
      <c r="K11476" s="4"/>
      <c r="AC11476" s="7"/>
      <c r="AD11476" s="7"/>
      <c r="AE11476" s="7"/>
      <c r="AF11476" s="8"/>
      <c r="AG11476" s="7"/>
    </row>
    <row r="11477" spans="11:33" ht="14.5" x14ac:dyDescent="0.35">
      <c r="K11477" s="4"/>
      <c r="AC11477" s="7"/>
      <c r="AD11477" s="7"/>
      <c r="AE11477" s="7"/>
      <c r="AF11477" s="8"/>
      <c r="AG11477" s="7"/>
    </row>
    <row r="11478" spans="11:33" ht="14.5" x14ac:dyDescent="0.35">
      <c r="K11478" s="4"/>
      <c r="AC11478" s="7"/>
      <c r="AD11478" s="7"/>
      <c r="AE11478" s="7"/>
      <c r="AF11478" s="8"/>
      <c r="AG11478" s="7"/>
    </row>
    <row r="11479" spans="11:33" ht="14.5" x14ac:dyDescent="0.35">
      <c r="K11479" s="4"/>
      <c r="AC11479" s="7"/>
      <c r="AD11479" s="7"/>
      <c r="AE11479" s="7"/>
      <c r="AF11479" s="8"/>
      <c r="AG11479" s="7"/>
    </row>
    <row r="11480" spans="11:33" ht="14.5" x14ac:dyDescent="0.35">
      <c r="K11480" s="4"/>
      <c r="AC11480" s="7"/>
      <c r="AD11480" s="7"/>
      <c r="AE11480" s="7"/>
      <c r="AF11480" s="8"/>
      <c r="AG11480" s="7"/>
    </row>
    <row r="11481" spans="11:33" ht="14.5" x14ac:dyDescent="0.35">
      <c r="K11481" s="4"/>
      <c r="AC11481" s="7"/>
      <c r="AD11481" s="7"/>
      <c r="AE11481" s="7"/>
      <c r="AF11481" s="8"/>
      <c r="AG11481" s="7"/>
    </row>
    <row r="11482" spans="11:33" ht="14.5" x14ac:dyDescent="0.35">
      <c r="K11482" s="4"/>
      <c r="AC11482" s="7"/>
      <c r="AD11482" s="7"/>
      <c r="AE11482" s="7"/>
      <c r="AF11482" s="8"/>
      <c r="AG11482" s="7"/>
    </row>
    <row r="11483" spans="11:33" ht="14.5" x14ac:dyDescent="0.35">
      <c r="K11483" s="4"/>
      <c r="AC11483" s="7"/>
      <c r="AD11483" s="7"/>
      <c r="AE11483" s="7"/>
      <c r="AF11483" s="8"/>
      <c r="AG11483" s="7"/>
    </row>
    <row r="11484" spans="11:33" ht="14.5" x14ac:dyDescent="0.35">
      <c r="K11484" s="4"/>
      <c r="AC11484" s="7"/>
      <c r="AD11484" s="7"/>
      <c r="AE11484" s="7"/>
      <c r="AF11484" s="8"/>
      <c r="AG11484" s="7"/>
    </row>
    <row r="11485" spans="11:33" ht="14.5" x14ac:dyDescent="0.35">
      <c r="K11485" s="4"/>
      <c r="AC11485" s="7"/>
      <c r="AD11485" s="7"/>
      <c r="AE11485" s="7"/>
      <c r="AF11485" s="8"/>
      <c r="AG11485" s="7"/>
    </row>
    <row r="11486" spans="11:33" ht="14.5" x14ac:dyDescent="0.35">
      <c r="K11486" s="4"/>
      <c r="AC11486" s="7"/>
      <c r="AD11486" s="7"/>
      <c r="AE11486" s="7"/>
      <c r="AF11486" s="8"/>
      <c r="AG11486" s="7"/>
    </row>
    <row r="11487" spans="11:33" ht="14.5" x14ac:dyDescent="0.35">
      <c r="K11487" s="4"/>
      <c r="AC11487" s="7"/>
      <c r="AD11487" s="7"/>
      <c r="AE11487" s="7"/>
      <c r="AF11487" s="8"/>
      <c r="AG11487" s="7"/>
    </row>
    <row r="11488" spans="11:33" ht="14.5" x14ac:dyDescent="0.35">
      <c r="K11488" s="4"/>
      <c r="AC11488" s="7"/>
      <c r="AD11488" s="7"/>
      <c r="AE11488" s="7"/>
      <c r="AF11488" s="8"/>
      <c r="AG11488" s="7"/>
    </row>
    <row r="11489" spans="11:33" ht="14.5" x14ac:dyDescent="0.35">
      <c r="K11489" s="4"/>
      <c r="AC11489" s="7"/>
      <c r="AD11489" s="7"/>
      <c r="AE11489" s="7"/>
      <c r="AF11489" s="8"/>
      <c r="AG11489" s="7"/>
    </row>
    <row r="11490" spans="11:33" ht="14.5" x14ac:dyDescent="0.35">
      <c r="K11490" s="4"/>
      <c r="AC11490" s="7"/>
      <c r="AD11490" s="7"/>
      <c r="AE11490" s="7"/>
      <c r="AF11490" s="8"/>
      <c r="AG11490" s="7"/>
    </row>
    <row r="11491" spans="11:33" ht="14.5" x14ac:dyDescent="0.35">
      <c r="K11491" s="4"/>
      <c r="AC11491" s="7"/>
      <c r="AD11491" s="7"/>
      <c r="AE11491" s="7"/>
      <c r="AF11491" s="8"/>
      <c r="AG11491" s="7"/>
    </row>
    <row r="11492" spans="11:33" ht="14.5" x14ac:dyDescent="0.35">
      <c r="K11492" s="4"/>
      <c r="AC11492" s="7"/>
      <c r="AD11492" s="7"/>
      <c r="AE11492" s="7"/>
      <c r="AF11492" s="8"/>
      <c r="AG11492" s="7"/>
    </row>
    <row r="11493" spans="11:33" ht="14.5" x14ac:dyDescent="0.35">
      <c r="K11493" s="4"/>
      <c r="AC11493" s="7"/>
      <c r="AD11493" s="7"/>
      <c r="AE11493" s="7"/>
      <c r="AF11493" s="8"/>
      <c r="AG11493" s="7"/>
    </row>
    <row r="11494" spans="11:33" ht="14.5" x14ac:dyDescent="0.35">
      <c r="K11494" s="4"/>
      <c r="AC11494" s="7"/>
      <c r="AD11494" s="7"/>
      <c r="AE11494" s="7"/>
      <c r="AF11494" s="8"/>
      <c r="AG11494" s="7"/>
    </row>
    <row r="11495" spans="11:33" ht="14.5" x14ac:dyDescent="0.35">
      <c r="K11495" s="4"/>
      <c r="AC11495" s="7"/>
      <c r="AD11495" s="7"/>
      <c r="AE11495" s="7"/>
      <c r="AF11495" s="8"/>
      <c r="AG11495" s="7"/>
    </row>
    <row r="11496" spans="11:33" ht="14.5" x14ac:dyDescent="0.35">
      <c r="K11496" s="4"/>
      <c r="AC11496" s="7"/>
      <c r="AD11496" s="7"/>
      <c r="AE11496" s="7"/>
      <c r="AF11496" s="8"/>
      <c r="AG11496" s="7"/>
    </row>
    <row r="11497" spans="11:33" ht="14.5" x14ac:dyDescent="0.35">
      <c r="K11497" s="4"/>
      <c r="AC11497" s="7"/>
      <c r="AD11497" s="7"/>
      <c r="AE11497" s="7"/>
      <c r="AF11497" s="8"/>
      <c r="AG11497" s="7"/>
    </row>
    <row r="11498" spans="11:33" ht="14.5" x14ac:dyDescent="0.35">
      <c r="K11498" s="4"/>
      <c r="AC11498" s="7"/>
      <c r="AD11498" s="7"/>
      <c r="AE11498" s="7"/>
      <c r="AF11498" s="8"/>
      <c r="AG11498" s="7"/>
    </row>
    <row r="11499" spans="11:33" ht="14.5" x14ac:dyDescent="0.35">
      <c r="K11499" s="4"/>
      <c r="AC11499" s="7"/>
      <c r="AD11499" s="7"/>
      <c r="AE11499" s="7"/>
      <c r="AF11499" s="8"/>
      <c r="AG11499" s="7"/>
    </row>
    <row r="11500" spans="11:33" ht="14.5" x14ac:dyDescent="0.35">
      <c r="K11500" s="4"/>
      <c r="AC11500" s="7"/>
      <c r="AD11500" s="7"/>
      <c r="AE11500" s="7"/>
      <c r="AF11500" s="8"/>
      <c r="AG11500" s="7"/>
    </row>
    <row r="11501" spans="11:33" ht="14.5" x14ac:dyDescent="0.35">
      <c r="K11501" s="4"/>
      <c r="AC11501" s="7"/>
      <c r="AD11501" s="7"/>
      <c r="AE11501" s="7"/>
      <c r="AF11501" s="8"/>
      <c r="AG11501" s="7"/>
    </row>
    <row r="11502" spans="11:33" ht="14.5" x14ac:dyDescent="0.35">
      <c r="K11502" s="4"/>
      <c r="AC11502" s="7"/>
      <c r="AD11502" s="7"/>
      <c r="AE11502" s="7"/>
      <c r="AF11502" s="8"/>
      <c r="AG11502" s="7"/>
    </row>
    <row r="11503" spans="11:33" ht="14.5" x14ac:dyDescent="0.35">
      <c r="K11503" s="4"/>
      <c r="AC11503" s="7"/>
      <c r="AD11503" s="7"/>
      <c r="AE11503" s="7"/>
      <c r="AF11503" s="8"/>
      <c r="AG11503" s="7"/>
    </row>
    <row r="11504" spans="11:33" ht="14.5" x14ac:dyDescent="0.35">
      <c r="K11504" s="4"/>
      <c r="AC11504" s="7"/>
      <c r="AD11504" s="7"/>
      <c r="AE11504" s="7"/>
      <c r="AF11504" s="8"/>
      <c r="AG11504" s="7"/>
    </row>
    <row r="11505" spans="11:33" ht="14.5" x14ac:dyDescent="0.35">
      <c r="K11505" s="4"/>
      <c r="AC11505" s="7"/>
      <c r="AD11505" s="7"/>
      <c r="AE11505" s="7"/>
      <c r="AF11505" s="8"/>
      <c r="AG11505" s="7"/>
    </row>
    <row r="11506" spans="11:33" ht="14.5" x14ac:dyDescent="0.35">
      <c r="K11506" s="4"/>
      <c r="AC11506" s="7"/>
      <c r="AD11506" s="7"/>
      <c r="AE11506" s="7"/>
      <c r="AF11506" s="8"/>
      <c r="AG11506" s="7"/>
    </row>
    <row r="11507" spans="11:33" ht="14.5" x14ac:dyDescent="0.35">
      <c r="K11507" s="4"/>
      <c r="AC11507" s="7"/>
      <c r="AD11507" s="7"/>
      <c r="AE11507" s="7"/>
      <c r="AF11507" s="8"/>
      <c r="AG11507" s="7"/>
    </row>
    <row r="11508" spans="11:33" ht="14.5" x14ac:dyDescent="0.35">
      <c r="K11508" s="4"/>
      <c r="AC11508" s="7"/>
      <c r="AD11508" s="7"/>
      <c r="AE11508" s="7"/>
      <c r="AF11508" s="8"/>
      <c r="AG11508" s="7"/>
    </row>
    <row r="11509" spans="11:33" ht="14.5" x14ac:dyDescent="0.35">
      <c r="K11509" s="4"/>
      <c r="AC11509" s="7"/>
      <c r="AD11509" s="7"/>
      <c r="AE11509" s="7"/>
      <c r="AF11509" s="8"/>
      <c r="AG11509" s="7"/>
    </row>
    <row r="11510" spans="11:33" ht="14.5" x14ac:dyDescent="0.35">
      <c r="K11510" s="4"/>
      <c r="AC11510" s="7"/>
      <c r="AD11510" s="7"/>
      <c r="AE11510" s="7"/>
      <c r="AF11510" s="8"/>
      <c r="AG11510" s="7"/>
    </row>
    <row r="11511" spans="11:33" ht="14.5" x14ac:dyDescent="0.35">
      <c r="K11511" s="4"/>
      <c r="AC11511" s="7"/>
      <c r="AD11511" s="7"/>
      <c r="AE11511" s="7"/>
      <c r="AF11511" s="8"/>
      <c r="AG11511" s="7"/>
    </row>
    <row r="11512" spans="11:33" ht="14.5" x14ac:dyDescent="0.35">
      <c r="K11512" s="4"/>
      <c r="AC11512" s="7"/>
      <c r="AD11512" s="7"/>
      <c r="AE11512" s="7"/>
      <c r="AF11512" s="8"/>
      <c r="AG11512" s="7"/>
    </row>
    <row r="11513" spans="11:33" ht="14.5" x14ac:dyDescent="0.35">
      <c r="K11513" s="4"/>
      <c r="AC11513" s="7"/>
      <c r="AD11513" s="7"/>
      <c r="AE11513" s="7"/>
      <c r="AF11513" s="8"/>
      <c r="AG11513" s="7"/>
    </row>
    <row r="11514" spans="11:33" ht="14.5" x14ac:dyDescent="0.35">
      <c r="K11514" s="4"/>
      <c r="AC11514" s="7"/>
      <c r="AD11514" s="7"/>
      <c r="AE11514" s="7"/>
      <c r="AF11514" s="8"/>
      <c r="AG11514" s="7"/>
    </row>
    <row r="11515" spans="11:33" ht="14.5" x14ac:dyDescent="0.35">
      <c r="K11515" s="4"/>
      <c r="AC11515" s="7"/>
      <c r="AD11515" s="7"/>
      <c r="AE11515" s="7"/>
      <c r="AF11515" s="8"/>
      <c r="AG11515" s="7"/>
    </row>
    <row r="11516" spans="11:33" ht="14.5" x14ac:dyDescent="0.35">
      <c r="K11516" s="4"/>
      <c r="AC11516" s="7"/>
      <c r="AD11516" s="7"/>
      <c r="AE11516" s="7"/>
      <c r="AF11516" s="8"/>
      <c r="AG11516" s="7"/>
    </row>
    <row r="11517" spans="11:33" ht="14.5" x14ac:dyDescent="0.35">
      <c r="K11517" s="4"/>
      <c r="AC11517" s="7"/>
      <c r="AD11517" s="7"/>
      <c r="AE11517" s="7"/>
      <c r="AF11517" s="8"/>
      <c r="AG11517" s="7"/>
    </row>
    <row r="11518" spans="11:33" ht="14.5" x14ac:dyDescent="0.35">
      <c r="K11518" s="4"/>
      <c r="AC11518" s="7"/>
      <c r="AD11518" s="7"/>
      <c r="AE11518" s="7"/>
      <c r="AF11518" s="8"/>
      <c r="AG11518" s="7"/>
    </row>
    <row r="11519" spans="11:33" ht="14.5" x14ac:dyDescent="0.35">
      <c r="K11519" s="4"/>
      <c r="AC11519" s="7"/>
      <c r="AD11519" s="7"/>
      <c r="AE11519" s="7"/>
      <c r="AF11519" s="8"/>
      <c r="AG11519" s="7"/>
    </row>
    <row r="11520" spans="11:33" ht="14.5" x14ac:dyDescent="0.35">
      <c r="K11520" s="4"/>
      <c r="AC11520" s="7"/>
      <c r="AD11520" s="7"/>
      <c r="AE11520" s="7"/>
      <c r="AF11520" s="8"/>
      <c r="AG11520" s="7"/>
    </row>
    <row r="11521" spans="11:33" ht="14.5" x14ac:dyDescent="0.35">
      <c r="K11521" s="4"/>
      <c r="AC11521" s="7"/>
      <c r="AD11521" s="7"/>
      <c r="AE11521" s="7"/>
      <c r="AF11521" s="8"/>
      <c r="AG11521" s="7"/>
    </row>
    <row r="11522" spans="11:33" ht="14.5" x14ac:dyDescent="0.35">
      <c r="K11522" s="4"/>
      <c r="AC11522" s="7"/>
      <c r="AD11522" s="7"/>
      <c r="AE11522" s="7"/>
      <c r="AF11522" s="8"/>
      <c r="AG11522" s="7"/>
    </row>
    <row r="11523" spans="11:33" ht="14.5" x14ac:dyDescent="0.35">
      <c r="K11523" s="4"/>
      <c r="AC11523" s="7"/>
      <c r="AD11523" s="7"/>
      <c r="AE11523" s="7"/>
      <c r="AF11523" s="8"/>
      <c r="AG11523" s="7"/>
    </row>
    <row r="11524" spans="11:33" ht="14.5" x14ac:dyDescent="0.35">
      <c r="K11524" s="4"/>
      <c r="AC11524" s="7"/>
      <c r="AD11524" s="7"/>
      <c r="AE11524" s="7"/>
      <c r="AF11524" s="8"/>
      <c r="AG11524" s="7"/>
    </row>
    <row r="11525" spans="11:33" ht="14.5" x14ac:dyDescent="0.35">
      <c r="K11525" s="4"/>
      <c r="AC11525" s="7"/>
      <c r="AD11525" s="7"/>
      <c r="AE11525" s="7"/>
      <c r="AF11525" s="8"/>
      <c r="AG11525" s="7"/>
    </row>
    <row r="11526" spans="11:33" ht="14.5" x14ac:dyDescent="0.35">
      <c r="K11526" s="4"/>
      <c r="AC11526" s="7"/>
      <c r="AD11526" s="7"/>
      <c r="AE11526" s="7"/>
      <c r="AF11526" s="8"/>
      <c r="AG11526" s="7"/>
    </row>
    <row r="11527" spans="11:33" ht="14.5" x14ac:dyDescent="0.35">
      <c r="K11527" s="4"/>
      <c r="AC11527" s="7"/>
      <c r="AD11527" s="7"/>
      <c r="AE11527" s="7"/>
      <c r="AF11527" s="8"/>
      <c r="AG11527" s="7"/>
    </row>
    <row r="11528" spans="11:33" ht="14.5" x14ac:dyDescent="0.35">
      <c r="K11528" s="4"/>
      <c r="AC11528" s="7"/>
      <c r="AD11528" s="7"/>
      <c r="AE11528" s="7"/>
      <c r="AF11528" s="8"/>
      <c r="AG11528" s="7"/>
    </row>
    <row r="11529" spans="11:33" ht="14.5" x14ac:dyDescent="0.35">
      <c r="K11529" s="4"/>
      <c r="AC11529" s="7"/>
      <c r="AD11529" s="7"/>
      <c r="AE11529" s="7"/>
      <c r="AF11529" s="8"/>
      <c r="AG11529" s="7"/>
    </row>
    <row r="11530" spans="11:33" ht="14.5" x14ac:dyDescent="0.35">
      <c r="K11530" s="4"/>
      <c r="AC11530" s="7"/>
      <c r="AD11530" s="7"/>
      <c r="AE11530" s="7"/>
      <c r="AF11530" s="8"/>
      <c r="AG11530" s="7"/>
    </row>
    <row r="11531" spans="11:33" ht="14.5" x14ac:dyDescent="0.35">
      <c r="K11531" s="4"/>
      <c r="AC11531" s="7"/>
      <c r="AD11531" s="7"/>
      <c r="AE11531" s="7"/>
      <c r="AF11531" s="8"/>
      <c r="AG11531" s="7"/>
    </row>
    <row r="11532" spans="11:33" ht="14.5" x14ac:dyDescent="0.35">
      <c r="K11532" s="4"/>
      <c r="AC11532" s="7"/>
      <c r="AD11532" s="7"/>
      <c r="AE11532" s="7"/>
      <c r="AF11532" s="8"/>
      <c r="AG11532" s="7"/>
    </row>
    <row r="11533" spans="11:33" ht="14.5" x14ac:dyDescent="0.35">
      <c r="K11533" s="4"/>
      <c r="AC11533" s="7"/>
      <c r="AD11533" s="7"/>
      <c r="AE11533" s="7"/>
      <c r="AF11533" s="8"/>
      <c r="AG11533" s="7"/>
    </row>
    <row r="11534" spans="11:33" ht="14.5" x14ac:dyDescent="0.35">
      <c r="K11534" s="4"/>
      <c r="AC11534" s="7"/>
      <c r="AD11534" s="7"/>
      <c r="AE11534" s="7"/>
      <c r="AF11534" s="8"/>
      <c r="AG11534" s="7"/>
    </row>
    <row r="11535" spans="11:33" ht="14.5" x14ac:dyDescent="0.35">
      <c r="K11535" s="4"/>
      <c r="AC11535" s="7"/>
      <c r="AD11535" s="7"/>
      <c r="AE11535" s="7"/>
      <c r="AF11535" s="8"/>
      <c r="AG11535" s="7"/>
    </row>
    <row r="11536" spans="11:33" ht="14.5" x14ac:dyDescent="0.35">
      <c r="K11536" s="4"/>
      <c r="AC11536" s="7"/>
      <c r="AD11536" s="7"/>
      <c r="AE11536" s="7"/>
      <c r="AF11536" s="8"/>
      <c r="AG11536" s="7"/>
    </row>
    <row r="11537" spans="11:33" ht="14.5" x14ac:dyDescent="0.35">
      <c r="K11537" s="4"/>
      <c r="AC11537" s="7"/>
      <c r="AD11537" s="7"/>
      <c r="AE11537" s="7"/>
      <c r="AF11537" s="8"/>
      <c r="AG11537" s="7"/>
    </row>
    <row r="11538" spans="11:33" ht="14.5" x14ac:dyDescent="0.35">
      <c r="K11538" s="4"/>
      <c r="AC11538" s="7"/>
      <c r="AD11538" s="7"/>
      <c r="AE11538" s="7"/>
      <c r="AF11538" s="8"/>
      <c r="AG11538" s="7"/>
    </row>
    <row r="11539" spans="11:33" ht="14.5" x14ac:dyDescent="0.35">
      <c r="K11539" s="4"/>
      <c r="AC11539" s="7"/>
      <c r="AD11539" s="7"/>
      <c r="AE11539" s="7"/>
      <c r="AF11539" s="8"/>
      <c r="AG11539" s="7"/>
    </row>
    <row r="11540" spans="11:33" ht="14.5" x14ac:dyDescent="0.35">
      <c r="K11540" s="4"/>
      <c r="AC11540" s="7"/>
      <c r="AD11540" s="7"/>
      <c r="AE11540" s="7"/>
      <c r="AF11540" s="8"/>
      <c r="AG11540" s="7"/>
    </row>
    <row r="11541" spans="11:33" ht="14.5" x14ac:dyDescent="0.35">
      <c r="K11541" s="4"/>
      <c r="AC11541" s="7"/>
      <c r="AD11541" s="7"/>
      <c r="AE11541" s="7"/>
      <c r="AF11541" s="8"/>
      <c r="AG11541" s="7"/>
    </row>
    <row r="11542" spans="11:33" ht="14.5" x14ac:dyDescent="0.35">
      <c r="K11542" s="4"/>
      <c r="AC11542" s="7"/>
      <c r="AD11542" s="7"/>
      <c r="AE11542" s="7"/>
      <c r="AF11542" s="8"/>
      <c r="AG11542" s="7"/>
    </row>
    <row r="11543" spans="11:33" ht="14.5" x14ac:dyDescent="0.35">
      <c r="K11543" s="4"/>
      <c r="AC11543" s="7"/>
      <c r="AD11543" s="7"/>
      <c r="AE11543" s="7"/>
      <c r="AF11543" s="8"/>
      <c r="AG11543" s="7"/>
    </row>
    <row r="11544" spans="11:33" ht="14.5" x14ac:dyDescent="0.35">
      <c r="K11544" s="4"/>
      <c r="AC11544" s="7"/>
      <c r="AD11544" s="7"/>
      <c r="AE11544" s="7"/>
      <c r="AF11544" s="8"/>
      <c r="AG11544" s="7"/>
    </row>
    <row r="11545" spans="11:33" ht="14.5" x14ac:dyDescent="0.35">
      <c r="K11545" s="4"/>
      <c r="AC11545" s="7"/>
      <c r="AD11545" s="7"/>
      <c r="AE11545" s="7"/>
      <c r="AF11545" s="8"/>
      <c r="AG11545" s="7"/>
    </row>
    <row r="11546" spans="11:33" ht="14.5" x14ac:dyDescent="0.35">
      <c r="K11546" s="4"/>
      <c r="AC11546" s="7"/>
      <c r="AD11546" s="7"/>
      <c r="AE11546" s="7"/>
      <c r="AF11546" s="8"/>
      <c r="AG11546" s="7"/>
    </row>
    <row r="11547" spans="11:33" ht="14.5" x14ac:dyDescent="0.35">
      <c r="K11547" s="4"/>
      <c r="AC11547" s="7"/>
      <c r="AD11547" s="7"/>
      <c r="AE11547" s="7"/>
      <c r="AF11547" s="8"/>
      <c r="AG11547" s="7"/>
    </row>
    <row r="11548" spans="11:33" ht="14.5" x14ac:dyDescent="0.35">
      <c r="K11548" s="4"/>
      <c r="AC11548" s="7"/>
      <c r="AD11548" s="7"/>
      <c r="AE11548" s="7"/>
      <c r="AF11548" s="8"/>
      <c r="AG11548" s="7"/>
    </row>
    <row r="11549" spans="11:33" ht="14.5" x14ac:dyDescent="0.35">
      <c r="K11549" s="4"/>
      <c r="AC11549" s="7"/>
      <c r="AD11549" s="7"/>
      <c r="AE11549" s="7"/>
      <c r="AF11549" s="8"/>
      <c r="AG11549" s="7"/>
    </row>
    <row r="11550" spans="11:33" ht="14.5" x14ac:dyDescent="0.35">
      <c r="K11550" s="4"/>
      <c r="AC11550" s="7"/>
      <c r="AD11550" s="7"/>
      <c r="AE11550" s="7"/>
      <c r="AF11550" s="8"/>
      <c r="AG11550" s="7"/>
    </row>
    <row r="11551" spans="11:33" ht="14.5" x14ac:dyDescent="0.35">
      <c r="K11551" s="4"/>
      <c r="AC11551" s="7"/>
      <c r="AD11551" s="7"/>
      <c r="AE11551" s="7"/>
      <c r="AF11551" s="8"/>
      <c r="AG11551" s="7"/>
    </row>
    <row r="11552" spans="11:33" ht="14.5" x14ac:dyDescent="0.35">
      <c r="K11552" s="4"/>
      <c r="AC11552" s="7"/>
      <c r="AD11552" s="7"/>
      <c r="AE11552" s="7"/>
      <c r="AF11552" s="8"/>
      <c r="AG11552" s="7"/>
    </row>
    <row r="11553" spans="11:33" ht="14.5" x14ac:dyDescent="0.35">
      <c r="K11553" s="4"/>
      <c r="AC11553" s="7"/>
      <c r="AD11553" s="7"/>
      <c r="AE11553" s="7"/>
      <c r="AF11553" s="8"/>
      <c r="AG11553" s="7"/>
    </row>
    <row r="11554" spans="11:33" ht="14.5" x14ac:dyDescent="0.35">
      <c r="K11554" s="4"/>
      <c r="AC11554" s="7"/>
      <c r="AD11554" s="7"/>
      <c r="AE11554" s="7"/>
      <c r="AF11554" s="8"/>
      <c r="AG11554" s="7"/>
    </row>
    <row r="11555" spans="11:33" ht="14.5" x14ac:dyDescent="0.35">
      <c r="K11555" s="4"/>
      <c r="AC11555" s="7"/>
      <c r="AD11555" s="7"/>
      <c r="AE11555" s="7"/>
      <c r="AF11555" s="8"/>
      <c r="AG11555" s="7"/>
    </row>
    <row r="11556" spans="11:33" ht="14.5" x14ac:dyDescent="0.35">
      <c r="K11556" s="4"/>
      <c r="AC11556" s="7"/>
      <c r="AD11556" s="7"/>
      <c r="AE11556" s="7"/>
      <c r="AF11556" s="8"/>
      <c r="AG11556" s="7"/>
    </row>
    <row r="11557" spans="11:33" ht="14.5" x14ac:dyDescent="0.35">
      <c r="K11557" s="4"/>
      <c r="AC11557" s="7"/>
      <c r="AD11557" s="7"/>
      <c r="AE11557" s="7"/>
      <c r="AF11557" s="8"/>
      <c r="AG11557" s="7"/>
    </row>
    <row r="11558" spans="11:33" ht="14.5" x14ac:dyDescent="0.35">
      <c r="K11558" s="4"/>
      <c r="AC11558" s="7"/>
      <c r="AD11558" s="7"/>
      <c r="AE11558" s="7"/>
      <c r="AF11558" s="8"/>
      <c r="AG11558" s="7"/>
    </row>
    <row r="11559" spans="11:33" ht="14.5" x14ac:dyDescent="0.35">
      <c r="K11559" s="4"/>
      <c r="AC11559" s="7"/>
      <c r="AD11559" s="7"/>
      <c r="AE11559" s="7"/>
      <c r="AF11559" s="8"/>
      <c r="AG11559" s="7"/>
    </row>
    <row r="11560" spans="11:33" ht="14.5" x14ac:dyDescent="0.35">
      <c r="K11560" s="4"/>
      <c r="AC11560" s="7"/>
      <c r="AD11560" s="7"/>
      <c r="AE11560" s="7"/>
      <c r="AF11560" s="8"/>
      <c r="AG11560" s="7"/>
    </row>
    <row r="11561" spans="11:33" ht="14.5" x14ac:dyDescent="0.35">
      <c r="K11561" s="4"/>
      <c r="AC11561" s="7"/>
      <c r="AD11561" s="7"/>
      <c r="AE11561" s="7"/>
      <c r="AF11561" s="8"/>
      <c r="AG11561" s="7"/>
    </row>
    <row r="11562" spans="11:33" ht="14.5" x14ac:dyDescent="0.35">
      <c r="K11562" s="4"/>
      <c r="AC11562" s="7"/>
      <c r="AD11562" s="7"/>
      <c r="AE11562" s="7"/>
      <c r="AF11562" s="8"/>
      <c r="AG11562" s="7"/>
    </row>
    <row r="11563" spans="11:33" ht="14.5" x14ac:dyDescent="0.35">
      <c r="K11563" s="4"/>
      <c r="AC11563" s="7"/>
      <c r="AD11563" s="7"/>
      <c r="AE11563" s="7"/>
      <c r="AF11563" s="8"/>
      <c r="AG11563" s="7"/>
    </row>
    <row r="11564" spans="11:33" ht="14.5" x14ac:dyDescent="0.35">
      <c r="K11564" s="4"/>
      <c r="AC11564" s="7"/>
      <c r="AD11564" s="7"/>
      <c r="AE11564" s="7"/>
      <c r="AF11564" s="8"/>
      <c r="AG11564" s="7"/>
    </row>
    <row r="11565" spans="11:33" ht="14.5" x14ac:dyDescent="0.35">
      <c r="K11565" s="4"/>
      <c r="AC11565" s="7"/>
      <c r="AD11565" s="7"/>
      <c r="AE11565" s="7"/>
      <c r="AF11565" s="8"/>
      <c r="AG11565" s="7"/>
    </row>
    <row r="11566" spans="11:33" ht="14.5" x14ac:dyDescent="0.35">
      <c r="K11566" s="4"/>
      <c r="AC11566" s="7"/>
      <c r="AD11566" s="7"/>
      <c r="AE11566" s="7"/>
      <c r="AF11566" s="8"/>
      <c r="AG11566" s="7"/>
    </row>
    <row r="11567" spans="11:33" ht="14.5" x14ac:dyDescent="0.35">
      <c r="K11567" s="4"/>
      <c r="AC11567" s="7"/>
      <c r="AD11567" s="7"/>
      <c r="AE11567" s="7"/>
      <c r="AF11567" s="8"/>
      <c r="AG11567" s="7"/>
    </row>
    <row r="11568" spans="11:33" ht="14.5" x14ac:dyDescent="0.35">
      <c r="K11568" s="4"/>
      <c r="AC11568" s="7"/>
      <c r="AD11568" s="7"/>
      <c r="AE11568" s="7"/>
      <c r="AF11568" s="8"/>
      <c r="AG11568" s="7"/>
    </row>
    <row r="11569" spans="11:33" ht="14.5" x14ac:dyDescent="0.35">
      <c r="K11569" s="4"/>
      <c r="AC11569" s="7"/>
      <c r="AD11569" s="7"/>
      <c r="AE11569" s="7"/>
      <c r="AF11569" s="8"/>
      <c r="AG11569" s="7"/>
    </row>
    <row r="11570" spans="11:33" ht="14.5" x14ac:dyDescent="0.35">
      <c r="K11570" s="4"/>
      <c r="AC11570" s="7"/>
      <c r="AD11570" s="7"/>
      <c r="AE11570" s="7"/>
      <c r="AF11570" s="8"/>
      <c r="AG11570" s="7"/>
    </row>
    <row r="11571" spans="11:33" ht="14.5" x14ac:dyDescent="0.35">
      <c r="K11571" s="4"/>
      <c r="AC11571" s="7"/>
      <c r="AD11571" s="7"/>
      <c r="AE11571" s="7"/>
      <c r="AF11571" s="8"/>
      <c r="AG11571" s="7"/>
    </row>
    <row r="11572" spans="11:33" ht="14.5" x14ac:dyDescent="0.35">
      <c r="K11572" s="4"/>
      <c r="AC11572" s="7"/>
      <c r="AD11572" s="7"/>
      <c r="AE11572" s="7"/>
      <c r="AF11572" s="8"/>
      <c r="AG11572" s="7"/>
    </row>
    <row r="11573" spans="11:33" ht="14.5" x14ac:dyDescent="0.35">
      <c r="K11573" s="4"/>
      <c r="AC11573" s="7"/>
      <c r="AD11573" s="7"/>
      <c r="AE11573" s="7"/>
      <c r="AF11573" s="8"/>
      <c r="AG11573" s="7"/>
    </row>
    <row r="11574" spans="11:33" ht="14.5" x14ac:dyDescent="0.35">
      <c r="K11574" s="4"/>
      <c r="AC11574" s="7"/>
      <c r="AD11574" s="7"/>
      <c r="AE11574" s="7"/>
      <c r="AF11574" s="8"/>
      <c r="AG11574" s="7"/>
    </row>
    <row r="11575" spans="11:33" ht="14.5" x14ac:dyDescent="0.35">
      <c r="K11575" s="4"/>
      <c r="AC11575" s="7"/>
      <c r="AD11575" s="7"/>
      <c r="AE11575" s="7"/>
      <c r="AF11575" s="8"/>
      <c r="AG11575" s="7"/>
    </row>
    <row r="11576" spans="11:33" ht="14.5" x14ac:dyDescent="0.35">
      <c r="K11576" s="4"/>
      <c r="AC11576" s="7"/>
      <c r="AD11576" s="7"/>
      <c r="AE11576" s="7"/>
      <c r="AF11576" s="8"/>
      <c r="AG11576" s="7"/>
    </row>
    <row r="11577" spans="11:33" ht="14.5" x14ac:dyDescent="0.35">
      <c r="K11577" s="4"/>
      <c r="AC11577" s="7"/>
      <c r="AD11577" s="7"/>
      <c r="AE11577" s="7"/>
      <c r="AF11577" s="8"/>
      <c r="AG11577" s="7"/>
    </row>
    <row r="11578" spans="11:33" ht="14.5" x14ac:dyDescent="0.35">
      <c r="K11578" s="4"/>
      <c r="AC11578" s="7"/>
      <c r="AD11578" s="7"/>
      <c r="AE11578" s="7"/>
      <c r="AF11578" s="8"/>
      <c r="AG11578" s="7"/>
    </row>
    <row r="11579" spans="11:33" ht="14.5" x14ac:dyDescent="0.35">
      <c r="K11579" s="4"/>
      <c r="AC11579" s="7"/>
      <c r="AD11579" s="7"/>
      <c r="AE11579" s="7"/>
      <c r="AF11579" s="8"/>
      <c r="AG11579" s="7"/>
    </row>
    <row r="11580" spans="11:33" ht="14.5" x14ac:dyDescent="0.35">
      <c r="K11580" s="4"/>
      <c r="AC11580" s="7"/>
      <c r="AD11580" s="7"/>
      <c r="AE11580" s="7"/>
      <c r="AF11580" s="8"/>
      <c r="AG11580" s="7"/>
    </row>
    <row r="11581" spans="11:33" ht="14.5" x14ac:dyDescent="0.35">
      <c r="K11581" s="4"/>
      <c r="AC11581" s="7"/>
      <c r="AD11581" s="7"/>
      <c r="AE11581" s="7"/>
      <c r="AF11581" s="8"/>
      <c r="AG11581" s="7"/>
    </row>
    <row r="11582" spans="11:33" ht="14.5" x14ac:dyDescent="0.35">
      <c r="K11582" s="4"/>
      <c r="AC11582" s="7"/>
      <c r="AD11582" s="7"/>
      <c r="AE11582" s="7"/>
      <c r="AF11582" s="8"/>
      <c r="AG11582" s="7"/>
    </row>
    <row r="11583" spans="11:33" ht="14.5" x14ac:dyDescent="0.35">
      <c r="K11583" s="4"/>
      <c r="AC11583" s="7"/>
      <c r="AD11583" s="7"/>
      <c r="AE11583" s="7"/>
      <c r="AF11583" s="8"/>
      <c r="AG11583" s="7"/>
    </row>
    <row r="11584" spans="11:33" ht="14.5" x14ac:dyDescent="0.35">
      <c r="K11584" s="4"/>
      <c r="AC11584" s="7"/>
      <c r="AD11584" s="7"/>
      <c r="AE11584" s="7"/>
      <c r="AF11584" s="8"/>
      <c r="AG11584" s="7"/>
    </row>
    <row r="11585" spans="11:33" ht="14.5" x14ac:dyDescent="0.35">
      <c r="K11585" s="4"/>
      <c r="AC11585" s="7"/>
      <c r="AD11585" s="7"/>
      <c r="AE11585" s="7"/>
      <c r="AF11585" s="8"/>
      <c r="AG11585" s="7"/>
    </row>
    <row r="11586" spans="11:33" ht="14.5" x14ac:dyDescent="0.35">
      <c r="K11586" s="4"/>
      <c r="AC11586" s="7"/>
      <c r="AD11586" s="7"/>
      <c r="AE11586" s="7"/>
      <c r="AF11586" s="8"/>
      <c r="AG11586" s="7"/>
    </row>
    <row r="11587" spans="11:33" ht="14.5" x14ac:dyDescent="0.35">
      <c r="K11587" s="4"/>
      <c r="AC11587" s="7"/>
      <c r="AD11587" s="7"/>
      <c r="AE11587" s="7"/>
      <c r="AF11587" s="8"/>
      <c r="AG11587" s="7"/>
    </row>
    <row r="11588" spans="11:33" ht="14.5" x14ac:dyDescent="0.35">
      <c r="K11588" s="4"/>
      <c r="AC11588" s="7"/>
      <c r="AD11588" s="7"/>
      <c r="AE11588" s="7"/>
      <c r="AF11588" s="8"/>
      <c r="AG11588" s="7"/>
    </row>
    <row r="11589" spans="11:33" ht="14.5" x14ac:dyDescent="0.35">
      <c r="K11589" s="4"/>
      <c r="AC11589" s="7"/>
      <c r="AD11589" s="7"/>
      <c r="AE11589" s="7"/>
      <c r="AF11589" s="8"/>
      <c r="AG11589" s="7"/>
    </row>
    <row r="11590" spans="11:33" ht="14.5" x14ac:dyDescent="0.35">
      <c r="K11590" s="4"/>
      <c r="AC11590" s="7"/>
      <c r="AD11590" s="7"/>
      <c r="AE11590" s="7"/>
      <c r="AF11590" s="8"/>
      <c r="AG11590" s="7"/>
    </row>
    <row r="11591" spans="11:33" ht="14.5" x14ac:dyDescent="0.35">
      <c r="K11591" s="4"/>
      <c r="AC11591" s="7"/>
      <c r="AD11591" s="7"/>
      <c r="AE11591" s="7"/>
      <c r="AF11591" s="8"/>
      <c r="AG11591" s="7"/>
    </row>
    <row r="11592" spans="11:33" ht="14.5" x14ac:dyDescent="0.35">
      <c r="K11592" s="4"/>
      <c r="AC11592" s="7"/>
      <c r="AD11592" s="7"/>
      <c r="AE11592" s="7"/>
      <c r="AF11592" s="8"/>
      <c r="AG11592" s="7"/>
    </row>
    <row r="11593" spans="11:33" ht="14.5" x14ac:dyDescent="0.35">
      <c r="K11593" s="4"/>
      <c r="AC11593" s="7"/>
      <c r="AD11593" s="7"/>
      <c r="AE11593" s="7"/>
      <c r="AF11593" s="8"/>
      <c r="AG11593" s="7"/>
    </row>
    <row r="11594" spans="11:33" ht="14.5" x14ac:dyDescent="0.35">
      <c r="K11594" s="4"/>
      <c r="AC11594" s="7"/>
      <c r="AD11594" s="7"/>
      <c r="AE11594" s="7"/>
      <c r="AF11594" s="8"/>
      <c r="AG11594" s="7"/>
    </row>
    <row r="11595" spans="11:33" ht="14.5" x14ac:dyDescent="0.35">
      <c r="K11595" s="4"/>
      <c r="AC11595" s="7"/>
      <c r="AD11595" s="7"/>
      <c r="AE11595" s="7"/>
      <c r="AF11595" s="8"/>
      <c r="AG11595" s="7"/>
    </row>
    <row r="11596" spans="11:33" ht="14.5" x14ac:dyDescent="0.35">
      <c r="K11596" s="4"/>
      <c r="AC11596" s="7"/>
      <c r="AD11596" s="7"/>
      <c r="AE11596" s="7"/>
      <c r="AF11596" s="8"/>
      <c r="AG11596" s="7"/>
    </row>
    <row r="11597" spans="11:33" ht="14.5" x14ac:dyDescent="0.35">
      <c r="K11597" s="4"/>
      <c r="AC11597" s="7"/>
      <c r="AD11597" s="7"/>
      <c r="AE11597" s="7"/>
      <c r="AF11597" s="8"/>
      <c r="AG11597" s="7"/>
    </row>
    <row r="11598" spans="11:33" ht="14.5" x14ac:dyDescent="0.35">
      <c r="K11598" s="4"/>
      <c r="AC11598" s="7"/>
      <c r="AD11598" s="7"/>
      <c r="AE11598" s="7"/>
      <c r="AF11598" s="8"/>
      <c r="AG11598" s="7"/>
    </row>
    <row r="11599" spans="11:33" ht="14.5" x14ac:dyDescent="0.35">
      <c r="K11599" s="4"/>
      <c r="AC11599" s="7"/>
      <c r="AD11599" s="7"/>
      <c r="AE11599" s="7"/>
      <c r="AF11599" s="8"/>
      <c r="AG11599" s="7"/>
    </row>
    <row r="11600" spans="11:33" ht="14.5" x14ac:dyDescent="0.35">
      <c r="K11600" s="4"/>
      <c r="AC11600" s="7"/>
      <c r="AD11600" s="7"/>
      <c r="AE11600" s="7"/>
      <c r="AF11600" s="8"/>
      <c r="AG11600" s="7"/>
    </row>
    <row r="11601" spans="11:33" ht="14.5" x14ac:dyDescent="0.35">
      <c r="K11601" s="4"/>
      <c r="AC11601" s="7"/>
      <c r="AD11601" s="7"/>
      <c r="AE11601" s="7"/>
      <c r="AF11601" s="8"/>
      <c r="AG11601" s="7"/>
    </row>
    <row r="11602" spans="11:33" ht="14.5" x14ac:dyDescent="0.35">
      <c r="K11602" s="4"/>
      <c r="AC11602" s="7"/>
      <c r="AD11602" s="7"/>
      <c r="AE11602" s="7"/>
      <c r="AF11602" s="8"/>
      <c r="AG11602" s="7"/>
    </row>
    <row r="11603" spans="11:33" ht="14.5" x14ac:dyDescent="0.35">
      <c r="K11603" s="4"/>
      <c r="AC11603" s="7"/>
      <c r="AD11603" s="7"/>
      <c r="AE11603" s="7"/>
      <c r="AF11603" s="8"/>
      <c r="AG11603" s="7"/>
    </row>
    <row r="11604" spans="11:33" ht="14.5" x14ac:dyDescent="0.35">
      <c r="K11604" s="4"/>
      <c r="AC11604" s="7"/>
      <c r="AD11604" s="7"/>
      <c r="AE11604" s="7"/>
      <c r="AF11604" s="8"/>
      <c r="AG11604" s="7"/>
    </row>
    <row r="11605" spans="11:33" ht="14.5" x14ac:dyDescent="0.35">
      <c r="K11605" s="4"/>
      <c r="AC11605" s="7"/>
      <c r="AD11605" s="7"/>
      <c r="AE11605" s="7"/>
      <c r="AF11605" s="8"/>
      <c r="AG11605" s="7"/>
    </row>
    <row r="11606" spans="11:33" ht="14.5" x14ac:dyDescent="0.35">
      <c r="K11606" s="4"/>
      <c r="AC11606" s="7"/>
      <c r="AD11606" s="7"/>
      <c r="AE11606" s="7"/>
      <c r="AF11606" s="8"/>
      <c r="AG11606" s="7"/>
    </row>
    <row r="11607" spans="11:33" ht="14.5" x14ac:dyDescent="0.35">
      <c r="K11607" s="4"/>
      <c r="AC11607" s="7"/>
      <c r="AD11607" s="7"/>
      <c r="AE11607" s="7"/>
      <c r="AF11607" s="8"/>
      <c r="AG11607" s="7"/>
    </row>
    <row r="11608" spans="11:33" ht="14.5" x14ac:dyDescent="0.35">
      <c r="K11608" s="4"/>
      <c r="AC11608" s="7"/>
      <c r="AD11608" s="7"/>
      <c r="AE11608" s="7"/>
      <c r="AF11608" s="8"/>
      <c r="AG11608" s="7"/>
    </row>
    <row r="11609" spans="11:33" ht="14.5" x14ac:dyDescent="0.35">
      <c r="K11609" s="4"/>
      <c r="AC11609" s="7"/>
      <c r="AD11609" s="7"/>
      <c r="AE11609" s="7"/>
      <c r="AF11609" s="8"/>
      <c r="AG11609" s="7"/>
    </row>
    <row r="11610" spans="11:33" ht="14.5" x14ac:dyDescent="0.35">
      <c r="K11610" s="4"/>
      <c r="AC11610" s="7"/>
      <c r="AD11610" s="7"/>
      <c r="AE11610" s="7"/>
      <c r="AF11610" s="8"/>
      <c r="AG11610" s="7"/>
    </row>
    <row r="11611" spans="11:33" ht="14.5" x14ac:dyDescent="0.35">
      <c r="K11611" s="4"/>
      <c r="AC11611" s="7"/>
      <c r="AD11611" s="7"/>
      <c r="AE11611" s="7"/>
      <c r="AF11611" s="8"/>
      <c r="AG11611" s="7"/>
    </row>
    <row r="11612" spans="11:33" ht="14.5" x14ac:dyDescent="0.35">
      <c r="K11612" s="4"/>
      <c r="AC11612" s="7"/>
      <c r="AD11612" s="7"/>
      <c r="AE11612" s="7"/>
      <c r="AF11612" s="8"/>
      <c r="AG11612" s="7"/>
    </row>
    <row r="11613" spans="11:33" ht="14.5" x14ac:dyDescent="0.35">
      <c r="K11613" s="4"/>
      <c r="AC11613" s="7"/>
      <c r="AD11613" s="7"/>
      <c r="AE11613" s="7"/>
      <c r="AF11613" s="8"/>
      <c r="AG11613" s="7"/>
    </row>
    <row r="11614" spans="11:33" ht="14.5" x14ac:dyDescent="0.35">
      <c r="K11614" s="4"/>
      <c r="AC11614" s="7"/>
      <c r="AD11614" s="7"/>
      <c r="AE11614" s="7"/>
      <c r="AF11614" s="8"/>
      <c r="AG11614" s="7"/>
    </row>
    <row r="11615" spans="11:33" ht="14.5" x14ac:dyDescent="0.35">
      <c r="K11615" s="4"/>
      <c r="AC11615" s="7"/>
      <c r="AD11615" s="7"/>
      <c r="AE11615" s="7"/>
      <c r="AF11615" s="8"/>
      <c r="AG11615" s="7"/>
    </row>
    <row r="11616" spans="11:33" ht="14.5" x14ac:dyDescent="0.35">
      <c r="K11616" s="4"/>
      <c r="AC11616" s="7"/>
      <c r="AD11616" s="7"/>
      <c r="AE11616" s="7"/>
      <c r="AF11616" s="8"/>
      <c r="AG11616" s="7"/>
    </row>
    <row r="11617" spans="11:33" ht="14.5" x14ac:dyDescent="0.35">
      <c r="K11617" s="4"/>
      <c r="AC11617" s="7"/>
      <c r="AD11617" s="7"/>
      <c r="AE11617" s="7"/>
      <c r="AF11617" s="8"/>
      <c r="AG11617" s="7"/>
    </row>
    <row r="11618" spans="11:33" ht="14.5" x14ac:dyDescent="0.35">
      <c r="K11618" s="4"/>
      <c r="AC11618" s="7"/>
      <c r="AD11618" s="7"/>
      <c r="AE11618" s="7"/>
      <c r="AF11618" s="8"/>
      <c r="AG11618" s="7"/>
    </row>
    <row r="11619" spans="11:33" ht="14.5" x14ac:dyDescent="0.35">
      <c r="K11619" s="4"/>
      <c r="AC11619" s="7"/>
      <c r="AD11619" s="7"/>
      <c r="AE11619" s="7"/>
      <c r="AF11619" s="8"/>
      <c r="AG11619" s="7"/>
    </row>
    <row r="11620" spans="11:33" ht="14.5" x14ac:dyDescent="0.35">
      <c r="K11620" s="4"/>
      <c r="AC11620" s="7"/>
      <c r="AD11620" s="7"/>
      <c r="AE11620" s="7"/>
      <c r="AF11620" s="8"/>
      <c r="AG11620" s="7"/>
    </row>
    <row r="11621" spans="11:33" ht="14.5" x14ac:dyDescent="0.35">
      <c r="K11621" s="4"/>
      <c r="AC11621" s="7"/>
      <c r="AD11621" s="7"/>
      <c r="AE11621" s="7"/>
      <c r="AF11621" s="8"/>
      <c r="AG11621" s="7"/>
    </row>
    <row r="11622" spans="11:33" ht="14.5" x14ac:dyDescent="0.35">
      <c r="K11622" s="4"/>
      <c r="AC11622" s="7"/>
      <c r="AD11622" s="7"/>
      <c r="AE11622" s="7"/>
      <c r="AF11622" s="8"/>
      <c r="AG11622" s="7"/>
    </row>
    <row r="11623" spans="11:33" ht="14.5" x14ac:dyDescent="0.35">
      <c r="K11623" s="4"/>
      <c r="AC11623" s="7"/>
      <c r="AD11623" s="7"/>
      <c r="AE11623" s="7"/>
      <c r="AF11623" s="8"/>
      <c r="AG11623" s="7"/>
    </row>
    <row r="11624" spans="11:33" ht="14.5" x14ac:dyDescent="0.35">
      <c r="K11624" s="4"/>
      <c r="AC11624" s="7"/>
      <c r="AD11624" s="7"/>
      <c r="AE11624" s="7"/>
      <c r="AF11624" s="8"/>
      <c r="AG11624" s="7"/>
    </row>
    <row r="11625" spans="11:33" ht="14.5" x14ac:dyDescent="0.35">
      <c r="K11625" s="4"/>
      <c r="AC11625" s="7"/>
      <c r="AD11625" s="7"/>
      <c r="AE11625" s="7"/>
      <c r="AF11625" s="8"/>
      <c r="AG11625" s="7"/>
    </row>
    <row r="11626" spans="11:33" ht="14.5" x14ac:dyDescent="0.35">
      <c r="K11626" s="4"/>
      <c r="AC11626" s="7"/>
      <c r="AD11626" s="7"/>
      <c r="AE11626" s="7"/>
      <c r="AF11626" s="8"/>
      <c r="AG11626" s="7"/>
    </row>
    <row r="11627" spans="11:33" ht="14.5" x14ac:dyDescent="0.35">
      <c r="K11627" s="4"/>
      <c r="AC11627" s="7"/>
      <c r="AD11627" s="7"/>
      <c r="AE11627" s="7"/>
      <c r="AF11627" s="8"/>
      <c r="AG11627" s="7"/>
    </row>
    <row r="11628" spans="11:33" ht="14.5" x14ac:dyDescent="0.35">
      <c r="K11628" s="4"/>
      <c r="AC11628" s="7"/>
      <c r="AD11628" s="7"/>
      <c r="AE11628" s="7"/>
      <c r="AF11628" s="8"/>
      <c r="AG11628" s="7"/>
    </row>
    <row r="11629" spans="11:33" ht="14.5" x14ac:dyDescent="0.35">
      <c r="K11629" s="4"/>
      <c r="AC11629" s="7"/>
      <c r="AD11629" s="7"/>
      <c r="AE11629" s="7"/>
      <c r="AF11629" s="8"/>
      <c r="AG11629" s="7"/>
    </row>
    <row r="11630" spans="11:33" ht="14.5" x14ac:dyDescent="0.35">
      <c r="K11630" s="4"/>
      <c r="AC11630" s="7"/>
      <c r="AD11630" s="7"/>
      <c r="AE11630" s="7"/>
      <c r="AF11630" s="8"/>
      <c r="AG11630" s="7"/>
    </row>
    <row r="11631" spans="11:33" ht="14.5" x14ac:dyDescent="0.35">
      <c r="K11631" s="4"/>
      <c r="AC11631" s="7"/>
      <c r="AD11631" s="7"/>
      <c r="AE11631" s="7"/>
      <c r="AF11631" s="8"/>
      <c r="AG11631" s="7"/>
    </row>
    <row r="11632" spans="11:33" ht="14.5" x14ac:dyDescent="0.35">
      <c r="K11632" s="4"/>
      <c r="AC11632" s="7"/>
      <c r="AD11632" s="7"/>
      <c r="AE11632" s="7"/>
      <c r="AF11632" s="8"/>
      <c r="AG11632" s="7"/>
    </row>
    <row r="11633" spans="11:33" ht="14.5" x14ac:dyDescent="0.35">
      <c r="K11633" s="4"/>
      <c r="AC11633" s="7"/>
      <c r="AD11633" s="7"/>
      <c r="AE11633" s="7"/>
      <c r="AF11633" s="8"/>
      <c r="AG11633" s="7"/>
    </row>
    <row r="11634" spans="11:33" ht="14.5" x14ac:dyDescent="0.35">
      <c r="K11634" s="4"/>
      <c r="AC11634" s="7"/>
      <c r="AD11634" s="7"/>
      <c r="AE11634" s="7"/>
      <c r="AF11634" s="8"/>
      <c r="AG11634" s="7"/>
    </row>
    <row r="11635" spans="11:33" ht="14.5" x14ac:dyDescent="0.35">
      <c r="K11635" s="4"/>
      <c r="AC11635" s="7"/>
      <c r="AD11635" s="7"/>
      <c r="AE11635" s="7"/>
      <c r="AF11635" s="8"/>
      <c r="AG11635" s="7"/>
    </row>
    <row r="11636" spans="11:33" ht="14.5" x14ac:dyDescent="0.35">
      <c r="K11636" s="4"/>
      <c r="AC11636" s="7"/>
      <c r="AD11636" s="7"/>
      <c r="AE11636" s="7"/>
      <c r="AF11636" s="8"/>
      <c r="AG11636" s="7"/>
    </row>
    <row r="11637" spans="11:33" ht="14.5" x14ac:dyDescent="0.35">
      <c r="K11637" s="4"/>
      <c r="AC11637" s="7"/>
      <c r="AD11637" s="7"/>
      <c r="AE11637" s="7"/>
      <c r="AF11637" s="8"/>
      <c r="AG11637" s="7"/>
    </row>
    <row r="11638" spans="11:33" ht="14.5" x14ac:dyDescent="0.35">
      <c r="K11638" s="4"/>
      <c r="AC11638" s="7"/>
      <c r="AD11638" s="7"/>
      <c r="AE11638" s="7"/>
      <c r="AF11638" s="8"/>
      <c r="AG11638" s="7"/>
    </row>
    <row r="11639" spans="11:33" ht="14.5" x14ac:dyDescent="0.35">
      <c r="K11639" s="4"/>
      <c r="AC11639" s="7"/>
      <c r="AD11639" s="7"/>
      <c r="AE11639" s="7"/>
      <c r="AF11639" s="8"/>
      <c r="AG11639" s="7"/>
    </row>
    <row r="11640" spans="11:33" ht="14.5" x14ac:dyDescent="0.35">
      <c r="K11640" s="4"/>
      <c r="AC11640" s="7"/>
      <c r="AD11640" s="7"/>
      <c r="AE11640" s="7"/>
      <c r="AF11640" s="8"/>
      <c r="AG11640" s="7"/>
    </row>
    <row r="11641" spans="11:33" ht="14.5" x14ac:dyDescent="0.35">
      <c r="K11641" s="4"/>
      <c r="AC11641" s="7"/>
      <c r="AD11641" s="7"/>
      <c r="AE11641" s="7"/>
      <c r="AF11641" s="8"/>
      <c r="AG11641" s="7"/>
    </row>
    <row r="11642" spans="11:33" ht="14.5" x14ac:dyDescent="0.35">
      <c r="K11642" s="4"/>
      <c r="AC11642" s="7"/>
      <c r="AD11642" s="7"/>
      <c r="AE11642" s="7"/>
      <c r="AF11642" s="8"/>
      <c r="AG11642" s="7"/>
    </row>
    <row r="11643" spans="11:33" ht="14.5" x14ac:dyDescent="0.35">
      <c r="K11643" s="4"/>
      <c r="AC11643" s="7"/>
      <c r="AD11643" s="7"/>
      <c r="AE11643" s="7"/>
      <c r="AF11643" s="8"/>
      <c r="AG11643" s="7"/>
    </row>
    <row r="11644" spans="11:33" ht="14.5" x14ac:dyDescent="0.35">
      <c r="K11644" s="4"/>
      <c r="AC11644" s="7"/>
      <c r="AD11644" s="7"/>
      <c r="AE11644" s="7"/>
      <c r="AF11644" s="8"/>
      <c r="AG11644" s="7"/>
    </row>
    <row r="11645" spans="11:33" ht="14.5" x14ac:dyDescent="0.35">
      <c r="K11645" s="4"/>
      <c r="AC11645" s="7"/>
      <c r="AD11645" s="7"/>
      <c r="AE11645" s="7"/>
      <c r="AF11645" s="8"/>
      <c r="AG11645" s="7"/>
    </row>
    <row r="11646" spans="11:33" ht="14.5" x14ac:dyDescent="0.35">
      <c r="K11646" s="4"/>
      <c r="AC11646" s="7"/>
      <c r="AD11646" s="7"/>
      <c r="AE11646" s="7"/>
      <c r="AF11646" s="8"/>
      <c r="AG11646" s="7"/>
    </row>
    <row r="11647" spans="11:33" ht="14.5" x14ac:dyDescent="0.35">
      <c r="K11647" s="4"/>
      <c r="AC11647" s="7"/>
      <c r="AD11647" s="7"/>
      <c r="AE11647" s="7"/>
      <c r="AF11647" s="8"/>
      <c r="AG11647" s="7"/>
    </row>
    <row r="11648" spans="11:33" ht="14.5" x14ac:dyDescent="0.35">
      <c r="K11648" s="4"/>
      <c r="AC11648" s="7"/>
      <c r="AD11648" s="7"/>
      <c r="AE11648" s="7"/>
      <c r="AF11648" s="8"/>
      <c r="AG11648" s="7"/>
    </row>
    <row r="11649" spans="11:33" ht="14.5" x14ac:dyDescent="0.35">
      <c r="K11649" s="4"/>
      <c r="AC11649" s="7"/>
      <c r="AD11649" s="7"/>
      <c r="AE11649" s="7"/>
      <c r="AF11649" s="8"/>
      <c r="AG11649" s="7"/>
    </row>
    <row r="11650" spans="11:33" ht="14.5" x14ac:dyDescent="0.35">
      <c r="K11650" s="4"/>
      <c r="AC11650" s="7"/>
      <c r="AD11650" s="7"/>
      <c r="AE11650" s="7"/>
      <c r="AF11650" s="8"/>
      <c r="AG11650" s="7"/>
    </row>
    <row r="11651" spans="11:33" ht="14.5" x14ac:dyDescent="0.35">
      <c r="K11651" s="4"/>
      <c r="AC11651" s="7"/>
      <c r="AD11651" s="7"/>
      <c r="AE11651" s="7"/>
      <c r="AF11651" s="8"/>
      <c r="AG11651" s="7"/>
    </row>
    <row r="11652" spans="11:33" ht="14.5" x14ac:dyDescent="0.35">
      <c r="K11652" s="4"/>
      <c r="AC11652" s="7"/>
      <c r="AD11652" s="7"/>
      <c r="AE11652" s="7"/>
      <c r="AF11652" s="8"/>
      <c r="AG11652" s="7"/>
    </row>
    <row r="11653" spans="11:33" ht="14.5" x14ac:dyDescent="0.35">
      <c r="K11653" s="4"/>
      <c r="AC11653" s="7"/>
      <c r="AD11653" s="7"/>
      <c r="AE11653" s="7"/>
      <c r="AF11653" s="8"/>
      <c r="AG11653" s="7"/>
    </row>
    <row r="11654" spans="11:33" ht="14.5" x14ac:dyDescent="0.35">
      <c r="K11654" s="4"/>
      <c r="AC11654" s="7"/>
      <c r="AD11654" s="7"/>
      <c r="AE11654" s="7"/>
      <c r="AF11654" s="8"/>
      <c r="AG11654" s="7"/>
    </row>
    <row r="11655" spans="11:33" ht="14.5" x14ac:dyDescent="0.35">
      <c r="K11655" s="4"/>
      <c r="AC11655" s="7"/>
      <c r="AD11655" s="7"/>
      <c r="AE11655" s="7"/>
      <c r="AF11655" s="8"/>
      <c r="AG11655" s="7"/>
    </row>
    <row r="11656" spans="11:33" ht="14.5" x14ac:dyDescent="0.35">
      <c r="K11656" s="4"/>
      <c r="AC11656" s="7"/>
      <c r="AD11656" s="7"/>
      <c r="AE11656" s="7"/>
      <c r="AF11656" s="8"/>
      <c r="AG11656" s="7"/>
    </row>
    <row r="11657" spans="11:33" ht="14.5" x14ac:dyDescent="0.35">
      <c r="K11657" s="4"/>
      <c r="AC11657" s="7"/>
      <c r="AD11657" s="7"/>
      <c r="AE11657" s="7"/>
      <c r="AF11657" s="8"/>
      <c r="AG11657" s="7"/>
    </row>
    <row r="11658" spans="11:33" ht="14.5" x14ac:dyDescent="0.35">
      <c r="K11658" s="4"/>
      <c r="AC11658" s="7"/>
      <c r="AD11658" s="7"/>
      <c r="AE11658" s="7"/>
      <c r="AF11658" s="8"/>
      <c r="AG11658" s="7"/>
    </row>
    <row r="11659" spans="11:33" ht="14.5" x14ac:dyDescent="0.35">
      <c r="K11659" s="4"/>
      <c r="AC11659" s="7"/>
      <c r="AD11659" s="7"/>
      <c r="AE11659" s="7"/>
      <c r="AF11659" s="8"/>
      <c r="AG11659" s="7"/>
    </row>
    <row r="11660" spans="11:33" ht="14.5" x14ac:dyDescent="0.35">
      <c r="K11660" s="4"/>
      <c r="AC11660" s="7"/>
      <c r="AD11660" s="7"/>
      <c r="AE11660" s="7"/>
      <c r="AF11660" s="8"/>
      <c r="AG11660" s="7"/>
    </row>
    <row r="11661" spans="11:33" ht="14.5" x14ac:dyDescent="0.35">
      <c r="K11661" s="4"/>
      <c r="AC11661" s="7"/>
      <c r="AD11661" s="7"/>
      <c r="AE11661" s="7"/>
      <c r="AF11661" s="8"/>
      <c r="AG11661" s="7"/>
    </row>
    <row r="11662" spans="11:33" ht="14.5" x14ac:dyDescent="0.35">
      <c r="K11662" s="4"/>
      <c r="AC11662" s="7"/>
      <c r="AD11662" s="7"/>
      <c r="AE11662" s="7"/>
      <c r="AF11662" s="8"/>
      <c r="AG11662" s="7"/>
    </row>
    <row r="11663" spans="11:33" ht="14.5" x14ac:dyDescent="0.35">
      <c r="K11663" s="4"/>
      <c r="AC11663" s="7"/>
      <c r="AD11663" s="7"/>
      <c r="AE11663" s="7"/>
      <c r="AF11663" s="8"/>
      <c r="AG11663" s="7"/>
    </row>
    <row r="11664" spans="11:33" ht="14.5" x14ac:dyDescent="0.35">
      <c r="K11664" s="4"/>
      <c r="AC11664" s="7"/>
      <c r="AD11664" s="7"/>
      <c r="AE11664" s="7"/>
      <c r="AF11664" s="8"/>
      <c r="AG11664" s="7"/>
    </row>
    <row r="11665" spans="11:33" ht="14.5" x14ac:dyDescent="0.35">
      <c r="K11665" s="4"/>
      <c r="AC11665" s="7"/>
      <c r="AD11665" s="7"/>
      <c r="AE11665" s="7"/>
      <c r="AF11665" s="8"/>
      <c r="AG11665" s="7"/>
    </row>
    <row r="11666" spans="11:33" ht="14.5" x14ac:dyDescent="0.35">
      <c r="K11666" s="4"/>
      <c r="AC11666" s="7"/>
      <c r="AD11666" s="7"/>
      <c r="AE11666" s="7"/>
      <c r="AF11666" s="8"/>
      <c r="AG11666" s="7"/>
    </row>
    <row r="11667" spans="11:33" ht="14.5" x14ac:dyDescent="0.35">
      <c r="K11667" s="4"/>
      <c r="AC11667" s="7"/>
      <c r="AD11667" s="7"/>
      <c r="AE11667" s="7"/>
      <c r="AF11667" s="8"/>
      <c r="AG11667" s="7"/>
    </row>
    <row r="11668" spans="11:33" ht="14.5" x14ac:dyDescent="0.35">
      <c r="K11668" s="4"/>
      <c r="AC11668" s="7"/>
      <c r="AD11668" s="7"/>
      <c r="AE11668" s="7"/>
      <c r="AF11668" s="8"/>
      <c r="AG11668" s="7"/>
    </row>
    <row r="11669" spans="11:33" ht="14.5" x14ac:dyDescent="0.35">
      <c r="K11669" s="4"/>
      <c r="AC11669" s="7"/>
      <c r="AD11669" s="7"/>
      <c r="AE11669" s="7"/>
      <c r="AF11669" s="8"/>
      <c r="AG11669" s="7"/>
    </row>
    <row r="11670" spans="11:33" ht="14.5" x14ac:dyDescent="0.35">
      <c r="K11670" s="4"/>
      <c r="AC11670" s="7"/>
      <c r="AD11670" s="7"/>
      <c r="AE11670" s="7"/>
      <c r="AF11670" s="8"/>
      <c r="AG11670" s="7"/>
    </row>
    <row r="11671" spans="11:33" ht="14.5" x14ac:dyDescent="0.35">
      <c r="K11671" s="4"/>
      <c r="AC11671" s="7"/>
      <c r="AD11671" s="7"/>
      <c r="AE11671" s="7"/>
      <c r="AF11671" s="8"/>
      <c r="AG11671" s="7"/>
    </row>
    <row r="11672" spans="11:33" ht="14.5" x14ac:dyDescent="0.35">
      <c r="K11672" s="4"/>
      <c r="AC11672" s="7"/>
      <c r="AD11672" s="7"/>
      <c r="AE11672" s="7"/>
      <c r="AF11672" s="8"/>
      <c r="AG11672" s="7"/>
    </row>
    <row r="11673" spans="11:33" ht="14.5" x14ac:dyDescent="0.35">
      <c r="K11673" s="4"/>
      <c r="AC11673" s="7"/>
      <c r="AD11673" s="7"/>
      <c r="AE11673" s="7"/>
      <c r="AF11673" s="8"/>
      <c r="AG11673" s="7"/>
    </row>
    <row r="11674" spans="11:33" ht="14.5" x14ac:dyDescent="0.35">
      <c r="K11674" s="4"/>
      <c r="AC11674" s="7"/>
      <c r="AD11674" s="7"/>
      <c r="AE11674" s="7"/>
      <c r="AF11674" s="8"/>
      <c r="AG11674" s="7"/>
    </row>
    <row r="11675" spans="11:33" ht="14.5" x14ac:dyDescent="0.35">
      <c r="K11675" s="4"/>
      <c r="AC11675" s="7"/>
      <c r="AD11675" s="7"/>
      <c r="AE11675" s="7"/>
      <c r="AF11675" s="8"/>
      <c r="AG11675" s="7"/>
    </row>
    <row r="11676" spans="11:33" ht="14.5" x14ac:dyDescent="0.35">
      <c r="K11676" s="4"/>
      <c r="AC11676" s="7"/>
      <c r="AD11676" s="7"/>
      <c r="AE11676" s="7"/>
      <c r="AF11676" s="8"/>
      <c r="AG11676" s="7"/>
    </row>
    <row r="11677" spans="11:33" ht="14.5" x14ac:dyDescent="0.35">
      <c r="K11677" s="4"/>
      <c r="AC11677" s="7"/>
      <c r="AD11677" s="7"/>
      <c r="AE11677" s="7"/>
      <c r="AF11677" s="8"/>
      <c r="AG11677" s="7"/>
    </row>
    <row r="11678" spans="11:33" ht="14.5" x14ac:dyDescent="0.35">
      <c r="K11678" s="4"/>
      <c r="AC11678" s="7"/>
      <c r="AD11678" s="7"/>
      <c r="AE11678" s="7"/>
      <c r="AF11678" s="8"/>
      <c r="AG11678" s="7"/>
    </row>
    <row r="11679" spans="11:33" ht="14.5" x14ac:dyDescent="0.35">
      <c r="K11679" s="4"/>
      <c r="AC11679" s="7"/>
      <c r="AD11679" s="7"/>
      <c r="AE11679" s="7"/>
      <c r="AF11679" s="8"/>
      <c r="AG11679" s="7"/>
    </row>
    <row r="11680" spans="11:33" ht="14.5" x14ac:dyDescent="0.35">
      <c r="K11680" s="4"/>
      <c r="AC11680" s="7"/>
      <c r="AD11680" s="7"/>
      <c r="AE11680" s="7"/>
      <c r="AF11680" s="8"/>
      <c r="AG11680" s="7"/>
    </row>
    <row r="11681" spans="11:33" ht="14.5" x14ac:dyDescent="0.35">
      <c r="K11681" s="4"/>
      <c r="AC11681" s="7"/>
      <c r="AD11681" s="7"/>
      <c r="AE11681" s="7"/>
      <c r="AF11681" s="8"/>
      <c r="AG11681" s="7"/>
    </row>
    <row r="11682" spans="11:33" ht="14.5" x14ac:dyDescent="0.35">
      <c r="K11682" s="4"/>
      <c r="AC11682" s="7"/>
      <c r="AD11682" s="7"/>
      <c r="AE11682" s="7"/>
      <c r="AF11682" s="8"/>
      <c r="AG11682" s="7"/>
    </row>
    <row r="11683" spans="11:33" ht="14.5" x14ac:dyDescent="0.35">
      <c r="K11683" s="4"/>
      <c r="AC11683" s="7"/>
      <c r="AD11683" s="7"/>
      <c r="AE11683" s="7"/>
      <c r="AF11683" s="8"/>
      <c r="AG11683" s="7"/>
    </row>
    <row r="11684" spans="11:33" ht="14.5" x14ac:dyDescent="0.35">
      <c r="K11684" s="4"/>
      <c r="AC11684" s="7"/>
      <c r="AD11684" s="7"/>
      <c r="AE11684" s="7"/>
      <c r="AF11684" s="8"/>
      <c r="AG11684" s="7"/>
    </row>
    <row r="11685" spans="11:33" ht="14.5" x14ac:dyDescent="0.35">
      <c r="K11685" s="4"/>
      <c r="AC11685" s="7"/>
      <c r="AD11685" s="7"/>
      <c r="AE11685" s="7"/>
      <c r="AF11685" s="8"/>
      <c r="AG11685" s="7"/>
    </row>
    <row r="11686" spans="11:33" ht="14.5" x14ac:dyDescent="0.35">
      <c r="K11686" s="4"/>
      <c r="AC11686" s="7"/>
      <c r="AD11686" s="7"/>
      <c r="AE11686" s="7"/>
      <c r="AF11686" s="8"/>
      <c r="AG11686" s="7"/>
    </row>
    <row r="11687" spans="11:33" ht="14.5" x14ac:dyDescent="0.35">
      <c r="K11687" s="4"/>
      <c r="AC11687" s="7"/>
      <c r="AD11687" s="7"/>
      <c r="AE11687" s="7"/>
      <c r="AF11687" s="8"/>
      <c r="AG11687" s="7"/>
    </row>
    <row r="11688" spans="11:33" ht="14.5" x14ac:dyDescent="0.35">
      <c r="K11688" s="4"/>
      <c r="AC11688" s="7"/>
      <c r="AD11688" s="7"/>
      <c r="AE11688" s="7"/>
      <c r="AF11688" s="8"/>
      <c r="AG11688" s="7"/>
    </row>
    <row r="11689" spans="11:33" ht="14.5" x14ac:dyDescent="0.35">
      <c r="K11689" s="4"/>
      <c r="AC11689" s="7"/>
      <c r="AD11689" s="7"/>
      <c r="AE11689" s="7"/>
      <c r="AF11689" s="8"/>
      <c r="AG11689" s="7"/>
    </row>
    <row r="11690" spans="11:33" ht="14.5" x14ac:dyDescent="0.35">
      <c r="K11690" s="4"/>
      <c r="AC11690" s="7"/>
      <c r="AD11690" s="7"/>
      <c r="AE11690" s="7"/>
      <c r="AF11690" s="8"/>
      <c r="AG11690" s="7"/>
    </row>
    <row r="11691" spans="11:33" ht="14.5" x14ac:dyDescent="0.35">
      <c r="K11691" s="4"/>
      <c r="AC11691" s="7"/>
      <c r="AD11691" s="7"/>
      <c r="AE11691" s="7"/>
      <c r="AF11691" s="8"/>
      <c r="AG11691" s="7"/>
    </row>
    <row r="11692" spans="11:33" ht="14.5" x14ac:dyDescent="0.35">
      <c r="K11692" s="4"/>
      <c r="AC11692" s="7"/>
      <c r="AD11692" s="7"/>
      <c r="AE11692" s="7"/>
      <c r="AF11692" s="8"/>
      <c r="AG11692" s="7"/>
    </row>
    <row r="11693" spans="11:33" ht="14.5" x14ac:dyDescent="0.35">
      <c r="K11693" s="4"/>
      <c r="AC11693" s="7"/>
      <c r="AD11693" s="7"/>
      <c r="AE11693" s="7"/>
      <c r="AF11693" s="8"/>
      <c r="AG11693" s="7"/>
    </row>
    <row r="11694" spans="11:33" ht="14.5" x14ac:dyDescent="0.35">
      <c r="K11694" s="4"/>
      <c r="AC11694" s="7"/>
      <c r="AD11694" s="7"/>
      <c r="AE11694" s="7"/>
      <c r="AF11694" s="8"/>
      <c r="AG11694" s="7"/>
    </row>
    <row r="11695" spans="11:33" ht="14.5" x14ac:dyDescent="0.35">
      <c r="K11695" s="4"/>
      <c r="AC11695" s="7"/>
      <c r="AD11695" s="7"/>
      <c r="AE11695" s="7"/>
      <c r="AF11695" s="8"/>
      <c r="AG11695" s="7"/>
    </row>
    <row r="11696" spans="11:33" ht="14.5" x14ac:dyDescent="0.35">
      <c r="K11696" s="4"/>
      <c r="AC11696" s="7"/>
      <c r="AD11696" s="7"/>
      <c r="AE11696" s="7"/>
      <c r="AF11696" s="8"/>
      <c r="AG11696" s="7"/>
    </row>
    <row r="11697" spans="11:33" ht="14.5" x14ac:dyDescent="0.35">
      <c r="K11697" s="4"/>
      <c r="AC11697" s="7"/>
      <c r="AD11697" s="7"/>
      <c r="AE11697" s="7"/>
      <c r="AF11697" s="8"/>
      <c r="AG11697" s="7"/>
    </row>
    <row r="11698" spans="11:33" ht="14.5" x14ac:dyDescent="0.35">
      <c r="K11698" s="4"/>
      <c r="AC11698" s="7"/>
      <c r="AD11698" s="7"/>
      <c r="AE11698" s="7"/>
      <c r="AF11698" s="8"/>
      <c r="AG11698" s="7"/>
    </row>
    <row r="11699" spans="11:33" ht="14.5" x14ac:dyDescent="0.35">
      <c r="K11699" s="4"/>
      <c r="AC11699" s="7"/>
      <c r="AD11699" s="7"/>
      <c r="AE11699" s="7"/>
      <c r="AF11699" s="8"/>
      <c r="AG11699" s="7"/>
    </row>
    <row r="11700" spans="11:33" ht="14.5" x14ac:dyDescent="0.35">
      <c r="K11700" s="4"/>
      <c r="AC11700" s="7"/>
      <c r="AD11700" s="7"/>
      <c r="AE11700" s="7"/>
      <c r="AF11700" s="8"/>
      <c r="AG11700" s="7"/>
    </row>
    <row r="11701" spans="11:33" ht="14.5" x14ac:dyDescent="0.35">
      <c r="K11701" s="4"/>
      <c r="AC11701" s="7"/>
      <c r="AD11701" s="7"/>
      <c r="AE11701" s="7"/>
      <c r="AF11701" s="8"/>
      <c r="AG11701" s="7"/>
    </row>
    <row r="11702" spans="11:33" ht="14.5" x14ac:dyDescent="0.35">
      <c r="K11702" s="4"/>
      <c r="AC11702" s="7"/>
      <c r="AD11702" s="7"/>
      <c r="AE11702" s="7"/>
      <c r="AF11702" s="8"/>
      <c r="AG11702" s="7"/>
    </row>
    <row r="11703" spans="11:33" ht="14.5" x14ac:dyDescent="0.35">
      <c r="K11703" s="4"/>
      <c r="AC11703" s="7"/>
      <c r="AD11703" s="7"/>
      <c r="AE11703" s="7"/>
      <c r="AF11703" s="8"/>
      <c r="AG11703" s="7"/>
    </row>
    <row r="11704" spans="11:33" ht="14.5" x14ac:dyDescent="0.35">
      <c r="K11704" s="4"/>
      <c r="AC11704" s="7"/>
      <c r="AD11704" s="7"/>
      <c r="AE11704" s="7"/>
      <c r="AF11704" s="8"/>
      <c r="AG11704" s="7"/>
    </row>
    <row r="11705" spans="11:33" ht="14.5" x14ac:dyDescent="0.35">
      <c r="K11705" s="4"/>
      <c r="AC11705" s="7"/>
      <c r="AD11705" s="7"/>
      <c r="AE11705" s="7"/>
      <c r="AF11705" s="8"/>
      <c r="AG11705" s="7"/>
    </row>
    <row r="11706" spans="11:33" ht="14.5" x14ac:dyDescent="0.35">
      <c r="K11706" s="4"/>
      <c r="AC11706" s="7"/>
      <c r="AD11706" s="7"/>
      <c r="AE11706" s="7"/>
      <c r="AF11706" s="8"/>
      <c r="AG11706" s="7"/>
    </row>
    <row r="11707" spans="11:33" ht="14.5" x14ac:dyDescent="0.35">
      <c r="K11707" s="4"/>
      <c r="AC11707" s="7"/>
      <c r="AD11707" s="7"/>
      <c r="AE11707" s="7"/>
      <c r="AF11707" s="8"/>
      <c r="AG11707" s="7"/>
    </row>
    <row r="11708" spans="11:33" ht="14.5" x14ac:dyDescent="0.35">
      <c r="K11708" s="4"/>
      <c r="AC11708" s="7"/>
      <c r="AD11708" s="7"/>
      <c r="AE11708" s="7"/>
      <c r="AF11708" s="8"/>
      <c r="AG11708" s="7"/>
    </row>
    <row r="11709" spans="11:33" ht="14.5" x14ac:dyDescent="0.35">
      <c r="K11709" s="4"/>
      <c r="AC11709" s="7"/>
      <c r="AD11709" s="7"/>
      <c r="AE11709" s="7"/>
      <c r="AF11709" s="8"/>
      <c r="AG11709" s="7"/>
    </row>
    <row r="11710" spans="11:33" ht="14.5" x14ac:dyDescent="0.35">
      <c r="K11710" s="4"/>
      <c r="AC11710" s="7"/>
      <c r="AD11710" s="7"/>
      <c r="AE11710" s="7"/>
      <c r="AF11710" s="8"/>
      <c r="AG11710" s="7"/>
    </row>
    <row r="11711" spans="11:33" ht="14.5" x14ac:dyDescent="0.35">
      <c r="K11711" s="4"/>
      <c r="AC11711" s="7"/>
      <c r="AD11711" s="7"/>
      <c r="AE11711" s="7"/>
      <c r="AF11711" s="8"/>
      <c r="AG11711" s="7"/>
    </row>
    <row r="11712" spans="11:33" ht="14.5" x14ac:dyDescent="0.35">
      <c r="K11712" s="4"/>
      <c r="AC11712" s="7"/>
      <c r="AD11712" s="7"/>
      <c r="AE11712" s="7"/>
      <c r="AF11712" s="8"/>
      <c r="AG11712" s="7"/>
    </row>
    <row r="11713" spans="11:33" ht="14.5" x14ac:dyDescent="0.35">
      <c r="K11713" s="4"/>
      <c r="AC11713" s="7"/>
      <c r="AD11713" s="7"/>
      <c r="AE11713" s="7"/>
      <c r="AF11713" s="8"/>
      <c r="AG11713" s="7"/>
    </row>
    <row r="11714" spans="11:33" ht="14.5" x14ac:dyDescent="0.35">
      <c r="K11714" s="4"/>
      <c r="AC11714" s="7"/>
      <c r="AD11714" s="7"/>
      <c r="AE11714" s="7"/>
      <c r="AF11714" s="8"/>
      <c r="AG11714" s="7"/>
    </row>
    <row r="11715" spans="11:33" ht="14.5" x14ac:dyDescent="0.35">
      <c r="K11715" s="4"/>
      <c r="AC11715" s="7"/>
      <c r="AD11715" s="7"/>
      <c r="AE11715" s="7"/>
      <c r="AF11715" s="8"/>
      <c r="AG11715" s="7"/>
    </row>
    <row r="11716" spans="11:33" ht="14.5" x14ac:dyDescent="0.35">
      <c r="K11716" s="4"/>
      <c r="AC11716" s="7"/>
      <c r="AD11716" s="7"/>
      <c r="AE11716" s="7"/>
      <c r="AF11716" s="8"/>
      <c r="AG11716" s="7"/>
    </row>
    <row r="11717" spans="11:33" ht="14.5" x14ac:dyDescent="0.35">
      <c r="K11717" s="4"/>
      <c r="AC11717" s="7"/>
      <c r="AD11717" s="7"/>
      <c r="AE11717" s="7"/>
      <c r="AF11717" s="8"/>
      <c r="AG11717" s="7"/>
    </row>
    <row r="11718" spans="11:33" ht="14.5" x14ac:dyDescent="0.35">
      <c r="K11718" s="4"/>
      <c r="AC11718" s="7"/>
      <c r="AD11718" s="7"/>
      <c r="AE11718" s="7"/>
      <c r="AF11718" s="8"/>
      <c r="AG11718" s="7"/>
    </row>
    <row r="11719" spans="11:33" ht="14.5" x14ac:dyDescent="0.35">
      <c r="K11719" s="4"/>
      <c r="AC11719" s="7"/>
      <c r="AD11719" s="7"/>
      <c r="AE11719" s="7"/>
      <c r="AF11719" s="8"/>
      <c r="AG11719" s="7"/>
    </row>
    <row r="11720" spans="11:33" ht="14.5" x14ac:dyDescent="0.35">
      <c r="K11720" s="4"/>
      <c r="AC11720" s="7"/>
      <c r="AD11720" s="7"/>
      <c r="AE11720" s="7"/>
      <c r="AF11720" s="8"/>
      <c r="AG11720" s="7"/>
    </row>
    <row r="11721" spans="11:33" ht="14.5" x14ac:dyDescent="0.35">
      <c r="K11721" s="4"/>
      <c r="AC11721" s="7"/>
      <c r="AD11721" s="7"/>
      <c r="AE11721" s="7"/>
      <c r="AF11721" s="8"/>
      <c r="AG11721" s="7"/>
    </row>
    <row r="11722" spans="11:33" ht="14.5" x14ac:dyDescent="0.35">
      <c r="K11722" s="4"/>
      <c r="AC11722" s="7"/>
      <c r="AD11722" s="7"/>
      <c r="AE11722" s="7"/>
      <c r="AF11722" s="8"/>
      <c r="AG11722" s="7"/>
    </row>
    <row r="11723" spans="11:33" ht="14.5" x14ac:dyDescent="0.35">
      <c r="K11723" s="4"/>
      <c r="AC11723" s="7"/>
      <c r="AD11723" s="7"/>
      <c r="AE11723" s="7"/>
      <c r="AF11723" s="8"/>
      <c r="AG11723" s="7"/>
    </row>
    <row r="11724" spans="11:33" ht="14.5" x14ac:dyDescent="0.35">
      <c r="K11724" s="4"/>
      <c r="AC11724" s="7"/>
      <c r="AD11724" s="7"/>
      <c r="AE11724" s="7"/>
      <c r="AF11724" s="8"/>
      <c r="AG11724" s="7"/>
    </row>
    <row r="11725" spans="11:33" ht="14.5" x14ac:dyDescent="0.35">
      <c r="K11725" s="4"/>
      <c r="AC11725" s="7"/>
      <c r="AD11725" s="7"/>
      <c r="AE11725" s="7"/>
      <c r="AF11725" s="8"/>
      <c r="AG11725" s="7"/>
    </row>
    <row r="11726" spans="11:33" ht="14.5" x14ac:dyDescent="0.35">
      <c r="K11726" s="4"/>
      <c r="AC11726" s="7"/>
      <c r="AD11726" s="7"/>
      <c r="AE11726" s="7"/>
      <c r="AF11726" s="8"/>
      <c r="AG11726" s="7"/>
    </row>
    <row r="11727" spans="11:33" ht="14.5" x14ac:dyDescent="0.35">
      <c r="K11727" s="4"/>
      <c r="AC11727" s="7"/>
      <c r="AD11727" s="7"/>
      <c r="AE11727" s="7"/>
      <c r="AF11727" s="8"/>
      <c r="AG11727" s="7"/>
    </row>
    <row r="11728" spans="11:33" ht="14.5" x14ac:dyDescent="0.35">
      <c r="K11728" s="4"/>
      <c r="AC11728" s="7"/>
      <c r="AD11728" s="7"/>
      <c r="AE11728" s="7"/>
      <c r="AF11728" s="8"/>
      <c r="AG11728" s="7"/>
    </row>
    <row r="11729" spans="11:33" ht="14.5" x14ac:dyDescent="0.35">
      <c r="K11729" s="4"/>
      <c r="AC11729" s="7"/>
      <c r="AD11729" s="7"/>
      <c r="AE11729" s="7"/>
      <c r="AF11729" s="8"/>
      <c r="AG11729" s="7"/>
    </row>
    <row r="11730" spans="11:33" ht="14.5" x14ac:dyDescent="0.35">
      <c r="K11730" s="4"/>
      <c r="AC11730" s="7"/>
      <c r="AD11730" s="7"/>
      <c r="AE11730" s="7"/>
      <c r="AF11730" s="8"/>
      <c r="AG11730" s="7"/>
    </row>
    <row r="11731" spans="11:33" ht="14.5" x14ac:dyDescent="0.35">
      <c r="K11731" s="4"/>
      <c r="AC11731" s="7"/>
      <c r="AD11731" s="7"/>
      <c r="AE11731" s="7"/>
      <c r="AF11731" s="8"/>
      <c r="AG11731" s="7"/>
    </row>
    <row r="11732" spans="11:33" ht="14.5" x14ac:dyDescent="0.35">
      <c r="K11732" s="4"/>
      <c r="AC11732" s="7"/>
      <c r="AD11732" s="7"/>
      <c r="AE11732" s="7"/>
      <c r="AF11732" s="8"/>
      <c r="AG11732" s="7"/>
    </row>
    <row r="11733" spans="11:33" ht="14.5" x14ac:dyDescent="0.35">
      <c r="K11733" s="4"/>
      <c r="AC11733" s="7"/>
      <c r="AD11733" s="7"/>
      <c r="AE11733" s="7"/>
      <c r="AF11733" s="8"/>
      <c r="AG11733" s="7"/>
    </row>
    <row r="11734" spans="11:33" ht="14.5" x14ac:dyDescent="0.35">
      <c r="K11734" s="4"/>
      <c r="AC11734" s="7"/>
      <c r="AD11734" s="7"/>
      <c r="AE11734" s="7"/>
      <c r="AF11734" s="8"/>
      <c r="AG11734" s="7"/>
    </row>
    <row r="11735" spans="11:33" ht="14.5" x14ac:dyDescent="0.35">
      <c r="K11735" s="4"/>
      <c r="AC11735" s="7"/>
      <c r="AD11735" s="7"/>
      <c r="AE11735" s="7"/>
      <c r="AF11735" s="8"/>
      <c r="AG11735" s="7"/>
    </row>
    <row r="11736" spans="11:33" ht="14.5" x14ac:dyDescent="0.35">
      <c r="K11736" s="4"/>
      <c r="AC11736" s="7"/>
      <c r="AD11736" s="7"/>
      <c r="AE11736" s="7"/>
      <c r="AF11736" s="8"/>
      <c r="AG11736" s="7"/>
    </row>
    <row r="11737" spans="11:33" ht="14.5" x14ac:dyDescent="0.35">
      <c r="K11737" s="4"/>
      <c r="AC11737" s="7"/>
      <c r="AD11737" s="7"/>
      <c r="AE11737" s="7"/>
      <c r="AF11737" s="8"/>
      <c r="AG11737" s="7"/>
    </row>
    <row r="11738" spans="11:33" ht="14.5" x14ac:dyDescent="0.35">
      <c r="K11738" s="4"/>
      <c r="AC11738" s="7"/>
      <c r="AD11738" s="7"/>
      <c r="AE11738" s="7"/>
      <c r="AF11738" s="8"/>
      <c r="AG11738" s="7"/>
    </row>
    <row r="11739" spans="11:33" ht="14.5" x14ac:dyDescent="0.35">
      <c r="K11739" s="4"/>
      <c r="AC11739" s="7"/>
      <c r="AD11739" s="7"/>
      <c r="AE11739" s="7"/>
      <c r="AF11739" s="8"/>
      <c r="AG11739" s="7"/>
    </row>
    <row r="11740" spans="11:33" ht="14.5" x14ac:dyDescent="0.35">
      <c r="K11740" s="4"/>
      <c r="AC11740" s="7"/>
      <c r="AD11740" s="7"/>
      <c r="AE11740" s="7"/>
      <c r="AF11740" s="8"/>
      <c r="AG11740" s="7"/>
    </row>
    <row r="11741" spans="11:33" ht="14.5" x14ac:dyDescent="0.35">
      <c r="K11741" s="4"/>
      <c r="AC11741" s="7"/>
      <c r="AD11741" s="7"/>
      <c r="AE11741" s="7"/>
      <c r="AF11741" s="8"/>
      <c r="AG11741" s="7"/>
    </row>
    <row r="11742" spans="11:33" ht="14.5" x14ac:dyDescent="0.35">
      <c r="K11742" s="4"/>
      <c r="AC11742" s="7"/>
      <c r="AD11742" s="7"/>
      <c r="AE11742" s="7"/>
      <c r="AF11742" s="8"/>
      <c r="AG11742" s="7"/>
    </row>
    <row r="11743" spans="11:33" ht="14.5" x14ac:dyDescent="0.35">
      <c r="K11743" s="4"/>
      <c r="AC11743" s="7"/>
      <c r="AD11743" s="7"/>
      <c r="AE11743" s="7"/>
      <c r="AF11743" s="8"/>
      <c r="AG11743" s="7"/>
    </row>
    <row r="11744" spans="11:33" ht="14.5" x14ac:dyDescent="0.35">
      <c r="K11744" s="4"/>
      <c r="AC11744" s="7"/>
      <c r="AD11744" s="7"/>
      <c r="AE11744" s="7"/>
      <c r="AF11744" s="8"/>
      <c r="AG11744" s="7"/>
    </row>
    <row r="11745" spans="11:33" ht="14.5" x14ac:dyDescent="0.35">
      <c r="K11745" s="4"/>
      <c r="AC11745" s="7"/>
      <c r="AD11745" s="7"/>
      <c r="AE11745" s="7"/>
      <c r="AF11745" s="8"/>
      <c r="AG11745" s="7"/>
    </row>
    <row r="11746" spans="11:33" ht="14.5" x14ac:dyDescent="0.35">
      <c r="K11746" s="4"/>
      <c r="AC11746" s="7"/>
      <c r="AD11746" s="7"/>
      <c r="AE11746" s="7"/>
      <c r="AF11746" s="8"/>
      <c r="AG11746" s="7"/>
    </row>
    <row r="11747" spans="11:33" ht="14.5" x14ac:dyDescent="0.35">
      <c r="K11747" s="4"/>
      <c r="AC11747" s="7"/>
      <c r="AD11747" s="7"/>
      <c r="AE11747" s="7"/>
      <c r="AF11747" s="8"/>
      <c r="AG11747" s="7"/>
    </row>
    <row r="11748" spans="11:33" ht="14.5" x14ac:dyDescent="0.35">
      <c r="K11748" s="4"/>
      <c r="AC11748" s="7"/>
      <c r="AD11748" s="7"/>
      <c r="AE11748" s="7"/>
      <c r="AF11748" s="8"/>
      <c r="AG11748" s="7"/>
    </row>
    <row r="11749" spans="11:33" ht="14.5" x14ac:dyDescent="0.35">
      <c r="K11749" s="4"/>
      <c r="AC11749" s="7"/>
      <c r="AD11749" s="7"/>
      <c r="AE11749" s="7"/>
      <c r="AF11749" s="8"/>
      <c r="AG11749" s="7"/>
    </row>
    <row r="11750" spans="11:33" ht="14.5" x14ac:dyDescent="0.35">
      <c r="K11750" s="4"/>
      <c r="AC11750" s="7"/>
      <c r="AD11750" s="7"/>
      <c r="AE11750" s="7"/>
      <c r="AF11750" s="8"/>
      <c r="AG11750" s="7"/>
    </row>
    <row r="11751" spans="11:33" ht="14.5" x14ac:dyDescent="0.35">
      <c r="K11751" s="4"/>
      <c r="AC11751" s="7"/>
      <c r="AD11751" s="7"/>
      <c r="AE11751" s="7"/>
      <c r="AF11751" s="8"/>
      <c r="AG11751" s="7"/>
    </row>
    <row r="11752" spans="11:33" ht="14.5" x14ac:dyDescent="0.35">
      <c r="K11752" s="4"/>
      <c r="AC11752" s="7"/>
      <c r="AD11752" s="7"/>
      <c r="AE11752" s="7"/>
      <c r="AF11752" s="8"/>
      <c r="AG11752" s="7"/>
    </row>
    <row r="11753" spans="11:33" ht="14.5" x14ac:dyDescent="0.35">
      <c r="K11753" s="4"/>
      <c r="AC11753" s="7"/>
      <c r="AD11753" s="7"/>
      <c r="AE11753" s="7"/>
      <c r="AF11753" s="8"/>
      <c r="AG11753" s="7"/>
    </row>
    <row r="11754" spans="11:33" ht="14.5" x14ac:dyDescent="0.35">
      <c r="K11754" s="4"/>
      <c r="AC11754" s="7"/>
      <c r="AD11754" s="7"/>
      <c r="AE11754" s="7"/>
      <c r="AF11754" s="8"/>
      <c r="AG11754" s="7"/>
    </row>
    <row r="11755" spans="11:33" ht="14.5" x14ac:dyDescent="0.35">
      <c r="K11755" s="4"/>
      <c r="AC11755" s="7"/>
      <c r="AD11755" s="7"/>
      <c r="AE11755" s="7"/>
      <c r="AF11755" s="8"/>
      <c r="AG11755" s="7"/>
    </row>
    <row r="11756" spans="11:33" ht="14.5" x14ac:dyDescent="0.35">
      <c r="K11756" s="4"/>
      <c r="AC11756" s="7"/>
      <c r="AD11756" s="7"/>
      <c r="AE11756" s="7"/>
      <c r="AF11756" s="8"/>
      <c r="AG11756" s="7"/>
    </row>
    <row r="11757" spans="11:33" ht="14.5" x14ac:dyDescent="0.35">
      <c r="K11757" s="4"/>
      <c r="AC11757" s="7"/>
      <c r="AD11757" s="7"/>
      <c r="AE11757" s="7"/>
      <c r="AF11757" s="8"/>
      <c r="AG11757" s="7"/>
    </row>
    <row r="11758" spans="11:33" ht="14.5" x14ac:dyDescent="0.35">
      <c r="K11758" s="4"/>
      <c r="AC11758" s="7"/>
      <c r="AD11758" s="7"/>
      <c r="AE11758" s="7"/>
      <c r="AF11758" s="8"/>
      <c r="AG11758" s="7"/>
    </row>
    <row r="11759" spans="11:33" ht="14.5" x14ac:dyDescent="0.35">
      <c r="K11759" s="4"/>
      <c r="AC11759" s="7"/>
      <c r="AD11759" s="7"/>
      <c r="AE11759" s="7"/>
      <c r="AF11759" s="8"/>
      <c r="AG11759" s="7"/>
    </row>
    <row r="11760" spans="11:33" ht="14.5" x14ac:dyDescent="0.35">
      <c r="K11760" s="4"/>
      <c r="AC11760" s="7"/>
      <c r="AD11760" s="7"/>
      <c r="AE11760" s="7"/>
      <c r="AF11760" s="8"/>
      <c r="AG11760" s="7"/>
    </row>
    <row r="11761" spans="11:33" ht="14.5" x14ac:dyDescent="0.35">
      <c r="K11761" s="4"/>
      <c r="AC11761" s="7"/>
      <c r="AD11761" s="7"/>
      <c r="AE11761" s="7"/>
      <c r="AF11761" s="8"/>
      <c r="AG11761" s="7"/>
    </row>
    <row r="11762" spans="11:33" ht="14.5" x14ac:dyDescent="0.35">
      <c r="K11762" s="4"/>
      <c r="AC11762" s="7"/>
      <c r="AD11762" s="7"/>
      <c r="AE11762" s="7"/>
      <c r="AF11762" s="8"/>
      <c r="AG11762" s="7"/>
    </row>
    <row r="11763" spans="11:33" ht="14.5" x14ac:dyDescent="0.35">
      <c r="K11763" s="4"/>
      <c r="AC11763" s="7"/>
      <c r="AD11763" s="7"/>
      <c r="AE11763" s="7"/>
      <c r="AF11763" s="8"/>
      <c r="AG11763" s="7"/>
    </row>
    <row r="11764" spans="11:33" ht="14.5" x14ac:dyDescent="0.35">
      <c r="K11764" s="4"/>
      <c r="AC11764" s="7"/>
      <c r="AD11764" s="7"/>
      <c r="AE11764" s="7"/>
      <c r="AF11764" s="8"/>
      <c r="AG11764" s="7"/>
    </row>
    <row r="11765" spans="11:33" ht="14.5" x14ac:dyDescent="0.35">
      <c r="K11765" s="4"/>
      <c r="AC11765" s="7"/>
      <c r="AD11765" s="7"/>
      <c r="AE11765" s="7"/>
      <c r="AF11765" s="8"/>
      <c r="AG11765" s="7"/>
    </row>
    <row r="11766" spans="11:33" ht="14.5" x14ac:dyDescent="0.35">
      <c r="K11766" s="4"/>
      <c r="AC11766" s="7"/>
      <c r="AD11766" s="7"/>
      <c r="AE11766" s="7"/>
      <c r="AF11766" s="8"/>
      <c r="AG11766" s="7"/>
    </row>
    <row r="11767" spans="11:33" ht="14.5" x14ac:dyDescent="0.35">
      <c r="K11767" s="4"/>
      <c r="AC11767" s="7"/>
      <c r="AD11767" s="7"/>
      <c r="AE11767" s="7"/>
      <c r="AF11767" s="8"/>
      <c r="AG11767" s="7"/>
    </row>
    <row r="11768" spans="11:33" ht="14.5" x14ac:dyDescent="0.35">
      <c r="K11768" s="4"/>
      <c r="AC11768" s="7"/>
      <c r="AD11768" s="7"/>
      <c r="AE11768" s="7"/>
      <c r="AF11768" s="8"/>
      <c r="AG11768" s="7"/>
    </row>
    <row r="11769" spans="11:33" ht="14.5" x14ac:dyDescent="0.35">
      <c r="K11769" s="4"/>
      <c r="AC11769" s="7"/>
      <c r="AD11769" s="7"/>
      <c r="AE11769" s="7"/>
      <c r="AF11769" s="8"/>
      <c r="AG11769" s="7"/>
    </row>
    <row r="11770" spans="11:33" ht="14.5" x14ac:dyDescent="0.35">
      <c r="K11770" s="4"/>
      <c r="AC11770" s="7"/>
      <c r="AD11770" s="7"/>
      <c r="AE11770" s="7"/>
      <c r="AF11770" s="8"/>
      <c r="AG11770" s="7"/>
    </row>
    <row r="11771" spans="11:33" ht="14.5" x14ac:dyDescent="0.35">
      <c r="K11771" s="4"/>
      <c r="AC11771" s="7"/>
      <c r="AD11771" s="7"/>
      <c r="AE11771" s="7"/>
      <c r="AF11771" s="8"/>
      <c r="AG11771" s="7"/>
    </row>
    <row r="11772" spans="11:33" ht="14.5" x14ac:dyDescent="0.35">
      <c r="K11772" s="4"/>
      <c r="AC11772" s="7"/>
      <c r="AD11772" s="7"/>
      <c r="AE11772" s="7"/>
      <c r="AF11772" s="8"/>
      <c r="AG11772" s="7"/>
    </row>
    <row r="11773" spans="11:33" ht="14.5" x14ac:dyDescent="0.35">
      <c r="K11773" s="4"/>
      <c r="AC11773" s="7"/>
      <c r="AD11773" s="7"/>
      <c r="AE11773" s="7"/>
      <c r="AF11773" s="8"/>
      <c r="AG11773" s="7"/>
    </row>
    <row r="11774" spans="11:33" ht="14.5" x14ac:dyDescent="0.35">
      <c r="K11774" s="4"/>
      <c r="AC11774" s="7"/>
      <c r="AD11774" s="7"/>
      <c r="AE11774" s="7"/>
      <c r="AF11774" s="8"/>
      <c r="AG11774" s="7"/>
    </row>
    <row r="11775" spans="11:33" ht="14.5" x14ac:dyDescent="0.35">
      <c r="K11775" s="4"/>
      <c r="AC11775" s="7"/>
      <c r="AD11775" s="7"/>
      <c r="AE11775" s="7"/>
      <c r="AF11775" s="8"/>
      <c r="AG11775" s="7"/>
    </row>
    <row r="11776" spans="11:33" ht="14.5" x14ac:dyDescent="0.35">
      <c r="K11776" s="4"/>
      <c r="AC11776" s="7"/>
      <c r="AD11776" s="7"/>
      <c r="AE11776" s="7"/>
      <c r="AF11776" s="8"/>
      <c r="AG11776" s="7"/>
    </row>
    <row r="11777" spans="11:33" ht="14.5" x14ac:dyDescent="0.35">
      <c r="K11777" s="4"/>
      <c r="AC11777" s="7"/>
      <c r="AD11777" s="7"/>
      <c r="AE11777" s="7"/>
      <c r="AF11777" s="8"/>
      <c r="AG11777" s="7"/>
    </row>
    <row r="11778" spans="11:33" ht="14.5" x14ac:dyDescent="0.35">
      <c r="K11778" s="4"/>
      <c r="AC11778" s="7"/>
      <c r="AD11778" s="7"/>
      <c r="AE11778" s="7"/>
      <c r="AF11778" s="8"/>
      <c r="AG11778" s="7"/>
    </row>
    <row r="11779" spans="11:33" ht="14.5" x14ac:dyDescent="0.35">
      <c r="K11779" s="4"/>
      <c r="AC11779" s="7"/>
      <c r="AD11779" s="7"/>
      <c r="AE11779" s="7"/>
      <c r="AF11779" s="8"/>
      <c r="AG11779" s="7"/>
    </row>
    <row r="11780" spans="11:33" ht="14.5" x14ac:dyDescent="0.35">
      <c r="K11780" s="4"/>
      <c r="AC11780" s="7"/>
      <c r="AD11780" s="7"/>
      <c r="AE11780" s="7"/>
      <c r="AF11780" s="8"/>
      <c r="AG11780" s="7"/>
    </row>
    <row r="11781" spans="11:33" ht="14.5" x14ac:dyDescent="0.35">
      <c r="K11781" s="4"/>
      <c r="AC11781" s="7"/>
      <c r="AD11781" s="7"/>
      <c r="AE11781" s="7"/>
      <c r="AF11781" s="8"/>
      <c r="AG11781" s="7"/>
    </row>
    <row r="11782" spans="11:33" ht="14.5" x14ac:dyDescent="0.35">
      <c r="K11782" s="4"/>
      <c r="AC11782" s="7"/>
      <c r="AD11782" s="7"/>
      <c r="AE11782" s="7"/>
      <c r="AF11782" s="8"/>
      <c r="AG11782" s="7"/>
    </row>
    <row r="11783" spans="11:33" ht="14.5" x14ac:dyDescent="0.35">
      <c r="K11783" s="4"/>
      <c r="AC11783" s="7"/>
      <c r="AD11783" s="7"/>
      <c r="AE11783" s="7"/>
      <c r="AF11783" s="8"/>
      <c r="AG11783" s="7"/>
    </row>
    <row r="11784" spans="11:33" ht="14.5" x14ac:dyDescent="0.35">
      <c r="K11784" s="4"/>
      <c r="AC11784" s="7"/>
      <c r="AD11784" s="7"/>
      <c r="AE11784" s="7"/>
      <c r="AF11784" s="8"/>
      <c r="AG11784" s="7"/>
    </row>
    <row r="11785" spans="11:33" ht="14.5" x14ac:dyDescent="0.35">
      <c r="K11785" s="4"/>
      <c r="AC11785" s="7"/>
      <c r="AD11785" s="7"/>
      <c r="AE11785" s="7"/>
      <c r="AF11785" s="8"/>
      <c r="AG11785" s="7"/>
    </row>
    <row r="11786" spans="11:33" ht="14.5" x14ac:dyDescent="0.35">
      <c r="K11786" s="4"/>
      <c r="AC11786" s="7"/>
      <c r="AD11786" s="7"/>
      <c r="AE11786" s="7"/>
      <c r="AF11786" s="8"/>
      <c r="AG11786" s="7"/>
    </row>
    <row r="11787" spans="11:33" ht="14.5" x14ac:dyDescent="0.35">
      <c r="K11787" s="4"/>
      <c r="AC11787" s="7"/>
      <c r="AD11787" s="7"/>
      <c r="AE11787" s="7"/>
      <c r="AF11787" s="8"/>
      <c r="AG11787" s="7"/>
    </row>
    <row r="11788" spans="11:33" ht="14.5" x14ac:dyDescent="0.35">
      <c r="K11788" s="4"/>
      <c r="AC11788" s="7"/>
      <c r="AD11788" s="7"/>
      <c r="AE11788" s="7"/>
      <c r="AF11788" s="8"/>
      <c r="AG11788" s="7"/>
    </row>
    <row r="11789" spans="11:33" ht="14.5" x14ac:dyDescent="0.35">
      <c r="K11789" s="4"/>
      <c r="AC11789" s="7"/>
      <c r="AD11789" s="7"/>
      <c r="AE11789" s="7"/>
      <c r="AF11789" s="8"/>
      <c r="AG11789" s="7"/>
    </row>
    <row r="11790" spans="11:33" ht="14.5" x14ac:dyDescent="0.35">
      <c r="K11790" s="4"/>
      <c r="AC11790" s="7"/>
      <c r="AD11790" s="7"/>
      <c r="AE11790" s="7"/>
      <c r="AF11790" s="8"/>
      <c r="AG11790" s="7"/>
    </row>
    <row r="11791" spans="11:33" ht="14.5" x14ac:dyDescent="0.35">
      <c r="K11791" s="4"/>
      <c r="AC11791" s="7"/>
      <c r="AD11791" s="7"/>
      <c r="AE11791" s="7"/>
      <c r="AF11791" s="8"/>
      <c r="AG11791" s="7"/>
    </row>
    <row r="11792" spans="11:33" ht="14.5" x14ac:dyDescent="0.35">
      <c r="K11792" s="4"/>
      <c r="AC11792" s="7"/>
      <c r="AD11792" s="7"/>
      <c r="AE11792" s="7"/>
      <c r="AF11792" s="8"/>
      <c r="AG11792" s="7"/>
    </row>
    <row r="11793" spans="11:33" ht="14.5" x14ac:dyDescent="0.35">
      <c r="K11793" s="4"/>
      <c r="AC11793" s="7"/>
      <c r="AD11793" s="7"/>
      <c r="AE11793" s="7"/>
      <c r="AF11793" s="8"/>
      <c r="AG11793" s="7"/>
    </row>
    <row r="11794" spans="11:33" ht="14.5" x14ac:dyDescent="0.35">
      <c r="K11794" s="4"/>
      <c r="AC11794" s="7"/>
      <c r="AD11794" s="7"/>
      <c r="AE11794" s="7"/>
      <c r="AF11794" s="8"/>
      <c r="AG11794" s="7"/>
    </row>
    <row r="11795" spans="11:33" ht="14.5" x14ac:dyDescent="0.35">
      <c r="K11795" s="4"/>
      <c r="AC11795" s="7"/>
      <c r="AD11795" s="7"/>
      <c r="AE11795" s="7"/>
      <c r="AF11795" s="8"/>
      <c r="AG11795" s="7"/>
    </row>
    <row r="11796" spans="11:33" ht="14.5" x14ac:dyDescent="0.35">
      <c r="K11796" s="4"/>
      <c r="AC11796" s="7"/>
      <c r="AD11796" s="7"/>
      <c r="AE11796" s="7"/>
      <c r="AF11796" s="8"/>
      <c r="AG11796" s="7"/>
    </row>
    <row r="11797" spans="11:33" ht="14.5" x14ac:dyDescent="0.35">
      <c r="K11797" s="4"/>
      <c r="AC11797" s="7"/>
      <c r="AD11797" s="7"/>
      <c r="AE11797" s="7"/>
      <c r="AF11797" s="8"/>
      <c r="AG11797" s="7"/>
    </row>
    <row r="11798" spans="11:33" ht="14.5" x14ac:dyDescent="0.35">
      <c r="K11798" s="4"/>
      <c r="AC11798" s="7"/>
      <c r="AD11798" s="7"/>
      <c r="AE11798" s="7"/>
      <c r="AF11798" s="8"/>
      <c r="AG11798" s="7"/>
    </row>
    <row r="11799" spans="11:33" ht="14.5" x14ac:dyDescent="0.35">
      <c r="K11799" s="4"/>
      <c r="AC11799" s="7"/>
      <c r="AD11799" s="7"/>
      <c r="AE11799" s="7"/>
      <c r="AF11799" s="8"/>
      <c r="AG11799" s="7"/>
    </row>
    <row r="11800" spans="11:33" ht="14.5" x14ac:dyDescent="0.35">
      <c r="K11800" s="4"/>
      <c r="AC11800" s="7"/>
      <c r="AD11800" s="7"/>
      <c r="AE11800" s="7"/>
      <c r="AF11800" s="8"/>
      <c r="AG11800" s="7"/>
    </row>
    <row r="11801" spans="11:33" ht="14.5" x14ac:dyDescent="0.35">
      <c r="K11801" s="4"/>
      <c r="AC11801" s="7"/>
      <c r="AD11801" s="7"/>
      <c r="AE11801" s="7"/>
      <c r="AF11801" s="8"/>
      <c r="AG11801" s="7"/>
    </row>
    <row r="11802" spans="11:33" ht="14.5" x14ac:dyDescent="0.35">
      <c r="K11802" s="4"/>
      <c r="AC11802" s="7"/>
      <c r="AD11802" s="7"/>
      <c r="AE11802" s="7"/>
      <c r="AF11802" s="8"/>
      <c r="AG11802" s="7"/>
    </row>
    <row r="11803" spans="11:33" ht="14.5" x14ac:dyDescent="0.35">
      <c r="K11803" s="4"/>
      <c r="AC11803" s="7"/>
      <c r="AD11803" s="7"/>
      <c r="AE11803" s="7"/>
      <c r="AF11803" s="8"/>
      <c r="AG11803" s="7"/>
    </row>
    <row r="11804" spans="11:33" ht="14.5" x14ac:dyDescent="0.35">
      <c r="K11804" s="4"/>
      <c r="AC11804" s="7"/>
      <c r="AD11804" s="7"/>
      <c r="AE11804" s="7"/>
      <c r="AF11804" s="8"/>
      <c r="AG11804" s="7"/>
    </row>
    <row r="11805" spans="11:33" ht="14.5" x14ac:dyDescent="0.35">
      <c r="K11805" s="4"/>
      <c r="AC11805" s="7"/>
      <c r="AD11805" s="7"/>
      <c r="AE11805" s="7"/>
      <c r="AF11805" s="8"/>
      <c r="AG11805" s="7"/>
    </row>
    <row r="11806" spans="11:33" ht="14.5" x14ac:dyDescent="0.35">
      <c r="K11806" s="4"/>
      <c r="AC11806" s="7"/>
      <c r="AD11806" s="7"/>
      <c r="AE11806" s="7"/>
      <c r="AF11806" s="8"/>
      <c r="AG11806" s="7"/>
    </row>
    <row r="11807" spans="11:33" ht="14.5" x14ac:dyDescent="0.35">
      <c r="K11807" s="4"/>
      <c r="AC11807" s="7"/>
      <c r="AD11807" s="7"/>
      <c r="AE11807" s="7"/>
      <c r="AF11807" s="8"/>
      <c r="AG11807" s="7"/>
    </row>
    <row r="11808" spans="11:33" ht="14.5" x14ac:dyDescent="0.35">
      <c r="K11808" s="4"/>
      <c r="AC11808" s="7"/>
      <c r="AD11808" s="7"/>
      <c r="AE11808" s="7"/>
      <c r="AF11808" s="8"/>
      <c r="AG11808" s="7"/>
    </row>
    <row r="11809" spans="11:33" ht="14.5" x14ac:dyDescent="0.35">
      <c r="K11809" s="4"/>
      <c r="AC11809" s="7"/>
      <c r="AD11809" s="7"/>
      <c r="AE11809" s="7"/>
      <c r="AF11809" s="8"/>
      <c r="AG11809" s="7"/>
    </row>
    <row r="11810" spans="11:33" ht="14.5" x14ac:dyDescent="0.35">
      <c r="K11810" s="4"/>
      <c r="AC11810" s="7"/>
      <c r="AD11810" s="7"/>
      <c r="AE11810" s="7"/>
      <c r="AF11810" s="8"/>
      <c r="AG11810" s="7"/>
    </row>
    <row r="11811" spans="11:33" ht="14.5" x14ac:dyDescent="0.35">
      <c r="K11811" s="4"/>
      <c r="AC11811" s="7"/>
      <c r="AD11811" s="7"/>
      <c r="AE11811" s="7"/>
      <c r="AF11811" s="8"/>
      <c r="AG11811" s="7"/>
    </row>
    <row r="11812" spans="11:33" ht="14.5" x14ac:dyDescent="0.35">
      <c r="K11812" s="4"/>
      <c r="AC11812" s="7"/>
      <c r="AD11812" s="7"/>
      <c r="AE11812" s="7"/>
      <c r="AF11812" s="8"/>
      <c r="AG11812" s="7"/>
    </row>
    <row r="11813" spans="11:33" ht="14.5" x14ac:dyDescent="0.35">
      <c r="K11813" s="4"/>
      <c r="AC11813" s="7"/>
      <c r="AD11813" s="7"/>
      <c r="AE11813" s="7"/>
      <c r="AF11813" s="8"/>
      <c r="AG11813" s="7"/>
    </row>
    <row r="11814" spans="11:33" ht="14.5" x14ac:dyDescent="0.35">
      <c r="K11814" s="4"/>
      <c r="AC11814" s="7"/>
      <c r="AD11814" s="7"/>
      <c r="AE11814" s="7"/>
      <c r="AF11814" s="8"/>
      <c r="AG11814" s="7"/>
    </row>
    <row r="11815" spans="11:33" ht="14.5" x14ac:dyDescent="0.35">
      <c r="K11815" s="4"/>
      <c r="AC11815" s="7"/>
      <c r="AD11815" s="7"/>
      <c r="AE11815" s="7"/>
      <c r="AF11815" s="8"/>
      <c r="AG11815" s="7"/>
    </row>
    <row r="11816" spans="11:33" ht="14.5" x14ac:dyDescent="0.35">
      <c r="K11816" s="4"/>
      <c r="AC11816" s="7"/>
      <c r="AD11816" s="7"/>
      <c r="AE11816" s="7"/>
      <c r="AF11816" s="8"/>
      <c r="AG11816" s="7"/>
    </row>
    <row r="11817" spans="11:33" ht="14.5" x14ac:dyDescent="0.35">
      <c r="K11817" s="4"/>
      <c r="AC11817" s="7"/>
      <c r="AD11817" s="7"/>
      <c r="AE11817" s="7"/>
      <c r="AF11817" s="8"/>
      <c r="AG11817" s="7"/>
    </row>
    <row r="11818" spans="11:33" ht="14.5" x14ac:dyDescent="0.35">
      <c r="K11818" s="4"/>
      <c r="AC11818" s="7"/>
      <c r="AD11818" s="7"/>
      <c r="AE11818" s="7"/>
      <c r="AF11818" s="8"/>
      <c r="AG11818" s="7"/>
    </row>
    <row r="11819" spans="11:33" ht="14.5" x14ac:dyDescent="0.35">
      <c r="K11819" s="4"/>
      <c r="AC11819" s="7"/>
      <c r="AD11819" s="7"/>
      <c r="AE11819" s="7"/>
      <c r="AF11819" s="8"/>
      <c r="AG11819" s="7"/>
    </row>
    <row r="11820" spans="11:33" ht="14.5" x14ac:dyDescent="0.35">
      <c r="K11820" s="4"/>
      <c r="AC11820" s="7"/>
      <c r="AD11820" s="7"/>
      <c r="AE11820" s="7"/>
      <c r="AF11820" s="8"/>
      <c r="AG11820" s="7"/>
    </row>
    <row r="11821" spans="11:33" ht="14.5" x14ac:dyDescent="0.35">
      <c r="K11821" s="4"/>
      <c r="AC11821" s="7"/>
      <c r="AD11821" s="7"/>
      <c r="AE11821" s="7"/>
      <c r="AF11821" s="8"/>
      <c r="AG11821" s="7"/>
    </row>
    <row r="11822" spans="11:33" ht="14.5" x14ac:dyDescent="0.35">
      <c r="K11822" s="4"/>
      <c r="AC11822" s="7"/>
      <c r="AD11822" s="7"/>
      <c r="AE11822" s="7"/>
      <c r="AF11822" s="8"/>
      <c r="AG11822" s="7"/>
    </row>
    <row r="11823" spans="11:33" ht="14.5" x14ac:dyDescent="0.35">
      <c r="K11823" s="4"/>
      <c r="AC11823" s="7"/>
      <c r="AD11823" s="7"/>
      <c r="AE11823" s="7"/>
      <c r="AF11823" s="8"/>
      <c r="AG11823" s="7"/>
    </row>
    <row r="11824" spans="11:33" ht="14.5" x14ac:dyDescent="0.35">
      <c r="K11824" s="4"/>
      <c r="AC11824" s="7"/>
      <c r="AD11824" s="7"/>
      <c r="AE11824" s="7"/>
      <c r="AF11824" s="8"/>
      <c r="AG11824" s="7"/>
    </row>
    <row r="11825" spans="11:33" ht="14.5" x14ac:dyDescent="0.35">
      <c r="K11825" s="4"/>
      <c r="AC11825" s="7"/>
      <c r="AD11825" s="7"/>
      <c r="AE11825" s="7"/>
      <c r="AF11825" s="8"/>
      <c r="AG11825" s="7"/>
    </row>
    <row r="11826" spans="11:33" ht="14.5" x14ac:dyDescent="0.35">
      <c r="K11826" s="4"/>
      <c r="AC11826" s="7"/>
      <c r="AD11826" s="7"/>
      <c r="AE11826" s="7"/>
      <c r="AF11826" s="8"/>
      <c r="AG11826" s="7"/>
    </row>
    <row r="11827" spans="11:33" ht="14.5" x14ac:dyDescent="0.35">
      <c r="K11827" s="4"/>
      <c r="AC11827" s="7"/>
      <c r="AD11827" s="7"/>
      <c r="AE11827" s="7"/>
      <c r="AF11827" s="8"/>
      <c r="AG11827" s="7"/>
    </row>
    <row r="11828" spans="11:33" ht="14.5" x14ac:dyDescent="0.35">
      <c r="K11828" s="4"/>
      <c r="AC11828" s="7"/>
      <c r="AD11828" s="7"/>
      <c r="AE11828" s="7"/>
      <c r="AF11828" s="8"/>
      <c r="AG11828" s="7"/>
    </row>
    <row r="11829" spans="11:33" ht="14.5" x14ac:dyDescent="0.35">
      <c r="K11829" s="4"/>
      <c r="AC11829" s="7"/>
      <c r="AD11829" s="7"/>
      <c r="AE11829" s="7"/>
      <c r="AF11829" s="8"/>
      <c r="AG11829" s="7"/>
    </row>
    <row r="11830" spans="11:33" ht="14.5" x14ac:dyDescent="0.35">
      <c r="K11830" s="4"/>
      <c r="AC11830" s="7"/>
      <c r="AD11830" s="7"/>
      <c r="AE11830" s="7"/>
      <c r="AF11830" s="8"/>
      <c r="AG11830" s="7"/>
    </row>
    <row r="11831" spans="11:33" ht="14.5" x14ac:dyDescent="0.35">
      <c r="K11831" s="4"/>
      <c r="AC11831" s="7"/>
      <c r="AD11831" s="7"/>
      <c r="AE11831" s="7"/>
      <c r="AF11831" s="8"/>
      <c r="AG11831" s="7"/>
    </row>
    <row r="11832" spans="11:33" ht="14.5" x14ac:dyDescent="0.35">
      <c r="K11832" s="4"/>
      <c r="AC11832" s="7"/>
      <c r="AD11832" s="7"/>
      <c r="AE11832" s="7"/>
      <c r="AF11832" s="8"/>
      <c r="AG11832" s="7"/>
    </row>
    <row r="11833" spans="11:33" ht="14.5" x14ac:dyDescent="0.35">
      <c r="K11833" s="4"/>
      <c r="AC11833" s="7"/>
      <c r="AD11833" s="7"/>
      <c r="AE11833" s="7"/>
      <c r="AF11833" s="8"/>
      <c r="AG11833" s="7"/>
    </row>
    <row r="11834" spans="11:33" ht="14.5" x14ac:dyDescent="0.35">
      <c r="K11834" s="4"/>
      <c r="AC11834" s="7"/>
      <c r="AD11834" s="7"/>
      <c r="AE11834" s="7"/>
      <c r="AF11834" s="8"/>
      <c r="AG11834" s="7"/>
    </row>
    <row r="11835" spans="11:33" ht="14.5" x14ac:dyDescent="0.35">
      <c r="K11835" s="4"/>
      <c r="AC11835" s="7"/>
      <c r="AD11835" s="7"/>
      <c r="AE11835" s="7"/>
      <c r="AF11835" s="8"/>
      <c r="AG11835" s="7"/>
    </row>
    <row r="11836" spans="11:33" ht="14.5" x14ac:dyDescent="0.35">
      <c r="K11836" s="4"/>
      <c r="AC11836" s="7"/>
      <c r="AD11836" s="7"/>
      <c r="AE11836" s="7"/>
      <c r="AF11836" s="8"/>
      <c r="AG11836" s="7"/>
    </row>
    <row r="11837" spans="11:33" ht="14.5" x14ac:dyDescent="0.35">
      <c r="K11837" s="4"/>
      <c r="AC11837" s="7"/>
      <c r="AD11837" s="7"/>
      <c r="AE11837" s="7"/>
      <c r="AF11837" s="8"/>
      <c r="AG11837" s="7"/>
    </row>
    <row r="11838" spans="11:33" ht="14.5" x14ac:dyDescent="0.35">
      <c r="K11838" s="4"/>
      <c r="AC11838" s="7"/>
      <c r="AD11838" s="7"/>
      <c r="AE11838" s="7"/>
      <c r="AF11838" s="8"/>
      <c r="AG11838" s="7"/>
    </row>
    <row r="11839" spans="11:33" ht="14.5" x14ac:dyDescent="0.35">
      <c r="K11839" s="4"/>
      <c r="AC11839" s="7"/>
      <c r="AD11839" s="7"/>
      <c r="AE11839" s="7"/>
      <c r="AF11839" s="8"/>
      <c r="AG11839" s="7"/>
    </row>
    <row r="11840" spans="11:33" ht="14.5" x14ac:dyDescent="0.35">
      <c r="K11840" s="4"/>
      <c r="AC11840" s="7"/>
      <c r="AD11840" s="7"/>
      <c r="AE11840" s="7"/>
      <c r="AF11840" s="8"/>
      <c r="AG11840" s="7"/>
    </row>
    <row r="11841" spans="11:33" ht="14.5" x14ac:dyDescent="0.35">
      <c r="K11841" s="4"/>
      <c r="AC11841" s="7"/>
      <c r="AD11841" s="7"/>
      <c r="AE11841" s="7"/>
      <c r="AF11841" s="8"/>
      <c r="AG11841" s="7"/>
    </row>
    <row r="11842" spans="11:33" ht="14.5" x14ac:dyDescent="0.35">
      <c r="K11842" s="4"/>
      <c r="AC11842" s="7"/>
      <c r="AD11842" s="7"/>
      <c r="AE11842" s="7"/>
      <c r="AF11842" s="8"/>
      <c r="AG11842" s="7"/>
    </row>
    <row r="11843" spans="11:33" ht="14.5" x14ac:dyDescent="0.35">
      <c r="K11843" s="4"/>
      <c r="AC11843" s="7"/>
      <c r="AD11843" s="7"/>
      <c r="AE11843" s="7"/>
      <c r="AF11843" s="8"/>
      <c r="AG11843" s="7"/>
    </row>
    <row r="11844" spans="11:33" ht="14.5" x14ac:dyDescent="0.35">
      <c r="K11844" s="4"/>
      <c r="AC11844" s="7"/>
      <c r="AD11844" s="7"/>
      <c r="AE11844" s="7"/>
      <c r="AF11844" s="8"/>
      <c r="AG11844" s="7"/>
    </row>
    <row r="11845" spans="11:33" ht="14.5" x14ac:dyDescent="0.35">
      <c r="K11845" s="4"/>
      <c r="AC11845" s="7"/>
      <c r="AD11845" s="7"/>
      <c r="AE11845" s="7"/>
      <c r="AF11845" s="8"/>
      <c r="AG11845" s="7"/>
    </row>
    <row r="11846" spans="11:33" ht="14.5" x14ac:dyDescent="0.35">
      <c r="K11846" s="4"/>
      <c r="AC11846" s="7"/>
      <c r="AD11846" s="7"/>
      <c r="AE11846" s="7"/>
      <c r="AF11846" s="8"/>
      <c r="AG11846" s="7"/>
    </row>
    <row r="11847" spans="11:33" ht="14.5" x14ac:dyDescent="0.35">
      <c r="K11847" s="4"/>
      <c r="AC11847" s="7"/>
      <c r="AD11847" s="7"/>
      <c r="AE11847" s="7"/>
      <c r="AF11847" s="8"/>
      <c r="AG11847" s="7"/>
    </row>
    <row r="11848" spans="11:33" ht="14.5" x14ac:dyDescent="0.35">
      <c r="K11848" s="4"/>
      <c r="AC11848" s="7"/>
      <c r="AD11848" s="7"/>
      <c r="AE11848" s="7"/>
      <c r="AF11848" s="8"/>
      <c r="AG11848" s="7"/>
    </row>
    <row r="11849" spans="11:33" ht="14.5" x14ac:dyDescent="0.35">
      <c r="K11849" s="4"/>
      <c r="AC11849" s="7"/>
      <c r="AD11849" s="7"/>
      <c r="AE11849" s="7"/>
      <c r="AF11849" s="8"/>
      <c r="AG11849" s="7"/>
    </row>
    <row r="11850" spans="11:33" ht="14.5" x14ac:dyDescent="0.35">
      <c r="K11850" s="4"/>
      <c r="AC11850" s="7"/>
      <c r="AD11850" s="7"/>
      <c r="AE11850" s="7"/>
      <c r="AF11850" s="8"/>
      <c r="AG11850" s="7"/>
    </row>
    <row r="11851" spans="11:33" ht="14.5" x14ac:dyDescent="0.35">
      <c r="K11851" s="4"/>
      <c r="AC11851" s="7"/>
      <c r="AD11851" s="7"/>
      <c r="AE11851" s="7"/>
      <c r="AF11851" s="8"/>
      <c r="AG11851" s="7"/>
    </row>
    <row r="11852" spans="11:33" ht="14.5" x14ac:dyDescent="0.35">
      <c r="K11852" s="4"/>
      <c r="AC11852" s="7"/>
      <c r="AD11852" s="7"/>
      <c r="AE11852" s="7"/>
      <c r="AF11852" s="8"/>
      <c r="AG11852" s="7"/>
    </row>
    <row r="11853" spans="11:33" ht="14.5" x14ac:dyDescent="0.35">
      <c r="K11853" s="4"/>
      <c r="AC11853" s="7"/>
      <c r="AD11853" s="7"/>
      <c r="AE11853" s="7"/>
      <c r="AF11853" s="8"/>
      <c r="AG11853" s="7"/>
    </row>
    <row r="11854" spans="11:33" ht="14.5" x14ac:dyDescent="0.35">
      <c r="K11854" s="4"/>
      <c r="AC11854" s="7"/>
      <c r="AD11854" s="7"/>
      <c r="AE11854" s="7"/>
      <c r="AF11854" s="8"/>
      <c r="AG11854" s="7"/>
    </row>
    <row r="11855" spans="11:33" ht="14.5" x14ac:dyDescent="0.35">
      <c r="K11855" s="4"/>
      <c r="AC11855" s="7"/>
      <c r="AD11855" s="7"/>
      <c r="AE11855" s="7"/>
      <c r="AF11855" s="8"/>
      <c r="AG11855" s="7"/>
    </row>
    <row r="11856" spans="11:33" ht="14.5" x14ac:dyDescent="0.35">
      <c r="K11856" s="4"/>
      <c r="AC11856" s="7"/>
      <c r="AD11856" s="7"/>
      <c r="AE11856" s="7"/>
      <c r="AF11856" s="8"/>
      <c r="AG11856" s="7"/>
    </row>
    <row r="11857" spans="11:33" ht="14.5" x14ac:dyDescent="0.35">
      <c r="K11857" s="4"/>
      <c r="AC11857" s="7"/>
      <c r="AD11857" s="7"/>
      <c r="AE11857" s="7"/>
      <c r="AF11857" s="8"/>
      <c r="AG11857" s="7"/>
    </row>
    <row r="11858" spans="11:33" ht="14.5" x14ac:dyDescent="0.35">
      <c r="K11858" s="4"/>
      <c r="AC11858" s="7"/>
      <c r="AD11858" s="7"/>
      <c r="AE11858" s="7"/>
      <c r="AF11858" s="8"/>
      <c r="AG11858" s="7"/>
    </row>
    <row r="11859" spans="11:33" ht="14.5" x14ac:dyDescent="0.35">
      <c r="K11859" s="4"/>
      <c r="AC11859" s="7"/>
      <c r="AD11859" s="7"/>
      <c r="AE11859" s="7"/>
      <c r="AF11859" s="8"/>
      <c r="AG11859" s="7"/>
    </row>
    <row r="11860" spans="11:33" ht="14.5" x14ac:dyDescent="0.35">
      <c r="K11860" s="4"/>
      <c r="AC11860" s="7"/>
      <c r="AD11860" s="7"/>
      <c r="AE11860" s="7"/>
      <c r="AF11860" s="8"/>
      <c r="AG11860" s="7"/>
    </row>
    <row r="11861" spans="11:33" ht="14.5" x14ac:dyDescent="0.35">
      <c r="K11861" s="4"/>
      <c r="AC11861" s="7"/>
      <c r="AD11861" s="7"/>
      <c r="AE11861" s="7"/>
      <c r="AF11861" s="8"/>
      <c r="AG11861" s="7"/>
    </row>
    <row r="11862" spans="11:33" ht="14.5" x14ac:dyDescent="0.35">
      <c r="K11862" s="4"/>
      <c r="AC11862" s="7"/>
      <c r="AD11862" s="7"/>
      <c r="AE11862" s="7"/>
      <c r="AF11862" s="8"/>
      <c r="AG11862" s="7"/>
    </row>
    <row r="11863" spans="11:33" ht="14.5" x14ac:dyDescent="0.35">
      <c r="K11863" s="4"/>
      <c r="AC11863" s="7"/>
      <c r="AD11863" s="7"/>
      <c r="AE11863" s="7"/>
      <c r="AF11863" s="8"/>
      <c r="AG11863" s="7"/>
    </row>
    <row r="11864" spans="11:33" ht="14.5" x14ac:dyDescent="0.35">
      <c r="K11864" s="4"/>
      <c r="AC11864" s="7"/>
      <c r="AD11864" s="7"/>
      <c r="AE11864" s="7"/>
      <c r="AF11864" s="8"/>
      <c r="AG11864" s="7"/>
    </row>
    <row r="11865" spans="11:33" ht="14.5" x14ac:dyDescent="0.35">
      <c r="K11865" s="4"/>
      <c r="AC11865" s="7"/>
      <c r="AD11865" s="7"/>
      <c r="AE11865" s="7"/>
      <c r="AF11865" s="8"/>
      <c r="AG11865" s="7"/>
    </row>
    <row r="11866" spans="11:33" ht="14.5" x14ac:dyDescent="0.35">
      <c r="K11866" s="4"/>
      <c r="AC11866" s="7"/>
      <c r="AD11866" s="7"/>
      <c r="AE11866" s="7"/>
      <c r="AF11866" s="8"/>
      <c r="AG11866" s="7"/>
    </row>
    <row r="11867" spans="11:33" ht="14.5" x14ac:dyDescent="0.35">
      <c r="K11867" s="4"/>
      <c r="AC11867" s="7"/>
      <c r="AD11867" s="7"/>
      <c r="AE11867" s="7"/>
      <c r="AF11867" s="8"/>
      <c r="AG11867" s="7"/>
    </row>
    <row r="11868" spans="11:33" ht="14.5" x14ac:dyDescent="0.35">
      <c r="K11868" s="4"/>
      <c r="AC11868" s="7"/>
      <c r="AD11868" s="7"/>
      <c r="AE11868" s="7"/>
      <c r="AF11868" s="8"/>
      <c r="AG11868" s="7"/>
    </row>
    <row r="11869" spans="11:33" ht="14.5" x14ac:dyDescent="0.35">
      <c r="K11869" s="4"/>
      <c r="AC11869" s="7"/>
      <c r="AD11869" s="7"/>
      <c r="AE11869" s="7"/>
      <c r="AF11869" s="8"/>
      <c r="AG11869" s="7"/>
    </row>
    <row r="11870" spans="11:33" ht="14.5" x14ac:dyDescent="0.35">
      <c r="K11870" s="4"/>
      <c r="AC11870" s="7"/>
      <c r="AD11870" s="7"/>
      <c r="AE11870" s="7"/>
      <c r="AF11870" s="8"/>
      <c r="AG11870" s="7"/>
    </row>
    <row r="11871" spans="11:33" ht="14.5" x14ac:dyDescent="0.35">
      <c r="K11871" s="4"/>
      <c r="AC11871" s="7"/>
      <c r="AD11871" s="7"/>
      <c r="AE11871" s="7"/>
      <c r="AF11871" s="8"/>
      <c r="AG11871" s="7"/>
    </row>
    <row r="11872" spans="11:33" ht="14.5" x14ac:dyDescent="0.35">
      <c r="K11872" s="4"/>
      <c r="AC11872" s="7"/>
      <c r="AD11872" s="7"/>
      <c r="AE11872" s="7"/>
      <c r="AF11872" s="8"/>
      <c r="AG11872" s="7"/>
    </row>
    <row r="11873" spans="11:33" ht="14.5" x14ac:dyDescent="0.35">
      <c r="K11873" s="4"/>
      <c r="AC11873" s="7"/>
      <c r="AD11873" s="7"/>
      <c r="AE11873" s="7"/>
      <c r="AF11873" s="8"/>
      <c r="AG11873" s="7"/>
    </row>
    <row r="11874" spans="11:33" ht="14.5" x14ac:dyDescent="0.35">
      <c r="K11874" s="4"/>
      <c r="AC11874" s="7"/>
      <c r="AD11874" s="7"/>
      <c r="AE11874" s="7"/>
      <c r="AF11874" s="8"/>
      <c r="AG11874" s="7"/>
    </row>
    <row r="11875" spans="11:33" ht="14.5" x14ac:dyDescent="0.35">
      <c r="K11875" s="4"/>
      <c r="AC11875" s="7"/>
      <c r="AD11875" s="7"/>
      <c r="AE11875" s="7"/>
      <c r="AF11875" s="8"/>
      <c r="AG11875" s="7"/>
    </row>
    <row r="11876" spans="11:33" ht="14.5" x14ac:dyDescent="0.35">
      <c r="K11876" s="4"/>
      <c r="AC11876" s="7"/>
      <c r="AD11876" s="7"/>
      <c r="AE11876" s="7"/>
      <c r="AF11876" s="8"/>
      <c r="AG11876" s="7"/>
    </row>
    <row r="11877" spans="11:33" ht="14.5" x14ac:dyDescent="0.35">
      <c r="K11877" s="4"/>
      <c r="AC11877" s="7"/>
      <c r="AD11877" s="7"/>
      <c r="AE11877" s="7"/>
      <c r="AF11877" s="8"/>
      <c r="AG11877" s="7"/>
    </row>
    <row r="11878" spans="11:33" ht="14.5" x14ac:dyDescent="0.35">
      <c r="K11878" s="4"/>
      <c r="AC11878" s="7"/>
      <c r="AD11878" s="7"/>
      <c r="AE11878" s="7"/>
      <c r="AF11878" s="8"/>
      <c r="AG11878" s="7"/>
    </row>
    <row r="11879" spans="11:33" ht="14.5" x14ac:dyDescent="0.35">
      <c r="K11879" s="4"/>
      <c r="AC11879" s="7"/>
      <c r="AD11879" s="7"/>
      <c r="AE11879" s="7"/>
      <c r="AF11879" s="8"/>
      <c r="AG11879" s="7"/>
    </row>
    <row r="11880" spans="11:33" ht="14.5" x14ac:dyDescent="0.35">
      <c r="K11880" s="4"/>
      <c r="AC11880" s="7"/>
      <c r="AD11880" s="7"/>
      <c r="AE11880" s="7"/>
      <c r="AF11880" s="8"/>
      <c r="AG11880" s="7"/>
    </row>
    <row r="11881" spans="11:33" ht="14.5" x14ac:dyDescent="0.35">
      <c r="K11881" s="4"/>
      <c r="AC11881" s="7"/>
      <c r="AD11881" s="7"/>
      <c r="AE11881" s="7"/>
      <c r="AF11881" s="8"/>
      <c r="AG11881" s="7"/>
    </row>
    <row r="11882" spans="11:33" ht="14.5" x14ac:dyDescent="0.35">
      <c r="K11882" s="4"/>
      <c r="AC11882" s="7"/>
      <c r="AD11882" s="7"/>
      <c r="AE11882" s="7"/>
      <c r="AF11882" s="8"/>
      <c r="AG11882" s="7"/>
    </row>
    <row r="11883" spans="11:33" ht="14.5" x14ac:dyDescent="0.35">
      <c r="K11883" s="4"/>
      <c r="AC11883" s="7"/>
      <c r="AD11883" s="7"/>
      <c r="AE11883" s="7"/>
      <c r="AF11883" s="8"/>
      <c r="AG11883" s="7"/>
    </row>
    <row r="11884" spans="11:33" ht="14.5" x14ac:dyDescent="0.35">
      <c r="K11884" s="4"/>
      <c r="AC11884" s="7"/>
      <c r="AD11884" s="7"/>
      <c r="AE11884" s="7"/>
      <c r="AF11884" s="8"/>
      <c r="AG11884" s="7"/>
    </row>
    <row r="11885" spans="11:33" ht="14.5" x14ac:dyDescent="0.35">
      <c r="K11885" s="4"/>
      <c r="AC11885" s="7"/>
      <c r="AD11885" s="7"/>
      <c r="AE11885" s="7"/>
      <c r="AF11885" s="8"/>
      <c r="AG11885" s="7"/>
    </row>
    <row r="11886" spans="11:33" ht="14.5" x14ac:dyDescent="0.35">
      <c r="K11886" s="4"/>
      <c r="AC11886" s="7"/>
      <c r="AD11886" s="7"/>
      <c r="AE11886" s="7"/>
      <c r="AF11886" s="8"/>
      <c r="AG11886" s="7"/>
    </row>
    <row r="11887" spans="11:33" ht="14.5" x14ac:dyDescent="0.35">
      <c r="K11887" s="4"/>
      <c r="AC11887" s="7"/>
      <c r="AD11887" s="7"/>
      <c r="AE11887" s="7"/>
      <c r="AF11887" s="8"/>
      <c r="AG11887" s="7"/>
    </row>
    <row r="11888" spans="11:33" ht="14.5" x14ac:dyDescent="0.35">
      <c r="K11888" s="4"/>
      <c r="AC11888" s="7"/>
      <c r="AD11888" s="7"/>
      <c r="AE11888" s="7"/>
      <c r="AF11888" s="8"/>
      <c r="AG11888" s="7"/>
    </row>
    <row r="11889" spans="11:33" ht="14.5" x14ac:dyDescent="0.35">
      <c r="K11889" s="4"/>
      <c r="AC11889" s="7"/>
      <c r="AD11889" s="7"/>
      <c r="AE11889" s="7"/>
      <c r="AF11889" s="8"/>
      <c r="AG11889" s="7"/>
    </row>
    <row r="11890" spans="11:33" ht="14.5" x14ac:dyDescent="0.35">
      <c r="K11890" s="4"/>
      <c r="AC11890" s="7"/>
      <c r="AD11890" s="7"/>
      <c r="AE11890" s="7"/>
      <c r="AF11890" s="8"/>
      <c r="AG11890" s="7"/>
    </row>
    <row r="11891" spans="11:33" ht="14.5" x14ac:dyDescent="0.35">
      <c r="K11891" s="4"/>
      <c r="AC11891" s="7"/>
      <c r="AD11891" s="7"/>
      <c r="AE11891" s="7"/>
      <c r="AF11891" s="8"/>
      <c r="AG11891" s="7"/>
    </row>
    <row r="11892" spans="11:33" ht="14.5" x14ac:dyDescent="0.35">
      <c r="K11892" s="4"/>
      <c r="AC11892" s="7"/>
      <c r="AD11892" s="7"/>
      <c r="AE11892" s="7"/>
      <c r="AF11892" s="8"/>
      <c r="AG11892" s="7"/>
    </row>
    <row r="11893" spans="11:33" ht="14.5" x14ac:dyDescent="0.35">
      <c r="K11893" s="4"/>
      <c r="AC11893" s="7"/>
      <c r="AD11893" s="7"/>
      <c r="AE11893" s="7"/>
      <c r="AF11893" s="8"/>
      <c r="AG11893" s="7"/>
    </row>
    <row r="11894" spans="11:33" ht="14.5" x14ac:dyDescent="0.35">
      <c r="K11894" s="4"/>
      <c r="AC11894" s="7"/>
      <c r="AD11894" s="7"/>
      <c r="AE11894" s="7"/>
      <c r="AF11894" s="8"/>
      <c r="AG11894" s="7"/>
    </row>
    <row r="11895" spans="11:33" ht="14.5" x14ac:dyDescent="0.35">
      <c r="K11895" s="4"/>
      <c r="AC11895" s="7"/>
      <c r="AD11895" s="7"/>
      <c r="AE11895" s="7"/>
      <c r="AF11895" s="8"/>
      <c r="AG11895" s="7"/>
    </row>
    <row r="11896" spans="11:33" ht="14.5" x14ac:dyDescent="0.35">
      <c r="K11896" s="4"/>
      <c r="AC11896" s="7"/>
      <c r="AD11896" s="7"/>
      <c r="AE11896" s="7"/>
      <c r="AF11896" s="8"/>
      <c r="AG11896" s="7"/>
    </row>
    <row r="11897" spans="11:33" ht="14.5" x14ac:dyDescent="0.35">
      <c r="K11897" s="4"/>
      <c r="AC11897" s="7"/>
      <c r="AD11897" s="7"/>
      <c r="AE11897" s="7"/>
      <c r="AF11897" s="8"/>
      <c r="AG11897" s="7"/>
    </row>
    <row r="11898" spans="11:33" ht="14.5" x14ac:dyDescent="0.35">
      <c r="K11898" s="4"/>
      <c r="AC11898" s="7"/>
      <c r="AD11898" s="7"/>
      <c r="AE11898" s="7"/>
      <c r="AF11898" s="8"/>
      <c r="AG11898" s="7"/>
    </row>
    <row r="11899" spans="11:33" ht="14.5" x14ac:dyDescent="0.35">
      <c r="K11899" s="4"/>
      <c r="AC11899" s="7"/>
      <c r="AD11899" s="7"/>
      <c r="AE11899" s="7"/>
      <c r="AF11899" s="8"/>
      <c r="AG11899" s="7"/>
    </row>
    <row r="11900" spans="11:33" ht="14.5" x14ac:dyDescent="0.35">
      <c r="K11900" s="4"/>
      <c r="AC11900" s="7"/>
      <c r="AD11900" s="7"/>
      <c r="AE11900" s="7"/>
      <c r="AF11900" s="8"/>
      <c r="AG11900" s="7"/>
    </row>
    <row r="11901" spans="11:33" ht="14.5" x14ac:dyDescent="0.35">
      <c r="K11901" s="4"/>
      <c r="AC11901" s="7"/>
      <c r="AD11901" s="7"/>
      <c r="AE11901" s="7"/>
      <c r="AF11901" s="8"/>
      <c r="AG11901" s="7"/>
    </row>
    <row r="11902" spans="11:33" ht="14.5" x14ac:dyDescent="0.35">
      <c r="K11902" s="4"/>
      <c r="AC11902" s="7"/>
      <c r="AD11902" s="7"/>
      <c r="AE11902" s="7"/>
      <c r="AF11902" s="8"/>
      <c r="AG11902" s="7"/>
    </row>
    <row r="11903" spans="11:33" ht="14.5" x14ac:dyDescent="0.35">
      <c r="K11903" s="4"/>
      <c r="AC11903" s="7"/>
      <c r="AD11903" s="7"/>
      <c r="AE11903" s="7"/>
      <c r="AF11903" s="8"/>
      <c r="AG11903" s="7"/>
    </row>
    <row r="11904" spans="11:33" ht="14.5" x14ac:dyDescent="0.35">
      <c r="K11904" s="4"/>
      <c r="AC11904" s="7"/>
      <c r="AD11904" s="7"/>
      <c r="AE11904" s="7"/>
      <c r="AF11904" s="8"/>
      <c r="AG11904" s="7"/>
    </row>
    <row r="11905" spans="11:33" ht="14.5" x14ac:dyDescent="0.35">
      <c r="K11905" s="4"/>
      <c r="AC11905" s="7"/>
      <c r="AD11905" s="7"/>
      <c r="AE11905" s="7"/>
      <c r="AF11905" s="8"/>
      <c r="AG11905" s="7"/>
    </row>
    <row r="11906" spans="11:33" ht="14.5" x14ac:dyDescent="0.35">
      <c r="K11906" s="4"/>
      <c r="AC11906" s="7"/>
      <c r="AD11906" s="7"/>
      <c r="AE11906" s="7"/>
      <c r="AF11906" s="8"/>
      <c r="AG11906" s="7"/>
    </row>
    <row r="11907" spans="11:33" ht="14.5" x14ac:dyDescent="0.35">
      <c r="K11907" s="4"/>
      <c r="AC11907" s="7"/>
      <c r="AD11907" s="7"/>
      <c r="AE11907" s="7"/>
      <c r="AF11907" s="8"/>
      <c r="AG11907" s="7"/>
    </row>
    <row r="11908" spans="11:33" ht="14.5" x14ac:dyDescent="0.35">
      <c r="K11908" s="4"/>
      <c r="AC11908" s="7"/>
      <c r="AD11908" s="7"/>
      <c r="AE11908" s="7"/>
      <c r="AF11908" s="8"/>
      <c r="AG11908" s="7"/>
    </row>
    <row r="11909" spans="11:33" ht="14.5" x14ac:dyDescent="0.35">
      <c r="K11909" s="4"/>
      <c r="AC11909" s="7"/>
      <c r="AD11909" s="7"/>
      <c r="AE11909" s="7"/>
      <c r="AF11909" s="8"/>
      <c r="AG11909" s="7"/>
    </row>
    <row r="11910" spans="11:33" ht="14.5" x14ac:dyDescent="0.35">
      <c r="K11910" s="4"/>
      <c r="AC11910" s="7"/>
      <c r="AD11910" s="7"/>
      <c r="AE11910" s="7"/>
      <c r="AF11910" s="8"/>
      <c r="AG11910" s="7"/>
    </row>
    <row r="11911" spans="11:33" ht="14.5" x14ac:dyDescent="0.35">
      <c r="K11911" s="4"/>
      <c r="AC11911" s="7"/>
      <c r="AD11911" s="7"/>
      <c r="AE11911" s="7"/>
      <c r="AF11911" s="8"/>
      <c r="AG11911" s="7"/>
    </row>
    <row r="11912" spans="11:33" ht="14.5" x14ac:dyDescent="0.35">
      <c r="K11912" s="4"/>
      <c r="AC11912" s="7"/>
      <c r="AD11912" s="7"/>
      <c r="AE11912" s="7"/>
      <c r="AF11912" s="8"/>
      <c r="AG11912" s="7"/>
    </row>
    <row r="11913" spans="11:33" ht="14.5" x14ac:dyDescent="0.35">
      <c r="K11913" s="4"/>
      <c r="AC11913" s="7"/>
      <c r="AD11913" s="7"/>
      <c r="AE11913" s="7"/>
      <c r="AF11913" s="8"/>
      <c r="AG11913" s="7"/>
    </row>
    <row r="11914" spans="11:33" ht="14.5" x14ac:dyDescent="0.35">
      <c r="K11914" s="4"/>
      <c r="AC11914" s="7"/>
      <c r="AD11914" s="7"/>
      <c r="AE11914" s="7"/>
      <c r="AF11914" s="8"/>
      <c r="AG11914" s="7"/>
    </row>
    <row r="11915" spans="11:33" ht="14.5" x14ac:dyDescent="0.35">
      <c r="K11915" s="4"/>
      <c r="AC11915" s="7"/>
      <c r="AD11915" s="7"/>
      <c r="AE11915" s="7"/>
      <c r="AF11915" s="8"/>
      <c r="AG11915" s="7"/>
    </row>
    <row r="11916" spans="11:33" ht="14.5" x14ac:dyDescent="0.35">
      <c r="K11916" s="4"/>
      <c r="AC11916" s="7"/>
      <c r="AD11916" s="7"/>
      <c r="AE11916" s="7"/>
      <c r="AF11916" s="8"/>
      <c r="AG11916" s="7"/>
    </row>
    <row r="11917" spans="11:33" ht="14.5" x14ac:dyDescent="0.35">
      <c r="K11917" s="4"/>
      <c r="AC11917" s="7"/>
      <c r="AD11917" s="7"/>
      <c r="AE11917" s="7"/>
      <c r="AF11917" s="8"/>
      <c r="AG11917" s="7"/>
    </row>
    <row r="11918" spans="11:33" ht="14.5" x14ac:dyDescent="0.35">
      <c r="K11918" s="4"/>
      <c r="AC11918" s="7"/>
      <c r="AD11918" s="7"/>
      <c r="AE11918" s="7"/>
      <c r="AF11918" s="8"/>
      <c r="AG11918" s="7"/>
    </row>
    <row r="11919" spans="11:33" ht="14.5" x14ac:dyDescent="0.35">
      <c r="K11919" s="4"/>
      <c r="AC11919" s="7"/>
      <c r="AD11919" s="7"/>
      <c r="AE11919" s="7"/>
      <c r="AF11919" s="8"/>
      <c r="AG11919" s="7"/>
    </row>
    <row r="11920" spans="11:33" ht="14.5" x14ac:dyDescent="0.35">
      <c r="K11920" s="4"/>
      <c r="AC11920" s="7"/>
      <c r="AD11920" s="7"/>
      <c r="AE11920" s="7"/>
      <c r="AF11920" s="8"/>
      <c r="AG11920" s="7"/>
    </row>
    <row r="11921" spans="11:33" ht="14.5" x14ac:dyDescent="0.35">
      <c r="K11921" s="4"/>
      <c r="AC11921" s="7"/>
      <c r="AD11921" s="7"/>
      <c r="AE11921" s="7"/>
      <c r="AF11921" s="8"/>
      <c r="AG11921" s="7"/>
    </row>
    <row r="11922" spans="11:33" ht="14.5" x14ac:dyDescent="0.35">
      <c r="K11922" s="4"/>
      <c r="AC11922" s="7"/>
      <c r="AD11922" s="7"/>
      <c r="AE11922" s="7"/>
      <c r="AF11922" s="8"/>
      <c r="AG11922" s="7"/>
    </row>
    <row r="11923" spans="11:33" ht="14.5" x14ac:dyDescent="0.35">
      <c r="K11923" s="4"/>
      <c r="AC11923" s="7"/>
      <c r="AD11923" s="7"/>
      <c r="AE11923" s="7"/>
      <c r="AF11923" s="8"/>
      <c r="AG11923" s="7"/>
    </row>
    <row r="11924" spans="11:33" ht="14.5" x14ac:dyDescent="0.35">
      <c r="K11924" s="4"/>
      <c r="AC11924" s="7"/>
      <c r="AD11924" s="7"/>
      <c r="AE11924" s="7"/>
      <c r="AF11924" s="8"/>
      <c r="AG11924" s="7"/>
    </row>
    <row r="11925" spans="11:33" ht="14.5" x14ac:dyDescent="0.35">
      <c r="K11925" s="4"/>
      <c r="AC11925" s="7"/>
      <c r="AD11925" s="7"/>
      <c r="AE11925" s="7"/>
      <c r="AF11925" s="8"/>
      <c r="AG11925" s="7"/>
    </row>
    <row r="11926" spans="11:33" ht="14.5" x14ac:dyDescent="0.35">
      <c r="K11926" s="4"/>
      <c r="AC11926" s="7"/>
      <c r="AD11926" s="7"/>
      <c r="AE11926" s="7"/>
      <c r="AF11926" s="8"/>
      <c r="AG11926" s="7"/>
    </row>
    <row r="11927" spans="11:33" ht="14.5" x14ac:dyDescent="0.35">
      <c r="K11927" s="4"/>
      <c r="AC11927" s="7"/>
      <c r="AD11927" s="7"/>
      <c r="AE11927" s="7"/>
      <c r="AF11927" s="8"/>
      <c r="AG11927" s="7"/>
    </row>
    <row r="11928" spans="11:33" ht="14.5" x14ac:dyDescent="0.35">
      <c r="K11928" s="4"/>
      <c r="AC11928" s="7"/>
      <c r="AD11928" s="7"/>
      <c r="AE11928" s="7"/>
      <c r="AF11928" s="8"/>
      <c r="AG11928" s="7"/>
    </row>
    <row r="11929" spans="11:33" ht="14.5" x14ac:dyDescent="0.35">
      <c r="K11929" s="4"/>
      <c r="AC11929" s="7"/>
      <c r="AD11929" s="7"/>
      <c r="AE11929" s="7"/>
      <c r="AF11929" s="8"/>
      <c r="AG11929" s="7"/>
    </row>
    <row r="11930" spans="11:33" ht="14.5" x14ac:dyDescent="0.35">
      <c r="K11930" s="4"/>
      <c r="AC11930" s="7"/>
      <c r="AD11930" s="7"/>
      <c r="AE11930" s="7"/>
      <c r="AF11930" s="8"/>
      <c r="AG11930" s="7"/>
    </row>
    <row r="11931" spans="11:33" ht="14.5" x14ac:dyDescent="0.35">
      <c r="K11931" s="4"/>
      <c r="AC11931" s="7"/>
      <c r="AD11931" s="7"/>
      <c r="AE11931" s="7"/>
      <c r="AF11931" s="8"/>
      <c r="AG11931" s="7"/>
    </row>
    <row r="11932" spans="11:33" ht="14.5" x14ac:dyDescent="0.35">
      <c r="K11932" s="4"/>
      <c r="AC11932" s="7"/>
      <c r="AD11932" s="7"/>
      <c r="AE11932" s="7"/>
      <c r="AF11932" s="8"/>
      <c r="AG11932" s="7"/>
    </row>
    <row r="11933" spans="11:33" ht="14.5" x14ac:dyDescent="0.35">
      <c r="K11933" s="4"/>
      <c r="AC11933" s="7"/>
      <c r="AD11933" s="7"/>
      <c r="AE11933" s="7"/>
      <c r="AF11933" s="8"/>
      <c r="AG11933" s="7"/>
    </row>
    <row r="11934" spans="11:33" ht="14.5" x14ac:dyDescent="0.35">
      <c r="K11934" s="4"/>
      <c r="AC11934" s="7"/>
      <c r="AD11934" s="7"/>
      <c r="AE11934" s="7"/>
      <c r="AF11934" s="8"/>
      <c r="AG11934" s="7"/>
    </row>
    <row r="11935" spans="11:33" ht="14.5" x14ac:dyDescent="0.35">
      <c r="K11935" s="4"/>
      <c r="AC11935" s="7"/>
      <c r="AD11935" s="7"/>
      <c r="AE11935" s="7"/>
      <c r="AF11935" s="8"/>
      <c r="AG11935" s="7"/>
    </row>
    <row r="11936" spans="11:33" ht="14.5" x14ac:dyDescent="0.35">
      <c r="K11936" s="4"/>
      <c r="AC11936" s="7"/>
      <c r="AD11936" s="7"/>
      <c r="AE11936" s="7"/>
      <c r="AF11936" s="8"/>
      <c r="AG11936" s="7"/>
    </row>
    <row r="11937" spans="11:33" ht="14.5" x14ac:dyDescent="0.35">
      <c r="K11937" s="4"/>
      <c r="AC11937" s="7"/>
      <c r="AD11937" s="7"/>
      <c r="AE11937" s="7"/>
      <c r="AF11937" s="8"/>
      <c r="AG11937" s="7"/>
    </row>
    <row r="11938" spans="11:33" ht="14.5" x14ac:dyDescent="0.35">
      <c r="K11938" s="4"/>
      <c r="AC11938" s="7"/>
      <c r="AD11938" s="7"/>
      <c r="AE11938" s="7"/>
      <c r="AF11938" s="8"/>
      <c r="AG11938" s="7"/>
    </row>
    <row r="11939" spans="11:33" ht="14.5" x14ac:dyDescent="0.35">
      <c r="K11939" s="4"/>
      <c r="AC11939" s="7"/>
      <c r="AD11939" s="7"/>
      <c r="AE11939" s="7"/>
      <c r="AF11939" s="8"/>
      <c r="AG11939" s="7"/>
    </row>
    <row r="11940" spans="11:33" ht="14.5" x14ac:dyDescent="0.35">
      <c r="K11940" s="4"/>
      <c r="AC11940" s="7"/>
      <c r="AD11940" s="7"/>
      <c r="AE11940" s="7"/>
      <c r="AF11940" s="8"/>
      <c r="AG11940" s="7"/>
    </row>
    <row r="11941" spans="11:33" ht="14.5" x14ac:dyDescent="0.35">
      <c r="K11941" s="4"/>
      <c r="AC11941" s="7"/>
      <c r="AD11941" s="7"/>
      <c r="AE11941" s="7"/>
      <c r="AF11941" s="8"/>
      <c r="AG11941" s="7"/>
    </row>
    <row r="11942" spans="11:33" ht="14.5" x14ac:dyDescent="0.35">
      <c r="K11942" s="4"/>
      <c r="AC11942" s="7"/>
      <c r="AD11942" s="7"/>
      <c r="AE11942" s="7"/>
      <c r="AF11942" s="8"/>
      <c r="AG11942" s="7"/>
    </row>
    <row r="11943" spans="11:33" ht="14.5" x14ac:dyDescent="0.35">
      <c r="K11943" s="4"/>
      <c r="AC11943" s="7"/>
      <c r="AD11943" s="7"/>
      <c r="AE11943" s="7"/>
      <c r="AF11943" s="8"/>
      <c r="AG11943" s="7"/>
    </row>
    <row r="11944" spans="11:33" ht="14.5" x14ac:dyDescent="0.35">
      <c r="K11944" s="4"/>
      <c r="AC11944" s="7"/>
      <c r="AD11944" s="7"/>
      <c r="AE11944" s="7"/>
      <c r="AF11944" s="8"/>
      <c r="AG11944" s="7"/>
    </row>
    <row r="11945" spans="11:33" ht="14.5" x14ac:dyDescent="0.35">
      <c r="K11945" s="4"/>
      <c r="AC11945" s="7"/>
      <c r="AD11945" s="7"/>
      <c r="AE11945" s="7"/>
      <c r="AF11945" s="8"/>
      <c r="AG11945" s="7"/>
    </row>
    <row r="11946" spans="11:33" ht="14.5" x14ac:dyDescent="0.35">
      <c r="K11946" s="4"/>
      <c r="AC11946" s="7"/>
      <c r="AD11946" s="7"/>
      <c r="AE11946" s="7"/>
      <c r="AF11946" s="8"/>
      <c r="AG11946" s="7"/>
    </row>
    <row r="11947" spans="11:33" ht="14.5" x14ac:dyDescent="0.35">
      <c r="K11947" s="4"/>
      <c r="AC11947" s="7"/>
      <c r="AD11947" s="7"/>
      <c r="AE11947" s="7"/>
      <c r="AF11947" s="8"/>
      <c r="AG11947" s="7"/>
    </row>
    <row r="11948" spans="11:33" ht="14.5" x14ac:dyDescent="0.35">
      <c r="K11948" s="4"/>
      <c r="AC11948" s="7"/>
      <c r="AD11948" s="7"/>
      <c r="AE11948" s="7"/>
      <c r="AF11948" s="8"/>
      <c r="AG11948" s="7"/>
    </row>
    <row r="11949" spans="11:33" ht="14.5" x14ac:dyDescent="0.35">
      <c r="K11949" s="4"/>
      <c r="AC11949" s="7"/>
      <c r="AD11949" s="7"/>
      <c r="AE11949" s="7"/>
      <c r="AF11949" s="8"/>
      <c r="AG11949" s="7"/>
    </row>
    <row r="11950" spans="11:33" ht="14.5" x14ac:dyDescent="0.35">
      <c r="K11950" s="4"/>
      <c r="AC11950" s="7"/>
      <c r="AD11950" s="7"/>
      <c r="AE11950" s="7"/>
      <c r="AF11950" s="8"/>
      <c r="AG11950" s="7"/>
    </row>
    <row r="11951" spans="11:33" ht="14.5" x14ac:dyDescent="0.35">
      <c r="K11951" s="4"/>
      <c r="AC11951" s="7"/>
      <c r="AD11951" s="7"/>
      <c r="AE11951" s="7"/>
      <c r="AF11951" s="8"/>
      <c r="AG11951" s="7"/>
    </row>
    <row r="11952" spans="11:33" ht="14.5" x14ac:dyDescent="0.35">
      <c r="K11952" s="4"/>
      <c r="AC11952" s="7"/>
      <c r="AD11952" s="7"/>
      <c r="AE11952" s="7"/>
      <c r="AF11952" s="8"/>
      <c r="AG11952" s="7"/>
    </row>
    <row r="11953" spans="11:33" ht="14.5" x14ac:dyDescent="0.35">
      <c r="K11953" s="4"/>
      <c r="AC11953" s="7"/>
      <c r="AD11953" s="7"/>
      <c r="AE11953" s="7"/>
      <c r="AF11953" s="8"/>
      <c r="AG11953" s="7"/>
    </row>
    <row r="11954" spans="11:33" ht="14.5" x14ac:dyDescent="0.35">
      <c r="K11954" s="4"/>
      <c r="AC11954" s="7"/>
      <c r="AD11954" s="7"/>
      <c r="AE11954" s="7"/>
      <c r="AF11954" s="8"/>
      <c r="AG11954" s="7"/>
    </row>
    <row r="11955" spans="11:33" ht="14.5" x14ac:dyDescent="0.35">
      <c r="K11955" s="4"/>
      <c r="AC11955" s="7"/>
      <c r="AD11955" s="7"/>
      <c r="AE11955" s="7"/>
      <c r="AF11955" s="8"/>
      <c r="AG11955" s="7"/>
    </row>
    <row r="11956" spans="11:33" ht="14.5" x14ac:dyDescent="0.35">
      <c r="K11956" s="4"/>
      <c r="AC11956" s="7"/>
      <c r="AD11956" s="7"/>
      <c r="AE11956" s="7"/>
      <c r="AF11956" s="8"/>
      <c r="AG11956" s="7"/>
    </row>
    <row r="11957" spans="11:33" ht="14.5" x14ac:dyDescent="0.35">
      <c r="K11957" s="4"/>
      <c r="AC11957" s="7"/>
      <c r="AD11957" s="7"/>
      <c r="AE11957" s="7"/>
      <c r="AF11957" s="8"/>
      <c r="AG11957" s="7"/>
    </row>
    <row r="11958" spans="11:33" ht="14.5" x14ac:dyDescent="0.35">
      <c r="K11958" s="4"/>
      <c r="AC11958" s="7"/>
      <c r="AD11958" s="7"/>
      <c r="AE11958" s="7"/>
      <c r="AF11958" s="8"/>
      <c r="AG11958" s="7"/>
    </row>
    <row r="11959" spans="11:33" ht="14.5" x14ac:dyDescent="0.35">
      <c r="K11959" s="4"/>
      <c r="AC11959" s="7"/>
      <c r="AD11959" s="7"/>
      <c r="AE11959" s="7"/>
      <c r="AF11959" s="8"/>
      <c r="AG11959" s="7"/>
    </row>
    <row r="11960" spans="11:33" ht="14.5" x14ac:dyDescent="0.35">
      <c r="K11960" s="4"/>
      <c r="AC11960" s="7"/>
      <c r="AD11960" s="7"/>
      <c r="AE11960" s="7"/>
      <c r="AF11960" s="8"/>
      <c r="AG11960" s="7"/>
    </row>
    <row r="11961" spans="11:33" ht="14.5" x14ac:dyDescent="0.35">
      <c r="K11961" s="4"/>
      <c r="AC11961" s="7"/>
      <c r="AD11961" s="7"/>
      <c r="AE11961" s="7"/>
      <c r="AF11961" s="8"/>
      <c r="AG11961" s="7"/>
    </row>
    <row r="11962" spans="11:33" ht="14.5" x14ac:dyDescent="0.35">
      <c r="K11962" s="4"/>
      <c r="AC11962" s="7"/>
      <c r="AD11962" s="7"/>
      <c r="AE11962" s="7"/>
      <c r="AF11962" s="8"/>
      <c r="AG11962" s="7"/>
    </row>
    <row r="11963" spans="11:33" ht="14.5" x14ac:dyDescent="0.35">
      <c r="K11963" s="4"/>
      <c r="AC11963" s="7"/>
      <c r="AD11963" s="7"/>
      <c r="AE11963" s="7"/>
      <c r="AF11963" s="8"/>
      <c r="AG11963" s="7"/>
    </row>
    <row r="11964" spans="11:33" ht="14.5" x14ac:dyDescent="0.35">
      <c r="K11964" s="4"/>
      <c r="AC11964" s="7"/>
      <c r="AD11964" s="7"/>
      <c r="AE11964" s="7"/>
      <c r="AF11964" s="8"/>
      <c r="AG11964" s="7"/>
    </row>
    <row r="11965" spans="11:33" ht="14.5" x14ac:dyDescent="0.35">
      <c r="K11965" s="4"/>
      <c r="AC11965" s="7"/>
      <c r="AD11965" s="7"/>
      <c r="AE11965" s="7"/>
      <c r="AF11965" s="8"/>
      <c r="AG11965" s="7"/>
    </row>
    <row r="11966" spans="11:33" ht="14.5" x14ac:dyDescent="0.35">
      <c r="K11966" s="4"/>
      <c r="AC11966" s="7"/>
      <c r="AD11966" s="7"/>
      <c r="AE11966" s="7"/>
      <c r="AF11966" s="8"/>
      <c r="AG11966" s="7"/>
    </row>
    <row r="11967" spans="11:33" ht="14.5" x14ac:dyDescent="0.35">
      <c r="K11967" s="4"/>
      <c r="AC11967" s="7"/>
      <c r="AD11967" s="7"/>
      <c r="AE11967" s="7"/>
      <c r="AF11967" s="8"/>
      <c r="AG11967" s="7"/>
    </row>
    <row r="11968" spans="11:33" ht="14.5" x14ac:dyDescent="0.35">
      <c r="K11968" s="4"/>
      <c r="AC11968" s="7"/>
      <c r="AD11968" s="7"/>
      <c r="AE11968" s="7"/>
      <c r="AF11968" s="8"/>
      <c r="AG11968" s="7"/>
    </row>
    <row r="11969" spans="11:33" ht="14.5" x14ac:dyDescent="0.35">
      <c r="K11969" s="4"/>
      <c r="AC11969" s="7"/>
      <c r="AD11969" s="7"/>
      <c r="AE11969" s="7"/>
      <c r="AF11969" s="8"/>
      <c r="AG11969" s="7"/>
    </row>
    <row r="11970" spans="11:33" ht="14.5" x14ac:dyDescent="0.35">
      <c r="K11970" s="4"/>
      <c r="AC11970" s="7"/>
      <c r="AD11970" s="7"/>
      <c r="AE11970" s="7"/>
      <c r="AF11970" s="8"/>
      <c r="AG11970" s="7"/>
    </row>
    <row r="11971" spans="11:33" ht="14.5" x14ac:dyDescent="0.35">
      <c r="K11971" s="4"/>
      <c r="AC11971" s="7"/>
      <c r="AD11971" s="7"/>
      <c r="AE11971" s="7"/>
      <c r="AF11971" s="8"/>
      <c r="AG11971" s="7"/>
    </row>
    <row r="11972" spans="11:33" ht="14.5" x14ac:dyDescent="0.35">
      <c r="K11972" s="4"/>
      <c r="AC11972" s="7"/>
      <c r="AD11972" s="7"/>
      <c r="AE11972" s="7"/>
      <c r="AF11972" s="8"/>
      <c r="AG11972" s="7"/>
    </row>
    <row r="11973" spans="11:33" ht="14.5" x14ac:dyDescent="0.35">
      <c r="K11973" s="4"/>
      <c r="AC11973" s="7"/>
      <c r="AD11973" s="7"/>
      <c r="AE11973" s="7"/>
      <c r="AF11973" s="8"/>
      <c r="AG11973" s="7"/>
    </row>
    <row r="11974" spans="11:33" ht="14.5" x14ac:dyDescent="0.35">
      <c r="K11974" s="4"/>
      <c r="AC11974" s="7"/>
      <c r="AD11974" s="7"/>
      <c r="AE11974" s="7"/>
      <c r="AF11974" s="8"/>
      <c r="AG11974" s="7"/>
    </row>
    <row r="11975" spans="11:33" ht="14.5" x14ac:dyDescent="0.35">
      <c r="K11975" s="4"/>
      <c r="AC11975" s="7"/>
      <c r="AD11975" s="7"/>
      <c r="AE11975" s="7"/>
      <c r="AF11975" s="8"/>
      <c r="AG11975" s="7"/>
    </row>
    <row r="11976" spans="11:33" ht="14.5" x14ac:dyDescent="0.35">
      <c r="K11976" s="4"/>
      <c r="AC11976" s="7"/>
      <c r="AD11976" s="7"/>
      <c r="AE11976" s="7"/>
      <c r="AF11976" s="8"/>
      <c r="AG11976" s="7"/>
    </row>
    <row r="11977" spans="11:33" ht="14.5" x14ac:dyDescent="0.35">
      <c r="K11977" s="4"/>
      <c r="AC11977" s="7"/>
      <c r="AD11977" s="7"/>
      <c r="AE11977" s="7"/>
      <c r="AF11977" s="8"/>
      <c r="AG11977" s="7"/>
    </row>
    <row r="11978" spans="11:33" ht="14.5" x14ac:dyDescent="0.35">
      <c r="K11978" s="4"/>
      <c r="AC11978" s="7"/>
      <c r="AD11978" s="7"/>
      <c r="AE11978" s="7"/>
      <c r="AF11978" s="8"/>
      <c r="AG11978" s="7"/>
    </row>
    <row r="11979" spans="11:33" ht="14.5" x14ac:dyDescent="0.35">
      <c r="K11979" s="4"/>
      <c r="AC11979" s="7"/>
      <c r="AD11979" s="7"/>
      <c r="AE11979" s="7"/>
      <c r="AF11979" s="8"/>
      <c r="AG11979" s="7"/>
    </row>
    <row r="11980" spans="11:33" ht="14.5" x14ac:dyDescent="0.35">
      <c r="K11980" s="4"/>
      <c r="AC11980" s="7"/>
      <c r="AD11980" s="7"/>
      <c r="AE11980" s="7"/>
      <c r="AF11980" s="8"/>
      <c r="AG11980" s="7"/>
    </row>
    <row r="11981" spans="11:33" ht="14.5" x14ac:dyDescent="0.35">
      <c r="K11981" s="4"/>
      <c r="AC11981" s="7"/>
      <c r="AD11981" s="7"/>
      <c r="AE11981" s="7"/>
      <c r="AF11981" s="8"/>
      <c r="AG11981" s="7"/>
    </row>
    <row r="11982" spans="11:33" ht="14.5" x14ac:dyDescent="0.35">
      <c r="K11982" s="4"/>
      <c r="AC11982" s="7"/>
      <c r="AD11982" s="7"/>
      <c r="AE11982" s="7"/>
      <c r="AF11982" s="8"/>
      <c r="AG11982" s="7"/>
    </row>
    <row r="11983" spans="11:33" ht="14.5" x14ac:dyDescent="0.35">
      <c r="K11983" s="4"/>
      <c r="AC11983" s="7"/>
      <c r="AD11983" s="7"/>
      <c r="AE11983" s="7"/>
      <c r="AF11983" s="8"/>
      <c r="AG11983" s="7"/>
    </row>
    <row r="11984" spans="11:33" ht="14.5" x14ac:dyDescent="0.35">
      <c r="K11984" s="4"/>
      <c r="AC11984" s="7"/>
      <c r="AD11984" s="7"/>
      <c r="AE11984" s="7"/>
      <c r="AF11984" s="8"/>
      <c r="AG11984" s="7"/>
    </row>
    <row r="11985" spans="11:33" ht="14.5" x14ac:dyDescent="0.35">
      <c r="K11985" s="4"/>
      <c r="AC11985" s="7"/>
      <c r="AD11985" s="7"/>
      <c r="AE11985" s="7"/>
      <c r="AF11985" s="8"/>
      <c r="AG11985" s="7"/>
    </row>
    <row r="11986" spans="11:33" ht="14.5" x14ac:dyDescent="0.35">
      <c r="K11986" s="4"/>
      <c r="AC11986" s="7"/>
      <c r="AD11986" s="7"/>
      <c r="AE11986" s="7"/>
      <c r="AF11986" s="8"/>
      <c r="AG11986" s="7"/>
    </row>
    <row r="11987" spans="11:33" ht="14.5" x14ac:dyDescent="0.35">
      <c r="K11987" s="4"/>
      <c r="AC11987" s="7"/>
      <c r="AD11987" s="7"/>
      <c r="AE11987" s="7"/>
      <c r="AF11987" s="8"/>
      <c r="AG11987" s="7"/>
    </row>
    <row r="11988" spans="11:33" ht="14.5" x14ac:dyDescent="0.35">
      <c r="K11988" s="4"/>
      <c r="AC11988" s="7"/>
      <c r="AD11988" s="7"/>
      <c r="AE11988" s="7"/>
      <c r="AF11988" s="8"/>
      <c r="AG11988" s="7"/>
    </row>
    <row r="11989" spans="11:33" ht="14.5" x14ac:dyDescent="0.35">
      <c r="K11989" s="4"/>
      <c r="AC11989" s="7"/>
      <c r="AD11989" s="7"/>
      <c r="AE11989" s="7"/>
      <c r="AF11989" s="8"/>
      <c r="AG11989" s="7"/>
    </row>
    <row r="11990" spans="11:33" ht="14.5" x14ac:dyDescent="0.35">
      <c r="K11990" s="4"/>
      <c r="AC11990" s="7"/>
      <c r="AD11990" s="7"/>
      <c r="AE11990" s="7"/>
      <c r="AF11990" s="8"/>
      <c r="AG11990" s="7"/>
    </row>
    <row r="11991" spans="11:33" ht="14.5" x14ac:dyDescent="0.35">
      <c r="K11991" s="4"/>
      <c r="AC11991" s="7"/>
      <c r="AD11991" s="7"/>
      <c r="AE11991" s="7"/>
      <c r="AF11991" s="8"/>
      <c r="AG11991" s="7"/>
    </row>
    <row r="11992" spans="11:33" ht="14.5" x14ac:dyDescent="0.35">
      <c r="K11992" s="4"/>
      <c r="AC11992" s="7"/>
      <c r="AD11992" s="7"/>
      <c r="AE11992" s="7"/>
      <c r="AF11992" s="8"/>
      <c r="AG11992" s="7"/>
    </row>
    <row r="11993" spans="11:33" ht="14.5" x14ac:dyDescent="0.35">
      <c r="K11993" s="4"/>
      <c r="AC11993" s="7"/>
      <c r="AD11993" s="7"/>
      <c r="AE11993" s="7"/>
      <c r="AF11993" s="8"/>
      <c r="AG11993" s="7"/>
    </row>
    <row r="11994" spans="11:33" ht="14.5" x14ac:dyDescent="0.35">
      <c r="K11994" s="4"/>
      <c r="AC11994" s="7"/>
      <c r="AD11994" s="7"/>
      <c r="AE11994" s="7"/>
      <c r="AF11994" s="8"/>
      <c r="AG11994" s="7"/>
    </row>
    <row r="11995" spans="11:33" ht="14.5" x14ac:dyDescent="0.35">
      <c r="K11995" s="4"/>
      <c r="AC11995" s="7"/>
      <c r="AD11995" s="7"/>
      <c r="AE11995" s="7"/>
      <c r="AF11995" s="8"/>
      <c r="AG11995" s="7"/>
    </row>
    <row r="11996" spans="11:33" ht="14.5" x14ac:dyDescent="0.35">
      <c r="K11996" s="4"/>
      <c r="AC11996" s="7"/>
      <c r="AD11996" s="7"/>
      <c r="AE11996" s="7"/>
      <c r="AF11996" s="8"/>
      <c r="AG11996" s="7"/>
    </row>
    <row r="11997" spans="11:33" ht="14.5" x14ac:dyDescent="0.35">
      <c r="K11997" s="4"/>
      <c r="AC11997" s="7"/>
      <c r="AD11997" s="7"/>
      <c r="AE11997" s="7"/>
      <c r="AF11997" s="8"/>
      <c r="AG11997" s="7"/>
    </row>
    <row r="11998" spans="11:33" ht="14.5" x14ac:dyDescent="0.35">
      <c r="K11998" s="4"/>
      <c r="AC11998" s="7"/>
      <c r="AD11998" s="7"/>
      <c r="AE11998" s="7"/>
      <c r="AF11998" s="8"/>
      <c r="AG11998" s="7"/>
    </row>
    <row r="11999" spans="11:33" ht="14.5" x14ac:dyDescent="0.35">
      <c r="K11999" s="4"/>
      <c r="AC11999" s="7"/>
      <c r="AD11999" s="7"/>
      <c r="AE11999" s="7"/>
      <c r="AF11999" s="8"/>
      <c r="AG11999" s="7"/>
    </row>
    <row r="12000" spans="11:33" ht="14.5" x14ac:dyDescent="0.35">
      <c r="K12000" s="4"/>
      <c r="AC12000" s="7"/>
      <c r="AD12000" s="7"/>
      <c r="AE12000" s="7"/>
      <c r="AF12000" s="8"/>
      <c r="AG12000" s="7"/>
    </row>
    <row r="12001" spans="11:33" ht="14.5" x14ac:dyDescent="0.35">
      <c r="K12001" s="4"/>
      <c r="AC12001" s="7"/>
      <c r="AD12001" s="7"/>
      <c r="AE12001" s="7"/>
      <c r="AF12001" s="8"/>
      <c r="AG12001" s="7"/>
    </row>
    <row r="12002" spans="11:33" ht="14.5" x14ac:dyDescent="0.35">
      <c r="K12002" s="4"/>
      <c r="AC12002" s="7"/>
      <c r="AD12002" s="7"/>
      <c r="AE12002" s="7"/>
      <c r="AF12002" s="8"/>
      <c r="AG12002" s="7"/>
    </row>
    <row r="12003" spans="11:33" ht="14.5" x14ac:dyDescent="0.35">
      <c r="K12003" s="4"/>
      <c r="AC12003" s="7"/>
      <c r="AD12003" s="7"/>
      <c r="AE12003" s="7"/>
      <c r="AF12003" s="8"/>
      <c r="AG12003" s="7"/>
    </row>
    <row r="12004" spans="11:33" ht="14.5" x14ac:dyDescent="0.35">
      <c r="K12004" s="4"/>
      <c r="AC12004" s="7"/>
      <c r="AD12004" s="7"/>
      <c r="AE12004" s="7"/>
      <c r="AF12004" s="8"/>
      <c r="AG12004" s="7"/>
    </row>
    <row r="12005" spans="11:33" ht="14.5" x14ac:dyDescent="0.35">
      <c r="K12005" s="4"/>
      <c r="AC12005" s="7"/>
      <c r="AD12005" s="7"/>
      <c r="AE12005" s="7"/>
      <c r="AF12005" s="8"/>
      <c r="AG12005" s="7"/>
    </row>
    <row r="12006" spans="11:33" ht="14.5" x14ac:dyDescent="0.35">
      <c r="K12006" s="4"/>
      <c r="AC12006" s="7"/>
      <c r="AD12006" s="7"/>
      <c r="AE12006" s="7"/>
      <c r="AF12006" s="8"/>
      <c r="AG12006" s="7"/>
    </row>
    <row r="12007" spans="11:33" ht="14.5" x14ac:dyDescent="0.35">
      <c r="K12007" s="4"/>
      <c r="AC12007" s="7"/>
      <c r="AD12007" s="7"/>
      <c r="AE12007" s="7"/>
      <c r="AF12007" s="8"/>
      <c r="AG12007" s="7"/>
    </row>
    <row r="12008" spans="11:33" ht="14.5" x14ac:dyDescent="0.35">
      <c r="K12008" s="4"/>
      <c r="AC12008" s="7"/>
      <c r="AD12008" s="7"/>
      <c r="AE12008" s="7"/>
      <c r="AF12008" s="8"/>
      <c r="AG12008" s="7"/>
    </row>
    <row r="12009" spans="11:33" ht="14.5" x14ac:dyDescent="0.35">
      <c r="K12009" s="4"/>
      <c r="AC12009" s="7"/>
      <c r="AD12009" s="7"/>
      <c r="AE12009" s="7"/>
      <c r="AF12009" s="8"/>
      <c r="AG12009" s="7"/>
    </row>
    <row r="12010" spans="11:33" ht="14.5" x14ac:dyDescent="0.35">
      <c r="K12010" s="4"/>
      <c r="AC12010" s="7"/>
      <c r="AD12010" s="7"/>
      <c r="AE12010" s="7"/>
      <c r="AF12010" s="8"/>
      <c r="AG12010" s="7"/>
    </row>
    <row r="12011" spans="11:33" ht="14.5" x14ac:dyDescent="0.35">
      <c r="K12011" s="4"/>
      <c r="AC12011" s="7"/>
      <c r="AD12011" s="7"/>
      <c r="AE12011" s="7"/>
      <c r="AF12011" s="8"/>
      <c r="AG12011" s="7"/>
    </row>
    <row r="12012" spans="11:33" ht="14.5" x14ac:dyDescent="0.35">
      <c r="K12012" s="4"/>
      <c r="AC12012" s="7"/>
      <c r="AD12012" s="7"/>
      <c r="AE12012" s="7"/>
      <c r="AF12012" s="8"/>
      <c r="AG12012" s="7"/>
    </row>
    <row r="12013" spans="11:33" ht="14.5" x14ac:dyDescent="0.35">
      <c r="K12013" s="4"/>
      <c r="AC12013" s="7"/>
      <c r="AD12013" s="7"/>
      <c r="AE12013" s="7"/>
      <c r="AF12013" s="8"/>
      <c r="AG12013" s="7"/>
    </row>
    <row r="12014" spans="11:33" ht="14.5" x14ac:dyDescent="0.35">
      <c r="K12014" s="4"/>
      <c r="AC12014" s="7"/>
      <c r="AD12014" s="7"/>
      <c r="AE12014" s="7"/>
      <c r="AF12014" s="8"/>
      <c r="AG12014" s="7"/>
    </row>
    <row r="12015" spans="11:33" ht="14.5" x14ac:dyDescent="0.35">
      <c r="K12015" s="4"/>
      <c r="AC12015" s="7"/>
      <c r="AD12015" s="7"/>
      <c r="AE12015" s="7"/>
      <c r="AF12015" s="8"/>
      <c r="AG12015" s="7"/>
    </row>
    <row r="12016" spans="11:33" ht="14.5" x14ac:dyDescent="0.35">
      <c r="K12016" s="4"/>
      <c r="AC12016" s="7"/>
      <c r="AD12016" s="7"/>
      <c r="AE12016" s="7"/>
      <c r="AF12016" s="8"/>
      <c r="AG12016" s="7"/>
    </row>
    <row r="12017" spans="11:33" ht="14.5" x14ac:dyDescent="0.35">
      <c r="K12017" s="4"/>
      <c r="AC12017" s="7"/>
      <c r="AD12017" s="7"/>
      <c r="AE12017" s="7"/>
      <c r="AF12017" s="8"/>
      <c r="AG12017" s="7"/>
    </row>
    <row r="12018" spans="11:33" ht="14.5" x14ac:dyDescent="0.35">
      <c r="K12018" s="4"/>
      <c r="AC12018" s="7"/>
      <c r="AD12018" s="7"/>
      <c r="AE12018" s="7"/>
      <c r="AF12018" s="8"/>
      <c r="AG12018" s="7"/>
    </row>
    <row r="12019" spans="11:33" ht="14.5" x14ac:dyDescent="0.35">
      <c r="K12019" s="4"/>
      <c r="AC12019" s="7"/>
      <c r="AD12019" s="7"/>
      <c r="AE12019" s="7"/>
      <c r="AF12019" s="8"/>
      <c r="AG12019" s="7"/>
    </row>
    <row r="12020" spans="11:33" ht="14.5" x14ac:dyDescent="0.35">
      <c r="K12020" s="4"/>
      <c r="AC12020" s="7"/>
      <c r="AD12020" s="7"/>
      <c r="AE12020" s="7"/>
      <c r="AF12020" s="8"/>
      <c r="AG12020" s="7"/>
    </row>
    <row r="12021" spans="11:33" ht="14.5" x14ac:dyDescent="0.35">
      <c r="K12021" s="4"/>
      <c r="AC12021" s="7"/>
      <c r="AD12021" s="7"/>
      <c r="AE12021" s="7"/>
      <c r="AF12021" s="8"/>
      <c r="AG12021" s="7"/>
    </row>
    <row r="12022" spans="11:33" ht="14.5" x14ac:dyDescent="0.35">
      <c r="K12022" s="4"/>
      <c r="AC12022" s="7"/>
      <c r="AD12022" s="7"/>
      <c r="AE12022" s="7"/>
      <c r="AF12022" s="8"/>
      <c r="AG12022" s="7"/>
    </row>
    <row r="12023" spans="11:33" ht="14.5" x14ac:dyDescent="0.35">
      <c r="K12023" s="4"/>
      <c r="AC12023" s="7"/>
      <c r="AD12023" s="7"/>
      <c r="AE12023" s="7"/>
      <c r="AF12023" s="8"/>
      <c r="AG12023" s="7"/>
    </row>
    <row r="12024" spans="11:33" ht="14.5" x14ac:dyDescent="0.35">
      <c r="K12024" s="4"/>
      <c r="AC12024" s="7"/>
      <c r="AD12024" s="7"/>
      <c r="AE12024" s="7"/>
      <c r="AF12024" s="8"/>
      <c r="AG12024" s="7"/>
    </row>
    <row r="12025" spans="11:33" ht="14.5" x14ac:dyDescent="0.35">
      <c r="K12025" s="4"/>
      <c r="AC12025" s="7"/>
      <c r="AD12025" s="7"/>
      <c r="AE12025" s="7"/>
      <c r="AF12025" s="8"/>
      <c r="AG12025" s="7"/>
    </row>
    <row r="12026" spans="11:33" ht="14.5" x14ac:dyDescent="0.35">
      <c r="K12026" s="4"/>
      <c r="AC12026" s="7"/>
      <c r="AD12026" s="7"/>
      <c r="AE12026" s="7"/>
      <c r="AF12026" s="8"/>
      <c r="AG12026" s="7"/>
    </row>
    <row r="12027" spans="11:33" ht="14.5" x14ac:dyDescent="0.35">
      <c r="K12027" s="4"/>
      <c r="AC12027" s="7"/>
      <c r="AD12027" s="7"/>
      <c r="AE12027" s="7"/>
      <c r="AF12027" s="8"/>
      <c r="AG12027" s="7"/>
    </row>
    <row r="12028" spans="11:33" ht="14.5" x14ac:dyDescent="0.35">
      <c r="K12028" s="4"/>
      <c r="AC12028" s="7"/>
      <c r="AD12028" s="7"/>
      <c r="AE12028" s="7"/>
      <c r="AF12028" s="8"/>
      <c r="AG12028" s="7"/>
    </row>
    <row r="12029" spans="11:33" ht="14.5" x14ac:dyDescent="0.35">
      <c r="K12029" s="4"/>
      <c r="AC12029" s="7"/>
      <c r="AD12029" s="7"/>
      <c r="AE12029" s="7"/>
      <c r="AF12029" s="8"/>
      <c r="AG12029" s="7"/>
    </row>
    <row r="12030" spans="11:33" ht="14.5" x14ac:dyDescent="0.35">
      <c r="K12030" s="4"/>
      <c r="AC12030" s="7"/>
      <c r="AD12030" s="7"/>
      <c r="AE12030" s="7"/>
      <c r="AF12030" s="8"/>
      <c r="AG12030" s="7"/>
    </row>
    <row r="12031" spans="11:33" ht="14.5" x14ac:dyDescent="0.35">
      <c r="K12031" s="4"/>
      <c r="AC12031" s="7"/>
      <c r="AD12031" s="7"/>
      <c r="AE12031" s="7"/>
      <c r="AF12031" s="8"/>
      <c r="AG12031" s="7"/>
    </row>
    <row r="12032" spans="11:33" ht="14.5" x14ac:dyDescent="0.35">
      <c r="K12032" s="4"/>
      <c r="AC12032" s="7"/>
      <c r="AD12032" s="7"/>
      <c r="AE12032" s="7"/>
      <c r="AF12032" s="8"/>
      <c r="AG12032" s="7"/>
    </row>
    <row r="12033" spans="11:33" ht="14.5" x14ac:dyDescent="0.35">
      <c r="K12033" s="4"/>
      <c r="AC12033" s="7"/>
      <c r="AD12033" s="7"/>
      <c r="AE12033" s="7"/>
      <c r="AF12033" s="8"/>
      <c r="AG12033" s="7"/>
    </row>
    <row r="12034" spans="11:33" ht="14.5" x14ac:dyDescent="0.35">
      <c r="K12034" s="4"/>
      <c r="AC12034" s="7"/>
      <c r="AD12034" s="7"/>
      <c r="AE12034" s="7"/>
      <c r="AF12034" s="8"/>
      <c r="AG12034" s="7"/>
    </row>
    <row r="12035" spans="11:33" ht="14.5" x14ac:dyDescent="0.35">
      <c r="K12035" s="4"/>
      <c r="AC12035" s="7"/>
      <c r="AD12035" s="7"/>
      <c r="AE12035" s="7"/>
      <c r="AF12035" s="8"/>
      <c r="AG12035" s="7"/>
    </row>
    <row r="12036" spans="11:33" ht="14.5" x14ac:dyDescent="0.35">
      <c r="K12036" s="4"/>
      <c r="AC12036" s="7"/>
      <c r="AD12036" s="7"/>
      <c r="AE12036" s="7"/>
      <c r="AF12036" s="8"/>
      <c r="AG12036" s="7"/>
    </row>
    <row r="12037" spans="11:33" ht="14.5" x14ac:dyDescent="0.35">
      <c r="K12037" s="4"/>
      <c r="AC12037" s="7"/>
      <c r="AD12037" s="7"/>
      <c r="AE12037" s="7"/>
      <c r="AF12037" s="8"/>
      <c r="AG12037" s="7"/>
    </row>
    <row r="12038" spans="11:33" ht="14.5" x14ac:dyDescent="0.35">
      <c r="K12038" s="4"/>
      <c r="AC12038" s="7"/>
      <c r="AD12038" s="7"/>
      <c r="AE12038" s="7"/>
      <c r="AF12038" s="8"/>
      <c r="AG12038" s="7"/>
    </row>
    <row r="12039" spans="11:33" ht="14.5" x14ac:dyDescent="0.35">
      <c r="K12039" s="4"/>
      <c r="AC12039" s="7"/>
      <c r="AD12039" s="7"/>
      <c r="AE12039" s="7"/>
      <c r="AF12039" s="8"/>
      <c r="AG12039" s="7"/>
    </row>
    <row r="12040" spans="11:33" ht="14.5" x14ac:dyDescent="0.35">
      <c r="K12040" s="4"/>
      <c r="AC12040" s="7"/>
      <c r="AD12040" s="7"/>
      <c r="AE12040" s="7"/>
      <c r="AF12040" s="8"/>
      <c r="AG12040" s="7"/>
    </row>
    <row r="12041" spans="11:33" ht="14.5" x14ac:dyDescent="0.35">
      <c r="K12041" s="4"/>
      <c r="AC12041" s="7"/>
      <c r="AD12041" s="7"/>
      <c r="AE12041" s="7"/>
      <c r="AF12041" s="8"/>
      <c r="AG12041" s="7"/>
    </row>
    <row r="12042" spans="11:33" ht="14.5" x14ac:dyDescent="0.35">
      <c r="K12042" s="4"/>
      <c r="AC12042" s="7"/>
      <c r="AD12042" s="7"/>
      <c r="AE12042" s="7"/>
      <c r="AF12042" s="8"/>
      <c r="AG12042" s="7"/>
    </row>
    <row r="12043" spans="11:33" ht="14.5" x14ac:dyDescent="0.35">
      <c r="K12043" s="4"/>
      <c r="AC12043" s="7"/>
      <c r="AD12043" s="7"/>
      <c r="AE12043" s="7"/>
      <c r="AF12043" s="8"/>
      <c r="AG12043" s="7"/>
    </row>
    <row r="12044" spans="11:33" ht="14.5" x14ac:dyDescent="0.35">
      <c r="K12044" s="4"/>
      <c r="AC12044" s="7"/>
      <c r="AD12044" s="7"/>
      <c r="AE12044" s="7"/>
      <c r="AF12044" s="8"/>
      <c r="AG12044" s="7"/>
    </row>
    <row r="12045" spans="11:33" ht="14.5" x14ac:dyDescent="0.35">
      <c r="K12045" s="4"/>
      <c r="AC12045" s="7"/>
      <c r="AD12045" s="7"/>
      <c r="AE12045" s="7"/>
      <c r="AF12045" s="8"/>
      <c r="AG12045" s="7"/>
    </row>
    <row r="12046" spans="11:33" ht="14.5" x14ac:dyDescent="0.35">
      <c r="K12046" s="4"/>
      <c r="AC12046" s="7"/>
      <c r="AD12046" s="7"/>
      <c r="AE12046" s="7"/>
      <c r="AF12046" s="8"/>
      <c r="AG12046" s="7"/>
    </row>
    <row r="12047" spans="11:33" ht="14.5" x14ac:dyDescent="0.35">
      <c r="K12047" s="4"/>
      <c r="AC12047" s="7"/>
      <c r="AD12047" s="7"/>
      <c r="AE12047" s="7"/>
      <c r="AF12047" s="8"/>
      <c r="AG12047" s="7"/>
    </row>
    <row r="12048" spans="11:33" ht="14.5" x14ac:dyDescent="0.35">
      <c r="K12048" s="4"/>
      <c r="AC12048" s="7"/>
      <c r="AD12048" s="7"/>
      <c r="AE12048" s="7"/>
      <c r="AF12048" s="8"/>
      <c r="AG12048" s="7"/>
    </row>
    <row r="12049" spans="11:33" ht="14.5" x14ac:dyDescent="0.35">
      <c r="K12049" s="4"/>
      <c r="AC12049" s="7"/>
      <c r="AD12049" s="7"/>
      <c r="AE12049" s="7"/>
      <c r="AF12049" s="8"/>
      <c r="AG12049" s="7"/>
    </row>
    <row r="12050" spans="11:33" ht="14.5" x14ac:dyDescent="0.35">
      <c r="K12050" s="4"/>
      <c r="AC12050" s="7"/>
      <c r="AD12050" s="7"/>
      <c r="AE12050" s="7"/>
      <c r="AF12050" s="8"/>
      <c r="AG12050" s="7"/>
    </row>
    <row r="12051" spans="11:33" ht="14.5" x14ac:dyDescent="0.35">
      <c r="K12051" s="4"/>
      <c r="AC12051" s="7"/>
      <c r="AD12051" s="7"/>
      <c r="AE12051" s="7"/>
      <c r="AF12051" s="8"/>
      <c r="AG12051" s="7"/>
    </row>
    <row r="12052" spans="11:33" ht="14.5" x14ac:dyDescent="0.35">
      <c r="K12052" s="4"/>
      <c r="AC12052" s="7"/>
      <c r="AD12052" s="7"/>
      <c r="AE12052" s="7"/>
      <c r="AF12052" s="8"/>
      <c r="AG12052" s="7"/>
    </row>
    <row r="12053" spans="11:33" ht="14.5" x14ac:dyDescent="0.35">
      <c r="K12053" s="4"/>
      <c r="AC12053" s="7"/>
      <c r="AD12053" s="7"/>
      <c r="AE12053" s="7"/>
      <c r="AF12053" s="8"/>
      <c r="AG12053" s="7"/>
    </row>
    <row r="12054" spans="11:33" ht="14.5" x14ac:dyDescent="0.35">
      <c r="K12054" s="4"/>
      <c r="AC12054" s="7"/>
      <c r="AD12054" s="7"/>
      <c r="AE12054" s="7"/>
      <c r="AF12054" s="8"/>
      <c r="AG12054" s="7"/>
    </row>
    <row r="12055" spans="11:33" ht="14.5" x14ac:dyDescent="0.35">
      <c r="K12055" s="4"/>
      <c r="AC12055" s="7"/>
      <c r="AD12055" s="7"/>
      <c r="AE12055" s="7"/>
      <c r="AF12055" s="8"/>
      <c r="AG12055" s="7"/>
    </row>
    <row r="12056" spans="11:33" ht="14.5" x14ac:dyDescent="0.35">
      <c r="K12056" s="4"/>
      <c r="AC12056" s="7"/>
      <c r="AD12056" s="7"/>
      <c r="AE12056" s="7"/>
      <c r="AF12056" s="8"/>
      <c r="AG12056" s="7"/>
    </row>
    <row r="12057" spans="11:33" ht="14.5" x14ac:dyDescent="0.35">
      <c r="K12057" s="4"/>
      <c r="AC12057" s="7"/>
      <c r="AD12057" s="7"/>
      <c r="AE12057" s="7"/>
      <c r="AF12057" s="8"/>
      <c r="AG12057" s="7"/>
    </row>
    <row r="12058" spans="11:33" ht="14.5" x14ac:dyDescent="0.35">
      <c r="K12058" s="4"/>
      <c r="AC12058" s="7"/>
      <c r="AD12058" s="7"/>
      <c r="AE12058" s="7"/>
      <c r="AF12058" s="8"/>
      <c r="AG12058" s="7"/>
    </row>
    <row r="12059" spans="11:33" ht="14.5" x14ac:dyDescent="0.35">
      <c r="K12059" s="4"/>
      <c r="AC12059" s="7"/>
      <c r="AD12059" s="7"/>
      <c r="AE12059" s="7"/>
      <c r="AF12059" s="8"/>
      <c r="AG12059" s="7"/>
    </row>
    <row r="12060" spans="11:33" ht="14.5" x14ac:dyDescent="0.35">
      <c r="K12060" s="4"/>
      <c r="AC12060" s="7"/>
      <c r="AD12060" s="7"/>
      <c r="AE12060" s="7"/>
      <c r="AF12060" s="8"/>
      <c r="AG12060" s="7"/>
    </row>
    <row r="12061" spans="11:33" ht="14.5" x14ac:dyDescent="0.35">
      <c r="K12061" s="4"/>
      <c r="AC12061" s="7"/>
      <c r="AD12061" s="7"/>
      <c r="AE12061" s="7"/>
      <c r="AF12061" s="8"/>
      <c r="AG12061" s="7"/>
    </row>
    <row r="12062" spans="11:33" ht="14.5" x14ac:dyDescent="0.35">
      <c r="K12062" s="4"/>
      <c r="AC12062" s="7"/>
      <c r="AD12062" s="7"/>
      <c r="AE12062" s="7"/>
      <c r="AF12062" s="8"/>
      <c r="AG12062" s="7"/>
    </row>
    <row r="12063" spans="11:33" ht="14.5" x14ac:dyDescent="0.35">
      <c r="K12063" s="4"/>
      <c r="AC12063" s="7"/>
      <c r="AD12063" s="7"/>
      <c r="AE12063" s="7"/>
      <c r="AF12063" s="8"/>
      <c r="AG12063" s="7"/>
    </row>
    <row r="12064" spans="11:33" ht="14.5" x14ac:dyDescent="0.35">
      <c r="K12064" s="4"/>
      <c r="AC12064" s="7"/>
      <c r="AD12064" s="7"/>
      <c r="AE12064" s="7"/>
      <c r="AF12064" s="8"/>
      <c r="AG12064" s="7"/>
    </row>
    <row r="12065" spans="11:33" ht="14.5" x14ac:dyDescent="0.35">
      <c r="K12065" s="4"/>
      <c r="AC12065" s="7"/>
      <c r="AD12065" s="7"/>
      <c r="AE12065" s="7"/>
      <c r="AF12065" s="8"/>
      <c r="AG12065" s="7"/>
    </row>
    <row r="12066" spans="11:33" ht="14.5" x14ac:dyDescent="0.35">
      <c r="K12066" s="4"/>
      <c r="AC12066" s="7"/>
      <c r="AD12066" s="7"/>
      <c r="AE12066" s="7"/>
      <c r="AF12066" s="8"/>
      <c r="AG12066" s="7"/>
    </row>
    <row r="12067" spans="11:33" ht="14.5" x14ac:dyDescent="0.35">
      <c r="K12067" s="4"/>
      <c r="AC12067" s="7"/>
      <c r="AD12067" s="7"/>
      <c r="AE12067" s="7"/>
      <c r="AF12067" s="8"/>
      <c r="AG12067" s="7"/>
    </row>
    <row r="12068" spans="11:33" ht="14.5" x14ac:dyDescent="0.35">
      <c r="K12068" s="4"/>
      <c r="AC12068" s="7"/>
      <c r="AD12068" s="7"/>
      <c r="AE12068" s="7"/>
      <c r="AF12068" s="8"/>
      <c r="AG12068" s="7"/>
    </row>
    <row r="12069" spans="11:33" ht="14.5" x14ac:dyDescent="0.35">
      <c r="K12069" s="4"/>
      <c r="AC12069" s="7"/>
      <c r="AD12069" s="7"/>
      <c r="AE12069" s="7"/>
      <c r="AF12069" s="8"/>
      <c r="AG12069" s="7"/>
    </row>
    <row r="12070" spans="11:33" ht="14.5" x14ac:dyDescent="0.35">
      <c r="K12070" s="4"/>
      <c r="AC12070" s="7"/>
      <c r="AD12070" s="7"/>
      <c r="AE12070" s="7"/>
      <c r="AF12070" s="8"/>
      <c r="AG12070" s="7"/>
    </row>
    <row r="12071" spans="11:33" ht="14.5" x14ac:dyDescent="0.35">
      <c r="K12071" s="4"/>
      <c r="AC12071" s="7"/>
      <c r="AD12071" s="7"/>
      <c r="AE12071" s="7"/>
      <c r="AF12071" s="8"/>
      <c r="AG12071" s="7"/>
    </row>
    <row r="12072" spans="11:33" ht="14.5" x14ac:dyDescent="0.35">
      <c r="K12072" s="4"/>
      <c r="AC12072" s="7"/>
      <c r="AD12072" s="7"/>
      <c r="AE12072" s="7"/>
      <c r="AF12072" s="8"/>
      <c r="AG12072" s="7"/>
    </row>
    <row r="12073" spans="11:33" ht="14.5" x14ac:dyDescent="0.35">
      <c r="K12073" s="4"/>
      <c r="AC12073" s="7"/>
      <c r="AD12073" s="7"/>
      <c r="AE12073" s="7"/>
      <c r="AF12073" s="8"/>
      <c r="AG12073" s="7"/>
    </row>
    <row r="12074" spans="11:33" ht="14.5" x14ac:dyDescent="0.35">
      <c r="K12074" s="4"/>
      <c r="AC12074" s="7"/>
      <c r="AD12074" s="7"/>
      <c r="AE12074" s="7"/>
      <c r="AF12074" s="8"/>
      <c r="AG12074" s="7"/>
    </row>
    <row r="12075" spans="11:33" ht="14.5" x14ac:dyDescent="0.35">
      <c r="K12075" s="4"/>
      <c r="AC12075" s="7"/>
      <c r="AD12075" s="7"/>
      <c r="AE12075" s="7"/>
      <c r="AF12075" s="8"/>
      <c r="AG12075" s="7"/>
    </row>
    <row r="12076" spans="11:33" ht="14.5" x14ac:dyDescent="0.35">
      <c r="K12076" s="4"/>
      <c r="AC12076" s="7"/>
      <c r="AD12076" s="7"/>
      <c r="AE12076" s="7"/>
      <c r="AF12076" s="8"/>
      <c r="AG12076" s="7"/>
    </row>
    <row r="12077" spans="11:33" ht="14.5" x14ac:dyDescent="0.35">
      <c r="K12077" s="4"/>
      <c r="AC12077" s="7"/>
      <c r="AD12077" s="7"/>
      <c r="AE12077" s="7"/>
      <c r="AF12077" s="8"/>
      <c r="AG12077" s="7"/>
    </row>
    <row r="12078" spans="11:33" ht="14.5" x14ac:dyDescent="0.35">
      <c r="K12078" s="4"/>
      <c r="AC12078" s="7"/>
      <c r="AD12078" s="7"/>
      <c r="AE12078" s="7"/>
      <c r="AF12078" s="8"/>
      <c r="AG12078" s="7"/>
    </row>
    <row r="12079" spans="11:33" ht="14.5" x14ac:dyDescent="0.35">
      <c r="K12079" s="4"/>
      <c r="AC12079" s="7"/>
      <c r="AD12079" s="7"/>
      <c r="AE12079" s="7"/>
      <c r="AF12079" s="8"/>
      <c r="AG12079" s="7"/>
    </row>
    <row r="12080" spans="11:33" ht="14.5" x14ac:dyDescent="0.35">
      <c r="K12080" s="4"/>
      <c r="AC12080" s="7"/>
      <c r="AD12080" s="7"/>
      <c r="AE12080" s="7"/>
      <c r="AF12080" s="8"/>
      <c r="AG12080" s="7"/>
    </row>
    <row r="12081" spans="11:33" ht="14.5" x14ac:dyDescent="0.35">
      <c r="K12081" s="4"/>
      <c r="AC12081" s="7"/>
      <c r="AD12081" s="7"/>
      <c r="AE12081" s="7"/>
      <c r="AF12081" s="8"/>
      <c r="AG12081" s="7"/>
    </row>
    <row r="12082" spans="11:33" ht="14.5" x14ac:dyDescent="0.35">
      <c r="K12082" s="4"/>
      <c r="AC12082" s="7"/>
      <c r="AD12082" s="7"/>
      <c r="AE12082" s="7"/>
      <c r="AF12082" s="8"/>
      <c r="AG12082" s="7"/>
    </row>
    <row r="12083" spans="11:33" ht="14.5" x14ac:dyDescent="0.35">
      <c r="K12083" s="4"/>
      <c r="AC12083" s="7"/>
      <c r="AD12083" s="7"/>
      <c r="AE12083" s="7"/>
      <c r="AF12083" s="8"/>
      <c r="AG12083" s="7"/>
    </row>
    <row r="12084" spans="11:33" ht="14.5" x14ac:dyDescent="0.35">
      <c r="K12084" s="4"/>
      <c r="AC12084" s="7"/>
      <c r="AD12084" s="7"/>
      <c r="AE12084" s="7"/>
      <c r="AF12084" s="8"/>
      <c r="AG12084" s="7"/>
    </row>
    <row r="12085" spans="11:33" ht="14.5" x14ac:dyDescent="0.35">
      <c r="K12085" s="4"/>
      <c r="AC12085" s="7"/>
      <c r="AD12085" s="7"/>
      <c r="AE12085" s="7"/>
      <c r="AF12085" s="8"/>
      <c r="AG12085" s="7"/>
    </row>
    <row r="12086" spans="11:33" ht="14.5" x14ac:dyDescent="0.35">
      <c r="K12086" s="4"/>
      <c r="AC12086" s="7"/>
      <c r="AD12086" s="7"/>
      <c r="AE12086" s="7"/>
      <c r="AF12086" s="8"/>
      <c r="AG12086" s="7"/>
    </row>
    <row r="12087" spans="11:33" ht="14.5" x14ac:dyDescent="0.35">
      <c r="K12087" s="4"/>
      <c r="AC12087" s="7"/>
      <c r="AD12087" s="7"/>
      <c r="AE12087" s="7"/>
      <c r="AF12087" s="8"/>
      <c r="AG12087" s="7"/>
    </row>
    <row r="12088" spans="11:33" ht="14.5" x14ac:dyDescent="0.35">
      <c r="K12088" s="4"/>
      <c r="AC12088" s="7"/>
      <c r="AD12088" s="7"/>
      <c r="AE12088" s="7"/>
      <c r="AF12088" s="8"/>
      <c r="AG12088" s="7"/>
    </row>
    <row r="12089" spans="11:33" ht="14.5" x14ac:dyDescent="0.35">
      <c r="K12089" s="4"/>
      <c r="AC12089" s="7"/>
      <c r="AD12089" s="7"/>
      <c r="AE12089" s="7"/>
      <c r="AF12089" s="8"/>
      <c r="AG12089" s="7"/>
    </row>
    <row r="12090" spans="11:33" ht="14.5" x14ac:dyDescent="0.35">
      <c r="K12090" s="4"/>
      <c r="AC12090" s="7"/>
      <c r="AD12090" s="7"/>
      <c r="AE12090" s="7"/>
      <c r="AF12090" s="8"/>
      <c r="AG12090" s="7"/>
    </row>
    <row r="12091" spans="11:33" ht="14.5" x14ac:dyDescent="0.35">
      <c r="K12091" s="4"/>
      <c r="AC12091" s="7"/>
      <c r="AD12091" s="7"/>
      <c r="AE12091" s="7"/>
      <c r="AF12091" s="8"/>
      <c r="AG12091" s="7"/>
    </row>
    <row r="12092" spans="11:33" ht="14.5" x14ac:dyDescent="0.35">
      <c r="K12092" s="4"/>
      <c r="AC12092" s="7"/>
      <c r="AD12092" s="7"/>
      <c r="AE12092" s="7"/>
      <c r="AF12092" s="8"/>
      <c r="AG12092" s="7"/>
    </row>
    <row r="12093" spans="11:33" ht="14.5" x14ac:dyDescent="0.35">
      <c r="K12093" s="4"/>
      <c r="AC12093" s="7"/>
      <c r="AD12093" s="7"/>
      <c r="AE12093" s="7"/>
      <c r="AF12093" s="8"/>
      <c r="AG12093" s="7"/>
    </row>
    <row r="12094" spans="11:33" ht="14.5" x14ac:dyDescent="0.35">
      <c r="K12094" s="4"/>
      <c r="AC12094" s="7"/>
      <c r="AD12094" s="7"/>
      <c r="AE12094" s="7"/>
      <c r="AF12094" s="8"/>
      <c r="AG12094" s="7"/>
    </row>
    <row r="12095" spans="11:33" ht="14.5" x14ac:dyDescent="0.35">
      <c r="K12095" s="4"/>
      <c r="AC12095" s="7"/>
      <c r="AD12095" s="7"/>
      <c r="AE12095" s="7"/>
      <c r="AF12095" s="8"/>
      <c r="AG12095" s="7"/>
    </row>
    <row r="12096" spans="11:33" ht="14.5" x14ac:dyDescent="0.35">
      <c r="K12096" s="4"/>
      <c r="AC12096" s="7"/>
      <c r="AD12096" s="7"/>
      <c r="AE12096" s="7"/>
      <c r="AF12096" s="8"/>
      <c r="AG12096" s="7"/>
    </row>
    <row r="12097" spans="11:33" ht="14.5" x14ac:dyDescent="0.35">
      <c r="K12097" s="4"/>
      <c r="AC12097" s="7"/>
      <c r="AD12097" s="7"/>
      <c r="AE12097" s="7"/>
      <c r="AF12097" s="8"/>
      <c r="AG12097" s="7"/>
    </row>
    <row r="12098" spans="11:33" ht="14.5" x14ac:dyDescent="0.35">
      <c r="K12098" s="4"/>
      <c r="AC12098" s="7"/>
      <c r="AD12098" s="7"/>
      <c r="AE12098" s="7"/>
      <c r="AF12098" s="8"/>
      <c r="AG12098" s="7"/>
    </row>
    <row r="12099" spans="11:33" ht="14.5" x14ac:dyDescent="0.35">
      <c r="K12099" s="4"/>
      <c r="AC12099" s="7"/>
      <c r="AD12099" s="7"/>
      <c r="AE12099" s="7"/>
      <c r="AF12099" s="8"/>
      <c r="AG12099" s="7"/>
    </row>
    <row r="12100" spans="11:33" ht="14.5" x14ac:dyDescent="0.35">
      <c r="K12100" s="4"/>
      <c r="AC12100" s="7"/>
      <c r="AD12100" s="7"/>
      <c r="AE12100" s="7"/>
      <c r="AF12100" s="8"/>
      <c r="AG12100" s="7"/>
    </row>
    <row r="12101" spans="11:33" ht="14.5" x14ac:dyDescent="0.35">
      <c r="K12101" s="4"/>
      <c r="AC12101" s="7"/>
      <c r="AD12101" s="7"/>
      <c r="AE12101" s="7"/>
      <c r="AF12101" s="8"/>
      <c r="AG12101" s="7"/>
    </row>
    <row r="12102" spans="11:33" ht="14.5" x14ac:dyDescent="0.35">
      <c r="K12102" s="4"/>
      <c r="AC12102" s="7"/>
      <c r="AD12102" s="7"/>
      <c r="AE12102" s="7"/>
      <c r="AF12102" s="8"/>
      <c r="AG12102" s="7"/>
    </row>
    <row r="12103" spans="11:33" ht="14.5" x14ac:dyDescent="0.35">
      <c r="K12103" s="4"/>
      <c r="AC12103" s="7"/>
      <c r="AD12103" s="7"/>
      <c r="AE12103" s="7"/>
      <c r="AF12103" s="8"/>
      <c r="AG12103" s="7"/>
    </row>
    <row r="12104" spans="11:33" ht="14.5" x14ac:dyDescent="0.35">
      <c r="K12104" s="4"/>
      <c r="AC12104" s="7"/>
      <c r="AD12104" s="7"/>
      <c r="AE12104" s="7"/>
      <c r="AF12104" s="8"/>
      <c r="AG12104" s="7"/>
    </row>
    <row r="12105" spans="11:33" ht="14.5" x14ac:dyDescent="0.35">
      <c r="K12105" s="4"/>
      <c r="AC12105" s="7"/>
      <c r="AD12105" s="7"/>
      <c r="AE12105" s="7"/>
      <c r="AF12105" s="8"/>
      <c r="AG12105" s="7"/>
    </row>
    <row r="12106" spans="11:33" ht="14.5" x14ac:dyDescent="0.35">
      <c r="K12106" s="4"/>
      <c r="AC12106" s="7"/>
      <c r="AD12106" s="7"/>
      <c r="AE12106" s="7"/>
      <c r="AF12106" s="8"/>
      <c r="AG12106" s="7"/>
    </row>
    <row r="12107" spans="11:33" ht="14.5" x14ac:dyDescent="0.35">
      <c r="K12107" s="4"/>
      <c r="AC12107" s="7"/>
      <c r="AD12107" s="7"/>
      <c r="AE12107" s="7"/>
      <c r="AF12107" s="8"/>
      <c r="AG12107" s="7"/>
    </row>
    <row r="12108" spans="11:33" ht="14.5" x14ac:dyDescent="0.35">
      <c r="K12108" s="4"/>
      <c r="AC12108" s="7"/>
      <c r="AD12108" s="7"/>
      <c r="AE12108" s="7"/>
      <c r="AF12108" s="8"/>
      <c r="AG12108" s="7"/>
    </row>
    <row r="12109" spans="11:33" ht="14.5" x14ac:dyDescent="0.35">
      <c r="K12109" s="4"/>
      <c r="AC12109" s="7"/>
      <c r="AD12109" s="7"/>
      <c r="AE12109" s="7"/>
      <c r="AF12109" s="8"/>
      <c r="AG12109" s="7"/>
    </row>
    <row r="12110" spans="11:33" ht="14.5" x14ac:dyDescent="0.35">
      <c r="K12110" s="4"/>
      <c r="AC12110" s="7"/>
      <c r="AD12110" s="7"/>
      <c r="AE12110" s="7"/>
      <c r="AF12110" s="8"/>
      <c r="AG12110" s="7"/>
    </row>
    <row r="12111" spans="11:33" ht="14.5" x14ac:dyDescent="0.35">
      <c r="K12111" s="4"/>
      <c r="AC12111" s="7"/>
      <c r="AD12111" s="7"/>
      <c r="AE12111" s="7"/>
      <c r="AF12111" s="8"/>
      <c r="AG12111" s="7"/>
    </row>
    <row r="12112" spans="11:33" ht="14.5" x14ac:dyDescent="0.35">
      <c r="K12112" s="4"/>
      <c r="AC12112" s="7"/>
      <c r="AD12112" s="7"/>
      <c r="AE12112" s="7"/>
      <c r="AF12112" s="8"/>
      <c r="AG12112" s="7"/>
    </row>
    <row r="12113" spans="11:33" ht="14.5" x14ac:dyDescent="0.35">
      <c r="K12113" s="4"/>
      <c r="AC12113" s="7"/>
      <c r="AD12113" s="7"/>
      <c r="AE12113" s="7"/>
      <c r="AF12113" s="8"/>
      <c r="AG12113" s="7"/>
    </row>
    <row r="12114" spans="11:33" ht="14.5" x14ac:dyDescent="0.35">
      <c r="K12114" s="4"/>
      <c r="AC12114" s="7"/>
      <c r="AD12114" s="7"/>
      <c r="AE12114" s="7"/>
      <c r="AF12114" s="8"/>
      <c r="AG12114" s="7"/>
    </row>
    <row r="12115" spans="11:33" ht="14.5" x14ac:dyDescent="0.35">
      <c r="K12115" s="4"/>
      <c r="AC12115" s="7"/>
      <c r="AD12115" s="7"/>
      <c r="AE12115" s="7"/>
      <c r="AF12115" s="8"/>
      <c r="AG12115" s="7"/>
    </row>
    <row r="12116" spans="11:33" ht="14.5" x14ac:dyDescent="0.35">
      <c r="K12116" s="4"/>
      <c r="AC12116" s="7"/>
      <c r="AD12116" s="7"/>
      <c r="AE12116" s="7"/>
      <c r="AF12116" s="8"/>
      <c r="AG12116" s="7"/>
    </row>
    <row r="12117" spans="11:33" ht="14.5" x14ac:dyDescent="0.35">
      <c r="K12117" s="4"/>
      <c r="AC12117" s="7"/>
      <c r="AD12117" s="7"/>
      <c r="AE12117" s="7"/>
      <c r="AF12117" s="8"/>
      <c r="AG12117" s="7"/>
    </row>
    <row r="12118" spans="11:33" ht="14.5" x14ac:dyDescent="0.35">
      <c r="K12118" s="4"/>
      <c r="AC12118" s="7"/>
      <c r="AD12118" s="7"/>
      <c r="AE12118" s="7"/>
      <c r="AF12118" s="8"/>
      <c r="AG12118" s="7"/>
    </row>
    <row r="12119" spans="11:33" ht="14.5" x14ac:dyDescent="0.35">
      <c r="K12119" s="4"/>
      <c r="AC12119" s="7"/>
      <c r="AD12119" s="7"/>
      <c r="AE12119" s="7"/>
      <c r="AF12119" s="8"/>
      <c r="AG12119" s="7"/>
    </row>
    <row r="12120" spans="11:33" ht="14.5" x14ac:dyDescent="0.35">
      <c r="K12120" s="4"/>
      <c r="AC12120" s="7"/>
      <c r="AD12120" s="7"/>
      <c r="AE12120" s="7"/>
      <c r="AF12120" s="8"/>
      <c r="AG12120" s="7"/>
    </row>
    <row r="12121" spans="11:33" ht="14.5" x14ac:dyDescent="0.35">
      <c r="K12121" s="4"/>
      <c r="AC12121" s="7"/>
      <c r="AD12121" s="7"/>
      <c r="AE12121" s="7"/>
      <c r="AF12121" s="8"/>
      <c r="AG12121" s="7"/>
    </row>
    <row r="12122" spans="11:33" ht="14.5" x14ac:dyDescent="0.35">
      <c r="K12122" s="4"/>
      <c r="AC12122" s="7"/>
      <c r="AD12122" s="7"/>
      <c r="AE12122" s="7"/>
      <c r="AF12122" s="8"/>
      <c r="AG12122" s="7"/>
    </row>
    <row r="12123" spans="11:33" ht="14.5" x14ac:dyDescent="0.35">
      <c r="K12123" s="4"/>
      <c r="AC12123" s="7"/>
      <c r="AD12123" s="7"/>
      <c r="AE12123" s="7"/>
      <c r="AF12123" s="8"/>
      <c r="AG12123" s="7"/>
    </row>
    <row r="12124" spans="11:33" ht="14.5" x14ac:dyDescent="0.35">
      <c r="K12124" s="4"/>
      <c r="AC12124" s="7"/>
      <c r="AD12124" s="7"/>
      <c r="AE12124" s="7"/>
      <c r="AF12124" s="8"/>
      <c r="AG12124" s="7"/>
    </row>
    <row r="12125" spans="11:33" ht="14.5" x14ac:dyDescent="0.35">
      <c r="K12125" s="4"/>
      <c r="AC12125" s="7"/>
      <c r="AD12125" s="7"/>
      <c r="AE12125" s="7"/>
      <c r="AF12125" s="8"/>
      <c r="AG12125" s="7"/>
    </row>
    <row r="12126" spans="11:33" ht="14.5" x14ac:dyDescent="0.35">
      <c r="K12126" s="4"/>
      <c r="AC12126" s="7"/>
      <c r="AD12126" s="7"/>
      <c r="AE12126" s="7"/>
      <c r="AF12126" s="8"/>
      <c r="AG12126" s="7"/>
    </row>
    <row r="12127" spans="11:33" ht="14.5" x14ac:dyDescent="0.35">
      <c r="K12127" s="4"/>
      <c r="AC12127" s="7"/>
      <c r="AD12127" s="7"/>
      <c r="AE12127" s="7"/>
      <c r="AF12127" s="8"/>
      <c r="AG12127" s="7"/>
    </row>
    <row r="12128" spans="11:33" ht="14.5" x14ac:dyDescent="0.35">
      <c r="K12128" s="4"/>
      <c r="AC12128" s="7"/>
      <c r="AD12128" s="7"/>
      <c r="AE12128" s="7"/>
      <c r="AF12128" s="8"/>
      <c r="AG12128" s="7"/>
    </row>
    <row r="12129" spans="11:33" ht="14.5" x14ac:dyDescent="0.35">
      <c r="K12129" s="4"/>
      <c r="AC12129" s="7"/>
      <c r="AD12129" s="7"/>
      <c r="AE12129" s="7"/>
      <c r="AF12129" s="8"/>
      <c r="AG12129" s="7"/>
    </row>
    <row r="12130" spans="11:33" ht="14.5" x14ac:dyDescent="0.35">
      <c r="K12130" s="4"/>
      <c r="AC12130" s="7"/>
      <c r="AD12130" s="7"/>
      <c r="AE12130" s="7"/>
      <c r="AF12130" s="8"/>
      <c r="AG12130" s="7"/>
    </row>
    <row r="12131" spans="11:33" ht="14.5" x14ac:dyDescent="0.35">
      <c r="K12131" s="4"/>
      <c r="AC12131" s="7"/>
      <c r="AD12131" s="7"/>
      <c r="AE12131" s="7"/>
      <c r="AF12131" s="8"/>
      <c r="AG12131" s="7"/>
    </row>
    <row r="12132" spans="11:33" ht="14.5" x14ac:dyDescent="0.35">
      <c r="K12132" s="4"/>
      <c r="AC12132" s="7"/>
      <c r="AD12132" s="7"/>
      <c r="AE12132" s="7"/>
      <c r="AF12132" s="8"/>
      <c r="AG12132" s="7"/>
    </row>
    <row r="12133" spans="11:33" ht="14.5" x14ac:dyDescent="0.35">
      <c r="K12133" s="4"/>
      <c r="AC12133" s="7"/>
      <c r="AD12133" s="7"/>
      <c r="AE12133" s="7"/>
      <c r="AF12133" s="8"/>
      <c r="AG12133" s="7"/>
    </row>
    <row r="12134" spans="11:33" ht="14.5" x14ac:dyDescent="0.35">
      <c r="K12134" s="4"/>
      <c r="AC12134" s="7"/>
      <c r="AD12134" s="7"/>
      <c r="AE12134" s="7"/>
      <c r="AF12134" s="8"/>
      <c r="AG12134" s="7"/>
    </row>
    <row r="12135" spans="11:33" ht="14.5" x14ac:dyDescent="0.35">
      <c r="K12135" s="4"/>
      <c r="AC12135" s="7"/>
      <c r="AD12135" s="7"/>
      <c r="AE12135" s="7"/>
      <c r="AF12135" s="8"/>
      <c r="AG12135" s="7"/>
    </row>
    <row r="12136" spans="11:33" ht="14.5" x14ac:dyDescent="0.35">
      <c r="K12136" s="4"/>
      <c r="AC12136" s="7"/>
      <c r="AD12136" s="7"/>
      <c r="AE12136" s="7"/>
      <c r="AF12136" s="8"/>
      <c r="AG12136" s="7"/>
    </row>
    <row r="12137" spans="11:33" ht="14.5" x14ac:dyDescent="0.35">
      <c r="K12137" s="4"/>
      <c r="AC12137" s="7"/>
      <c r="AD12137" s="7"/>
      <c r="AE12137" s="7"/>
      <c r="AF12137" s="8"/>
      <c r="AG12137" s="7"/>
    </row>
    <row r="12138" spans="11:33" ht="14.5" x14ac:dyDescent="0.35">
      <c r="K12138" s="4"/>
      <c r="AC12138" s="7"/>
      <c r="AD12138" s="7"/>
      <c r="AE12138" s="7"/>
      <c r="AF12138" s="8"/>
      <c r="AG12138" s="7"/>
    </row>
    <row r="12139" spans="11:33" ht="14.5" x14ac:dyDescent="0.35">
      <c r="K12139" s="4"/>
      <c r="AC12139" s="7"/>
      <c r="AD12139" s="7"/>
      <c r="AE12139" s="7"/>
      <c r="AF12139" s="8"/>
      <c r="AG12139" s="7"/>
    </row>
    <row r="12140" spans="11:33" ht="14.5" x14ac:dyDescent="0.35">
      <c r="K12140" s="4"/>
      <c r="AC12140" s="7"/>
      <c r="AD12140" s="7"/>
      <c r="AE12140" s="7"/>
      <c r="AF12140" s="8"/>
      <c r="AG12140" s="7"/>
    </row>
    <row r="12141" spans="11:33" ht="14.5" x14ac:dyDescent="0.35">
      <c r="K12141" s="4"/>
      <c r="AC12141" s="7"/>
      <c r="AD12141" s="7"/>
      <c r="AE12141" s="7"/>
      <c r="AF12141" s="8"/>
      <c r="AG12141" s="7"/>
    </row>
    <row r="12142" spans="11:33" ht="14.5" x14ac:dyDescent="0.35">
      <c r="K12142" s="4"/>
      <c r="AC12142" s="7"/>
      <c r="AD12142" s="7"/>
      <c r="AE12142" s="7"/>
      <c r="AF12142" s="8"/>
      <c r="AG12142" s="7"/>
    </row>
    <row r="12143" spans="11:33" ht="14.5" x14ac:dyDescent="0.35">
      <c r="K12143" s="4"/>
      <c r="AC12143" s="7"/>
      <c r="AD12143" s="7"/>
      <c r="AE12143" s="7"/>
      <c r="AF12143" s="8"/>
      <c r="AG12143" s="7"/>
    </row>
    <row r="12144" spans="11:33" ht="14.5" x14ac:dyDescent="0.35">
      <c r="K12144" s="4"/>
      <c r="AC12144" s="7"/>
      <c r="AD12144" s="7"/>
      <c r="AE12144" s="7"/>
      <c r="AF12144" s="8"/>
      <c r="AG12144" s="7"/>
    </row>
    <row r="12145" spans="11:33" ht="14.5" x14ac:dyDescent="0.35">
      <c r="K12145" s="4"/>
      <c r="AC12145" s="7"/>
      <c r="AD12145" s="7"/>
      <c r="AE12145" s="7"/>
      <c r="AF12145" s="8"/>
      <c r="AG12145" s="7"/>
    </row>
    <row r="12146" spans="11:33" ht="14.5" x14ac:dyDescent="0.35">
      <c r="K12146" s="4"/>
      <c r="AC12146" s="7"/>
      <c r="AD12146" s="7"/>
      <c r="AE12146" s="7"/>
      <c r="AF12146" s="8"/>
      <c r="AG12146" s="7"/>
    </row>
    <row r="12147" spans="11:33" ht="14.5" x14ac:dyDescent="0.35">
      <c r="K12147" s="4"/>
      <c r="AC12147" s="7"/>
      <c r="AD12147" s="7"/>
      <c r="AE12147" s="7"/>
      <c r="AF12147" s="8"/>
      <c r="AG12147" s="7"/>
    </row>
    <row r="12148" spans="11:33" ht="14.5" x14ac:dyDescent="0.35">
      <c r="K12148" s="4"/>
      <c r="AC12148" s="7"/>
      <c r="AD12148" s="7"/>
      <c r="AE12148" s="7"/>
      <c r="AF12148" s="8"/>
      <c r="AG12148" s="7"/>
    </row>
    <row r="12149" spans="11:33" ht="14.5" x14ac:dyDescent="0.35">
      <c r="K12149" s="4"/>
      <c r="AC12149" s="7"/>
      <c r="AD12149" s="7"/>
      <c r="AE12149" s="7"/>
      <c r="AF12149" s="8"/>
      <c r="AG12149" s="7"/>
    </row>
    <row r="12150" spans="11:33" ht="14.5" x14ac:dyDescent="0.35">
      <c r="K12150" s="4"/>
      <c r="AC12150" s="7"/>
      <c r="AD12150" s="7"/>
      <c r="AE12150" s="7"/>
      <c r="AF12150" s="8"/>
      <c r="AG12150" s="7"/>
    </row>
    <row r="12151" spans="11:33" ht="14.5" x14ac:dyDescent="0.35">
      <c r="K12151" s="4"/>
      <c r="AC12151" s="7"/>
      <c r="AD12151" s="7"/>
      <c r="AE12151" s="7"/>
      <c r="AF12151" s="8"/>
      <c r="AG12151" s="7"/>
    </row>
    <row r="12152" spans="11:33" ht="14.5" x14ac:dyDescent="0.35">
      <c r="K12152" s="4"/>
      <c r="AC12152" s="7"/>
      <c r="AD12152" s="7"/>
      <c r="AE12152" s="7"/>
      <c r="AF12152" s="8"/>
      <c r="AG12152" s="7"/>
    </row>
    <row r="12153" spans="11:33" ht="14.5" x14ac:dyDescent="0.35">
      <c r="K12153" s="4"/>
      <c r="AC12153" s="7"/>
      <c r="AD12153" s="7"/>
      <c r="AE12153" s="7"/>
      <c r="AF12153" s="8"/>
      <c r="AG12153" s="7"/>
    </row>
    <row r="12154" spans="11:33" ht="14.5" x14ac:dyDescent="0.35">
      <c r="K12154" s="4"/>
      <c r="AC12154" s="7"/>
      <c r="AD12154" s="7"/>
      <c r="AE12154" s="7"/>
      <c r="AF12154" s="8"/>
      <c r="AG12154" s="7"/>
    </row>
    <row r="12155" spans="11:33" ht="14.5" x14ac:dyDescent="0.35">
      <c r="K12155" s="4"/>
      <c r="AC12155" s="7"/>
      <c r="AD12155" s="7"/>
      <c r="AE12155" s="7"/>
      <c r="AF12155" s="8"/>
      <c r="AG12155" s="7"/>
    </row>
    <row r="12156" spans="11:33" ht="14.5" x14ac:dyDescent="0.35">
      <c r="K12156" s="4"/>
      <c r="AC12156" s="7"/>
      <c r="AD12156" s="7"/>
      <c r="AE12156" s="7"/>
      <c r="AF12156" s="8"/>
      <c r="AG12156" s="7"/>
    </row>
    <row r="12157" spans="11:33" ht="14.5" x14ac:dyDescent="0.35">
      <c r="K12157" s="4"/>
      <c r="AC12157" s="7"/>
      <c r="AD12157" s="7"/>
      <c r="AE12157" s="7"/>
      <c r="AF12157" s="8"/>
      <c r="AG12157" s="7"/>
    </row>
    <row r="12158" spans="11:33" ht="14.5" x14ac:dyDescent="0.35">
      <c r="K12158" s="4"/>
      <c r="AC12158" s="7"/>
      <c r="AD12158" s="7"/>
      <c r="AE12158" s="7"/>
      <c r="AF12158" s="8"/>
      <c r="AG12158" s="7"/>
    </row>
    <row r="12159" spans="11:33" ht="14.5" x14ac:dyDescent="0.35">
      <c r="K12159" s="4"/>
      <c r="AC12159" s="7"/>
      <c r="AD12159" s="7"/>
      <c r="AE12159" s="7"/>
      <c r="AF12159" s="8"/>
      <c r="AG12159" s="7"/>
    </row>
    <row r="12160" spans="11:33" ht="14.5" x14ac:dyDescent="0.35">
      <c r="K12160" s="4"/>
      <c r="AC12160" s="7"/>
      <c r="AD12160" s="7"/>
      <c r="AE12160" s="7"/>
      <c r="AF12160" s="8"/>
      <c r="AG12160" s="7"/>
    </row>
    <row r="12161" spans="11:33" ht="14.5" x14ac:dyDescent="0.35">
      <c r="K12161" s="4"/>
      <c r="AC12161" s="7"/>
      <c r="AD12161" s="7"/>
      <c r="AE12161" s="7"/>
      <c r="AF12161" s="8"/>
      <c r="AG12161" s="7"/>
    </row>
    <row r="12162" spans="11:33" ht="14.5" x14ac:dyDescent="0.35">
      <c r="K12162" s="4"/>
      <c r="AC12162" s="7"/>
      <c r="AD12162" s="7"/>
      <c r="AE12162" s="7"/>
      <c r="AF12162" s="8"/>
      <c r="AG12162" s="7"/>
    </row>
    <row r="12163" spans="11:33" ht="14.5" x14ac:dyDescent="0.35">
      <c r="K12163" s="4"/>
      <c r="AC12163" s="7"/>
      <c r="AD12163" s="7"/>
      <c r="AE12163" s="7"/>
      <c r="AF12163" s="8"/>
      <c r="AG12163" s="7"/>
    </row>
    <row r="12164" spans="11:33" ht="14.5" x14ac:dyDescent="0.35">
      <c r="K12164" s="4"/>
      <c r="AC12164" s="7"/>
      <c r="AD12164" s="7"/>
      <c r="AE12164" s="7"/>
      <c r="AF12164" s="8"/>
      <c r="AG12164" s="7"/>
    </row>
    <row r="12165" spans="11:33" ht="14.5" x14ac:dyDescent="0.35">
      <c r="K12165" s="4"/>
      <c r="AC12165" s="7"/>
      <c r="AD12165" s="7"/>
      <c r="AE12165" s="7"/>
      <c r="AF12165" s="8"/>
      <c r="AG12165" s="7"/>
    </row>
    <row r="12166" spans="11:33" ht="14.5" x14ac:dyDescent="0.35">
      <c r="K12166" s="4"/>
      <c r="AC12166" s="7"/>
      <c r="AD12166" s="7"/>
      <c r="AE12166" s="7"/>
      <c r="AF12166" s="8"/>
      <c r="AG12166" s="7"/>
    </row>
    <row r="12167" spans="11:33" ht="14.5" x14ac:dyDescent="0.35">
      <c r="K12167" s="4"/>
      <c r="AC12167" s="7"/>
      <c r="AD12167" s="7"/>
      <c r="AE12167" s="7"/>
      <c r="AF12167" s="8"/>
      <c r="AG12167" s="7"/>
    </row>
    <row r="12168" spans="11:33" ht="14.5" x14ac:dyDescent="0.35">
      <c r="K12168" s="4"/>
      <c r="AC12168" s="7"/>
      <c r="AD12168" s="7"/>
      <c r="AE12168" s="7"/>
      <c r="AF12168" s="8"/>
      <c r="AG12168" s="7"/>
    </row>
    <row r="12169" spans="11:33" ht="14.5" x14ac:dyDescent="0.35">
      <c r="K12169" s="4"/>
      <c r="AC12169" s="7"/>
      <c r="AD12169" s="7"/>
      <c r="AE12169" s="7"/>
      <c r="AF12169" s="8"/>
      <c r="AG12169" s="7"/>
    </row>
    <row r="12170" spans="11:33" ht="14.5" x14ac:dyDescent="0.35">
      <c r="K12170" s="4"/>
      <c r="AC12170" s="7"/>
      <c r="AD12170" s="7"/>
      <c r="AE12170" s="7"/>
      <c r="AF12170" s="8"/>
      <c r="AG12170" s="7"/>
    </row>
    <row r="12171" spans="11:33" ht="14.5" x14ac:dyDescent="0.35">
      <c r="K12171" s="4"/>
      <c r="AC12171" s="7"/>
      <c r="AD12171" s="7"/>
      <c r="AE12171" s="7"/>
      <c r="AF12171" s="8"/>
      <c r="AG12171" s="7"/>
    </row>
    <row r="12172" spans="11:33" ht="14.5" x14ac:dyDescent="0.35">
      <c r="K12172" s="4"/>
      <c r="AC12172" s="7"/>
      <c r="AD12172" s="7"/>
      <c r="AE12172" s="7"/>
      <c r="AF12172" s="8"/>
      <c r="AG12172" s="7"/>
    </row>
    <row r="12173" spans="11:33" ht="14.5" x14ac:dyDescent="0.35">
      <c r="K12173" s="4"/>
      <c r="AC12173" s="7"/>
      <c r="AD12173" s="7"/>
      <c r="AE12173" s="7"/>
      <c r="AF12173" s="8"/>
      <c r="AG12173" s="7"/>
    </row>
    <row r="12174" spans="11:33" ht="14.5" x14ac:dyDescent="0.35">
      <c r="K12174" s="4"/>
      <c r="AC12174" s="7"/>
      <c r="AD12174" s="7"/>
      <c r="AE12174" s="7"/>
      <c r="AF12174" s="8"/>
      <c r="AG12174" s="7"/>
    </row>
    <row r="12175" spans="11:33" ht="14.5" x14ac:dyDescent="0.35">
      <c r="K12175" s="4"/>
      <c r="AC12175" s="7"/>
      <c r="AD12175" s="7"/>
      <c r="AE12175" s="7"/>
      <c r="AF12175" s="8"/>
      <c r="AG12175" s="7"/>
    </row>
    <row r="12176" spans="11:33" ht="14.5" x14ac:dyDescent="0.35">
      <c r="K12176" s="4"/>
      <c r="AC12176" s="7"/>
      <c r="AD12176" s="7"/>
      <c r="AE12176" s="7"/>
      <c r="AF12176" s="8"/>
      <c r="AG12176" s="7"/>
    </row>
    <row r="12177" spans="11:33" ht="14.5" x14ac:dyDescent="0.35">
      <c r="K12177" s="4"/>
      <c r="AC12177" s="7"/>
      <c r="AD12177" s="7"/>
      <c r="AE12177" s="7"/>
      <c r="AF12177" s="8"/>
      <c r="AG12177" s="7"/>
    </row>
    <row r="12178" spans="11:33" ht="14.5" x14ac:dyDescent="0.35">
      <c r="K12178" s="4"/>
      <c r="AC12178" s="7"/>
      <c r="AD12178" s="7"/>
      <c r="AE12178" s="7"/>
      <c r="AF12178" s="8"/>
      <c r="AG12178" s="7"/>
    </row>
    <row r="12179" spans="11:33" ht="14.5" x14ac:dyDescent="0.35">
      <c r="K12179" s="4"/>
      <c r="AC12179" s="7"/>
      <c r="AD12179" s="7"/>
      <c r="AE12179" s="7"/>
      <c r="AF12179" s="8"/>
      <c r="AG12179" s="7"/>
    </row>
    <row r="12180" spans="11:33" ht="14.5" x14ac:dyDescent="0.35">
      <c r="K12180" s="4"/>
      <c r="AC12180" s="7"/>
      <c r="AD12180" s="7"/>
      <c r="AE12180" s="7"/>
      <c r="AF12180" s="8"/>
      <c r="AG12180" s="7"/>
    </row>
    <row r="12181" spans="11:33" ht="14.5" x14ac:dyDescent="0.35">
      <c r="K12181" s="4"/>
      <c r="AC12181" s="7"/>
      <c r="AD12181" s="7"/>
      <c r="AE12181" s="7"/>
      <c r="AF12181" s="8"/>
      <c r="AG12181" s="7"/>
    </row>
    <row r="12182" spans="11:33" ht="14.5" x14ac:dyDescent="0.35">
      <c r="K12182" s="4"/>
      <c r="AC12182" s="7"/>
      <c r="AD12182" s="7"/>
      <c r="AE12182" s="7"/>
      <c r="AF12182" s="8"/>
      <c r="AG12182" s="7"/>
    </row>
    <row r="12183" spans="11:33" ht="14.5" x14ac:dyDescent="0.35">
      <c r="K12183" s="4"/>
      <c r="AC12183" s="7"/>
      <c r="AD12183" s="7"/>
      <c r="AE12183" s="7"/>
      <c r="AF12183" s="8"/>
      <c r="AG12183" s="7"/>
    </row>
    <row r="12184" spans="11:33" ht="14.5" x14ac:dyDescent="0.35">
      <c r="K12184" s="4"/>
      <c r="AC12184" s="7"/>
      <c r="AD12184" s="7"/>
      <c r="AE12184" s="7"/>
      <c r="AF12184" s="8"/>
      <c r="AG12184" s="7"/>
    </row>
    <row r="12185" spans="11:33" ht="14.5" x14ac:dyDescent="0.35">
      <c r="K12185" s="4"/>
      <c r="AC12185" s="7"/>
      <c r="AD12185" s="7"/>
      <c r="AE12185" s="7"/>
      <c r="AF12185" s="8"/>
      <c r="AG12185" s="7"/>
    </row>
    <row r="12186" spans="11:33" ht="14.5" x14ac:dyDescent="0.35">
      <c r="K12186" s="4"/>
      <c r="AC12186" s="7"/>
      <c r="AD12186" s="7"/>
      <c r="AE12186" s="7"/>
      <c r="AF12186" s="8"/>
      <c r="AG12186" s="7"/>
    </row>
    <row r="12187" spans="11:33" ht="14.5" x14ac:dyDescent="0.35">
      <c r="K12187" s="4"/>
      <c r="AC12187" s="7"/>
      <c r="AD12187" s="7"/>
      <c r="AE12187" s="7"/>
      <c r="AF12187" s="8"/>
      <c r="AG12187" s="7"/>
    </row>
    <row r="12188" spans="11:33" ht="14.5" x14ac:dyDescent="0.35">
      <c r="K12188" s="4"/>
      <c r="AC12188" s="7"/>
      <c r="AD12188" s="7"/>
      <c r="AE12188" s="7"/>
      <c r="AF12188" s="8"/>
      <c r="AG12188" s="7"/>
    </row>
    <row r="12189" spans="11:33" ht="14.5" x14ac:dyDescent="0.35">
      <c r="K12189" s="4"/>
      <c r="AC12189" s="7"/>
      <c r="AD12189" s="7"/>
      <c r="AE12189" s="7"/>
      <c r="AF12189" s="8"/>
      <c r="AG12189" s="7"/>
    </row>
    <row r="12190" spans="11:33" ht="14.5" x14ac:dyDescent="0.35">
      <c r="K12190" s="4"/>
      <c r="AC12190" s="7"/>
      <c r="AD12190" s="7"/>
      <c r="AE12190" s="7"/>
      <c r="AF12190" s="8"/>
      <c r="AG12190" s="7"/>
    </row>
    <row r="12191" spans="11:33" ht="14.5" x14ac:dyDescent="0.35">
      <c r="K12191" s="4"/>
      <c r="AC12191" s="7"/>
      <c r="AD12191" s="7"/>
      <c r="AE12191" s="7"/>
      <c r="AF12191" s="8"/>
      <c r="AG12191" s="7"/>
    </row>
    <row r="12192" spans="11:33" ht="14.5" x14ac:dyDescent="0.35">
      <c r="K12192" s="4"/>
      <c r="AC12192" s="7"/>
      <c r="AD12192" s="7"/>
      <c r="AE12192" s="7"/>
      <c r="AF12192" s="8"/>
      <c r="AG12192" s="7"/>
    </row>
    <row r="12193" spans="11:33" ht="14.5" x14ac:dyDescent="0.35">
      <c r="K12193" s="4"/>
      <c r="AC12193" s="7"/>
      <c r="AD12193" s="7"/>
      <c r="AE12193" s="7"/>
      <c r="AF12193" s="8"/>
      <c r="AG12193" s="7"/>
    </row>
    <row r="12194" spans="11:33" ht="14.5" x14ac:dyDescent="0.35">
      <c r="K12194" s="4"/>
      <c r="AC12194" s="7"/>
      <c r="AD12194" s="7"/>
      <c r="AE12194" s="7"/>
      <c r="AF12194" s="8"/>
      <c r="AG12194" s="7"/>
    </row>
    <row r="12195" spans="11:33" ht="14.5" x14ac:dyDescent="0.35">
      <c r="K12195" s="4"/>
      <c r="AC12195" s="7"/>
      <c r="AD12195" s="7"/>
      <c r="AE12195" s="7"/>
      <c r="AF12195" s="8"/>
      <c r="AG12195" s="7"/>
    </row>
    <row r="12196" spans="11:33" ht="14.5" x14ac:dyDescent="0.35">
      <c r="K12196" s="4"/>
      <c r="AC12196" s="7"/>
      <c r="AD12196" s="7"/>
      <c r="AE12196" s="7"/>
      <c r="AF12196" s="8"/>
      <c r="AG12196" s="7"/>
    </row>
    <row r="12197" spans="11:33" ht="14.5" x14ac:dyDescent="0.35">
      <c r="K12197" s="4"/>
      <c r="AC12197" s="7"/>
      <c r="AD12197" s="7"/>
      <c r="AE12197" s="7"/>
      <c r="AF12197" s="8"/>
      <c r="AG12197" s="7"/>
    </row>
    <row r="12198" spans="11:33" ht="14.5" x14ac:dyDescent="0.35">
      <c r="K12198" s="4"/>
      <c r="AC12198" s="7"/>
      <c r="AD12198" s="7"/>
      <c r="AE12198" s="7"/>
      <c r="AF12198" s="8"/>
      <c r="AG12198" s="7"/>
    </row>
    <row r="12199" spans="11:33" ht="14.5" x14ac:dyDescent="0.35">
      <c r="K12199" s="4"/>
      <c r="AC12199" s="7"/>
      <c r="AD12199" s="7"/>
      <c r="AE12199" s="7"/>
      <c r="AF12199" s="8"/>
      <c r="AG12199" s="7"/>
    </row>
    <row r="12200" spans="11:33" ht="14.5" x14ac:dyDescent="0.35">
      <c r="K12200" s="4"/>
      <c r="AC12200" s="7"/>
      <c r="AD12200" s="7"/>
      <c r="AE12200" s="7"/>
      <c r="AF12200" s="8"/>
      <c r="AG12200" s="7"/>
    </row>
    <row r="12201" spans="11:33" ht="14.5" x14ac:dyDescent="0.35">
      <c r="K12201" s="4"/>
      <c r="AC12201" s="7"/>
      <c r="AD12201" s="7"/>
      <c r="AE12201" s="7"/>
      <c r="AF12201" s="8"/>
      <c r="AG12201" s="7"/>
    </row>
    <row r="12202" spans="11:33" ht="14.5" x14ac:dyDescent="0.35">
      <c r="K12202" s="4"/>
      <c r="AC12202" s="7"/>
      <c r="AD12202" s="7"/>
      <c r="AE12202" s="7"/>
      <c r="AF12202" s="8"/>
      <c r="AG12202" s="7"/>
    </row>
    <row r="12203" spans="11:33" ht="14.5" x14ac:dyDescent="0.35">
      <c r="K12203" s="4"/>
      <c r="AC12203" s="7"/>
      <c r="AD12203" s="7"/>
      <c r="AE12203" s="7"/>
      <c r="AF12203" s="8"/>
      <c r="AG12203" s="7"/>
    </row>
    <row r="12204" spans="11:33" ht="14.5" x14ac:dyDescent="0.35">
      <c r="K12204" s="4"/>
      <c r="AC12204" s="7"/>
      <c r="AD12204" s="7"/>
      <c r="AE12204" s="7"/>
      <c r="AF12204" s="8"/>
      <c r="AG12204" s="7"/>
    </row>
    <row r="12205" spans="11:33" ht="14.5" x14ac:dyDescent="0.35">
      <c r="K12205" s="4"/>
      <c r="AC12205" s="7"/>
      <c r="AD12205" s="7"/>
      <c r="AE12205" s="7"/>
      <c r="AF12205" s="8"/>
      <c r="AG12205" s="7"/>
    </row>
    <row r="12206" spans="11:33" ht="14.5" x14ac:dyDescent="0.35">
      <c r="K12206" s="4"/>
      <c r="AC12206" s="7"/>
      <c r="AD12206" s="7"/>
      <c r="AE12206" s="7"/>
      <c r="AF12206" s="8"/>
      <c r="AG12206" s="7"/>
    </row>
    <row r="12207" spans="11:33" ht="14.5" x14ac:dyDescent="0.35">
      <c r="K12207" s="4"/>
      <c r="AC12207" s="7"/>
      <c r="AD12207" s="7"/>
      <c r="AE12207" s="7"/>
      <c r="AF12207" s="8"/>
      <c r="AG12207" s="7"/>
    </row>
    <row r="12208" spans="11:33" ht="14.5" x14ac:dyDescent="0.35">
      <c r="K12208" s="4"/>
      <c r="AC12208" s="7"/>
      <c r="AD12208" s="7"/>
      <c r="AE12208" s="7"/>
      <c r="AF12208" s="8"/>
      <c r="AG12208" s="7"/>
    </row>
    <row r="12209" spans="11:33" ht="14.5" x14ac:dyDescent="0.35">
      <c r="K12209" s="4"/>
      <c r="AC12209" s="7"/>
      <c r="AD12209" s="7"/>
      <c r="AE12209" s="7"/>
      <c r="AF12209" s="8"/>
      <c r="AG12209" s="7"/>
    </row>
    <row r="12210" spans="11:33" ht="14.5" x14ac:dyDescent="0.35">
      <c r="K12210" s="4"/>
      <c r="AC12210" s="7"/>
      <c r="AD12210" s="7"/>
      <c r="AE12210" s="7"/>
      <c r="AF12210" s="8"/>
      <c r="AG12210" s="7"/>
    </row>
    <row r="12211" spans="11:33" ht="14.5" x14ac:dyDescent="0.35">
      <c r="K12211" s="4"/>
      <c r="AC12211" s="7"/>
      <c r="AD12211" s="7"/>
      <c r="AE12211" s="7"/>
      <c r="AF12211" s="8"/>
      <c r="AG12211" s="7"/>
    </row>
    <row r="12212" spans="11:33" ht="14.5" x14ac:dyDescent="0.35">
      <c r="K12212" s="4"/>
      <c r="AC12212" s="7"/>
      <c r="AD12212" s="7"/>
      <c r="AE12212" s="7"/>
      <c r="AF12212" s="8"/>
      <c r="AG12212" s="7"/>
    </row>
    <row r="12213" spans="11:33" ht="14.5" x14ac:dyDescent="0.35">
      <c r="K12213" s="4"/>
      <c r="AC12213" s="7"/>
      <c r="AD12213" s="7"/>
      <c r="AE12213" s="7"/>
      <c r="AF12213" s="8"/>
      <c r="AG12213" s="7"/>
    </row>
    <row r="12214" spans="11:33" ht="14.5" x14ac:dyDescent="0.35">
      <c r="K12214" s="4"/>
      <c r="AC12214" s="7"/>
      <c r="AD12214" s="7"/>
      <c r="AE12214" s="7"/>
      <c r="AF12214" s="8"/>
      <c r="AG12214" s="7"/>
    </row>
    <row r="12215" spans="11:33" ht="14.5" x14ac:dyDescent="0.35">
      <c r="K12215" s="4"/>
      <c r="AC12215" s="7"/>
      <c r="AD12215" s="7"/>
      <c r="AE12215" s="7"/>
      <c r="AF12215" s="8"/>
      <c r="AG12215" s="7"/>
    </row>
    <row r="12216" spans="11:33" ht="14.5" x14ac:dyDescent="0.35">
      <c r="K12216" s="4"/>
      <c r="AC12216" s="7"/>
      <c r="AD12216" s="7"/>
      <c r="AE12216" s="7"/>
      <c r="AF12216" s="8"/>
      <c r="AG12216" s="7"/>
    </row>
    <row r="12217" spans="11:33" ht="14.5" x14ac:dyDescent="0.35">
      <c r="K12217" s="4"/>
      <c r="AC12217" s="7"/>
      <c r="AD12217" s="7"/>
      <c r="AE12217" s="7"/>
      <c r="AF12217" s="8"/>
      <c r="AG12217" s="7"/>
    </row>
    <row r="12218" spans="11:33" ht="14.5" x14ac:dyDescent="0.35">
      <c r="K12218" s="4"/>
      <c r="AC12218" s="7"/>
      <c r="AD12218" s="7"/>
      <c r="AE12218" s="7"/>
      <c r="AF12218" s="8"/>
      <c r="AG12218" s="7"/>
    </row>
    <row r="12219" spans="11:33" ht="14.5" x14ac:dyDescent="0.35">
      <c r="K12219" s="4"/>
      <c r="AC12219" s="7"/>
      <c r="AD12219" s="7"/>
      <c r="AE12219" s="7"/>
      <c r="AF12219" s="8"/>
      <c r="AG12219" s="7"/>
    </row>
    <row r="12220" spans="11:33" ht="14.5" x14ac:dyDescent="0.35">
      <c r="K12220" s="4"/>
      <c r="AC12220" s="7"/>
      <c r="AD12220" s="7"/>
      <c r="AE12220" s="7"/>
      <c r="AF12220" s="8"/>
      <c r="AG12220" s="7"/>
    </row>
    <row r="12221" spans="11:33" ht="14.5" x14ac:dyDescent="0.35">
      <c r="K12221" s="4"/>
      <c r="AC12221" s="7"/>
      <c r="AD12221" s="7"/>
      <c r="AE12221" s="7"/>
      <c r="AF12221" s="8"/>
      <c r="AG12221" s="7"/>
    </row>
    <row r="12222" spans="11:33" ht="14.5" x14ac:dyDescent="0.35">
      <c r="K12222" s="4"/>
      <c r="AC12222" s="7"/>
      <c r="AD12222" s="7"/>
      <c r="AE12222" s="7"/>
      <c r="AF12222" s="8"/>
      <c r="AG12222" s="7"/>
    </row>
    <row r="12223" spans="11:33" ht="14.5" x14ac:dyDescent="0.35">
      <c r="K12223" s="4"/>
      <c r="AC12223" s="7"/>
      <c r="AD12223" s="7"/>
      <c r="AE12223" s="7"/>
      <c r="AF12223" s="8"/>
      <c r="AG12223" s="7"/>
    </row>
    <row r="12224" spans="11:33" ht="14.5" x14ac:dyDescent="0.35">
      <c r="K12224" s="4"/>
      <c r="AC12224" s="7"/>
      <c r="AD12224" s="7"/>
      <c r="AE12224" s="7"/>
      <c r="AF12224" s="8"/>
      <c r="AG12224" s="7"/>
    </row>
    <row r="12225" spans="11:33" ht="14.5" x14ac:dyDescent="0.35">
      <c r="K12225" s="4"/>
      <c r="AC12225" s="7"/>
      <c r="AD12225" s="7"/>
      <c r="AE12225" s="7"/>
      <c r="AF12225" s="8"/>
      <c r="AG12225" s="7"/>
    </row>
    <row r="12226" spans="11:33" ht="14.5" x14ac:dyDescent="0.35">
      <c r="K12226" s="4"/>
      <c r="AC12226" s="7"/>
      <c r="AD12226" s="7"/>
      <c r="AE12226" s="7"/>
      <c r="AF12226" s="8"/>
      <c r="AG12226" s="7"/>
    </row>
    <row r="12227" spans="11:33" ht="14.5" x14ac:dyDescent="0.35">
      <c r="K12227" s="4"/>
      <c r="AC12227" s="7"/>
      <c r="AD12227" s="7"/>
      <c r="AE12227" s="7"/>
      <c r="AF12227" s="8"/>
      <c r="AG12227" s="7"/>
    </row>
    <row r="12228" spans="11:33" ht="14.5" x14ac:dyDescent="0.35">
      <c r="K12228" s="4"/>
      <c r="AC12228" s="7"/>
      <c r="AD12228" s="7"/>
      <c r="AE12228" s="7"/>
      <c r="AF12228" s="8"/>
      <c r="AG12228" s="7"/>
    </row>
    <row r="12229" spans="11:33" ht="14.5" x14ac:dyDescent="0.35">
      <c r="K12229" s="4"/>
      <c r="AC12229" s="7"/>
      <c r="AD12229" s="7"/>
      <c r="AE12229" s="7"/>
      <c r="AF12229" s="8"/>
      <c r="AG12229" s="7"/>
    </row>
    <row r="12230" spans="11:33" ht="14.5" x14ac:dyDescent="0.35">
      <c r="K12230" s="4"/>
      <c r="AC12230" s="7"/>
      <c r="AD12230" s="7"/>
      <c r="AE12230" s="7"/>
      <c r="AF12230" s="8"/>
      <c r="AG12230" s="7"/>
    </row>
    <row r="12231" spans="11:33" ht="14.5" x14ac:dyDescent="0.35">
      <c r="K12231" s="4"/>
      <c r="AC12231" s="7"/>
      <c r="AD12231" s="7"/>
      <c r="AE12231" s="7"/>
      <c r="AF12231" s="8"/>
      <c r="AG12231" s="7"/>
    </row>
    <row r="12232" spans="11:33" ht="14.5" x14ac:dyDescent="0.35">
      <c r="K12232" s="4"/>
      <c r="AC12232" s="7"/>
      <c r="AD12232" s="7"/>
      <c r="AE12232" s="7"/>
      <c r="AF12232" s="8"/>
      <c r="AG12232" s="7"/>
    </row>
    <row r="12233" spans="11:33" ht="14.5" x14ac:dyDescent="0.35">
      <c r="K12233" s="4"/>
      <c r="AC12233" s="7"/>
      <c r="AD12233" s="7"/>
      <c r="AE12233" s="7"/>
      <c r="AF12233" s="8"/>
      <c r="AG12233" s="7"/>
    </row>
    <row r="12234" spans="11:33" ht="14.5" x14ac:dyDescent="0.35">
      <c r="K12234" s="4"/>
      <c r="AC12234" s="7"/>
      <c r="AD12234" s="7"/>
      <c r="AE12234" s="7"/>
      <c r="AF12234" s="8"/>
      <c r="AG12234" s="7"/>
    </row>
    <row r="12235" spans="11:33" ht="14.5" x14ac:dyDescent="0.35">
      <c r="K12235" s="4"/>
      <c r="AC12235" s="7"/>
      <c r="AD12235" s="7"/>
      <c r="AE12235" s="7"/>
      <c r="AF12235" s="8"/>
      <c r="AG12235" s="7"/>
    </row>
    <row r="12236" spans="11:33" ht="14.5" x14ac:dyDescent="0.35">
      <c r="K12236" s="4"/>
      <c r="AC12236" s="7"/>
      <c r="AD12236" s="7"/>
      <c r="AE12236" s="7"/>
      <c r="AF12236" s="8"/>
      <c r="AG12236" s="7"/>
    </row>
    <row r="12237" spans="11:33" ht="14.5" x14ac:dyDescent="0.35">
      <c r="K12237" s="4"/>
      <c r="AC12237" s="7"/>
      <c r="AD12237" s="7"/>
      <c r="AE12237" s="7"/>
      <c r="AF12237" s="8"/>
      <c r="AG12237" s="7"/>
    </row>
    <row r="12238" spans="11:33" ht="14.5" x14ac:dyDescent="0.35">
      <c r="K12238" s="4"/>
      <c r="AC12238" s="7"/>
      <c r="AD12238" s="7"/>
      <c r="AE12238" s="7"/>
      <c r="AF12238" s="8"/>
      <c r="AG12238" s="7"/>
    </row>
    <row r="12239" spans="11:33" ht="14.5" x14ac:dyDescent="0.35">
      <c r="K12239" s="4"/>
      <c r="AC12239" s="7"/>
      <c r="AD12239" s="7"/>
      <c r="AE12239" s="7"/>
      <c r="AF12239" s="8"/>
      <c r="AG12239" s="7"/>
    </row>
    <row r="12240" spans="11:33" ht="14.5" x14ac:dyDescent="0.35">
      <c r="K12240" s="4"/>
      <c r="AC12240" s="7"/>
      <c r="AD12240" s="7"/>
      <c r="AE12240" s="7"/>
      <c r="AF12240" s="8"/>
      <c r="AG12240" s="7"/>
    </row>
    <row r="12241" spans="11:33" ht="14.5" x14ac:dyDescent="0.35">
      <c r="K12241" s="4"/>
      <c r="AC12241" s="7"/>
      <c r="AD12241" s="7"/>
      <c r="AE12241" s="7"/>
      <c r="AF12241" s="8"/>
      <c r="AG12241" s="7"/>
    </row>
    <row r="12242" spans="11:33" ht="14.5" x14ac:dyDescent="0.35">
      <c r="K12242" s="4"/>
      <c r="AC12242" s="7"/>
      <c r="AD12242" s="7"/>
      <c r="AE12242" s="7"/>
      <c r="AF12242" s="8"/>
      <c r="AG12242" s="7"/>
    </row>
    <row r="12243" spans="11:33" ht="14.5" x14ac:dyDescent="0.35">
      <c r="K12243" s="4"/>
      <c r="AC12243" s="7"/>
      <c r="AD12243" s="7"/>
      <c r="AE12243" s="7"/>
      <c r="AF12243" s="8"/>
      <c r="AG12243" s="7"/>
    </row>
    <row r="12244" spans="11:33" ht="14.5" x14ac:dyDescent="0.35">
      <c r="K12244" s="4"/>
      <c r="AC12244" s="7"/>
      <c r="AD12244" s="7"/>
      <c r="AE12244" s="7"/>
      <c r="AF12244" s="8"/>
      <c r="AG12244" s="7"/>
    </row>
    <row r="12245" spans="11:33" ht="14.5" x14ac:dyDescent="0.35">
      <c r="K12245" s="4"/>
      <c r="AC12245" s="7"/>
      <c r="AD12245" s="7"/>
      <c r="AE12245" s="7"/>
      <c r="AF12245" s="8"/>
      <c r="AG12245" s="7"/>
    </row>
    <row r="12246" spans="11:33" ht="14.5" x14ac:dyDescent="0.35">
      <c r="K12246" s="4"/>
      <c r="AC12246" s="7"/>
      <c r="AD12246" s="7"/>
      <c r="AE12246" s="7"/>
      <c r="AF12246" s="8"/>
      <c r="AG12246" s="7"/>
    </row>
    <row r="12247" spans="11:33" ht="14.5" x14ac:dyDescent="0.35">
      <c r="K12247" s="4"/>
      <c r="AC12247" s="7"/>
      <c r="AD12247" s="7"/>
      <c r="AE12247" s="7"/>
      <c r="AF12247" s="8"/>
      <c r="AG12247" s="7"/>
    </row>
    <row r="12248" spans="11:33" ht="14.5" x14ac:dyDescent="0.35">
      <c r="K12248" s="4"/>
      <c r="AC12248" s="7"/>
      <c r="AD12248" s="7"/>
      <c r="AE12248" s="7"/>
      <c r="AF12248" s="8"/>
      <c r="AG12248" s="7"/>
    </row>
    <row r="12249" spans="11:33" ht="14.5" x14ac:dyDescent="0.35">
      <c r="K12249" s="4"/>
      <c r="AC12249" s="7"/>
      <c r="AD12249" s="7"/>
      <c r="AE12249" s="7"/>
      <c r="AF12249" s="8"/>
      <c r="AG12249" s="7"/>
    </row>
    <row r="12250" spans="11:33" ht="14.5" x14ac:dyDescent="0.35">
      <c r="K12250" s="4"/>
      <c r="AC12250" s="7"/>
      <c r="AD12250" s="7"/>
      <c r="AE12250" s="7"/>
      <c r="AF12250" s="8"/>
      <c r="AG12250" s="7"/>
    </row>
    <row r="12251" spans="11:33" ht="14.5" x14ac:dyDescent="0.35">
      <c r="K12251" s="4"/>
      <c r="AC12251" s="7"/>
      <c r="AD12251" s="7"/>
      <c r="AE12251" s="7"/>
      <c r="AF12251" s="8"/>
      <c r="AG12251" s="7"/>
    </row>
    <row r="12252" spans="11:33" ht="14.5" x14ac:dyDescent="0.35">
      <c r="K12252" s="4"/>
      <c r="AC12252" s="7"/>
      <c r="AD12252" s="7"/>
      <c r="AE12252" s="7"/>
      <c r="AF12252" s="8"/>
      <c r="AG12252" s="7"/>
    </row>
    <row r="12253" spans="11:33" ht="14.5" x14ac:dyDescent="0.35">
      <c r="K12253" s="4"/>
      <c r="AC12253" s="7"/>
      <c r="AD12253" s="7"/>
      <c r="AE12253" s="7"/>
      <c r="AF12253" s="8"/>
      <c r="AG12253" s="7"/>
    </row>
    <row r="12254" spans="11:33" ht="14.5" x14ac:dyDescent="0.35">
      <c r="K12254" s="4"/>
      <c r="AC12254" s="7"/>
      <c r="AD12254" s="7"/>
      <c r="AE12254" s="7"/>
      <c r="AF12254" s="8"/>
      <c r="AG12254" s="7"/>
    </row>
    <row r="12255" spans="11:33" ht="14.5" x14ac:dyDescent="0.35">
      <c r="K12255" s="4"/>
      <c r="AC12255" s="7"/>
      <c r="AD12255" s="7"/>
      <c r="AE12255" s="7"/>
      <c r="AF12255" s="8"/>
      <c r="AG12255" s="7"/>
    </row>
    <row r="12256" spans="11:33" ht="14.5" x14ac:dyDescent="0.35">
      <c r="K12256" s="4"/>
      <c r="AC12256" s="7"/>
      <c r="AD12256" s="7"/>
      <c r="AE12256" s="7"/>
      <c r="AF12256" s="8"/>
      <c r="AG12256" s="7"/>
    </row>
    <row r="12257" spans="11:33" ht="14.5" x14ac:dyDescent="0.35">
      <c r="K12257" s="4"/>
      <c r="AC12257" s="7"/>
      <c r="AD12257" s="7"/>
      <c r="AE12257" s="7"/>
      <c r="AF12257" s="8"/>
      <c r="AG12257" s="7"/>
    </row>
    <row r="12258" spans="11:33" ht="14.5" x14ac:dyDescent="0.35">
      <c r="K12258" s="4"/>
      <c r="AC12258" s="7"/>
      <c r="AD12258" s="7"/>
      <c r="AE12258" s="7"/>
      <c r="AF12258" s="8"/>
      <c r="AG12258" s="7"/>
    </row>
    <row r="12259" spans="11:33" ht="14.5" x14ac:dyDescent="0.35">
      <c r="K12259" s="4"/>
      <c r="AC12259" s="7"/>
      <c r="AD12259" s="7"/>
      <c r="AE12259" s="7"/>
      <c r="AF12259" s="8"/>
      <c r="AG12259" s="7"/>
    </row>
    <row r="12260" spans="11:33" ht="14.5" x14ac:dyDescent="0.35">
      <c r="K12260" s="4"/>
      <c r="AC12260" s="7"/>
      <c r="AD12260" s="7"/>
      <c r="AE12260" s="7"/>
      <c r="AF12260" s="8"/>
      <c r="AG12260" s="7"/>
    </row>
    <row r="12261" spans="11:33" ht="14.5" x14ac:dyDescent="0.35">
      <c r="K12261" s="4"/>
      <c r="AC12261" s="7"/>
      <c r="AD12261" s="7"/>
      <c r="AE12261" s="7"/>
      <c r="AF12261" s="8"/>
      <c r="AG12261" s="7"/>
    </row>
    <row r="12262" spans="11:33" ht="14.5" x14ac:dyDescent="0.35">
      <c r="K12262" s="4"/>
      <c r="AC12262" s="7"/>
      <c r="AD12262" s="7"/>
      <c r="AE12262" s="7"/>
      <c r="AF12262" s="8"/>
      <c r="AG12262" s="7"/>
    </row>
    <row r="12263" spans="11:33" ht="14.5" x14ac:dyDescent="0.35">
      <c r="K12263" s="4"/>
      <c r="AC12263" s="7"/>
      <c r="AD12263" s="7"/>
      <c r="AE12263" s="7"/>
      <c r="AF12263" s="8"/>
      <c r="AG12263" s="7"/>
    </row>
    <row r="12264" spans="11:33" ht="14.5" x14ac:dyDescent="0.35">
      <c r="K12264" s="4"/>
      <c r="AC12264" s="7"/>
      <c r="AD12264" s="7"/>
      <c r="AE12264" s="7"/>
      <c r="AF12264" s="8"/>
      <c r="AG12264" s="7"/>
    </row>
    <row r="12265" spans="11:33" ht="14.5" x14ac:dyDescent="0.35">
      <c r="K12265" s="4"/>
      <c r="AC12265" s="7"/>
      <c r="AD12265" s="7"/>
      <c r="AE12265" s="7"/>
      <c r="AF12265" s="8"/>
      <c r="AG12265" s="7"/>
    </row>
    <row r="12266" spans="11:33" ht="14.5" x14ac:dyDescent="0.35">
      <c r="K12266" s="4"/>
      <c r="AC12266" s="7"/>
      <c r="AD12266" s="7"/>
      <c r="AE12266" s="7"/>
      <c r="AF12266" s="8"/>
      <c r="AG12266" s="7"/>
    </row>
    <row r="12267" spans="11:33" ht="14.5" x14ac:dyDescent="0.35">
      <c r="K12267" s="4"/>
      <c r="AC12267" s="7"/>
      <c r="AD12267" s="7"/>
      <c r="AE12267" s="7"/>
      <c r="AF12267" s="8"/>
      <c r="AG12267" s="7"/>
    </row>
    <row r="12268" spans="11:33" ht="14.5" x14ac:dyDescent="0.35">
      <c r="K12268" s="4"/>
      <c r="AC12268" s="7"/>
      <c r="AD12268" s="7"/>
      <c r="AE12268" s="7"/>
      <c r="AF12268" s="8"/>
      <c r="AG12268" s="7"/>
    </row>
    <row r="12269" spans="11:33" ht="14.5" x14ac:dyDescent="0.35">
      <c r="K12269" s="4"/>
      <c r="AC12269" s="7"/>
      <c r="AD12269" s="7"/>
      <c r="AE12269" s="7"/>
      <c r="AF12269" s="8"/>
      <c r="AG12269" s="7"/>
    </row>
    <row r="12270" spans="11:33" ht="14.5" x14ac:dyDescent="0.35">
      <c r="K12270" s="4"/>
      <c r="AC12270" s="7"/>
      <c r="AD12270" s="7"/>
      <c r="AE12270" s="7"/>
      <c r="AF12270" s="8"/>
      <c r="AG12270" s="7"/>
    </row>
    <row r="12271" spans="11:33" ht="14.5" x14ac:dyDescent="0.35">
      <c r="K12271" s="4"/>
      <c r="AC12271" s="7"/>
      <c r="AD12271" s="7"/>
      <c r="AE12271" s="7"/>
      <c r="AF12271" s="8"/>
      <c r="AG12271" s="7"/>
    </row>
    <row r="12272" spans="11:33" ht="14.5" x14ac:dyDescent="0.35">
      <c r="K12272" s="4"/>
      <c r="AC12272" s="7"/>
      <c r="AD12272" s="7"/>
      <c r="AE12272" s="7"/>
      <c r="AF12272" s="8"/>
      <c r="AG12272" s="7"/>
    </row>
    <row r="12273" spans="11:33" ht="14.5" x14ac:dyDescent="0.35">
      <c r="K12273" s="4"/>
      <c r="AC12273" s="7"/>
      <c r="AD12273" s="7"/>
      <c r="AE12273" s="7"/>
      <c r="AF12273" s="8"/>
      <c r="AG12273" s="7"/>
    </row>
    <row r="12274" spans="11:33" ht="14.5" x14ac:dyDescent="0.35">
      <c r="K12274" s="4"/>
      <c r="AC12274" s="7"/>
      <c r="AD12274" s="7"/>
      <c r="AE12274" s="7"/>
      <c r="AF12274" s="8"/>
      <c r="AG12274" s="7"/>
    </row>
    <row r="12275" spans="11:33" ht="14.5" x14ac:dyDescent="0.35">
      <c r="K12275" s="4"/>
      <c r="AC12275" s="7"/>
      <c r="AD12275" s="7"/>
      <c r="AE12275" s="7"/>
      <c r="AF12275" s="8"/>
      <c r="AG12275" s="7"/>
    </row>
    <row r="12276" spans="11:33" ht="14.5" x14ac:dyDescent="0.35">
      <c r="K12276" s="4"/>
      <c r="AC12276" s="7"/>
      <c r="AD12276" s="7"/>
      <c r="AE12276" s="7"/>
      <c r="AF12276" s="8"/>
      <c r="AG12276" s="7"/>
    </row>
    <row r="12277" spans="11:33" ht="14.5" x14ac:dyDescent="0.35">
      <c r="K12277" s="4"/>
      <c r="AC12277" s="7"/>
      <c r="AD12277" s="7"/>
      <c r="AE12277" s="7"/>
      <c r="AF12277" s="8"/>
      <c r="AG12277" s="7"/>
    </row>
    <row r="12278" spans="11:33" ht="14.5" x14ac:dyDescent="0.35">
      <c r="K12278" s="4"/>
      <c r="AC12278" s="7"/>
      <c r="AD12278" s="7"/>
      <c r="AE12278" s="7"/>
      <c r="AF12278" s="8"/>
      <c r="AG12278" s="7"/>
    </row>
    <row r="12279" spans="11:33" ht="14.5" x14ac:dyDescent="0.35">
      <c r="K12279" s="4"/>
      <c r="AC12279" s="7"/>
      <c r="AD12279" s="7"/>
      <c r="AE12279" s="7"/>
      <c r="AF12279" s="8"/>
      <c r="AG12279" s="7"/>
    </row>
    <row r="12280" spans="11:33" ht="14.5" x14ac:dyDescent="0.35">
      <c r="K12280" s="4"/>
      <c r="AC12280" s="7"/>
      <c r="AD12280" s="7"/>
      <c r="AE12280" s="7"/>
      <c r="AF12280" s="8"/>
      <c r="AG12280" s="7"/>
    </row>
    <row r="12281" spans="11:33" ht="14.5" x14ac:dyDescent="0.35">
      <c r="K12281" s="4"/>
      <c r="AC12281" s="7"/>
      <c r="AD12281" s="7"/>
      <c r="AE12281" s="7"/>
      <c r="AF12281" s="8"/>
      <c r="AG12281" s="7"/>
    </row>
    <row r="12282" spans="11:33" ht="14.5" x14ac:dyDescent="0.35">
      <c r="K12282" s="4"/>
      <c r="AC12282" s="7"/>
      <c r="AD12282" s="7"/>
      <c r="AE12282" s="7"/>
      <c r="AF12282" s="8"/>
      <c r="AG12282" s="7"/>
    </row>
    <row r="12283" spans="11:33" ht="14.5" x14ac:dyDescent="0.35">
      <c r="K12283" s="4"/>
      <c r="AC12283" s="7"/>
      <c r="AD12283" s="7"/>
      <c r="AE12283" s="7"/>
      <c r="AF12283" s="8"/>
      <c r="AG12283" s="7"/>
    </row>
    <row r="12284" spans="11:33" ht="14.5" x14ac:dyDescent="0.35">
      <c r="K12284" s="4"/>
      <c r="AC12284" s="7"/>
      <c r="AD12284" s="7"/>
      <c r="AE12284" s="7"/>
      <c r="AF12284" s="8"/>
      <c r="AG12284" s="7"/>
    </row>
    <row r="12285" spans="11:33" ht="14.5" x14ac:dyDescent="0.35">
      <c r="K12285" s="4"/>
      <c r="AC12285" s="7"/>
      <c r="AD12285" s="7"/>
      <c r="AE12285" s="7"/>
      <c r="AF12285" s="8"/>
      <c r="AG12285" s="7"/>
    </row>
    <row r="12286" spans="11:33" ht="14.5" x14ac:dyDescent="0.35">
      <c r="K12286" s="4"/>
      <c r="AC12286" s="7"/>
      <c r="AD12286" s="7"/>
      <c r="AE12286" s="7"/>
      <c r="AF12286" s="8"/>
      <c r="AG12286" s="7"/>
    </row>
    <row r="12287" spans="11:33" ht="14.5" x14ac:dyDescent="0.35">
      <c r="K12287" s="4"/>
      <c r="AC12287" s="7"/>
      <c r="AD12287" s="7"/>
      <c r="AE12287" s="7"/>
      <c r="AF12287" s="8"/>
      <c r="AG12287" s="7"/>
    </row>
    <row r="12288" spans="11:33" ht="14.5" x14ac:dyDescent="0.35">
      <c r="K12288" s="4"/>
      <c r="AC12288" s="7"/>
      <c r="AD12288" s="7"/>
      <c r="AE12288" s="7"/>
      <c r="AF12288" s="8"/>
      <c r="AG12288" s="7"/>
    </row>
    <row r="12289" spans="11:33" ht="14.5" x14ac:dyDescent="0.35">
      <c r="K12289" s="4"/>
      <c r="AC12289" s="7"/>
      <c r="AD12289" s="7"/>
      <c r="AE12289" s="7"/>
      <c r="AF12289" s="8"/>
      <c r="AG12289" s="7"/>
    </row>
    <row r="12290" spans="11:33" ht="14.5" x14ac:dyDescent="0.35">
      <c r="K12290" s="4"/>
      <c r="AC12290" s="7"/>
      <c r="AD12290" s="7"/>
      <c r="AE12290" s="7"/>
      <c r="AF12290" s="8"/>
      <c r="AG12290" s="7"/>
    </row>
    <row r="12291" spans="11:33" ht="14.5" x14ac:dyDescent="0.35">
      <c r="K12291" s="4"/>
      <c r="AC12291" s="7"/>
      <c r="AD12291" s="7"/>
      <c r="AE12291" s="7"/>
      <c r="AF12291" s="8"/>
      <c r="AG12291" s="7"/>
    </row>
    <row r="12292" spans="11:33" ht="14.5" x14ac:dyDescent="0.35">
      <c r="K12292" s="4"/>
      <c r="AC12292" s="7"/>
      <c r="AD12292" s="7"/>
      <c r="AE12292" s="7"/>
      <c r="AF12292" s="8"/>
      <c r="AG12292" s="7"/>
    </row>
    <row r="12293" spans="11:33" ht="14.5" x14ac:dyDescent="0.35">
      <c r="K12293" s="4"/>
      <c r="AC12293" s="7"/>
      <c r="AD12293" s="7"/>
      <c r="AE12293" s="7"/>
      <c r="AF12293" s="8"/>
      <c r="AG12293" s="7"/>
    </row>
    <row r="12294" spans="11:33" ht="14.5" x14ac:dyDescent="0.35">
      <c r="K12294" s="4"/>
      <c r="AC12294" s="7"/>
      <c r="AD12294" s="7"/>
      <c r="AE12294" s="7"/>
      <c r="AF12294" s="8"/>
      <c r="AG12294" s="7"/>
    </row>
    <row r="12295" spans="11:33" ht="14.5" x14ac:dyDescent="0.35">
      <c r="K12295" s="4"/>
      <c r="AC12295" s="7"/>
      <c r="AD12295" s="7"/>
      <c r="AE12295" s="7"/>
      <c r="AF12295" s="8"/>
      <c r="AG12295" s="7"/>
    </row>
    <row r="12296" spans="11:33" ht="14.5" x14ac:dyDescent="0.35">
      <c r="K12296" s="4"/>
      <c r="AC12296" s="7"/>
      <c r="AD12296" s="7"/>
      <c r="AE12296" s="7"/>
      <c r="AF12296" s="8"/>
      <c r="AG12296" s="7"/>
    </row>
    <row r="12297" spans="11:33" ht="14.5" x14ac:dyDescent="0.35">
      <c r="K12297" s="4"/>
      <c r="AC12297" s="7"/>
      <c r="AD12297" s="7"/>
      <c r="AE12297" s="7"/>
      <c r="AF12297" s="8"/>
      <c r="AG12297" s="7"/>
    </row>
    <row r="12298" spans="11:33" ht="14.5" x14ac:dyDescent="0.35">
      <c r="K12298" s="4"/>
      <c r="AC12298" s="7"/>
      <c r="AD12298" s="7"/>
      <c r="AE12298" s="7"/>
      <c r="AF12298" s="8"/>
      <c r="AG12298" s="7"/>
    </row>
    <row r="12299" spans="11:33" ht="14.5" x14ac:dyDescent="0.35">
      <c r="K12299" s="4"/>
      <c r="AC12299" s="7"/>
      <c r="AD12299" s="7"/>
      <c r="AE12299" s="7"/>
      <c r="AF12299" s="8"/>
      <c r="AG12299" s="7"/>
    </row>
    <row r="12300" spans="11:33" ht="14.5" x14ac:dyDescent="0.35">
      <c r="K12300" s="4"/>
      <c r="AC12300" s="7"/>
      <c r="AD12300" s="7"/>
      <c r="AE12300" s="7"/>
      <c r="AF12300" s="8"/>
      <c r="AG12300" s="7"/>
    </row>
    <row r="12301" spans="11:33" ht="14.5" x14ac:dyDescent="0.35">
      <c r="K12301" s="4"/>
      <c r="AC12301" s="7"/>
      <c r="AD12301" s="7"/>
      <c r="AE12301" s="7"/>
      <c r="AF12301" s="8"/>
      <c r="AG12301" s="7"/>
    </row>
    <row r="12302" spans="11:33" ht="14.5" x14ac:dyDescent="0.35">
      <c r="K12302" s="4"/>
      <c r="AC12302" s="7"/>
      <c r="AD12302" s="7"/>
      <c r="AE12302" s="7"/>
      <c r="AF12302" s="8"/>
      <c r="AG12302" s="7"/>
    </row>
    <row r="12303" spans="11:33" ht="14.5" x14ac:dyDescent="0.35">
      <c r="K12303" s="4"/>
      <c r="AC12303" s="7"/>
      <c r="AD12303" s="7"/>
      <c r="AE12303" s="7"/>
      <c r="AF12303" s="8"/>
      <c r="AG12303" s="7"/>
    </row>
    <row r="12304" spans="11:33" ht="14.5" x14ac:dyDescent="0.35">
      <c r="K12304" s="4"/>
      <c r="AC12304" s="7"/>
      <c r="AD12304" s="7"/>
      <c r="AE12304" s="7"/>
      <c r="AF12304" s="8"/>
      <c r="AG12304" s="7"/>
    </row>
    <row r="12305" spans="11:33" ht="14.5" x14ac:dyDescent="0.35">
      <c r="K12305" s="4"/>
      <c r="AC12305" s="7"/>
      <c r="AD12305" s="7"/>
      <c r="AE12305" s="7"/>
      <c r="AF12305" s="8"/>
      <c r="AG12305" s="7"/>
    </row>
    <row r="12306" spans="11:33" ht="14.5" x14ac:dyDescent="0.35">
      <c r="K12306" s="4"/>
      <c r="AC12306" s="7"/>
      <c r="AD12306" s="7"/>
      <c r="AE12306" s="7"/>
      <c r="AF12306" s="8"/>
      <c r="AG12306" s="7"/>
    </row>
    <row r="12307" spans="11:33" ht="14.5" x14ac:dyDescent="0.35">
      <c r="K12307" s="4"/>
      <c r="AC12307" s="7"/>
      <c r="AD12307" s="7"/>
      <c r="AE12307" s="7"/>
      <c r="AF12307" s="8"/>
      <c r="AG12307" s="7"/>
    </row>
    <row r="12308" spans="11:33" ht="14.5" x14ac:dyDescent="0.35">
      <c r="K12308" s="4"/>
      <c r="AC12308" s="7"/>
      <c r="AD12308" s="7"/>
      <c r="AE12308" s="7"/>
      <c r="AF12308" s="8"/>
      <c r="AG12308" s="7"/>
    </row>
    <row r="12309" spans="11:33" ht="14.5" x14ac:dyDescent="0.35">
      <c r="K12309" s="4"/>
      <c r="AC12309" s="7"/>
      <c r="AD12309" s="7"/>
      <c r="AE12309" s="7"/>
      <c r="AF12309" s="8"/>
      <c r="AG12309" s="7"/>
    </row>
    <row r="12310" spans="11:33" ht="14.5" x14ac:dyDescent="0.35">
      <c r="K12310" s="4"/>
      <c r="AC12310" s="7"/>
      <c r="AD12310" s="7"/>
      <c r="AE12310" s="7"/>
      <c r="AF12310" s="8"/>
      <c r="AG12310" s="7"/>
    </row>
    <row r="12311" spans="11:33" ht="14.5" x14ac:dyDescent="0.35">
      <c r="K12311" s="4"/>
      <c r="AC12311" s="7"/>
      <c r="AD12311" s="7"/>
      <c r="AE12311" s="7"/>
      <c r="AF12311" s="8"/>
      <c r="AG12311" s="7"/>
    </row>
    <row r="12312" spans="11:33" ht="14.5" x14ac:dyDescent="0.35">
      <c r="K12312" s="4"/>
      <c r="AC12312" s="7"/>
      <c r="AD12312" s="7"/>
      <c r="AE12312" s="7"/>
      <c r="AF12312" s="8"/>
      <c r="AG12312" s="7"/>
    </row>
    <row r="12313" spans="11:33" ht="14.5" x14ac:dyDescent="0.35">
      <c r="K12313" s="4"/>
      <c r="AC12313" s="7"/>
      <c r="AD12313" s="7"/>
      <c r="AE12313" s="7"/>
      <c r="AF12313" s="8"/>
      <c r="AG12313" s="7"/>
    </row>
    <row r="12314" spans="11:33" ht="14.5" x14ac:dyDescent="0.35">
      <c r="K12314" s="4"/>
      <c r="AC12314" s="7"/>
      <c r="AD12314" s="7"/>
      <c r="AE12314" s="7"/>
      <c r="AF12314" s="8"/>
      <c r="AG12314" s="7"/>
    </row>
    <row r="12315" spans="11:33" ht="14.5" x14ac:dyDescent="0.35">
      <c r="K12315" s="4"/>
      <c r="AC12315" s="7"/>
      <c r="AD12315" s="7"/>
      <c r="AE12315" s="7"/>
      <c r="AF12315" s="8"/>
      <c r="AG12315" s="7"/>
    </row>
    <row r="12316" spans="11:33" ht="14.5" x14ac:dyDescent="0.35">
      <c r="K12316" s="4"/>
      <c r="AC12316" s="7"/>
      <c r="AD12316" s="7"/>
      <c r="AE12316" s="7"/>
      <c r="AF12316" s="8"/>
      <c r="AG12316" s="7"/>
    </row>
    <row r="12317" spans="11:33" ht="14.5" x14ac:dyDescent="0.35">
      <c r="K12317" s="4"/>
      <c r="AC12317" s="7"/>
      <c r="AD12317" s="7"/>
      <c r="AE12317" s="7"/>
      <c r="AF12317" s="8"/>
      <c r="AG12317" s="7"/>
    </row>
    <row r="12318" spans="11:33" ht="14.5" x14ac:dyDescent="0.35">
      <c r="K12318" s="4"/>
      <c r="AC12318" s="7"/>
      <c r="AD12318" s="7"/>
      <c r="AE12318" s="7"/>
      <c r="AF12318" s="8"/>
      <c r="AG12318" s="7"/>
    </row>
    <row r="12319" spans="11:33" ht="14.5" x14ac:dyDescent="0.35">
      <c r="K12319" s="4"/>
      <c r="AC12319" s="7"/>
      <c r="AD12319" s="7"/>
      <c r="AE12319" s="7"/>
      <c r="AF12319" s="8"/>
      <c r="AG12319" s="7"/>
    </row>
    <row r="12320" spans="11:33" ht="14.5" x14ac:dyDescent="0.35">
      <c r="K12320" s="4"/>
      <c r="AC12320" s="7"/>
      <c r="AD12320" s="7"/>
      <c r="AE12320" s="7"/>
      <c r="AF12320" s="8"/>
      <c r="AG12320" s="7"/>
    </row>
    <row r="12321" spans="11:33" ht="14.5" x14ac:dyDescent="0.35">
      <c r="K12321" s="4"/>
      <c r="AC12321" s="7"/>
      <c r="AD12321" s="7"/>
      <c r="AE12321" s="7"/>
      <c r="AF12321" s="8"/>
      <c r="AG12321" s="7"/>
    </row>
    <row r="12322" spans="11:33" ht="14.5" x14ac:dyDescent="0.35">
      <c r="K12322" s="4"/>
      <c r="AC12322" s="7"/>
      <c r="AD12322" s="7"/>
      <c r="AE12322" s="7"/>
      <c r="AF12322" s="8"/>
      <c r="AG12322" s="7"/>
    </row>
    <row r="12323" spans="11:33" ht="14.5" x14ac:dyDescent="0.35">
      <c r="K12323" s="4"/>
      <c r="AC12323" s="7"/>
      <c r="AD12323" s="7"/>
      <c r="AE12323" s="7"/>
      <c r="AF12323" s="8"/>
      <c r="AG12323" s="7"/>
    </row>
    <row r="12324" spans="11:33" ht="14.5" x14ac:dyDescent="0.35">
      <c r="K12324" s="4"/>
      <c r="AC12324" s="7"/>
      <c r="AD12324" s="7"/>
      <c r="AE12324" s="7"/>
      <c r="AF12324" s="8"/>
      <c r="AG12324" s="7"/>
    </row>
    <row r="12325" spans="11:33" ht="14.5" x14ac:dyDescent="0.35">
      <c r="K12325" s="4"/>
      <c r="AC12325" s="7"/>
      <c r="AD12325" s="7"/>
      <c r="AE12325" s="7"/>
      <c r="AF12325" s="8"/>
      <c r="AG12325" s="7"/>
    </row>
    <row r="12326" spans="11:33" ht="14.5" x14ac:dyDescent="0.35">
      <c r="K12326" s="4"/>
      <c r="AC12326" s="7"/>
      <c r="AD12326" s="7"/>
      <c r="AE12326" s="7"/>
      <c r="AF12326" s="8"/>
      <c r="AG12326" s="7"/>
    </row>
    <row r="12327" spans="11:33" ht="14.5" x14ac:dyDescent="0.35">
      <c r="K12327" s="4"/>
      <c r="AC12327" s="7"/>
      <c r="AD12327" s="7"/>
      <c r="AE12327" s="7"/>
      <c r="AF12327" s="8"/>
      <c r="AG12327" s="7"/>
    </row>
    <row r="12328" spans="11:33" ht="14.5" x14ac:dyDescent="0.35">
      <c r="K12328" s="4"/>
      <c r="AC12328" s="7"/>
      <c r="AD12328" s="7"/>
      <c r="AE12328" s="7"/>
      <c r="AF12328" s="8"/>
      <c r="AG12328" s="7"/>
    </row>
    <row r="12329" spans="11:33" ht="14.5" x14ac:dyDescent="0.35">
      <c r="K12329" s="4"/>
      <c r="AC12329" s="7"/>
      <c r="AD12329" s="7"/>
      <c r="AE12329" s="7"/>
      <c r="AF12329" s="8"/>
      <c r="AG12329" s="7"/>
    </row>
    <row r="12330" spans="11:33" ht="14.5" x14ac:dyDescent="0.35">
      <c r="K12330" s="4"/>
      <c r="AC12330" s="7"/>
      <c r="AD12330" s="7"/>
      <c r="AE12330" s="7"/>
      <c r="AF12330" s="8"/>
      <c r="AG12330" s="7"/>
    </row>
    <row r="12331" spans="11:33" ht="14.5" x14ac:dyDescent="0.35">
      <c r="K12331" s="4"/>
      <c r="AC12331" s="7"/>
      <c r="AD12331" s="7"/>
      <c r="AE12331" s="7"/>
      <c r="AF12331" s="8"/>
      <c r="AG12331" s="7"/>
    </row>
    <row r="12332" spans="11:33" ht="14.5" x14ac:dyDescent="0.35">
      <c r="K12332" s="4"/>
      <c r="AC12332" s="7"/>
      <c r="AD12332" s="7"/>
      <c r="AE12332" s="7"/>
      <c r="AF12332" s="8"/>
      <c r="AG12332" s="7"/>
    </row>
    <row r="12333" spans="11:33" ht="14.5" x14ac:dyDescent="0.35">
      <c r="K12333" s="4"/>
      <c r="AC12333" s="7"/>
      <c r="AD12333" s="7"/>
      <c r="AE12333" s="7"/>
      <c r="AF12333" s="8"/>
      <c r="AG12333" s="7"/>
    </row>
    <row r="12334" spans="11:33" ht="14.5" x14ac:dyDescent="0.35">
      <c r="K12334" s="4"/>
      <c r="AC12334" s="7"/>
      <c r="AD12334" s="7"/>
      <c r="AE12334" s="7"/>
      <c r="AF12334" s="8"/>
      <c r="AG12334" s="7"/>
    </row>
    <row r="12335" spans="11:33" ht="14.5" x14ac:dyDescent="0.35">
      <c r="K12335" s="4"/>
      <c r="AC12335" s="7"/>
      <c r="AD12335" s="7"/>
      <c r="AE12335" s="7"/>
      <c r="AF12335" s="8"/>
      <c r="AG12335" s="7"/>
    </row>
    <row r="12336" spans="11:33" ht="14.5" x14ac:dyDescent="0.35">
      <c r="K12336" s="4"/>
      <c r="AC12336" s="7"/>
      <c r="AD12336" s="7"/>
      <c r="AE12336" s="7"/>
      <c r="AF12336" s="8"/>
      <c r="AG12336" s="7"/>
    </row>
    <row r="12337" spans="11:33" ht="14.5" x14ac:dyDescent="0.35">
      <c r="K12337" s="4"/>
      <c r="AC12337" s="7"/>
      <c r="AD12337" s="7"/>
      <c r="AE12337" s="7"/>
      <c r="AF12337" s="8"/>
      <c r="AG12337" s="7"/>
    </row>
    <row r="12338" spans="11:33" ht="14.5" x14ac:dyDescent="0.35">
      <c r="K12338" s="4"/>
      <c r="AC12338" s="7"/>
      <c r="AD12338" s="7"/>
      <c r="AE12338" s="7"/>
      <c r="AF12338" s="8"/>
      <c r="AG12338" s="7"/>
    </row>
    <row r="12339" spans="11:33" ht="14.5" x14ac:dyDescent="0.35">
      <c r="K12339" s="4"/>
      <c r="AC12339" s="7"/>
      <c r="AD12339" s="7"/>
      <c r="AE12339" s="7"/>
      <c r="AF12339" s="8"/>
      <c r="AG12339" s="7"/>
    </row>
    <row r="12340" spans="11:33" ht="14.5" x14ac:dyDescent="0.35">
      <c r="K12340" s="4"/>
      <c r="AC12340" s="7"/>
      <c r="AD12340" s="7"/>
      <c r="AE12340" s="7"/>
      <c r="AF12340" s="8"/>
      <c r="AG12340" s="7"/>
    </row>
    <row r="12341" spans="11:33" ht="14.5" x14ac:dyDescent="0.35">
      <c r="K12341" s="4"/>
      <c r="AC12341" s="7"/>
      <c r="AD12341" s="7"/>
      <c r="AE12341" s="7"/>
      <c r="AF12341" s="8"/>
      <c r="AG12341" s="7"/>
    </row>
    <row r="12342" spans="11:33" ht="14.5" x14ac:dyDescent="0.35">
      <c r="K12342" s="4"/>
      <c r="AC12342" s="7"/>
      <c r="AD12342" s="7"/>
      <c r="AE12342" s="7"/>
      <c r="AF12342" s="8"/>
      <c r="AG12342" s="7"/>
    </row>
    <row r="12343" spans="11:33" ht="14.5" x14ac:dyDescent="0.35">
      <c r="K12343" s="4"/>
      <c r="AC12343" s="7"/>
      <c r="AD12343" s="7"/>
      <c r="AE12343" s="7"/>
      <c r="AF12343" s="8"/>
      <c r="AG12343" s="7"/>
    </row>
    <row r="12344" spans="11:33" ht="14.5" x14ac:dyDescent="0.35">
      <c r="K12344" s="4"/>
      <c r="AC12344" s="7"/>
      <c r="AD12344" s="7"/>
      <c r="AE12344" s="7"/>
      <c r="AF12344" s="8"/>
      <c r="AG12344" s="7"/>
    </row>
    <row r="12345" spans="11:33" ht="14.5" x14ac:dyDescent="0.35">
      <c r="K12345" s="4"/>
      <c r="AC12345" s="7"/>
      <c r="AD12345" s="7"/>
      <c r="AE12345" s="7"/>
      <c r="AF12345" s="8"/>
      <c r="AG12345" s="7"/>
    </row>
    <row r="12346" spans="11:33" ht="14.5" x14ac:dyDescent="0.35">
      <c r="K12346" s="4"/>
      <c r="AC12346" s="7"/>
      <c r="AD12346" s="7"/>
      <c r="AE12346" s="7"/>
      <c r="AF12346" s="8"/>
      <c r="AG12346" s="7"/>
    </row>
    <row r="12347" spans="11:33" ht="14.5" x14ac:dyDescent="0.35">
      <c r="K12347" s="4"/>
      <c r="AC12347" s="7"/>
      <c r="AD12347" s="7"/>
      <c r="AE12347" s="7"/>
      <c r="AF12347" s="8"/>
      <c r="AG12347" s="7"/>
    </row>
    <row r="12348" spans="11:33" ht="14.5" x14ac:dyDescent="0.35">
      <c r="K12348" s="4"/>
      <c r="AC12348" s="7"/>
      <c r="AD12348" s="7"/>
      <c r="AE12348" s="7"/>
      <c r="AF12348" s="8"/>
      <c r="AG12348" s="7"/>
    </row>
    <row r="12349" spans="11:33" ht="14.5" x14ac:dyDescent="0.35">
      <c r="K12349" s="4"/>
      <c r="AC12349" s="7"/>
      <c r="AD12349" s="7"/>
      <c r="AE12349" s="7"/>
      <c r="AF12349" s="8"/>
      <c r="AG12349" s="7"/>
    </row>
    <row r="12350" spans="11:33" ht="14.5" x14ac:dyDescent="0.35">
      <c r="K12350" s="4"/>
      <c r="AC12350" s="7"/>
      <c r="AD12350" s="7"/>
      <c r="AE12350" s="7"/>
      <c r="AF12350" s="8"/>
      <c r="AG12350" s="7"/>
    </row>
    <row r="12351" spans="11:33" ht="14.5" x14ac:dyDescent="0.35">
      <c r="K12351" s="4"/>
      <c r="AC12351" s="7"/>
      <c r="AD12351" s="7"/>
      <c r="AE12351" s="7"/>
      <c r="AF12351" s="8"/>
      <c r="AG12351" s="7"/>
    </row>
    <row r="12352" spans="11:33" ht="14.5" x14ac:dyDescent="0.35">
      <c r="K12352" s="4"/>
      <c r="AC12352" s="7"/>
      <c r="AD12352" s="7"/>
      <c r="AE12352" s="7"/>
      <c r="AF12352" s="8"/>
      <c r="AG12352" s="7"/>
    </row>
    <row r="12353" spans="11:33" ht="14.5" x14ac:dyDescent="0.35">
      <c r="K12353" s="4"/>
      <c r="AC12353" s="7"/>
      <c r="AD12353" s="7"/>
      <c r="AE12353" s="7"/>
      <c r="AF12353" s="8"/>
      <c r="AG12353" s="7"/>
    </row>
    <row r="12354" spans="11:33" ht="14.5" x14ac:dyDescent="0.35">
      <c r="K12354" s="4"/>
      <c r="AC12354" s="7"/>
      <c r="AD12354" s="7"/>
      <c r="AE12354" s="7"/>
      <c r="AF12354" s="8"/>
      <c r="AG12354" s="7"/>
    </row>
    <row r="12355" spans="11:33" ht="14.5" x14ac:dyDescent="0.35">
      <c r="K12355" s="4"/>
      <c r="AC12355" s="7"/>
      <c r="AD12355" s="7"/>
      <c r="AE12355" s="7"/>
      <c r="AF12355" s="8"/>
      <c r="AG12355" s="7"/>
    </row>
    <row r="12356" spans="11:33" ht="14.5" x14ac:dyDescent="0.35">
      <c r="K12356" s="4"/>
      <c r="AC12356" s="7"/>
      <c r="AD12356" s="7"/>
      <c r="AE12356" s="7"/>
      <c r="AF12356" s="8"/>
      <c r="AG12356" s="7"/>
    </row>
    <row r="12357" spans="11:33" ht="14.5" x14ac:dyDescent="0.35">
      <c r="K12357" s="4"/>
      <c r="AC12357" s="7"/>
      <c r="AD12357" s="7"/>
      <c r="AE12357" s="7"/>
      <c r="AF12357" s="8"/>
      <c r="AG12357" s="7"/>
    </row>
    <row r="12358" spans="11:33" ht="14.5" x14ac:dyDescent="0.35">
      <c r="K12358" s="4"/>
      <c r="AC12358" s="7"/>
      <c r="AD12358" s="7"/>
      <c r="AE12358" s="7"/>
      <c r="AF12358" s="8"/>
      <c r="AG12358" s="7"/>
    </row>
    <row r="12359" spans="11:33" ht="14.5" x14ac:dyDescent="0.35">
      <c r="K12359" s="4"/>
      <c r="AC12359" s="7"/>
      <c r="AD12359" s="7"/>
      <c r="AE12359" s="7"/>
      <c r="AF12359" s="8"/>
      <c r="AG12359" s="7"/>
    </row>
    <row r="12360" spans="11:33" ht="14.5" x14ac:dyDescent="0.35">
      <c r="K12360" s="4"/>
      <c r="AC12360" s="7"/>
      <c r="AD12360" s="7"/>
      <c r="AE12360" s="7"/>
      <c r="AF12360" s="8"/>
      <c r="AG12360" s="7"/>
    </row>
    <row r="12361" spans="11:33" ht="14.5" x14ac:dyDescent="0.35">
      <c r="K12361" s="4"/>
      <c r="AC12361" s="7"/>
      <c r="AD12361" s="7"/>
      <c r="AE12361" s="7"/>
      <c r="AF12361" s="8"/>
      <c r="AG12361" s="7"/>
    </row>
    <row r="12362" spans="11:33" ht="14.5" x14ac:dyDescent="0.35">
      <c r="K12362" s="4"/>
      <c r="AC12362" s="7"/>
      <c r="AD12362" s="7"/>
      <c r="AE12362" s="7"/>
      <c r="AF12362" s="8"/>
      <c r="AG12362" s="7"/>
    </row>
    <row r="12363" spans="11:33" ht="14.5" x14ac:dyDescent="0.35">
      <c r="K12363" s="4"/>
      <c r="AC12363" s="7"/>
      <c r="AD12363" s="7"/>
      <c r="AE12363" s="7"/>
      <c r="AF12363" s="8"/>
      <c r="AG12363" s="7"/>
    </row>
    <row r="12364" spans="11:33" ht="14.5" x14ac:dyDescent="0.35">
      <c r="K12364" s="4"/>
      <c r="AC12364" s="7"/>
      <c r="AD12364" s="7"/>
      <c r="AE12364" s="7"/>
      <c r="AF12364" s="8"/>
      <c r="AG12364" s="7"/>
    </row>
    <row r="12365" spans="11:33" ht="14.5" x14ac:dyDescent="0.35">
      <c r="K12365" s="4"/>
      <c r="AC12365" s="7"/>
      <c r="AD12365" s="7"/>
      <c r="AE12365" s="7"/>
      <c r="AF12365" s="8"/>
      <c r="AG12365" s="7"/>
    </row>
    <row r="12366" spans="11:33" ht="14.5" x14ac:dyDescent="0.35">
      <c r="K12366" s="4"/>
      <c r="AC12366" s="7"/>
      <c r="AD12366" s="7"/>
      <c r="AE12366" s="7"/>
      <c r="AF12366" s="8"/>
      <c r="AG12366" s="7"/>
    </row>
    <row r="12367" spans="11:33" ht="14.5" x14ac:dyDescent="0.35">
      <c r="K12367" s="4"/>
      <c r="AC12367" s="7"/>
      <c r="AD12367" s="7"/>
      <c r="AE12367" s="7"/>
      <c r="AF12367" s="8"/>
      <c r="AG12367" s="7"/>
    </row>
    <row r="12368" spans="11:33" ht="14.5" x14ac:dyDescent="0.35">
      <c r="K12368" s="4"/>
      <c r="AC12368" s="7"/>
      <c r="AD12368" s="7"/>
      <c r="AE12368" s="7"/>
      <c r="AF12368" s="8"/>
      <c r="AG12368" s="7"/>
    </row>
    <row r="12369" spans="11:33" ht="14.5" x14ac:dyDescent="0.35">
      <c r="K12369" s="4"/>
      <c r="AC12369" s="7"/>
      <c r="AD12369" s="7"/>
      <c r="AE12369" s="7"/>
      <c r="AF12369" s="8"/>
      <c r="AG12369" s="7"/>
    </row>
    <row r="12370" spans="11:33" ht="14.5" x14ac:dyDescent="0.35">
      <c r="K12370" s="4"/>
      <c r="AC12370" s="7"/>
      <c r="AD12370" s="7"/>
      <c r="AE12370" s="7"/>
      <c r="AF12370" s="8"/>
      <c r="AG12370" s="7"/>
    </row>
    <row r="12371" spans="11:33" ht="14.5" x14ac:dyDescent="0.35">
      <c r="K12371" s="4"/>
      <c r="AC12371" s="7"/>
      <c r="AD12371" s="7"/>
      <c r="AE12371" s="7"/>
      <c r="AF12371" s="8"/>
      <c r="AG12371" s="7"/>
    </row>
    <row r="12372" spans="11:33" ht="14.5" x14ac:dyDescent="0.35">
      <c r="K12372" s="4"/>
      <c r="AC12372" s="7"/>
      <c r="AD12372" s="7"/>
      <c r="AE12372" s="7"/>
      <c r="AF12372" s="8"/>
      <c r="AG12372" s="7"/>
    </row>
    <row r="12373" spans="11:33" ht="14.5" x14ac:dyDescent="0.35">
      <c r="K12373" s="4"/>
      <c r="AC12373" s="7"/>
      <c r="AD12373" s="7"/>
      <c r="AE12373" s="7"/>
      <c r="AF12373" s="8"/>
      <c r="AG12373" s="7"/>
    </row>
    <row r="12374" spans="11:33" ht="14.5" x14ac:dyDescent="0.35">
      <c r="K12374" s="4"/>
      <c r="AC12374" s="7"/>
      <c r="AD12374" s="7"/>
      <c r="AE12374" s="7"/>
      <c r="AF12374" s="8"/>
      <c r="AG12374" s="7"/>
    </row>
    <row r="12375" spans="11:33" ht="14.5" x14ac:dyDescent="0.35">
      <c r="K12375" s="4"/>
      <c r="AC12375" s="7"/>
      <c r="AD12375" s="7"/>
      <c r="AE12375" s="7"/>
      <c r="AF12375" s="8"/>
      <c r="AG12375" s="7"/>
    </row>
    <row r="12376" spans="11:33" ht="14.5" x14ac:dyDescent="0.35">
      <c r="K12376" s="4"/>
      <c r="AC12376" s="7"/>
      <c r="AD12376" s="7"/>
      <c r="AE12376" s="7"/>
      <c r="AF12376" s="8"/>
      <c r="AG12376" s="7"/>
    </row>
    <row r="12377" spans="11:33" ht="14.5" x14ac:dyDescent="0.35">
      <c r="K12377" s="4"/>
      <c r="AC12377" s="7"/>
      <c r="AD12377" s="7"/>
      <c r="AE12377" s="7"/>
      <c r="AF12377" s="8"/>
      <c r="AG12377" s="7"/>
    </row>
    <row r="12378" spans="11:33" ht="14.5" x14ac:dyDescent="0.35">
      <c r="K12378" s="4"/>
      <c r="AC12378" s="7"/>
      <c r="AD12378" s="7"/>
      <c r="AE12378" s="7"/>
      <c r="AF12378" s="8"/>
      <c r="AG12378" s="7"/>
    </row>
    <row r="12379" spans="11:33" ht="14.5" x14ac:dyDescent="0.35">
      <c r="K12379" s="4"/>
      <c r="AC12379" s="7"/>
      <c r="AD12379" s="7"/>
      <c r="AE12379" s="7"/>
      <c r="AF12379" s="8"/>
      <c r="AG12379" s="7"/>
    </row>
    <row r="12380" spans="11:33" ht="14.5" x14ac:dyDescent="0.35">
      <c r="K12380" s="4"/>
      <c r="AC12380" s="7"/>
      <c r="AD12380" s="7"/>
      <c r="AE12380" s="7"/>
      <c r="AF12380" s="8"/>
      <c r="AG12380" s="7"/>
    </row>
    <row r="12381" spans="11:33" ht="14.5" x14ac:dyDescent="0.35">
      <c r="K12381" s="4"/>
      <c r="AC12381" s="7"/>
      <c r="AD12381" s="7"/>
      <c r="AE12381" s="7"/>
      <c r="AF12381" s="8"/>
      <c r="AG12381" s="7"/>
    </row>
    <row r="12382" spans="11:33" ht="14.5" x14ac:dyDescent="0.35">
      <c r="K12382" s="4"/>
      <c r="AC12382" s="7"/>
      <c r="AD12382" s="7"/>
      <c r="AE12382" s="7"/>
      <c r="AF12382" s="8"/>
      <c r="AG12382" s="7"/>
    </row>
    <row r="12383" spans="11:33" ht="14.5" x14ac:dyDescent="0.35">
      <c r="K12383" s="4"/>
      <c r="AC12383" s="7"/>
      <c r="AD12383" s="7"/>
      <c r="AE12383" s="7"/>
      <c r="AF12383" s="8"/>
      <c r="AG12383" s="7"/>
    </row>
    <row r="12384" spans="11:33" ht="14.5" x14ac:dyDescent="0.35">
      <c r="K12384" s="4"/>
      <c r="AC12384" s="7"/>
      <c r="AD12384" s="7"/>
      <c r="AE12384" s="7"/>
      <c r="AF12384" s="8"/>
      <c r="AG12384" s="7"/>
    </row>
    <row r="12385" spans="11:33" ht="14.5" x14ac:dyDescent="0.35">
      <c r="K12385" s="4"/>
      <c r="AC12385" s="7"/>
      <c r="AD12385" s="7"/>
      <c r="AE12385" s="7"/>
      <c r="AF12385" s="8"/>
      <c r="AG12385" s="7"/>
    </row>
    <row r="12386" spans="11:33" ht="14.5" x14ac:dyDescent="0.35">
      <c r="K12386" s="4"/>
      <c r="AC12386" s="7"/>
      <c r="AD12386" s="7"/>
      <c r="AE12386" s="7"/>
      <c r="AF12386" s="8"/>
      <c r="AG12386" s="7"/>
    </row>
    <row r="12387" spans="11:33" ht="14.5" x14ac:dyDescent="0.35">
      <c r="K12387" s="4"/>
      <c r="AC12387" s="7"/>
      <c r="AD12387" s="7"/>
      <c r="AE12387" s="7"/>
      <c r="AF12387" s="8"/>
      <c r="AG12387" s="7"/>
    </row>
    <row r="12388" spans="11:33" ht="14.5" x14ac:dyDescent="0.35">
      <c r="K12388" s="4"/>
      <c r="AC12388" s="7"/>
      <c r="AD12388" s="7"/>
      <c r="AE12388" s="7"/>
      <c r="AF12388" s="8"/>
      <c r="AG12388" s="7"/>
    </row>
    <row r="12389" spans="11:33" ht="14.5" x14ac:dyDescent="0.35">
      <c r="K12389" s="4"/>
      <c r="AC12389" s="7"/>
      <c r="AD12389" s="7"/>
      <c r="AE12389" s="7"/>
      <c r="AF12389" s="8"/>
      <c r="AG12389" s="7"/>
    </row>
    <row r="12390" spans="11:33" ht="14.5" x14ac:dyDescent="0.35">
      <c r="K12390" s="4"/>
      <c r="AC12390" s="7"/>
      <c r="AD12390" s="7"/>
      <c r="AE12390" s="7"/>
      <c r="AF12390" s="8"/>
      <c r="AG12390" s="7"/>
    </row>
    <row r="12391" spans="11:33" ht="14.5" x14ac:dyDescent="0.35">
      <c r="K12391" s="4"/>
      <c r="AC12391" s="7"/>
      <c r="AD12391" s="7"/>
      <c r="AE12391" s="7"/>
      <c r="AF12391" s="8"/>
      <c r="AG12391" s="7"/>
    </row>
    <row r="12392" spans="11:33" ht="14.5" x14ac:dyDescent="0.35">
      <c r="K12392" s="4"/>
      <c r="AC12392" s="7"/>
      <c r="AD12392" s="7"/>
      <c r="AE12392" s="7"/>
      <c r="AF12392" s="8"/>
      <c r="AG12392" s="7"/>
    </row>
    <row r="12393" spans="11:33" ht="14.5" x14ac:dyDescent="0.35">
      <c r="K12393" s="4"/>
      <c r="AC12393" s="7"/>
      <c r="AD12393" s="7"/>
      <c r="AE12393" s="7"/>
      <c r="AF12393" s="8"/>
      <c r="AG12393" s="7"/>
    </row>
    <row r="12394" spans="11:33" ht="14.5" x14ac:dyDescent="0.35">
      <c r="K12394" s="4"/>
      <c r="AC12394" s="7"/>
      <c r="AD12394" s="7"/>
      <c r="AE12394" s="7"/>
      <c r="AF12394" s="8"/>
      <c r="AG12394" s="7"/>
    </row>
    <row r="12395" spans="11:33" ht="14.5" x14ac:dyDescent="0.35">
      <c r="K12395" s="4"/>
      <c r="AC12395" s="7"/>
      <c r="AD12395" s="7"/>
      <c r="AE12395" s="7"/>
      <c r="AF12395" s="8"/>
      <c r="AG12395" s="7"/>
    </row>
    <row r="12396" spans="11:33" ht="14.5" x14ac:dyDescent="0.35">
      <c r="K12396" s="4"/>
      <c r="AC12396" s="7"/>
      <c r="AD12396" s="7"/>
      <c r="AE12396" s="7"/>
      <c r="AF12396" s="8"/>
      <c r="AG12396" s="7"/>
    </row>
    <row r="12397" spans="11:33" ht="14.5" x14ac:dyDescent="0.35">
      <c r="K12397" s="4"/>
      <c r="AC12397" s="7"/>
      <c r="AD12397" s="7"/>
      <c r="AE12397" s="7"/>
      <c r="AF12397" s="8"/>
      <c r="AG12397" s="7"/>
    </row>
    <row r="12398" spans="11:33" ht="14.5" x14ac:dyDescent="0.35">
      <c r="K12398" s="4"/>
      <c r="AC12398" s="7"/>
      <c r="AD12398" s="7"/>
      <c r="AE12398" s="7"/>
      <c r="AF12398" s="8"/>
      <c r="AG12398" s="7"/>
    </row>
    <row r="12399" spans="11:33" ht="14.5" x14ac:dyDescent="0.35">
      <c r="K12399" s="4"/>
      <c r="AC12399" s="7"/>
      <c r="AD12399" s="7"/>
      <c r="AE12399" s="7"/>
      <c r="AF12399" s="8"/>
      <c r="AG12399" s="7"/>
    </row>
    <row r="12400" spans="11:33" ht="14.5" x14ac:dyDescent="0.35">
      <c r="K12400" s="4"/>
      <c r="AC12400" s="7"/>
      <c r="AD12400" s="7"/>
      <c r="AE12400" s="7"/>
      <c r="AF12400" s="8"/>
      <c r="AG12400" s="7"/>
    </row>
    <row r="12401" spans="11:33" ht="14.5" x14ac:dyDescent="0.35">
      <c r="K12401" s="4"/>
      <c r="AC12401" s="7"/>
      <c r="AD12401" s="7"/>
      <c r="AE12401" s="7"/>
      <c r="AF12401" s="8"/>
      <c r="AG12401" s="7"/>
    </row>
    <row r="12402" spans="11:33" ht="14.5" x14ac:dyDescent="0.35">
      <c r="K12402" s="4"/>
      <c r="AC12402" s="7"/>
      <c r="AD12402" s="7"/>
      <c r="AE12402" s="7"/>
      <c r="AF12402" s="8"/>
      <c r="AG12402" s="7"/>
    </row>
    <row r="12403" spans="11:33" ht="14.5" x14ac:dyDescent="0.35">
      <c r="K12403" s="4"/>
      <c r="AC12403" s="7"/>
      <c r="AD12403" s="7"/>
      <c r="AE12403" s="7"/>
      <c r="AF12403" s="8"/>
      <c r="AG12403" s="7"/>
    </row>
    <row r="12404" spans="11:33" ht="14.5" x14ac:dyDescent="0.35">
      <c r="K12404" s="4"/>
      <c r="AC12404" s="7"/>
      <c r="AD12404" s="7"/>
      <c r="AE12404" s="7"/>
      <c r="AF12404" s="8"/>
      <c r="AG12404" s="7"/>
    </row>
    <row r="12405" spans="11:33" ht="14.5" x14ac:dyDescent="0.35">
      <c r="K12405" s="4"/>
      <c r="AC12405" s="7"/>
      <c r="AD12405" s="7"/>
      <c r="AE12405" s="7"/>
      <c r="AF12405" s="8"/>
      <c r="AG12405" s="7"/>
    </row>
    <row r="12406" spans="11:33" ht="14.5" x14ac:dyDescent="0.35">
      <c r="K12406" s="4"/>
      <c r="AC12406" s="7"/>
      <c r="AD12406" s="7"/>
      <c r="AE12406" s="7"/>
      <c r="AF12406" s="8"/>
      <c r="AG12406" s="7"/>
    </row>
    <row r="12407" spans="11:33" ht="14.5" x14ac:dyDescent="0.35">
      <c r="K12407" s="4"/>
      <c r="AC12407" s="7"/>
      <c r="AD12407" s="7"/>
      <c r="AE12407" s="7"/>
      <c r="AF12407" s="8"/>
      <c r="AG12407" s="7"/>
    </row>
    <row r="12408" spans="11:33" ht="14.5" x14ac:dyDescent="0.35">
      <c r="K12408" s="4"/>
      <c r="AC12408" s="7"/>
      <c r="AD12408" s="7"/>
      <c r="AE12408" s="7"/>
      <c r="AF12408" s="8"/>
      <c r="AG12408" s="7"/>
    </row>
    <row r="12409" spans="11:33" ht="14.5" x14ac:dyDescent="0.35">
      <c r="K12409" s="4"/>
      <c r="AC12409" s="7"/>
      <c r="AD12409" s="7"/>
      <c r="AE12409" s="7"/>
      <c r="AF12409" s="8"/>
      <c r="AG12409" s="7"/>
    </row>
    <row r="12410" spans="11:33" ht="14.5" x14ac:dyDescent="0.35">
      <c r="K12410" s="4"/>
      <c r="AC12410" s="7"/>
      <c r="AD12410" s="7"/>
      <c r="AE12410" s="7"/>
      <c r="AF12410" s="8"/>
      <c r="AG12410" s="7"/>
    </row>
    <row r="12411" spans="11:33" ht="14.5" x14ac:dyDescent="0.35">
      <c r="K12411" s="4"/>
      <c r="AC12411" s="7"/>
      <c r="AD12411" s="7"/>
      <c r="AE12411" s="7"/>
      <c r="AF12411" s="8"/>
      <c r="AG12411" s="7"/>
    </row>
    <row r="12412" spans="11:33" ht="14.5" x14ac:dyDescent="0.35">
      <c r="K12412" s="4"/>
      <c r="AC12412" s="7"/>
      <c r="AD12412" s="7"/>
      <c r="AE12412" s="7"/>
      <c r="AF12412" s="8"/>
      <c r="AG12412" s="7"/>
    </row>
    <row r="12413" spans="11:33" ht="14.5" x14ac:dyDescent="0.35">
      <c r="K12413" s="4"/>
      <c r="AC12413" s="7"/>
      <c r="AD12413" s="7"/>
      <c r="AE12413" s="7"/>
      <c r="AF12413" s="8"/>
      <c r="AG12413" s="7"/>
    </row>
    <row r="12414" spans="11:33" ht="14.5" x14ac:dyDescent="0.35">
      <c r="K12414" s="4"/>
      <c r="AC12414" s="7"/>
      <c r="AD12414" s="7"/>
      <c r="AE12414" s="7"/>
      <c r="AF12414" s="8"/>
      <c r="AG12414" s="7"/>
    </row>
    <row r="12415" spans="11:33" ht="14.5" x14ac:dyDescent="0.35">
      <c r="K12415" s="4"/>
      <c r="AC12415" s="7"/>
      <c r="AD12415" s="7"/>
      <c r="AE12415" s="7"/>
      <c r="AF12415" s="8"/>
      <c r="AG12415" s="7"/>
    </row>
    <row r="12416" spans="11:33" ht="14.5" x14ac:dyDescent="0.35">
      <c r="K12416" s="4"/>
      <c r="AC12416" s="7"/>
      <c r="AD12416" s="7"/>
      <c r="AE12416" s="7"/>
      <c r="AF12416" s="8"/>
      <c r="AG12416" s="7"/>
    </row>
    <row r="12417" spans="11:33" ht="14.5" x14ac:dyDescent="0.35">
      <c r="K12417" s="4"/>
      <c r="AC12417" s="7"/>
      <c r="AD12417" s="7"/>
      <c r="AE12417" s="7"/>
      <c r="AF12417" s="8"/>
      <c r="AG12417" s="7"/>
    </row>
  </sheetData>
  <phoneticPr fontId="3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3DC6CB-F63C-44EC-BB8A-AEE6290EC38B}">
  <sheetPr codeName="Sheet8"/>
  <dimension ref="B1:Y30"/>
  <sheetViews>
    <sheetView topLeftCell="N1" zoomScale="130" zoomScaleNormal="130" workbookViewId="0">
      <selection activeCell="W29" sqref="W29"/>
    </sheetView>
  </sheetViews>
  <sheetFormatPr defaultColWidth="8.81640625" defaultRowHeight="12.5" x14ac:dyDescent="0.25"/>
  <cols>
    <col min="3" max="3" width="14.1796875" customWidth="1"/>
    <col min="4" max="4" width="14.453125" customWidth="1"/>
    <col min="5" max="5" width="18.6328125" customWidth="1"/>
    <col min="8" max="8" width="14.1796875" customWidth="1"/>
    <col min="9" max="9" width="14.453125" customWidth="1"/>
    <col min="10" max="10" width="18.6328125" customWidth="1"/>
    <col min="12" max="12" width="8.81640625" customWidth="1"/>
    <col min="13" max="13" width="14.1796875" customWidth="1"/>
    <col min="14" max="14" width="14.453125" customWidth="1"/>
    <col min="15" max="15" width="18.6328125" customWidth="1"/>
    <col min="18" max="18" width="14.1796875" customWidth="1"/>
    <col min="19" max="19" width="14.453125" customWidth="1"/>
    <col min="20" max="20" width="18.6328125" customWidth="1"/>
    <col min="23" max="23" width="14.1796875" customWidth="1"/>
    <col min="24" max="24" width="14.453125" customWidth="1"/>
    <col min="25" max="25" width="18.6328125" customWidth="1"/>
  </cols>
  <sheetData>
    <row r="1" spans="2:25" ht="13.5" thickBot="1" x14ac:dyDescent="0.35">
      <c r="B1" s="291" t="s">
        <v>310</v>
      </c>
      <c r="C1" s="92"/>
      <c r="D1" s="92"/>
      <c r="E1" s="292"/>
      <c r="G1" s="291" t="s">
        <v>317</v>
      </c>
      <c r="H1" s="92"/>
      <c r="I1" s="92"/>
      <c r="J1" s="292"/>
      <c r="L1" s="291" t="s">
        <v>318</v>
      </c>
      <c r="M1" s="92"/>
      <c r="N1" s="92"/>
      <c r="O1" s="292"/>
      <c r="Q1" s="291" t="s">
        <v>343</v>
      </c>
      <c r="R1" s="92"/>
      <c r="S1" s="92"/>
      <c r="T1" s="292"/>
      <c r="V1" s="291" t="s">
        <v>349</v>
      </c>
      <c r="W1" s="92"/>
      <c r="X1" s="92"/>
      <c r="Y1" s="292"/>
    </row>
    <row r="2" spans="2:25" ht="13" x14ac:dyDescent="0.3">
      <c r="B2" s="302" t="s">
        <v>52</v>
      </c>
      <c r="C2" s="50" t="s">
        <v>168</v>
      </c>
      <c r="D2" s="50" t="s">
        <v>169</v>
      </c>
      <c r="E2" s="303" t="s">
        <v>170</v>
      </c>
      <c r="G2" s="302" t="s">
        <v>52</v>
      </c>
      <c r="H2" s="50" t="s">
        <v>168</v>
      </c>
      <c r="I2" s="50" t="s">
        <v>169</v>
      </c>
      <c r="J2" s="303" t="s">
        <v>170</v>
      </c>
      <c r="L2" s="302" t="s">
        <v>52</v>
      </c>
      <c r="M2" s="50" t="s">
        <v>168</v>
      </c>
      <c r="N2" s="50" t="s">
        <v>169</v>
      </c>
      <c r="O2" s="303" t="s">
        <v>170</v>
      </c>
      <c r="Q2" s="302" t="s">
        <v>52</v>
      </c>
      <c r="R2" s="50" t="s">
        <v>168</v>
      </c>
      <c r="S2" s="50" t="s">
        <v>169</v>
      </c>
      <c r="T2" s="303" t="s">
        <v>170</v>
      </c>
      <c r="V2" s="302" t="s">
        <v>52</v>
      </c>
      <c r="W2" s="50" t="s">
        <v>168</v>
      </c>
      <c r="X2" s="50" t="s">
        <v>169</v>
      </c>
      <c r="Y2" s="303" t="s">
        <v>170</v>
      </c>
    </row>
    <row r="3" spans="2:25" x14ac:dyDescent="0.25">
      <c r="B3" s="299">
        <v>0</v>
      </c>
      <c r="C3" s="293">
        <f>-'User Inputs'!N3</f>
        <v>-8000</v>
      </c>
      <c r="D3" s="293">
        <f>'HP Calcs'!$J$57</f>
        <v>0</v>
      </c>
      <c r="E3" s="294">
        <f t="shared" ref="E3:E23" si="0">C3+D3</f>
        <v>-8000</v>
      </c>
      <c r="G3" s="299">
        <v>0</v>
      </c>
      <c r="H3" s="382">
        <f>-'User Inputs'!N4</f>
        <v>-10000</v>
      </c>
      <c r="I3" s="382">
        <f>'HP Calcs'!J67</f>
        <v>237.3857657134829</v>
      </c>
      <c r="J3" s="294">
        <f>H3+I3</f>
        <v>-9762.6142342865169</v>
      </c>
      <c r="L3" s="299">
        <v>0</v>
      </c>
      <c r="M3" s="293">
        <f>-('User Inputs'!N4+'User Inputs'!N5)</f>
        <v>-22000</v>
      </c>
      <c r="N3" s="293">
        <f>'HP Calcs'!J80</f>
        <v>1223.422563327339</v>
      </c>
      <c r="O3" s="294">
        <f>M3+N3</f>
        <v>-20776.577436672662</v>
      </c>
      <c r="Q3" s="299">
        <v>0</v>
      </c>
      <c r="R3" s="382">
        <f>H3</f>
        <v>-10000</v>
      </c>
      <c r="S3" s="382">
        <f>'HP Calcs'!J70</f>
        <v>475.86804970856639</v>
      </c>
      <c r="T3" s="294">
        <f>R3+S3</f>
        <v>-9524.1319502914339</v>
      </c>
      <c r="V3" s="299">
        <v>0</v>
      </c>
      <c r="W3" s="293">
        <f>M3</f>
        <v>-22000</v>
      </c>
      <c r="X3" s="293">
        <f>'HP Calcs'!J84</f>
        <v>1521.0680497085664</v>
      </c>
      <c r="Y3" s="294">
        <f>W3+X3</f>
        <v>-20478.931950291433</v>
      </c>
    </row>
    <row r="4" spans="2:25" x14ac:dyDescent="0.25">
      <c r="B4" s="300">
        <v>1</v>
      </c>
      <c r="C4" s="293">
        <f>IF(E3&lt;0,E3,0)</f>
        <v>-8000</v>
      </c>
      <c r="D4" s="295">
        <f>D3*1.02</f>
        <v>0</v>
      </c>
      <c r="E4" s="294">
        <f t="shared" si="0"/>
        <v>-8000</v>
      </c>
      <c r="G4" s="300">
        <v>1</v>
      </c>
      <c r="H4" s="382">
        <f t="shared" ref="H4:H18" si="1">IF(J3&lt;0,J3,0)</f>
        <v>-9762.6142342865169</v>
      </c>
      <c r="I4" s="382">
        <f t="shared" ref="I4:I18" si="2">I3*1.02</f>
        <v>242.13348102775257</v>
      </c>
      <c r="J4" s="294">
        <f t="shared" ref="J4:J18" si="3">H4+I4</f>
        <v>-9520.4807532587638</v>
      </c>
      <c r="L4" s="300">
        <v>1</v>
      </c>
      <c r="M4" s="293">
        <f>IF(O3&lt;0,O3,0)</f>
        <v>-20776.577436672662</v>
      </c>
      <c r="N4" s="293">
        <f t="shared" ref="N4:N18" si="4">N3*1.02</f>
        <v>1247.8910145938858</v>
      </c>
      <c r="O4" s="294">
        <f t="shared" ref="O4:O18" si="5">M4+N4</f>
        <v>-19528.686422078776</v>
      </c>
      <c r="Q4" s="300">
        <v>1</v>
      </c>
      <c r="R4" s="382">
        <f t="shared" ref="R4:R18" si="6">IF(T3&lt;0,T3,0)</f>
        <v>-9524.1319502914339</v>
      </c>
      <c r="S4" s="382">
        <f t="shared" ref="S4:S18" si="7">S3*1.02</f>
        <v>485.38541070273772</v>
      </c>
      <c r="T4" s="294">
        <f t="shared" ref="T4:T18" si="8">R4+S4</f>
        <v>-9038.7465395886957</v>
      </c>
      <c r="V4" s="300">
        <v>1</v>
      </c>
      <c r="W4" s="293">
        <f>IF(Y3&lt;0,Y3,0)</f>
        <v>-20478.931950291433</v>
      </c>
      <c r="X4" s="293">
        <f t="shared" ref="X4:X18" si="9">X3*1.02</f>
        <v>1551.4894107027378</v>
      </c>
      <c r="Y4" s="294">
        <f t="shared" ref="Y4:Y18" si="10">W4+X4</f>
        <v>-18927.442539588694</v>
      </c>
    </row>
    <row r="5" spans="2:25" x14ac:dyDescent="0.25">
      <c r="B5" s="300">
        <v>2</v>
      </c>
      <c r="C5" s="293">
        <f t="shared" ref="C5:C23" si="11">IF(E4&lt;0,E4,0)</f>
        <v>-8000</v>
      </c>
      <c r="D5" s="295">
        <f t="shared" ref="D5:D23" si="12">D4*1.02</f>
        <v>0</v>
      </c>
      <c r="E5" s="294">
        <f t="shared" si="0"/>
        <v>-8000</v>
      </c>
      <c r="G5" s="300">
        <v>2</v>
      </c>
      <c r="H5" s="382">
        <f t="shared" si="1"/>
        <v>-9520.4807532587638</v>
      </c>
      <c r="I5" s="382">
        <f t="shared" si="2"/>
        <v>246.97615064830762</v>
      </c>
      <c r="J5" s="294">
        <f t="shared" si="3"/>
        <v>-9273.5046026104555</v>
      </c>
      <c r="L5" s="300">
        <v>2</v>
      </c>
      <c r="M5" s="293">
        <f t="shared" ref="M5:M18" si="13">IF(O4&lt;0,O4,0)</f>
        <v>-19528.686422078776</v>
      </c>
      <c r="N5" s="293">
        <f t="shared" si="4"/>
        <v>1272.8488348857634</v>
      </c>
      <c r="O5" s="294">
        <f t="shared" si="5"/>
        <v>-18255.837587193011</v>
      </c>
      <c r="Q5" s="300">
        <v>2</v>
      </c>
      <c r="R5" s="382">
        <f t="shared" si="6"/>
        <v>-9038.7465395886957</v>
      </c>
      <c r="S5" s="382">
        <f t="shared" si="7"/>
        <v>495.09311891679249</v>
      </c>
      <c r="T5" s="294">
        <f t="shared" si="8"/>
        <v>-8543.6534206719025</v>
      </c>
      <c r="V5" s="300">
        <v>2</v>
      </c>
      <c r="W5" s="293">
        <f t="shared" ref="W5:W18" si="14">IF(Y4&lt;0,Y4,0)</f>
        <v>-18927.442539588694</v>
      </c>
      <c r="X5" s="293">
        <f t="shared" si="9"/>
        <v>1582.5191989167927</v>
      </c>
      <c r="Y5" s="294">
        <f t="shared" si="10"/>
        <v>-17344.923340671899</v>
      </c>
    </row>
    <row r="6" spans="2:25" x14ac:dyDescent="0.25">
      <c r="B6" s="300">
        <v>3</v>
      </c>
      <c r="C6" s="293">
        <f t="shared" si="11"/>
        <v>-8000</v>
      </c>
      <c r="D6" s="295">
        <f t="shared" si="12"/>
        <v>0</v>
      </c>
      <c r="E6" s="294">
        <f t="shared" si="0"/>
        <v>-8000</v>
      </c>
      <c r="G6" s="300">
        <v>3</v>
      </c>
      <c r="H6" s="382">
        <f t="shared" si="1"/>
        <v>-9273.5046026104555</v>
      </c>
      <c r="I6" s="382">
        <f t="shared" si="2"/>
        <v>251.91567366127379</v>
      </c>
      <c r="J6" s="294">
        <f t="shared" si="3"/>
        <v>-9021.5889289491824</v>
      </c>
      <c r="L6" s="300">
        <v>3</v>
      </c>
      <c r="M6" s="293">
        <f t="shared" si="13"/>
        <v>-18255.837587193011</v>
      </c>
      <c r="N6" s="293">
        <f t="shared" si="4"/>
        <v>1298.3058115834788</v>
      </c>
      <c r="O6" s="294">
        <f t="shared" si="5"/>
        <v>-16957.531775609532</v>
      </c>
      <c r="Q6" s="300">
        <v>3</v>
      </c>
      <c r="R6" s="382">
        <f t="shared" si="6"/>
        <v>-8543.6534206719025</v>
      </c>
      <c r="S6" s="382">
        <f t="shared" si="7"/>
        <v>504.99498129512835</v>
      </c>
      <c r="T6" s="294">
        <f t="shared" si="8"/>
        <v>-8038.6584393767744</v>
      </c>
      <c r="V6" s="300">
        <v>3</v>
      </c>
      <c r="W6" s="293">
        <f t="shared" si="14"/>
        <v>-17344.923340671899</v>
      </c>
      <c r="X6" s="293">
        <f t="shared" si="9"/>
        <v>1614.1695828951285</v>
      </c>
      <c r="Y6" s="294">
        <f t="shared" si="10"/>
        <v>-15730.753757776771</v>
      </c>
    </row>
    <row r="7" spans="2:25" x14ac:dyDescent="0.25">
      <c r="B7" s="300">
        <v>4</v>
      </c>
      <c r="C7" s="293">
        <f t="shared" si="11"/>
        <v>-8000</v>
      </c>
      <c r="D7" s="295">
        <f t="shared" si="12"/>
        <v>0</v>
      </c>
      <c r="E7" s="294">
        <f t="shared" si="0"/>
        <v>-8000</v>
      </c>
      <c r="G7" s="300">
        <v>4</v>
      </c>
      <c r="H7" s="382">
        <f t="shared" si="1"/>
        <v>-9021.5889289491824</v>
      </c>
      <c r="I7" s="382">
        <f t="shared" si="2"/>
        <v>256.95398713449924</v>
      </c>
      <c r="J7" s="294">
        <f t="shared" si="3"/>
        <v>-8764.6349418146838</v>
      </c>
      <c r="L7" s="300">
        <v>4</v>
      </c>
      <c r="M7" s="293">
        <f t="shared" si="13"/>
        <v>-16957.531775609532</v>
      </c>
      <c r="N7" s="293">
        <f t="shared" si="4"/>
        <v>1324.2719278151483</v>
      </c>
      <c r="O7" s="294">
        <f t="shared" si="5"/>
        <v>-15633.259847794383</v>
      </c>
      <c r="Q7" s="300">
        <v>4</v>
      </c>
      <c r="R7" s="382">
        <f t="shared" si="6"/>
        <v>-8038.6584393767744</v>
      </c>
      <c r="S7" s="382">
        <f t="shared" si="7"/>
        <v>515.09488092103095</v>
      </c>
      <c r="T7" s="294">
        <f t="shared" si="8"/>
        <v>-7523.5635584557431</v>
      </c>
      <c r="V7" s="300">
        <v>4</v>
      </c>
      <c r="W7" s="293">
        <f t="shared" si="14"/>
        <v>-15730.753757776771</v>
      </c>
      <c r="X7" s="293">
        <f t="shared" si="9"/>
        <v>1646.4529745530313</v>
      </c>
      <c r="Y7" s="294">
        <f t="shared" si="10"/>
        <v>-14084.30078322374</v>
      </c>
    </row>
    <row r="8" spans="2:25" x14ac:dyDescent="0.25">
      <c r="B8" s="299">
        <v>5</v>
      </c>
      <c r="C8" s="293">
        <f t="shared" si="11"/>
        <v>-8000</v>
      </c>
      <c r="D8" s="295">
        <f t="shared" si="12"/>
        <v>0</v>
      </c>
      <c r="E8" s="294">
        <f t="shared" si="0"/>
        <v>-8000</v>
      </c>
      <c r="G8" s="299">
        <v>5</v>
      </c>
      <c r="H8" s="382">
        <f t="shared" si="1"/>
        <v>-8764.6349418146838</v>
      </c>
      <c r="I8" s="382">
        <f t="shared" si="2"/>
        <v>262.09306687718924</v>
      </c>
      <c r="J8" s="294">
        <f t="shared" si="3"/>
        <v>-8502.5418749374949</v>
      </c>
      <c r="L8" s="299">
        <v>5</v>
      </c>
      <c r="M8" s="293">
        <f t="shared" si="13"/>
        <v>-15633.259847794383</v>
      </c>
      <c r="N8" s="293">
        <f t="shared" si="4"/>
        <v>1350.7573663714513</v>
      </c>
      <c r="O8" s="294">
        <f t="shared" si="5"/>
        <v>-14282.502481422931</v>
      </c>
      <c r="Q8" s="299">
        <v>5</v>
      </c>
      <c r="R8" s="382">
        <f t="shared" si="6"/>
        <v>-7523.5635584557431</v>
      </c>
      <c r="S8" s="382">
        <f t="shared" si="7"/>
        <v>525.39677853945159</v>
      </c>
      <c r="T8" s="294">
        <f t="shared" si="8"/>
        <v>-6998.1667799162915</v>
      </c>
      <c r="V8" s="299">
        <v>5</v>
      </c>
      <c r="W8" s="293">
        <f t="shared" si="14"/>
        <v>-14084.30078322374</v>
      </c>
      <c r="X8" s="293">
        <f t="shared" si="9"/>
        <v>1679.3820340440918</v>
      </c>
      <c r="Y8" s="294">
        <f t="shared" si="10"/>
        <v>-12404.918749179647</v>
      </c>
    </row>
    <row r="9" spans="2:25" x14ac:dyDescent="0.25">
      <c r="B9" s="300">
        <v>6</v>
      </c>
      <c r="C9" s="293">
        <f t="shared" si="11"/>
        <v>-8000</v>
      </c>
      <c r="D9" s="295">
        <f t="shared" si="12"/>
        <v>0</v>
      </c>
      <c r="E9" s="294">
        <f t="shared" si="0"/>
        <v>-8000</v>
      </c>
      <c r="G9" s="300">
        <v>6</v>
      </c>
      <c r="H9" s="382">
        <f t="shared" si="1"/>
        <v>-8502.5418749374949</v>
      </c>
      <c r="I9" s="382">
        <f t="shared" si="2"/>
        <v>267.33492821473305</v>
      </c>
      <c r="J9" s="294">
        <f t="shared" si="3"/>
        <v>-8235.2069467227611</v>
      </c>
      <c r="L9" s="300">
        <v>6</v>
      </c>
      <c r="M9" s="293">
        <f t="shared" si="13"/>
        <v>-14282.502481422931</v>
      </c>
      <c r="N9" s="293">
        <f t="shared" si="4"/>
        <v>1377.7725136988804</v>
      </c>
      <c r="O9" s="294">
        <f t="shared" si="5"/>
        <v>-12904.72996772405</v>
      </c>
      <c r="Q9" s="300">
        <v>6</v>
      </c>
      <c r="R9" s="382">
        <f t="shared" si="6"/>
        <v>-6998.1667799162915</v>
      </c>
      <c r="S9" s="382">
        <f t="shared" si="7"/>
        <v>535.90471411024066</v>
      </c>
      <c r="T9" s="294">
        <f t="shared" si="8"/>
        <v>-6462.2620658060505</v>
      </c>
      <c r="V9" s="300">
        <v>6</v>
      </c>
      <c r="W9" s="293">
        <f t="shared" si="14"/>
        <v>-12404.918749179647</v>
      </c>
      <c r="X9" s="293">
        <f t="shared" si="9"/>
        <v>1712.9696747249736</v>
      </c>
      <c r="Y9" s="294">
        <f t="shared" si="10"/>
        <v>-10691.949074454675</v>
      </c>
    </row>
    <row r="10" spans="2:25" x14ac:dyDescent="0.25">
      <c r="B10" s="300">
        <v>7</v>
      </c>
      <c r="C10" s="293">
        <f t="shared" si="11"/>
        <v>-8000</v>
      </c>
      <c r="D10" s="295">
        <f t="shared" si="12"/>
        <v>0</v>
      </c>
      <c r="E10" s="294">
        <f t="shared" si="0"/>
        <v>-8000</v>
      </c>
      <c r="G10" s="300">
        <v>7</v>
      </c>
      <c r="H10" s="382">
        <f t="shared" si="1"/>
        <v>-8235.2069467227611</v>
      </c>
      <c r="I10" s="382">
        <f t="shared" si="2"/>
        <v>272.68162677902774</v>
      </c>
      <c r="J10" s="294">
        <f t="shared" si="3"/>
        <v>-7962.5253199437338</v>
      </c>
      <c r="L10" s="300">
        <v>7</v>
      </c>
      <c r="M10" s="293">
        <f t="shared" si="13"/>
        <v>-12904.72996772405</v>
      </c>
      <c r="N10" s="293">
        <f t="shared" si="4"/>
        <v>1405.327963972858</v>
      </c>
      <c r="O10" s="294">
        <f t="shared" si="5"/>
        <v>-11499.402003751191</v>
      </c>
      <c r="Q10" s="300">
        <v>7</v>
      </c>
      <c r="R10" s="382">
        <f t="shared" si="6"/>
        <v>-6462.2620658060505</v>
      </c>
      <c r="S10" s="382">
        <f t="shared" si="7"/>
        <v>546.62280839244545</v>
      </c>
      <c r="T10" s="294">
        <f t="shared" si="8"/>
        <v>-5915.6392574136053</v>
      </c>
      <c r="V10" s="300">
        <v>7</v>
      </c>
      <c r="W10" s="293">
        <f t="shared" si="14"/>
        <v>-10691.949074454675</v>
      </c>
      <c r="X10" s="293">
        <f t="shared" si="9"/>
        <v>1747.2290682194732</v>
      </c>
      <c r="Y10" s="294">
        <f t="shared" si="10"/>
        <v>-8944.7200062352022</v>
      </c>
    </row>
    <row r="11" spans="2:25" x14ac:dyDescent="0.25">
      <c r="B11" s="300">
        <v>8</v>
      </c>
      <c r="C11" s="293">
        <f t="shared" si="11"/>
        <v>-8000</v>
      </c>
      <c r="D11" s="295">
        <f t="shared" si="12"/>
        <v>0</v>
      </c>
      <c r="E11" s="294">
        <f t="shared" si="0"/>
        <v>-8000</v>
      </c>
      <c r="G11" s="300">
        <v>8</v>
      </c>
      <c r="H11" s="382">
        <f t="shared" si="1"/>
        <v>-7962.5253199437338</v>
      </c>
      <c r="I11" s="382">
        <f t="shared" si="2"/>
        <v>278.13525931460828</v>
      </c>
      <c r="J11" s="294">
        <f t="shared" si="3"/>
        <v>-7684.3900606291254</v>
      </c>
      <c r="L11" s="300">
        <v>8</v>
      </c>
      <c r="M11" s="293">
        <f t="shared" si="13"/>
        <v>-11499.402003751191</v>
      </c>
      <c r="N11" s="293">
        <f t="shared" si="4"/>
        <v>1433.4345232523151</v>
      </c>
      <c r="O11" s="294">
        <f t="shared" si="5"/>
        <v>-10065.967480498875</v>
      </c>
      <c r="Q11" s="300">
        <v>8</v>
      </c>
      <c r="R11" s="382">
        <f t="shared" si="6"/>
        <v>-5915.6392574136053</v>
      </c>
      <c r="S11" s="382">
        <f t="shared" si="7"/>
        <v>557.5552645602944</v>
      </c>
      <c r="T11" s="294">
        <f t="shared" si="8"/>
        <v>-5358.0839928533105</v>
      </c>
      <c r="V11" s="300">
        <v>8</v>
      </c>
      <c r="W11" s="293">
        <f t="shared" si="14"/>
        <v>-8944.7200062352022</v>
      </c>
      <c r="X11" s="293">
        <f t="shared" si="9"/>
        <v>1782.1736495838627</v>
      </c>
      <c r="Y11" s="294">
        <f t="shared" si="10"/>
        <v>-7162.546356651339</v>
      </c>
    </row>
    <row r="12" spans="2:25" x14ac:dyDescent="0.25">
      <c r="B12" s="300">
        <v>9</v>
      </c>
      <c r="C12" s="293">
        <f t="shared" si="11"/>
        <v>-8000</v>
      </c>
      <c r="D12" s="295">
        <f t="shared" si="12"/>
        <v>0</v>
      </c>
      <c r="E12" s="294">
        <f t="shared" si="0"/>
        <v>-8000</v>
      </c>
      <c r="G12" s="300">
        <v>9</v>
      </c>
      <c r="H12" s="382">
        <f t="shared" si="1"/>
        <v>-7684.3900606291254</v>
      </c>
      <c r="I12" s="382">
        <f t="shared" si="2"/>
        <v>283.69796450090047</v>
      </c>
      <c r="J12" s="294">
        <f t="shared" si="3"/>
        <v>-7400.6920961282249</v>
      </c>
      <c r="L12" s="300">
        <v>9</v>
      </c>
      <c r="M12" s="293">
        <f t="shared" si="13"/>
        <v>-10065.967480498875</v>
      </c>
      <c r="N12" s="293">
        <f t="shared" si="4"/>
        <v>1462.1032137173615</v>
      </c>
      <c r="O12" s="294">
        <f t="shared" si="5"/>
        <v>-8603.8642667815147</v>
      </c>
      <c r="Q12" s="300">
        <v>9</v>
      </c>
      <c r="R12" s="382">
        <f t="shared" si="6"/>
        <v>-5358.0839928533105</v>
      </c>
      <c r="S12" s="382">
        <f t="shared" si="7"/>
        <v>568.70636985150031</v>
      </c>
      <c r="T12" s="294">
        <f t="shared" si="8"/>
        <v>-4789.3776230018102</v>
      </c>
      <c r="V12" s="300">
        <v>9</v>
      </c>
      <c r="W12" s="293">
        <f t="shared" si="14"/>
        <v>-7162.546356651339</v>
      </c>
      <c r="X12" s="293">
        <f t="shared" si="9"/>
        <v>1817.81712257554</v>
      </c>
      <c r="Y12" s="294">
        <f t="shared" si="10"/>
        <v>-5344.7292340757995</v>
      </c>
    </row>
    <row r="13" spans="2:25" x14ac:dyDescent="0.25">
      <c r="B13" s="299">
        <v>10</v>
      </c>
      <c r="C13" s="293">
        <f t="shared" si="11"/>
        <v>-8000</v>
      </c>
      <c r="D13" s="295">
        <f t="shared" si="12"/>
        <v>0</v>
      </c>
      <c r="E13" s="294">
        <f t="shared" si="0"/>
        <v>-8000</v>
      </c>
      <c r="G13" s="299">
        <v>10</v>
      </c>
      <c r="H13" s="382">
        <f t="shared" si="1"/>
        <v>-7400.6920961282249</v>
      </c>
      <c r="I13" s="382">
        <f t="shared" si="2"/>
        <v>289.37192379091846</v>
      </c>
      <c r="J13" s="294">
        <f t="shared" si="3"/>
        <v>-7111.3201723373068</v>
      </c>
      <c r="L13" s="299">
        <v>10</v>
      </c>
      <c r="M13" s="293">
        <f t="shared" si="13"/>
        <v>-8603.8642667815147</v>
      </c>
      <c r="N13" s="293">
        <f t="shared" si="4"/>
        <v>1491.3452779917088</v>
      </c>
      <c r="O13" s="294">
        <f t="shared" si="5"/>
        <v>-7112.5189887898059</v>
      </c>
      <c r="Q13" s="299">
        <v>10</v>
      </c>
      <c r="R13" s="382">
        <f t="shared" si="6"/>
        <v>-4789.3776230018102</v>
      </c>
      <c r="S13" s="382">
        <f t="shared" si="7"/>
        <v>580.08049724853038</v>
      </c>
      <c r="T13" s="294">
        <f t="shared" si="8"/>
        <v>-4209.2971257532799</v>
      </c>
      <c r="V13" s="299">
        <v>10</v>
      </c>
      <c r="W13" s="293">
        <f t="shared" si="14"/>
        <v>-5344.7292340757995</v>
      </c>
      <c r="X13" s="293">
        <f t="shared" si="9"/>
        <v>1854.1734650270507</v>
      </c>
      <c r="Y13" s="294">
        <f t="shared" si="10"/>
        <v>-3490.5557690487485</v>
      </c>
    </row>
    <row r="14" spans="2:25" x14ac:dyDescent="0.25">
      <c r="B14" s="300">
        <v>11</v>
      </c>
      <c r="C14" s="293">
        <f t="shared" si="11"/>
        <v>-8000</v>
      </c>
      <c r="D14" s="295">
        <f t="shared" si="12"/>
        <v>0</v>
      </c>
      <c r="E14" s="294">
        <f t="shared" si="0"/>
        <v>-8000</v>
      </c>
      <c r="G14" s="300">
        <v>11</v>
      </c>
      <c r="H14" s="382">
        <f t="shared" si="1"/>
        <v>-7111.3201723373068</v>
      </c>
      <c r="I14" s="382">
        <f t="shared" si="2"/>
        <v>295.15936226673682</v>
      </c>
      <c r="J14" s="294">
        <f t="shared" si="3"/>
        <v>-6816.1608100705698</v>
      </c>
      <c r="L14" s="300">
        <v>11</v>
      </c>
      <c r="M14" s="293">
        <f t="shared" si="13"/>
        <v>-7112.5189887898059</v>
      </c>
      <c r="N14" s="293">
        <f t="shared" si="4"/>
        <v>1521.172183551543</v>
      </c>
      <c r="O14" s="294">
        <f t="shared" si="5"/>
        <v>-5591.3468052382632</v>
      </c>
      <c r="Q14" s="300">
        <v>11</v>
      </c>
      <c r="R14" s="382">
        <f t="shared" si="6"/>
        <v>-4209.2971257532799</v>
      </c>
      <c r="S14" s="382">
        <f t="shared" si="7"/>
        <v>591.682107193501</v>
      </c>
      <c r="T14" s="294">
        <f t="shared" si="8"/>
        <v>-3617.6150185597789</v>
      </c>
      <c r="V14" s="300">
        <v>11</v>
      </c>
      <c r="W14" s="293">
        <f t="shared" si="14"/>
        <v>-3490.5557690487485</v>
      </c>
      <c r="X14" s="293">
        <f t="shared" si="9"/>
        <v>1891.2569343275918</v>
      </c>
      <c r="Y14" s="294">
        <f t="shared" si="10"/>
        <v>-1599.2988347211567</v>
      </c>
    </row>
    <row r="15" spans="2:25" x14ac:dyDescent="0.25">
      <c r="B15" s="300">
        <v>12</v>
      </c>
      <c r="C15" s="293">
        <f t="shared" si="11"/>
        <v>-8000</v>
      </c>
      <c r="D15" s="295">
        <f t="shared" si="12"/>
        <v>0</v>
      </c>
      <c r="E15" s="294">
        <f t="shared" si="0"/>
        <v>-8000</v>
      </c>
      <c r="G15" s="300">
        <v>12</v>
      </c>
      <c r="H15" s="382">
        <f t="shared" si="1"/>
        <v>-6816.1608100705698</v>
      </c>
      <c r="I15" s="382">
        <f t="shared" si="2"/>
        <v>301.06254951207154</v>
      </c>
      <c r="J15" s="294">
        <f t="shared" si="3"/>
        <v>-6515.0982605584986</v>
      </c>
      <c r="L15" s="300">
        <v>12</v>
      </c>
      <c r="M15" s="293">
        <f t="shared" si="13"/>
        <v>-5591.3468052382632</v>
      </c>
      <c r="N15" s="293">
        <f t="shared" si="4"/>
        <v>1551.5956272225737</v>
      </c>
      <c r="O15" s="294">
        <f t="shared" si="5"/>
        <v>-4039.7511780156892</v>
      </c>
      <c r="Q15" s="300">
        <v>12</v>
      </c>
      <c r="R15" s="382">
        <f t="shared" si="6"/>
        <v>-3617.6150185597789</v>
      </c>
      <c r="S15" s="382">
        <f t="shared" si="7"/>
        <v>603.51574933737106</v>
      </c>
      <c r="T15" s="294">
        <f t="shared" si="8"/>
        <v>-3014.0992692224081</v>
      </c>
      <c r="V15" s="300">
        <v>12</v>
      </c>
      <c r="W15" s="293">
        <f t="shared" si="14"/>
        <v>-1599.2988347211567</v>
      </c>
      <c r="X15" s="293">
        <f t="shared" si="9"/>
        <v>1929.0820730141436</v>
      </c>
      <c r="Y15" s="294">
        <f t="shared" si="10"/>
        <v>329.78323829298688</v>
      </c>
    </row>
    <row r="16" spans="2:25" x14ac:dyDescent="0.25">
      <c r="B16" s="300">
        <v>13</v>
      </c>
      <c r="C16" s="293">
        <f t="shared" si="11"/>
        <v>-8000</v>
      </c>
      <c r="D16" s="295">
        <f t="shared" si="12"/>
        <v>0</v>
      </c>
      <c r="E16" s="294">
        <f t="shared" si="0"/>
        <v>-8000</v>
      </c>
      <c r="G16" s="300">
        <v>13</v>
      </c>
      <c r="H16" s="382">
        <f t="shared" si="1"/>
        <v>-6515.0982605584986</v>
      </c>
      <c r="I16" s="382">
        <f t="shared" si="2"/>
        <v>307.08380050231295</v>
      </c>
      <c r="J16" s="294">
        <f t="shared" si="3"/>
        <v>-6208.0144600561853</v>
      </c>
      <c r="L16" s="300">
        <v>13</v>
      </c>
      <c r="M16" s="293">
        <f t="shared" si="13"/>
        <v>-4039.7511780156892</v>
      </c>
      <c r="N16" s="293">
        <f t="shared" si="4"/>
        <v>1582.6275397670252</v>
      </c>
      <c r="O16" s="294">
        <f t="shared" si="5"/>
        <v>-2457.1236382486641</v>
      </c>
      <c r="Q16" s="300">
        <v>13</v>
      </c>
      <c r="R16" s="382">
        <f t="shared" si="6"/>
        <v>-3014.0992692224081</v>
      </c>
      <c r="S16" s="382">
        <f t="shared" si="7"/>
        <v>615.58606432411852</v>
      </c>
      <c r="T16" s="294">
        <f t="shared" si="8"/>
        <v>-2398.5132048982896</v>
      </c>
      <c r="V16" s="300">
        <v>13</v>
      </c>
      <c r="W16" s="293">
        <f t="shared" si="14"/>
        <v>0</v>
      </c>
      <c r="X16" s="293">
        <f t="shared" si="9"/>
        <v>1967.6637144744266</v>
      </c>
      <c r="Y16" s="294">
        <f t="shared" si="10"/>
        <v>1967.6637144744266</v>
      </c>
    </row>
    <row r="17" spans="2:25" x14ac:dyDescent="0.25">
      <c r="B17" s="300">
        <v>14</v>
      </c>
      <c r="C17" s="293">
        <f t="shared" si="11"/>
        <v>-8000</v>
      </c>
      <c r="D17" s="295">
        <f t="shared" si="12"/>
        <v>0</v>
      </c>
      <c r="E17" s="294">
        <f t="shared" si="0"/>
        <v>-8000</v>
      </c>
      <c r="G17" s="300">
        <v>14</v>
      </c>
      <c r="H17" s="382">
        <f t="shared" si="1"/>
        <v>-6208.0144600561853</v>
      </c>
      <c r="I17" s="382">
        <f t="shared" si="2"/>
        <v>313.22547651235919</v>
      </c>
      <c r="J17" s="294">
        <f t="shared" si="3"/>
        <v>-5894.7889835438264</v>
      </c>
      <c r="L17" s="300">
        <v>14</v>
      </c>
      <c r="M17" s="293">
        <f t="shared" si="13"/>
        <v>-2457.1236382486641</v>
      </c>
      <c r="N17" s="293">
        <f t="shared" si="4"/>
        <v>1614.2800905623658</v>
      </c>
      <c r="O17" s="294">
        <f t="shared" si="5"/>
        <v>-842.84354768629828</v>
      </c>
      <c r="Q17" s="300">
        <v>14</v>
      </c>
      <c r="R17" s="382">
        <f t="shared" si="6"/>
        <v>-2398.5132048982896</v>
      </c>
      <c r="S17" s="382">
        <f t="shared" si="7"/>
        <v>627.89778561060086</v>
      </c>
      <c r="T17" s="294">
        <f t="shared" si="8"/>
        <v>-1770.6154192876888</v>
      </c>
      <c r="V17" s="300">
        <v>14</v>
      </c>
      <c r="W17" s="293">
        <f t="shared" si="14"/>
        <v>0</v>
      </c>
      <c r="X17" s="293">
        <f t="shared" si="9"/>
        <v>2007.0169887639152</v>
      </c>
      <c r="Y17" s="294">
        <f t="shared" si="10"/>
        <v>2007.0169887639152</v>
      </c>
    </row>
    <row r="18" spans="2:25" x14ac:dyDescent="0.25">
      <c r="B18" s="299">
        <v>15</v>
      </c>
      <c r="C18" s="293">
        <f t="shared" si="11"/>
        <v>-8000</v>
      </c>
      <c r="D18" s="295">
        <f>D17*1.02</f>
        <v>0</v>
      </c>
      <c r="E18" s="294">
        <f t="shared" si="0"/>
        <v>-8000</v>
      </c>
      <c r="G18" s="299">
        <v>15</v>
      </c>
      <c r="H18" s="382">
        <f t="shared" si="1"/>
        <v>-5894.7889835438264</v>
      </c>
      <c r="I18" s="382">
        <f t="shared" si="2"/>
        <v>319.4899860426064</v>
      </c>
      <c r="J18" s="294">
        <f t="shared" si="3"/>
        <v>-5575.2989975012197</v>
      </c>
      <c r="L18" s="299">
        <v>15</v>
      </c>
      <c r="M18" s="293">
        <f t="shared" si="13"/>
        <v>-842.84354768629828</v>
      </c>
      <c r="N18" s="293">
        <f t="shared" si="4"/>
        <v>1646.565692373613</v>
      </c>
      <c r="O18" s="294">
        <f t="shared" si="5"/>
        <v>803.72214468731477</v>
      </c>
      <c r="Q18" s="299">
        <v>15</v>
      </c>
      <c r="R18" s="382">
        <f t="shared" si="6"/>
        <v>-1770.6154192876888</v>
      </c>
      <c r="S18" s="382">
        <f t="shared" si="7"/>
        <v>640.45574132281286</v>
      </c>
      <c r="T18" s="294">
        <f t="shared" si="8"/>
        <v>-1130.159677964876</v>
      </c>
      <c r="V18" s="299">
        <v>15</v>
      </c>
      <c r="W18" s="293">
        <f t="shared" si="14"/>
        <v>0</v>
      </c>
      <c r="X18" s="293">
        <f t="shared" si="9"/>
        <v>2047.1573285391935</v>
      </c>
      <c r="Y18" s="294">
        <f t="shared" si="10"/>
        <v>2047.1573285391935</v>
      </c>
    </row>
    <row r="19" spans="2:25" x14ac:dyDescent="0.25">
      <c r="B19" s="300">
        <v>16</v>
      </c>
      <c r="C19" s="293">
        <f t="shared" si="11"/>
        <v>-8000</v>
      </c>
      <c r="D19" s="295">
        <f t="shared" si="12"/>
        <v>0</v>
      </c>
      <c r="E19" s="294">
        <f t="shared" si="0"/>
        <v>-8000</v>
      </c>
      <c r="G19" s="300">
        <v>16</v>
      </c>
      <c r="H19" s="389"/>
      <c r="I19" s="389"/>
      <c r="J19" s="390"/>
      <c r="L19" s="300">
        <v>16</v>
      </c>
      <c r="M19" s="393"/>
      <c r="N19" s="393"/>
      <c r="O19" s="390"/>
      <c r="Q19" s="300">
        <v>16</v>
      </c>
      <c r="R19" s="389"/>
      <c r="S19" s="389"/>
      <c r="T19" s="390"/>
      <c r="V19" s="300">
        <v>16</v>
      </c>
      <c r="W19" s="393"/>
      <c r="X19" s="393"/>
      <c r="Y19" s="390"/>
    </row>
    <row r="20" spans="2:25" x14ac:dyDescent="0.25">
      <c r="B20" s="300">
        <v>17</v>
      </c>
      <c r="C20" s="293">
        <f t="shared" si="11"/>
        <v>-8000</v>
      </c>
      <c r="D20" s="295">
        <f t="shared" si="12"/>
        <v>0</v>
      </c>
      <c r="E20" s="294">
        <f t="shared" si="0"/>
        <v>-8000</v>
      </c>
      <c r="G20" s="300">
        <v>17</v>
      </c>
      <c r="H20" s="389"/>
      <c r="I20" s="389"/>
      <c r="J20" s="390"/>
      <c r="L20" s="300">
        <v>17</v>
      </c>
      <c r="M20" s="393"/>
      <c r="N20" s="393"/>
      <c r="O20" s="390"/>
      <c r="Q20" s="300">
        <v>17</v>
      </c>
      <c r="R20" s="389"/>
      <c r="S20" s="389"/>
      <c r="T20" s="390"/>
      <c r="V20" s="300">
        <v>17</v>
      </c>
      <c r="W20" s="393"/>
      <c r="X20" s="393"/>
      <c r="Y20" s="390"/>
    </row>
    <row r="21" spans="2:25" x14ac:dyDescent="0.25">
      <c r="B21" s="300">
        <v>18</v>
      </c>
      <c r="C21" s="293">
        <f t="shared" si="11"/>
        <v>-8000</v>
      </c>
      <c r="D21" s="295">
        <f t="shared" si="12"/>
        <v>0</v>
      </c>
      <c r="E21" s="294">
        <f t="shared" si="0"/>
        <v>-8000</v>
      </c>
      <c r="G21" s="300">
        <v>18</v>
      </c>
      <c r="H21" s="389"/>
      <c r="I21" s="389"/>
      <c r="J21" s="390"/>
      <c r="L21" s="300">
        <v>18</v>
      </c>
      <c r="M21" s="393"/>
      <c r="N21" s="393"/>
      <c r="O21" s="390"/>
      <c r="Q21" s="300">
        <v>18</v>
      </c>
      <c r="R21" s="389"/>
      <c r="S21" s="389"/>
      <c r="T21" s="390"/>
      <c r="V21" s="300">
        <v>18</v>
      </c>
      <c r="W21" s="393"/>
      <c r="X21" s="393"/>
      <c r="Y21" s="390"/>
    </row>
    <row r="22" spans="2:25" x14ac:dyDescent="0.25">
      <c r="B22" s="300">
        <v>19</v>
      </c>
      <c r="C22" s="293">
        <f t="shared" si="11"/>
        <v>-8000</v>
      </c>
      <c r="D22" s="295">
        <f t="shared" si="12"/>
        <v>0</v>
      </c>
      <c r="E22" s="294">
        <f t="shared" si="0"/>
        <v>-8000</v>
      </c>
      <c r="G22" s="300">
        <v>19</v>
      </c>
      <c r="H22" s="389"/>
      <c r="I22" s="389"/>
      <c r="J22" s="390"/>
      <c r="L22" s="300">
        <v>19</v>
      </c>
      <c r="M22" s="393"/>
      <c r="N22" s="393"/>
      <c r="O22" s="390"/>
      <c r="Q22" s="300">
        <v>19</v>
      </c>
      <c r="R22" s="389"/>
      <c r="S22" s="389"/>
      <c r="T22" s="390"/>
      <c r="V22" s="300">
        <v>19</v>
      </c>
      <c r="W22" s="393"/>
      <c r="X22" s="393"/>
      <c r="Y22" s="390"/>
    </row>
    <row r="23" spans="2:25" ht="13" thickBot="1" x14ac:dyDescent="0.3">
      <c r="B23" s="301">
        <v>20</v>
      </c>
      <c r="C23" s="296">
        <f t="shared" si="11"/>
        <v>-8000</v>
      </c>
      <c r="D23" s="297">
        <f t="shared" si="12"/>
        <v>0</v>
      </c>
      <c r="E23" s="298">
        <f t="shared" si="0"/>
        <v>-8000</v>
      </c>
      <c r="G23" s="301">
        <v>20</v>
      </c>
      <c r="H23" s="391"/>
      <c r="I23" s="391"/>
      <c r="J23" s="392"/>
      <c r="L23" s="301">
        <v>20</v>
      </c>
      <c r="M23" s="391"/>
      <c r="N23" s="391"/>
      <c r="O23" s="392"/>
      <c r="Q23" s="301">
        <v>20</v>
      </c>
      <c r="R23" s="391"/>
      <c r="S23" s="391"/>
      <c r="T23" s="392"/>
      <c r="V23" s="301">
        <v>20</v>
      </c>
      <c r="W23" s="391"/>
      <c r="X23" s="391"/>
      <c r="Y23" s="392"/>
    </row>
    <row r="24" spans="2:25" x14ac:dyDescent="0.25">
      <c r="B24" s="179"/>
      <c r="C24" s="95"/>
      <c r="D24" s="180" t="s">
        <v>319</v>
      </c>
      <c r="E24" s="95"/>
      <c r="G24" s="290"/>
      <c r="H24" s="95"/>
      <c r="I24" s="180" t="s">
        <v>319</v>
      </c>
      <c r="J24" s="293"/>
      <c r="L24" s="290"/>
      <c r="M24" s="95"/>
      <c r="N24" s="180" t="s">
        <v>319</v>
      </c>
      <c r="O24" s="293"/>
      <c r="Q24" s="343"/>
      <c r="R24" s="95"/>
      <c r="S24" s="180"/>
      <c r="T24" s="293"/>
      <c r="V24" s="343"/>
      <c r="W24" s="95"/>
      <c r="X24" s="180" t="s">
        <v>319</v>
      </c>
      <c r="Y24" s="293"/>
    </row>
    <row r="25" spans="2:25" x14ac:dyDescent="0.25">
      <c r="B25" s="179"/>
      <c r="C25" s="95"/>
      <c r="D25" s="180"/>
      <c r="E25" s="95"/>
      <c r="G25" s="179"/>
      <c r="H25" s="95"/>
      <c r="I25" s="180"/>
      <c r="J25" s="95"/>
      <c r="L25" s="179"/>
      <c r="M25" s="95"/>
      <c r="N25" s="180"/>
      <c r="O25" s="95"/>
      <c r="Q25" s="344"/>
      <c r="R25" s="95"/>
      <c r="S25" s="180"/>
      <c r="T25" s="95"/>
      <c r="V25" s="344"/>
      <c r="W25" s="95"/>
      <c r="X25" s="180"/>
      <c r="Y25" s="95"/>
    </row>
    <row r="26" spans="2:25" x14ac:dyDescent="0.25">
      <c r="B26" s="179"/>
      <c r="C26" s="95"/>
      <c r="D26" s="180"/>
      <c r="E26" s="95"/>
      <c r="G26" s="179"/>
      <c r="H26" s="95"/>
      <c r="I26" s="180"/>
      <c r="J26" s="95"/>
      <c r="L26" s="179"/>
      <c r="M26" s="95"/>
      <c r="N26" s="180"/>
      <c r="O26" s="95"/>
      <c r="Q26" s="344"/>
      <c r="R26" s="95"/>
      <c r="S26" s="180"/>
      <c r="T26" s="95"/>
      <c r="V26" s="344"/>
      <c r="W26" s="95"/>
      <c r="X26" s="180"/>
      <c r="Y26" s="95"/>
    </row>
    <row r="27" spans="2:25" x14ac:dyDescent="0.25">
      <c r="B27" s="179"/>
      <c r="C27" s="95"/>
      <c r="D27" s="180"/>
      <c r="E27" s="95"/>
      <c r="G27" s="179"/>
      <c r="H27" s="95"/>
      <c r="I27" s="180"/>
      <c r="J27" s="95"/>
      <c r="L27" s="179"/>
      <c r="M27" s="95"/>
      <c r="N27" s="295"/>
      <c r="O27" s="95"/>
      <c r="Q27" s="344"/>
      <c r="R27" s="95"/>
      <c r="S27" s="180"/>
      <c r="T27" s="95"/>
      <c r="V27" s="344"/>
      <c r="W27" s="95"/>
      <c r="X27" s="180"/>
      <c r="Y27" s="95"/>
    </row>
    <row r="28" spans="2:25" x14ac:dyDescent="0.25">
      <c r="B28" s="179"/>
      <c r="C28" s="95"/>
      <c r="D28" s="180"/>
      <c r="E28" s="95"/>
      <c r="F28" s="97"/>
      <c r="G28" s="179"/>
      <c r="H28" s="95"/>
      <c r="I28" s="180"/>
      <c r="J28" s="95"/>
      <c r="L28" s="179"/>
      <c r="M28" s="95"/>
      <c r="N28" s="180"/>
      <c r="O28" s="95"/>
      <c r="Q28" s="344"/>
      <c r="R28" s="95"/>
      <c r="S28" s="180"/>
      <c r="T28" s="95"/>
      <c r="V28" s="344"/>
      <c r="W28" s="95"/>
      <c r="X28" s="180"/>
      <c r="Y28" s="95"/>
    </row>
    <row r="29" spans="2:25" x14ac:dyDescent="0.25">
      <c r="B29" s="179"/>
      <c r="C29" s="95"/>
      <c r="D29" s="180"/>
      <c r="E29" s="95"/>
      <c r="G29" s="179"/>
      <c r="H29" s="95"/>
      <c r="I29" s="180"/>
      <c r="J29" s="95"/>
      <c r="L29" s="179"/>
      <c r="M29" s="95"/>
      <c r="N29" s="180"/>
      <c r="O29" s="95"/>
      <c r="Q29" s="344"/>
      <c r="R29" s="95"/>
      <c r="S29" s="180"/>
      <c r="T29" s="95"/>
      <c r="V29" s="344"/>
      <c r="W29" s="95"/>
      <c r="X29" s="180"/>
      <c r="Y29" s="95"/>
    </row>
    <row r="30" spans="2:25" x14ac:dyDescent="0.25">
      <c r="C30" s="293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69AA5-6BC9-40CA-BCFF-EF14892A3DA8}">
  <dimension ref="B1:M14"/>
  <sheetViews>
    <sheetView topLeftCell="B2" zoomScale="115" zoomScaleNormal="115" workbookViewId="0">
      <selection activeCell="I7" sqref="I7"/>
    </sheetView>
  </sheetViews>
  <sheetFormatPr defaultColWidth="8.81640625" defaultRowHeight="12.5" x14ac:dyDescent="0.25"/>
  <cols>
    <col min="2" max="2" width="18.54296875" customWidth="1"/>
    <col min="4" max="4" width="21.81640625" customWidth="1"/>
    <col min="5" max="5" width="18.1796875" customWidth="1"/>
    <col min="6" max="6" width="21.453125" customWidth="1"/>
    <col min="7" max="8" width="19.1796875" customWidth="1"/>
    <col min="9" max="10" width="21.453125" customWidth="1"/>
    <col min="11" max="11" width="19.1796875" customWidth="1"/>
  </cols>
  <sheetData>
    <row r="1" spans="2:13" ht="25.5" customHeight="1" thickBot="1" x14ac:dyDescent="0.3">
      <c r="E1" s="431" t="s">
        <v>348</v>
      </c>
      <c r="F1" s="432"/>
      <c r="G1" s="433"/>
      <c r="H1" s="429" t="s">
        <v>345</v>
      </c>
      <c r="I1" s="430"/>
      <c r="J1" s="430"/>
    </row>
    <row r="2" spans="2:13" ht="50" customHeight="1" thickBot="1" x14ac:dyDescent="0.3">
      <c r="D2" s="374" t="s">
        <v>315</v>
      </c>
      <c r="E2" s="378" t="s">
        <v>311</v>
      </c>
      <c r="F2" s="378" t="s">
        <v>312</v>
      </c>
      <c r="G2" s="378" t="s">
        <v>381</v>
      </c>
      <c r="H2" s="306" t="s">
        <v>344</v>
      </c>
      <c r="I2" s="306" t="s">
        <v>320</v>
      </c>
      <c r="J2" s="306" t="s">
        <v>322</v>
      </c>
    </row>
    <row r="3" spans="2:13" ht="50" customHeight="1" thickBot="1" x14ac:dyDescent="0.3">
      <c r="D3" s="375" t="s">
        <v>321</v>
      </c>
      <c r="E3" s="340"/>
      <c r="F3" s="341"/>
      <c r="G3" s="369"/>
      <c r="H3" s="371">
        <f>'HP Calcs'!J54+'HP Calcs'!J55</f>
        <v>957.84403867404183</v>
      </c>
      <c r="I3" s="342">
        <f>'HP Calcs'!C10+'HP Calcs'!C14</f>
        <v>45.643999675062325</v>
      </c>
      <c r="J3" s="307">
        <f>'HP Calcs'!C19/1000</f>
        <v>2.4923302088298773</v>
      </c>
    </row>
    <row r="4" spans="2:13" ht="50" customHeight="1" thickBot="1" x14ac:dyDescent="0.3">
      <c r="D4" s="376" t="s">
        <v>314</v>
      </c>
      <c r="E4" s="340">
        <f>'User Inputs'!N3</f>
        <v>8000</v>
      </c>
      <c r="F4" s="341" t="str">
        <f>IF('Financial Calcs'!C23&lt;0,"",_xlfn.MINIFS('Financial Calcs'!B3:'Financial Calcs'!B23,'Financial Calcs'!C3:C23,"0"))</f>
        <v/>
      </c>
      <c r="G4" s="369">
        <f>'Financial Calcs'!C3+SUM('Financial Calcs'!D3:D23)</f>
        <v>-8000</v>
      </c>
      <c r="H4" s="371">
        <f>'HP Calcs'!J56</f>
        <v>957.84403867404183</v>
      </c>
      <c r="I4" s="342">
        <f>'HP Calcs'!E52+'HP Calcs'!C14</f>
        <v>45.643999675062325</v>
      </c>
      <c r="J4" s="307">
        <f>('HP Calcs'!C17+'HP Calcs'!E53)/1000</f>
        <v>2.4923302088298773</v>
      </c>
    </row>
    <row r="5" spans="2:13" ht="50" customHeight="1" thickBot="1" x14ac:dyDescent="0.3">
      <c r="B5" s="95"/>
      <c r="D5" s="376" t="s">
        <v>313</v>
      </c>
      <c r="E5" s="340">
        <f>'User Inputs'!N4</f>
        <v>10000</v>
      </c>
      <c r="F5" s="341" t="str">
        <f>IF('Financial Calcs'!H18&lt;0,"",_xlfn.MINIFS('Financial Calcs'!G3:'Financial Calcs'!G18,'Financial Calcs'!H3:H18,"0"))</f>
        <v/>
      </c>
      <c r="G5" s="369">
        <f>'Financial Calcs'!H3+SUM('Financial Calcs'!I3:I18)</f>
        <v>-5575.2989975012188</v>
      </c>
      <c r="H5" s="371">
        <f>'HP Calcs'!J66</f>
        <v>720.45827296055893</v>
      </c>
      <c r="I5" s="342">
        <f>'HP Calcs'!E67</f>
        <v>8.6726843997003513</v>
      </c>
      <c r="J5" s="307">
        <f>'HP Calcs'!E68/1000</f>
        <v>1.4173847154437176</v>
      </c>
    </row>
    <row r="6" spans="2:13" ht="50" customHeight="1" thickBot="1" x14ac:dyDescent="0.3">
      <c r="D6" s="377" t="s">
        <v>316</v>
      </c>
      <c r="E6" s="340">
        <f>'User Inputs'!N4+'User Inputs'!N5</f>
        <v>22000</v>
      </c>
      <c r="F6" s="341" t="str">
        <f>IF('Financial Calcs'!M18&lt;0,"",_xlfn.MINIFS('Financial Calcs'!L3:'Financial Calcs'!L18,'Financial Calcs'!M3:M18,"0"))</f>
        <v/>
      </c>
      <c r="G6" s="369">
        <f>'Financial Calcs'!M3+SUM('Financial Calcs'!N3:N18)</f>
        <v>803.72214468731181</v>
      </c>
      <c r="H6" s="371">
        <f>'HP Calcs'!J78-'HP Calcs'!J79</f>
        <v>-324.74172703944112</v>
      </c>
      <c r="I6" s="342">
        <f>'HP Calcs'!E79</f>
        <v>-10.623300163511995</v>
      </c>
      <c r="J6" s="307">
        <f>'HP Calcs'!E80/1000</f>
        <v>-1.7450127546383065</v>
      </c>
    </row>
    <row r="7" spans="2:13" ht="66" customHeight="1" thickBot="1" x14ac:dyDescent="0.3">
      <c r="D7" s="396" t="s">
        <v>353</v>
      </c>
      <c r="E7" s="340">
        <f>'User Inputs'!N4</f>
        <v>10000</v>
      </c>
      <c r="F7" s="341" t="str">
        <f>IF('Financial Calcs'!R18&lt;0,"",_xlfn.MINIFS('Financial Calcs'!Q3:'Financial Calcs'!Q18,'Financial Calcs'!R3:R18,"0"))</f>
        <v/>
      </c>
      <c r="G7" s="369">
        <f>'Financial Calcs'!R3+SUM('Financial Calcs'!S3:S18)</f>
        <v>-1130.1596779648771</v>
      </c>
      <c r="H7" s="371">
        <f>'HP Calcs'!J69</f>
        <v>422.81278657933143</v>
      </c>
      <c r="I7" s="342">
        <f>SUM(Table1[Cost Optimized Energy Use (GJ)])</f>
        <v>20.154649307565574</v>
      </c>
      <c r="J7" s="307">
        <f>SUM(Table1[Cost Optimized GHG Emissions])/1000</f>
        <v>1.1002820166088065</v>
      </c>
    </row>
    <row r="8" spans="2:13" ht="72" customHeight="1" thickBot="1" x14ac:dyDescent="0.3">
      <c r="D8" s="397" t="s">
        <v>354</v>
      </c>
      <c r="E8" s="398">
        <f>'User Inputs'!N4+'User Inputs'!N5</f>
        <v>22000</v>
      </c>
      <c r="F8" s="399">
        <f>IF('Financial Calcs'!W18&lt;0,"",_xlfn.MINIFS('Financial Calcs'!V3:'Financial Calcs'!V18,'Financial Calcs'!W3:W18,"0"))</f>
        <v>13</v>
      </c>
      <c r="G8" s="400">
        <f>'Financial Calcs'!W3+SUM('Financial Calcs'!X3:X18)</f>
        <v>6351.6212700705219</v>
      </c>
      <c r="H8" s="401">
        <f>'HP Calcs'!J82-'HP Calcs'!J83</f>
        <v>-622.38721342066856</v>
      </c>
      <c r="I8" s="402">
        <f>I7-'HP Calcs'!E74</f>
        <v>0.85866474435322715</v>
      </c>
      <c r="J8" s="403">
        <f>(SUM(Table1[Cost Optimized GHG Emissions])-('HP Calcs'!E74*'Conversion Factors'!C9))/1000</f>
        <v>-2.0621154534732176</v>
      </c>
      <c r="K8" s="404"/>
      <c r="L8" s="405"/>
      <c r="M8" s="405"/>
    </row>
    <row r="9" spans="2:13" ht="12.5" customHeight="1" x14ac:dyDescent="0.25">
      <c r="D9" s="434" t="s">
        <v>387</v>
      </c>
      <c r="E9" s="435"/>
      <c r="F9" s="436"/>
      <c r="G9" s="440" cm="1">
        <f t="array" ref="G9">INDEX(Table1[Temperature],MATCH(INDEX(Table1[Fuel Selector (Cost)],MAX(IF(Table1[Fuel Selector (Cost)]&lt;0,ROW(Table1[Fuel Selector (Cost)])-ROW('HP Table'!T2)+1))),Table1[Fuel Selector (Cost)],0),0)</f>
        <v>11</v>
      </c>
      <c r="H9" s="440"/>
      <c r="I9" s="440"/>
      <c r="J9" s="441"/>
    </row>
    <row r="10" spans="2:13" ht="17" customHeight="1" thickBot="1" x14ac:dyDescent="0.3">
      <c r="D10" s="437"/>
      <c r="E10" s="438"/>
      <c r="F10" s="439"/>
      <c r="G10" s="442"/>
      <c r="H10" s="442"/>
      <c r="I10" s="442"/>
      <c r="J10" s="443"/>
    </row>
    <row r="11" spans="2:13" x14ac:dyDescent="0.25">
      <c r="F11" s="86"/>
    </row>
    <row r="12" spans="2:13" x14ac:dyDescent="0.25">
      <c r="H12" s="168"/>
    </row>
    <row r="13" spans="2:13" x14ac:dyDescent="0.25">
      <c r="H13" s="168"/>
    </row>
    <row r="14" spans="2:13" x14ac:dyDescent="0.25">
      <c r="G14" s="86"/>
      <c r="H14" s="168"/>
    </row>
  </sheetData>
  <mergeCells count="4">
    <mergeCell ref="H1:J1"/>
    <mergeCell ref="E1:G1"/>
    <mergeCell ref="D9:F10"/>
    <mergeCell ref="G9:J10"/>
  </mergeCells>
  <conditionalFormatting sqref="I3:I8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3:J8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3:H8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CD4E46-971D-4681-8F76-574ABE843A4D}">
  <dimension ref="A1:R1048576"/>
  <sheetViews>
    <sheetView zoomScaleNormal="100" workbookViewId="0">
      <selection activeCell="E7" sqref="E7"/>
    </sheetView>
  </sheetViews>
  <sheetFormatPr defaultColWidth="8.81640625" defaultRowHeight="12.5" x14ac:dyDescent="0.25"/>
  <cols>
    <col min="2" max="2" width="12.453125" bestFit="1" customWidth="1"/>
    <col min="3" max="3" width="12.453125" customWidth="1"/>
    <col min="4" max="6" width="13.81640625" customWidth="1"/>
    <col min="9" max="9" width="15" customWidth="1"/>
    <col min="12" max="12" width="20.453125" customWidth="1"/>
    <col min="13" max="13" width="21.36328125" customWidth="1"/>
  </cols>
  <sheetData>
    <row r="1" spans="1:16" ht="13.5" thickBot="1" x14ac:dyDescent="0.35">
      <c r="A1" s="267" t="s">
        <v>302</v>
      </c>
      <c r="B1" s="267" t="s">
        <v>10</v>
      </c>
      <c r="C1" s="267" t="s">
        <v>352</v>
      </c>
      <c r="D1" s="267" t="s">
        <v>12</v>
      </c>
      <c r="E1" s="267" t="s">
        <v>14</v>
      </c>
      <c r="F1" s="267" t="s">
        <v>16</v>
      </c>
      <c r="G1" s="267" t="s">
        <v>17</v>
      </c>
      <c r="H1" s="267" t="s">
        <v>18</v>
      </c>
      <c r="I1" s="267" t="s">
        <v>19</v>
      </c>
    </row>
    <row r="2" spans="1:16" x14ac:dyDescent="0.25">
      <c r="A2" s="277" t="s">
        <v>300</v>
      </c>
      <c r="B2" s="268">
        <v>-31</v>
      </c>
      <c r="C2" s="268" t="str">
        <f>A2&amp;B2</f>
        <v>Unit 1-31</v>
      </c>
      <c r="D2" s="268">
        <v>14300</v>
      </c>
      <c r="E2" s="268">
        <v>14300</v>
      </c>
      <c r="F2" s="268">
        <v>2.74</v>
      </c>
      <c r="G2" s="268">
        <v>2.74</v>
      </c>
      <c r="H2" s="268">
        <v>1.53</v>
      </c>
      <c r="I2" s="258">
        <v>1.53</v>
      </c>
      <c r="L2" t="s">
        <v>288</v>
      </c>
      <c r="N2" t="s">
        <v>289</v>
      </c>
    </row>
    <row r="3" spans="1:16" x14ac:dyDescent="0.25">
      <c r="A3" s="276" t="s">
        <v>300</v>
      </c>
      <c r="B3" s="150">
        <v>-15</v>
      </c>
      <c r="C3" s="150" t="str">
        <f t="shared" ref="C3:C13" si="0">A3&amp;B3</f>
        <v>Unit 1-15</v>
      </c>
      <c r="D3" s="150">
        <v>20200</v>
      </c>
      <c r="E3" s="150">
        <v>20200</v>
      </c>
      <c r="F3" s="150">
        <v>3.1</v>
      </c>
      <c r="G3" s="150">
        <v>3.1</v>
      </c>
      <c r="H3" s="150">
        <v>1.91</v>
      </c>
      <c r="I3" s="269">
        <v>1.91</v>
      </c>
      <c r="N3" t="s">
        <v>290</v>
      </c>
    </row>
    <row r="4" spans="1:16" x14ac:dyDescent="0.25">
      <c r="A4" s="276" t="s">
        <v>300</v>
      </c>
      <c r="B4" s="150">
        <v>-8</v>
      </c>
      <c r="C4" s="150" t="str">
        <f t="shared" si="0"/>
        <v>Unit 1-8</v>
      </c>
      <c r="D4" s="150">
        <v>23800</v>
      </c>
      <c r="E4" s="150">
        <v>23800</v>
      </c>
      <c r="F4" s="150">
        <v>3.19</v>
      </c>
      <c r="G4" s="150">
        <v>3.19</v>
      </c>
      <c r="H4" s="150">
        <v>2.19</v>
      </c>
      <c r="I4" s="269">
        <v>2.19</v>
      </c>
      <c r="L4" t="s">
        <v>291</v>
      </c>
      <c r="N4" t="s">
        <v>292</v>
      </c>
    </row>
    <row r="5" spans="1:16" x14ac:dyDescent="0.25">
      <c r="A5" s="276" t="s">
        <v>300</v>
      </c>
      <c r="B5" s="150">
        <v>8</v>
      </c>
      <c r="C5" s="150" t="str">
        <f t="shared" si="0"/>
        <v>Unit 18</v>
      </c>
      <c r="D5" s="150">
        <v>5500</v>
      </c>
      <c r="E5" s="150">
        <v>21400</v>
      </c>
      <c r="F5" s="150">
        <v>0.39</v>
      </c>
      <c r="G5" s="150">
        <v>1.65</v>
      </c>
      <c r="H5" s="150">
        <v>4.13</v>
      </c>
      <c r="I5" s="269">
        <v>3.8</v>
      </c>
    </row>
    <row r="6" spans="1:16" ht="13" x14ac:dyDescent="0.3">
      <c r="A6" s="276" t="s">
        <v>300</v>
      </c>
      <c r="B6" s="150">
        <v>28</v>
      </c>
      <c r="C6" s="150" t="str">
        <f t="shared" si="0"/>
        <v>Unit 128</v>
      </c>
      <c r="D6" s="150">
        <v>7300</v>
      </c>
      <c r="E6" s="150">
        <v>24000</v>
      </c>
      <c r="F6" s="150">
        <v>0.31</v>
      </c>
      <c r="G6" s="150">
        <v>1.25</v>
      </c>
      <c r="H6" s="150">
        <v>6.9</v>
      </c>
      <c r="I6" s="269">
        <v>5.63</v>
      </c>
      <c r="L6" s="94" t="s">
        <v>293</v>
      </c>
      <c r="M6" s="94" t="s">
        <v>294</v>
      </c>
      <c r="N6" s="94" t="s">
        <v>296</v>
      </c>
      <c r="P6" s="94"/>
    </row>
    <row r="7" spans="1:16" ht="13" thickBot="1" x14ac:dyDescent="0.3">
      <c r="A7" s="276" t="s">
        <v>300</v>
      </c>
      <c r="B7" s="150">
        <v>35</v>
      </c>
      <c r="C7" s="150" t="str">
        <f t="shared" si="0"/>
        <v>Unit 135</v>
      </c>
      <c r="D7" s="150">
        <v>6900</v>
      </c>
      <c r="E7" s="150">
        <v>22800</v>
      </c>
      <c r="F7" s="150">
        <v>0.39</v>
      </c>
      <c r="G7" s="150">
        <v>1.47</v>
      </c>
      <c r="H7" s="150">
        <v>5.19</v>
      </c>
      <c r="I7" s="269">
        <v>4.55</v>
      </c>
      <c r="K7" s="228" t="s">
        <v>300</v>
      </c>
      <c r="L7" s="280">
        <v>213194257</v>
      </c>
      <c r="M7" s="40" t="s">
        <v>295</v>
      </c>
      <c r="N7" s="40" t="s">
        <v>297</v>
      </c>
    </row>
    <row r="8" spans="1:16" x14ac:dyDescent="0.25">
      <c r="A8" s="277" t="s">
        <v>301</v>
      </c>
      <c r="B8" s="268">
        <v>-31</v>
      </c>
      <c r="C8" s="268" t="str">
        <f t="shared" si="0"/>
        <v>Unit 2-31</v>
      </c>
      <c r="D8" s="268">
        <v>25000</v>
      </c>
      <c r="E8" s="268">
        <v>25000</v>
      </c>
      <c r="F8" s="268">
        <v>4.78</v>
      </c>
      <c r="G8" s="268">
        <v>4.78</v>
      </c>
      <c r="H8" s="268">
        <v>1.53</v>
      </c>
      <c r="I8" s="258">
        <v>1.53</v>
      </c>
      <c r="K8" s="228" t="s">
        <v>301</v>
      </c>
      <c r="L8" s="280">
        <v>213194316</v>
      </c>
      <c r="M8" s="40" t="s">
        <v>298</v>
      </c>
      <c r="N8" s="40" t="s">
        <v>299</v>
      </c>
    </row>
    <row r="9" spans="1:16" x14ac:dyDescent="0.25">
      <c r="A9" s="276" t="s">
        <v>301</v>
      </c>
      <c r="B9" s="150">
        <v>-15</v>
      </c>
      <c r="C9" s="150" t="str">
        <f t="shared" si="0"/>
        <v>Unit 2-15</v>
      </c>
      <c r="D9" s="150">
        <v>35800</v>
      </c>
      <c r="E9" s="150">
        <v>35800</v>
      </c>
      <c r="F9" s="150">
        <v>5.65</v>
      </c>
      <c r="G9" s="150">
        <v>5.65</v>
      </c>
      <c r="H9" s="150">
        <v>1.86</v>
      </c>
      <c r="I9" s="269">
        <v>1.86</v>
      </c>
      <c r="K9" s="228" t="s">
        <v>303</v>
      </c>
      <c r="L9" s="280">
        <v>211133470</v>
      </c>
      <c r="M9" s="40" t="s">
        <v>304</v>
      </c>
      <c r="N9" s="40" t="s">
        <v>305</v>
      </c>
    </row>
    <row r="10" spans="1:16" x14ac:dyDescent="0.25">
      <c r="A10" s="276" t="s">
        <v>301</v>
      </c>
      <c r="B10" s="150">
        <v>-8</v>
      </c>
      <c r="C10" s="150" t="str">
        <f t="shared" si="0"/>
        <v>Unit 2-8</v>
      </c>
      <c r="D10" s="150">
        <v>42000</v>
      </c>
      <c r="E10" s="150">
        <v>42000</v>
      </c>
      <c r="F10" s="150">
        <v>6.19</v>
      </c>
      <c r="G10" s="150">
        <v>6.19</v>
      </c>
      <c r="H10" s="150">
        <v>1.96</v>
      </c>
      <c r="I10" s="269">
        <v>1.99</v>
      </c>
      <c r="K10" s="228" t="s">
        <v>331</v>
      </c>
      <c r="L10">
        <v>213872275</v>
      </c>
      <c r="M10" s="40"/>
      <c r="P10" s="40" t="s">
        <v>332</v>
      </c>
    </row>
    <row r="11" spans="1:16" x14ac:dyDescent="0.25">
      <c r="A11" s="276" t="s">
        <v>301</v>
      </c>
      <c r="B11" s="150">
        <v>8</v>
      </c>
      <c r="C11" s="150" t="str">
        <f t="shared" si="0"/>
        <v>Unit 28</v>
      </c>
      <c r="D11" s="150">
        <v>9500</v>
      </c>
      <c r="E11" s="150">
        <v>43500</v>
      </c>
      <c r="F11" s="150">
        <v>0.54</v>
      </c>
      <c r="G11" s="150">
        <v>3.77</v>
      </c>
      <c r="H11" s="150">
        <v>5.16</v>
      </c>
      <c r="I11" s="269">
        <v>3.38</v>
      </c>
      <c r="K11" s="228" t="s">
        <v>351</v>
      </c>
      <c r="L11">
        <v>212523828</v>
      </c>
    </row>
    <row r="12" spans="1:16" x14ac:dyDescent="0.25">
      <c r="A12" s="276" t="s">
        <v>301</v>
      </c>
      <c r="B12" s="150">
        <v>28</v>
      </c>
      <c r="C12" s="150" t="str">
        <f t="shared" si="0"/>
        <v>Unit 228</v>
      </c>
      <c r="D12" s="150">
        <v>12700</v>
      </c>
      <c r="E12" s="150">
        <v>49500</v>
      </c>
      <c r="F12" s="150">
        <v>0.52</v>
      </c>
      <c r="G12" s="150">
        <v>3.1</v>
      </c>
      <c r="H12" s="150">
        <v>7.16</v>
      </c>
      <c r="I12" s="269">
        <v>4.68</v>
      </c>
    </row>
    <row r="13" spans="1:16" ht="13" thickBot="1" x14ac:dyDescent="0.3">
      <c r="A13" s="278" t="s">
        <v>301</v>
      </c>
      <c r="B13" s="270">
        <v>35</v>
      </c>
      <c r="C13" s="270" t="str">
        <f t="shared" si="0"/>
        <v>Unit 235</v>
      </c>
      <c r="D13" s="270">
        <v>12100</v>
      </c>
      <c r="E13" s="270">
        <v>46500</v>
      </c>
      <c r="F13" s="270">
        <v>0.67</v>
      </c>
      <c r="G13" s="270">
        <v>3.67</v>
      </c>
      <c r="H13" s="270">
        <v>5.29</v>
      </c>
      <c r="I13" s="271">
        <v>3.71</v>
      </c>
    </row>
    <row r="14" spans="1:16" x14ac:dyDescent="0.25">
      <c r="A14" s="277" t="s">
        <v>303</v>
      </c>
      <c r="B14" s="268">
        <v>-31</v>
      </c>
      <c r="C14" s="268" t="str">
        <f t="shared" ref="C14:C25" si="1">A14&amp;B14</f>
        <v>Unit 3-31</v>
      </c>
      <c r="D14" s="268">
        <v>18100</v>
      </c>
      <c r="E14" s="268">
        <v>36900</v>
      </c>
      <c r="F14" s="268">
        <v>2.11</v>
      </c>
      <c r="G14" s="268">
        <v>5.62</v>
      </c>
      <c r="H14" s="268">
        <v>2.5099999999999998</v>
      </c>
      <c r="I14" s="258">
        <v>1.92</v>
      </c>
    </row>
    <row r="15" spans="1:16" x14ac:dyDescent="0.25">
      <c r="A15" s="276" t="s">
        <v>303</v>
      </c>
      <c r="B15" s="150">
        <v>-15</v>
      </c>
      <c r="C15" s="150" t="str">
        <f t="shared" si="1"/>
        <v>Unit 3-15</v>
      </c>
      <c r="D15" s="150">
        <v>19200</v>
      </c>
      <c r="E15" s="150">
        <v>53100</v>
      </c>
      <c r="F15" s="150">
        <v>2.52</v>
      </c>
      <c r="G15" s="150">
        <v>7.54</v>
      </c>
      <c r="H15" s="150">
        <v>2.23</v>
      </c>
      <c r="I15" s="269">
        <v>2.06</v>
      </c>
    </row>
    <row r="16" spans="1:16" x14ac:dyDescent="0.25">
      <c r="A16" s="276" t="s">
        <v>303</v>
      </c>
      <c r="B16" s="150">
        <v>-8</v>
      </c>
      <c r="C16" s="150" t="str">
        <f t="shared" si="1"/>
        <v>Unit 3-8</v>
      </c>
      <c r="D16" s="150">
        <v>21600</v>
      </c>
      <c r="E16" s="150">
        <v>57000</v>
      </c>
      <c r="F16" s="150">
        <v>2.56</v>
      </c>
      <c r="G16" s="150">
        <v>7.47</v>
      </c>
      <c r="H16" s="150">
        <v>2.4700000000000002</v>
      </c>
      <c r="I16" s="269">
        <v>2.2400000000000002</v>
      </c>
    </row>
    <row r="17" spans="1:18" x14ac:dyDescent="0.25">
      <c r="A17" s="276" t="s">
        <v>303</v>
      </c>
      <c r="B17" s="150">
        <v>8</v>
      </c>
      <c r="C17" s="150" t="str">
        <f t="shared" si="1"/>
        <v>Unit 38</v>
      </c>
      <c r="D17" s="150">
        <v>14000</v>
      </c>
      <c r="E17" s="150">
        <v>65000</v>
      </c>
      <c r="F17" s="150">
        <v>1.1299999999999999</v>
      </c>
      <c r="G17" s="150">
        <v>7.2</v>
      </c>
      <c r="H17" s="150">
        <v>3.63</v>
      </c>
      <c r="I17" s="269">
        <v>2.65</v>
      </c>
    </row>
    <row r="18" spans="1:18" x14ac:dyDescent="0.25">
      <c r="A18" s="276" t="s">
        <v>303</v>
      </c>
      <c r="B18" s="150">
        <v>28</v>
      </c>
      <c r="C18" s="150" t="str">
        <f t="shared" si="1"/>
        <v>Unit 328</v>
      </c>
      <c r="D18" s="150">
        <v>13500</v>
      </c>
      <c r="E18" s="150">
        <v>62000</v>
      </c>
      <c r="F18" s="150">
        <v>0.55000000000000004</v>
      </c>
      <c r="G18" s="150">
        <v>6.26</v>
      </c>
      <c r="H18" s="150">
        <v>7.19</v>
      </c>
      <c r="I18" s="269">
        <v>2.9</v>
      </c>
    </row>
    <row r="19" spans="1:18" ht="13" thickBot="1" x14ac:dyDescent="0.3">
      <c r="A19" s="278" t="s">
        <v>303</v>
      </c>
      <c r="B19" s="270">
        <v>35</v>
      </c>
      <c r="C19" s="270" t="str">
        <f t="shared" si="1"/>
        <v>Unit 335</v>
      </c>
      <c r="D19" s="270">
        <v>17700</v>
      </c>
      <c r="E19" s="270">
        <v>59000</v>
      </c>
      <c r="F19" s="270">
        <v>1.3</v>
      </c>
      <c r="G19" s="270">
        <v>7</v>
      </c>
      <c r="H19" s="270">
        <v>3.99</v>
      </c>
      <c r="I19" s="271">
        <v>2.4700000000000002</v>
      </c>
    </row>
    <row r="20" spans="1:18" x14ac:dyDescent="0.25">
      <c r="A20" s="277" t="s">
        <v>331</v>
      </c>
      <c r="B20" s="268">
        <v>-31</v>
      </c>
      <c r="C20" s="268" t="str">
        <f t="shared" si="1"/>
        <v>Unit 4-31</v>
      </c>
      <c r="D20" s="268">
        <v>0</v>
      </c>
      <c r="E20" s="268">
        <v>0</v>
      </c>
      <c r="F20" s="268">
        <v>0</v>
      </c>
      <c r="G20" s="268">
        <v>0</v>
      </c>
      <c r="H20" s="268">
        <v>0</v>
      </c>
      <c r="I20" s="258">
        <v>0</v>
      </c>
    </row>
    <row r="21" spans="1:18" x14ac:dyDescent="0.25">
      <c r="A21" s="276" t="s">
        <v>331</v>
      </c>
      <c r="B21" s="150">
        <v>-15</v>
      </c>
      <c r="C21" s="150" t="str">
        <f t="shared" si="1"/>
        <v>Unit 4-15</v>
      </c>
      <c r="D21" s="150">
        <v>13200</v>
      </c>
      <c r="E21" s="150">
        <v>31000</v>
      </c>
      <c r="F21" s="150">
        <v>1.58</v>
      </c>
      <c r="G21" s="150">
        <v>4.0999999999999996</v>
      </c>
      <c r="H21" s="150">
        <v>2.4500000000000002</v>
      </c>
      <c r="I21" s="269">
        <v>2.2200000000000002</v>
      </c>
    </row>
    <row r="22" spans="1:18" x14ac:dyDescent="0.25">
      <c r="A22" s="276" t="s">
        <v>331</v>
      </c>
      <c r="B22" s="150">
        <v>-8</v>
      </c>
      <c r="C22" s="150" t="str">
        <f t="shared" si="1"/>
        <v>Unit 4-8</v>
      </c>
      <c r="D22" s="150">
        <v>16500</v>
      </c>
      <c r="E22" s="150">
        <v>38500</v>
      </c>
      <c r="F22" s="150">
        <v>1.67</v>
      </c>
      <c r="G22" s="150">
        <v>5.66</v>
      </c>
      <c r="H22" s="150">
        <v>2.9</v>
      </c>
      <c r="I22" s="269">
        <v>1.99</v>
      </c>
    </row>
    <row r="23" spans="1:18" x14ac:dyDescent="0.25">
      <c r="A23" s="276" t="s">
        <v>331</v>
      </c>
      <c r="B23" s="150">
        <v>8</v>
      </c>
      <c r="C23" s="150" t="str">
        <f t="shared" si="1"/>
        <v>Unit 48</v>
      </c>
      <c r="D23" s="150">
        <v>12200</v>
      </c>
      <c r="E23" s="150">
        <v>44000</v>
      </c>
      <c r="F23" s="150">
        <v>0.75</v>
      </c>
      <c r="G23" s="150">
        <v>3.57</v>
      </c>
      <c r="H23" s="150">
        <v>4.7699999999999996</v>
      </c>
      <c r="I23" s="269">
        <v>3.61</v>
      </c>
    </row>
    <row r="24" spans="1:18" x14ac:dyDescent="0.25">
      <c r="A24" s="276" t="s">
        <v>331</v>
      </c>
      <c r="B24" s="150">
        <v>28</v>
      </c>
      <c r="C24" s="150" t="str">
        <f t="shared" si="1"/>
        <v>Unit 428</v>
      </c>
      <c r="D24" s="150">
        <v>15100</v>
      </c>
      <c r="E24" s="150">
        <v>47000</v>
      </c>
      <c r="F24" s="150">
        <v>0.73</v>
      </c>
      <c r="G24" s="150">
        <v>3.85</v>
      </c>
      <c r="H24" s="150">
        <v>6.06</v>
      </c>
      <c r="I24" s="269">
        <v>3.58</v>
      </c>
      <c r="Q24" s="88"/>
      <c r="R24" s="88"/>
    </row>
    <row r="25" spans="1:18" ht="13" thickBot="1" x14ac:dyDescent="0.3">
      <c r="A25" s="278" t="s">
        <v>331</v>
      </c>
      <c r="B25" s="270">
        <v>35</v>
      </c>
      <c r="C25" s="270" t="str">
        <f t="shared" si="1"/>
        <v>Unit 435</v>
      </c>
      <c r="D25" s="270">
        <v>14600</v>
      </c>
      <c r="E25" s="270">
        <v>44000</v>
      </c>
      <c r="F25" s="270">
        <v>1.23</v>
      </c>
      <c r="G25" s="270">
        <v>4.34</v>
      </c>
      <c r="H25" s="270">
        <v>3.48</v>
      </c>
      <c r="I25" s="271">
        <v>2.97</v>
      </c>
      <c r="Q25" s="88"/>
      <c r="R25" s="88"/>
    </row>
    <row r="26" spans="1:18" x14ac:dyDescent="0.25">
      <c r="A26" s="277" t="s">
        <v>351</v>
      </c>
      <c r="B26" s="268">
        <v>-31</v>
      </c>
      <c r="C26" s="268" t="str">
        <f t="shared" ref="C26:C31" si="2">A26&amp;B26</f>
        <v>Unit 5-31</v>
      </c>
      <c r="D26" s="268">
        <v>18500</v>
      </c>
      <c r="E26" s="268">
        <v>18500</v>
      </c>
      <c r="F26" s="268">
        <v>0.64</v>
      </c>
      <c r="G26" s="268">
        <v>2.5299999999999998</v>
      </c>
      <c r="H26" s="268">
        <v>1.47</v>
      </c>
      <c r="I26" s="258">
        <v>1.47</v>
      </c>
      <c r="Q26" s="88"/>
      <c r="R26" s="88"/>
    </row>
    <row r="27" spans="1:18" x14ac:dyDescent="0.25">
      <c r="A27" s="276" t="s">
        <v>351</v>
      </c>
      <c r="B27" s="150">
        <v>-15</v>
      </c>
      <c r="C27" s="150" t="str">
        <f t="shared" si="2"/>
        <v>Unit 5-15</v>
      </c>
      <c r="D27" s="150">
        <v>26600</v>
      </c>
      <c r="E27" s="150">
        <v>26600</v>
      </c>
      <c r="F27" s="150">
        <v>0.5</v>
      </c>
      <c r="G27" s="150">
        <v>2.02</v>
      </c>
      <c r="H27" s="150">
        <v>1.8</v>
      </c>
      <c r="I27" s="269">
        <v>1.8</v>
      </c>
      <c r="Q27" s="88"/>
      <c r="R27" s="88"/>
    </row>
    <row r="28" spans="1:18" x14ac:dyDescent="0.25">
      <c r="A28" s="276" t="s">
        <v>351</v>
      </c>
      <c r="B28" s="150">
        <v>-8</v>
      </c>
      <c r="C28" s="150" t="str">
        <f t="shared" si="2"/>
        <v>Unit 5-8</v>
      </c>
      <c r="D28" s="150">
        <v>30600</v>
      </c>
      <c r="E28" s="150">
        <v>30600</v>
      </c>
      <c r="F28" s="150">
        <v>0.57999999999999996</v>
      </c>
      <c r="G28" s="150">
        <v>2.86</v>
      </c>
      <c r="H28" s="150">
        <v>1.96</v>
      </c>
      <c r="I28" s="269">
        <v>1.96</v>
      </c>
      <c r="Q28" s="88"/>
      <c r="R28" s="88"/>
    </row>
    <row r="29" spans="1:18" x14ac:dyDescent="0.25">
      <c r="A29" s="276" t="s">
        <v>351</v>
      </c>
      <c r="B29" s="150">
        <v>8</v>
      </c>
      <c r="C29" s="150" t="str">
        <f t="shared" si="2"/>
        <v>Unit 58</v>
      </c>
      <c r="D29" s="150">
        <v>8700</v>
      </c>
      <c r="E29" s="150">
        <v>34400</v>
      </c>
      <c r="F29" s="150">
        <v>4.58</v>
      </c>
      <c r="G29" s="150">
        <v>4.58</v>
      </c>
      <c r="H29" s="150">
        <v>4.4000000000000004</v>
      </c>
      <c r="I29" s="269">
        <v>3.53</v>
      </c>
      <c r="Q29" s="88"/>
      <c r="R29" s="88"/>
    </row>
    <row r="30" spans="1:18" x14ac:dyDescent="0.25">
      <c r="A30" s="276" t="s">
        <v>351</v>
      </c>
      <c r="B30" s="150">
        <v>28</v>
      </c>
      <c r="C30" s="150" t="str">
        <f t="shared" si="2"/>
        <v>Unit 528</v>
      </c>
      <c r="D30" s="150">
        <v>12200</v>
      </c>
      <c r="E30" s="150">
        <v>37000</v>
      </c>
      <c r="F30" s="150">
        <v>4.33</v>
      </c>
      <c r="G30" s="150">
        <v>4.33</v>
      </c>
      <c r="H30" s="150">
        <v>7.15</v>
      </c>
      <c r="I30" s="269">
        <v>5.37</v>
      </c>
      <c r="Q30" s="88"/>
      <c r="R30" s="88"/>
    </row>
    <row r="31" spans="1:18" ht="13" thickBot="1" x14ac:dyDescent="0.3">
      <c r="A31" s="278" t="s">
        <v>351</v>
      </c>
      <c r="B31" s="270">
        <v>35</v>
      </c>
      <c r="C31" s="270" t="str">
        <f t="shared" si="2"/>
        <v>Unit 535</v>
      </c>
      <c r="D31" s="270">
        <v>11500</v>
      </c>
      <c r="E31" s="270">
        <v>33600</v>
      </c>
      <c r="F31" s="270">
        <v>3.7</v>
      </c>
      <c r="G31" s="270">
        <v>3.7</v>
      </c>
      <c r="H31" s="270">
        <v>5.27</v>
      </c>
      <c r="I31" s="271">
        <v>3.89</v>
      </c>
      <c r="Q31" s="88"/>
      <c r="R31" s="88"/>
    </row>
    <row r="32" spans="1:18" x14ac:dyDescent="0.25">
      <c r="P32" s="246"/>
      <c r="Q32" s="246"/>
      <c r="R32" s="246"/>
    </row>
    <row r="33" spans="16:18" x14ac:dyDescent="0.25">
      <c r="P33" s="246"/>
      <c r="Q33" s="246"/>
      <c r="R33" s="246"/>
    </row>
    <row r="34" spans="16:18" x14ac:dyDescent="0.25">
      <c r="P34" s="246"/>
      <c r="Q34" s="246"/>
      <c r="R34" s="246"/>
    </row>
    <row r="35" spans="16:18" x14ac:dyDescent="0.25">
      <c r="P35" s="246"/>
      <c r="Q35" s="246"/>
      <c r="R35" s="246"/>
    </row>
    <row r="36" spans="16:18" x14ac:dyDescent="0.25">
      <c r="P36" s="246"/>
      <c r="Q36" s="246"/>
      <c r="R36" s="246"/>
    </row>
    <row r="37" spans="16:18" x14ac:dyDescent="0.25">
      <c r="P37" s="246"/>
      <c r="Q37" s="246"/>
      <c r="R37" s="246"/>
    </row>
    <row r="38" spans="16:18" x14ac:dyDescent="0.25">
      <c r="P38" s="246"/>
      <c r="Q38" s="246"/>
      <c r="R38" s="246"/>
    </row>
    <row r="39" spans="16:18" x14ac:dyDescent="0.25">
      <c r="P39" s="246"/>
      <c r="Q39" s="246"/>
      <c r="R39" s="246"/>
    </row>
    <row r="40" spans="16:18" x14ac:dyDescent="0.25">
      <c r="P40" s="246"/>
      <c r="Q40" s="246"/>
      <c r="R40" s="246"/>
    </row>
    <row r="41" spans="16:18" x14ac:dyDescent="0.25">
      <c r="P41" s="246"/>
      <c r="Q41" s="246"/>
      <c r="R41" s="246"/>
    </row>
    <row r="42" spans="16:18" x14ac:dyDescent="0.25">
      <c r="P42" s="246"/>
      <c r="Q42" s="246"/>
      <c r="R42" s="246"/>
    </row>
    <row r="43" spans="16:18" x14ac:dyDescent="0.25">
      <c r="P43" s="246"/>
      <c r="Q43" s="246"/>
      <c r="R43" s="246"/>
    </row>
    <row r="44" spans="16:18" x14ac:dyDescent="0.25">
      <c r="P44" s="246"/>
      <c r="Q44" s="246"/>
      <c r="R44" s="246"/>
    </row>
    <row r="45" spans="16:18" x14ac:dyDescent="0.25">
      <c r="P45" s="246"/>
      <c r="Q45" s="246"/>
      <c r="R45" s="246"/>
    </row>
    <row r="46" spans="16:18" x14ac:dyDescent="0.25">
      <c r="P46" s="246"/>
      <c r="Q46" s="246"/>
      <c r="R46" s="246"/>
    </row>
    <row r="47" spans="16:18" x14ac:dyDescent="0.25">
      <c r="P47" s="246"/>
      <c r="Q47" s="246"/>
      <c r="R47" s="246"/>
    </row>
    <row r="48" spans="16:18" ht="13" thickBot="1" x14ac:dyDescent="0.3">
      <c r="P48" s="246"/>
      <c r="Q48" s="246"/>
      <c r="R48" s="246"/>
    </row>
    <row r="49" spans="4:18" ht="13" thickBot="1" x14ac:dyDescent="0.3">
      <c r="F49" s="274"/>
      <c r="G49" s="274"/>
      <c r="P49" s="246"/>
      <c r="Q49" s="246"/>
      <c r="R49" s="246"/>
    </row>
    <row r="50" spans="4:18" ht="13" thickBot="1" x14ac:dyDescent="0.3">
      <c r="D50" s="275"/>
      <c r="E50" s="275"/>
      <c r="F50" s="274"/>
      <c r="G50" s="274"/>
      <c r="H50" s="274"/>
      <c r="I50" s="274"/>
      <c r="Q50" s="88"/>
      <c r="R50" s="88"/>
    </row>
    <row r="51" spans="4:18" ht="13" thickBot="1" x14ac:dyDescent="0.3">
      <c r="D51" s="275"/>
      <c r="E51" s="275"/>
      <c r="F51" s="274"/>
      <c r="G51" s="274"/>
      <c r="H51" s="274"/>
      <c r="I51" s="274"/>
      <c r="Q51" s="88"/>
      <c r="R51" s="88"/>
    </row>
    <row r="52" spans="4:18" ht="13" thickBot="1" x14ac:dyDescent="0.3">
      <c r="D52" s="275"/>
      <c r="E52" s="275"/>
      <c r="F52" s="274"/>
      <c r="G52" s="274"/>
      <c r="H52" s="274"/>
      <c r="I52" s="274"/>
    </row>
    <row r="53" spans="4:18" ht="13" thickBot="1" x14ac:dyDescent="0.3">
      <c r="D53" s="275"/>
      <c r="E53" s="275"/>
      <c r="F53" s="274"/>
      <c r="G53" s="274"/>
      <c r="H53" s="274"/>
      <c r="I53" s="274"/>
    </row>
    <row r="54" spans="4:18" ht="13" thickBot="1" x14ac:dyDescent="0.3">
      <c r="D54" s="275"/>
      <c r="E54" s="275"/>
      <c r="F54" s="274"/>
      <c r="G54" s="274"/>
      <c r="H54" s="274"/>
      <c r="I54" s="274"/>
      <c r="Q54" s="88"/>
      <c r="R54" s="88"/>
    </row>
    <row r="55" spans="4:18" x14ac:dyDescent="0.25">
      <c r="D55" s="275"/>
      <c r="E55" s="275"/>
      <c r="H55" s="274"/>
      <c r="I55" s="274"/>
    </row>
    <row r="57" spans="4:18" x14ac:dyDescent="0.25">
      <c r="Q57" s="88"/>
      <c r="R57" s="88"/>
    </row>
    <row r="1048575" spans="1:1" ht="13" thickBot="1" x14ac:dyDescent="0.3"/>
    <row r="1048576" spans="1:1" x14ac:dyDescent="0.25">
      <c r="A1048576" s="272"/>
    </row>
  </sheetData>
  <phoneticPr fontId="27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CDB462-B58D-4891-912A-0F169045DD96}">
  <sheetPr codeName="Sheet6"/>
  <dimension ref="B2:M147"/>
  <sheetViews>
    <sheetView showGridLines="0" topLeftCell="A60" zoomScale="115" zoomScaleNormal="115" workbookViewId="0">
      <selection activeCell="G39" sqref="G39"/>
    </sheetView>
  </sheetViews>
  <sheetFormatPr defaultColWidth="8.81640625" defaultRowHeight="12.5" x14ac:dyDescent="0.25"/>
  <cols>
    <col min="1" max="1" width="4.453125" customWidth="1"/>
    <col min="2" max="2" width="16.453125" customWidth="1"/>
    <col min="3" max="3" width="10.453125" bestFit="1" customWidth="1"/>
    <col min="4" max="4" width="14.453125" customWidth="1"/>
    <col min="5" max="5" width="10.453125" bestFit="1" customWidth="1"/>
    <col min="6" max="6" width="10.81640625" customWidth="1"/>
    <col min="7" max="7" width="13.453125" customWidth="1"/>
    <col min="8" max="8" width="10.453125" bestFit="1" customWidth="1"/>
    <col min="18" max="18" width="9.1796875" customWidth="1"/>
  </cols>
  <sheetData>
    <row r="2" spans="2:7" ht="20" x14ac:dyDescent="0.4">
      <c r="B2" s="101" t="s">
        <v>116</v>
      </c>
    </row>
    <row r="3" spans="2:7" ht="13" thickBot="1" x14ac:dyDescent="0.3"/>
    <row r="4" spans="2:7" x14ac:dyDescent="0.25">
      <c r="B4" s="444" t="s">
        <v>103</v>
      </c>
      <c r="C4" s="445"/>
      <c r="D4" s="446"/>
      <c r="E4" s="125">
        <f>'HP Calcs'!J64</f>
        <v>898.68083628789782</v>
      </c>
    </row>
    <row r="5" spans="2:7" x14ac:dyDescent="0.25">
      <c r="B5" s="447" t="s">
        <v>104</v>
      </c>
      <c r="C5" s="448"/>
      <c r="D5" s="449"/>
      <c r="E5" s="115">
        <f>'HP Calcs'!J65</f>
        <v>59.163202386143979</v>
      </c>
    </row>
    <row r="6" spans="2:7" ht="13" thickBot="1" x14ac:dyDescent="0.3">
      <c r="B6" s="450" t="s">
        <v>108</v>
      </c>
      <c r="C6" s="451"/>
      <c r="D6" s="452"/>
      <c r="E6" s="118">
        <f>SUM(E4:E5)</f>
        <v>957.84403867404183</v>
      </c>
    </row>
    <row r="7" spans="2:7" ht="13" thickBot="1" x14ac:dyDescent="0.3"/>
    <row r="8" spans="2:7" x14ac:dyDescent="0.25">
      <c r="B8" s="126" t="s">
        <v>105</v>
      </c>
      <c r="C8" s="127"/>
      <c r="D8" s="127"/>
      <c r="E8" s="311">
        <f>'HP Calcs'!E63</f>
        <v>8.6369054079924954</v>
      </c>
    </row>
    <row r="9" spans="2:7" ht="13" thickBot="1" x14ac:dyDescent="0.3">
      <c r="B9" s="105" t="s">
        <v>106</v>
      </c>
      <c r="C9" s="116"/>
      <c r="D9" s="116"/>
      <c r="E9" s="312">
        <f>'HP Calcs'!E65</f>
        <v>3.5778991707855229E-2</v>
      </c>
    </row>
    <row r="12" spans="2:7" ht="13" thickBot="1" x14ac:dyDescent="0.3"/>
    <row r="13" spans="2:7" ht="50.5" thickBot="1" x14ac:dyDescent="0.3">
      <c r="B13" s="122" t="s">
        <v>109</v>
      </c>
      <c r="C13" s="123" t="s">
        <v>110</v>
      </c>
      <c r="D13" s="123" t="s">
        <v>108</v>
      </c>
      <c r="E13" s="123" t="s">
        <v>111</v>
      </c>
      <c r="F13" s="124" t="s">
        <v>112</v>
      </c>
      <c r="G13" s="129"/>
    </row>
    <row r="14" spans="2:7" x14ac:dyDescent="0.25">
      <c r="B14" s="108">
        <v>5</v>
      </c>
      <c r="C14" s="119">
        <v>0.05</v>
      </c>
      <c r="D14" s="318">
        <f>E6</f>
        <v>957.84403867404183</v>
      </c>
      <c r="E14" s="318">
        <f>(($E$8*'Conversion Factors'!$M$5)*C14)+($E$9*B14)</f>
        <v>120.13601047960626</v>
      </c>
      <c r="F14" s="121">
        <f>E14-D14</f>
        <v>-837.70802819443554</v>
      </c>
      <c r="G14" s="95"/>
    </row>
    <row r="15" spans="2:7" x14ac:dyDescent="0.25">
      <c r="B15" s="103">
        <f t="shared" ref="B15:B46" si="0">B14+1</f>
        <v>6</v>
      </c>
      <c r="C15" s="70">
        <f t="shared" ref="C15:C46" si="1">C14+0.01</f>
        <v>6.0000000000000005E-2</v>
      </c>
      <c r="D15" s="114">
        <f>D14</f>
        <v>957.84403867404183</v>
      </c>
      <c r="E15" s="318">
        <f>(($E$8*'Conversion Factors'!$M$5)*C15)+($E$9*B15)</f>
        <v>144.1632125755275</v>
      </c>
      <c r="F15" s="121">
        <f t="shared" ref="F15:F78" si="2">E15-D15</f>
        <v>-813.68082609851433</v>
      </c>
    </row>
    <row r="16" spans="2:7" x14ac:dyDescent="0.25">
      <c r="B16" s="103">
        <f t="shared" si="0"/>
        <v>7</v>
      </c>
      <c r="C16" s="70">
        <f t="shared" si="1"/>
        <v>7.0000000000000007E-2</v>
      </c>
      <c r="D16" s="114">
        <f t="shared" ref="D16:D46" si="3">D15</f>
        <v>957.84403867404183</v>
      </c>
      <c r="E16" s="318">
        <f>(($E$8*'Conversion Factors'!$M$5)*C16)+($E$9*B16)</f>
        <v>168.19041467144876</v>
      </c>
      <c r="F16" s="121">
        <f t="shared" si="2"/>
        <v>-789.65362400259301</v>
      </c>
    </row>
    <row r="17" spans="2:6" x14ac:dyDescent="0.25">
      <c r="B17" s="103">
        <f t="shared" si="0"/>
        <v>8</v>
      </c>
      <c r="C17" s="70">
        <f t="shared" si="1"/>
        <v>0.08</v>
      </c>
      <c r="D17" s="114">
        <f t="shared" si="3"/>
        <v>957.84403867404183</v>
      </c>
      <c r="E17" s="318">
        <f>(($E$8*'Conversion Factors'!$M$5)*C17)+($E$9*B17)</f>
        <v>192.21761676737</v>
      </c>
      <c r="F17" s="121">
        <f t="shared" si="2"/>
        <v>-765.62642190667179</v>
      </c>
    </row>
    <row r="18" spans="2:6" x14ac:dyDescent="0.25">
      <c r="B18" s="103">
        <f t="shared" si="0"/>
        <v>9</v>
      </c>
      <c r="C18" s="70">
        <f t="shared" si="1"/>
        <v>0.09</v>
      </c>
      <c r="D18" s="114">
        <f t="shared" si="3"/>
        <v>957.84403867404183</v>
      </c>
      <c r="E18" s="318">
        <f>(($E$8*'Conversion Factors'!$M$5)*C18)+($E$9*B18)</f>
        <v>216.24481886329124</v>
      </c>
      <c r="F18" s="121">
        <f t="shared" si="2"/>
        <v>-741.59921981075058</v>
      </c>
    </row>
    <row r="19" spans="2:6" x14ac:dyDescent="0.25">
      <c r="B19" s="103">
        <f t="shared" si="0"/>
        <v>10</v>
      </c>
      <c r="C19" s="70">
        <f t="shared" si="1"/>
        <v>9.9999999999999992E-2</v>
      </c>
      <c r="D19" s="114">
        <f t="shared" si="3"/>
        <v>957.84403867404183</v>
      </c>
      <c r="E19" s="318">
        <f>(($E$8*'Conversion Factors'!$M$5)*C19)+($E$9*B19)</f>
        <v>240.27202095921248</v>
      </c>
      <c r="F19" s="121">
        <f t="shared" si="2"/>
        <v>-717.57201771482937</v>
      </c>
    </row>
    <row r="20" spans="2:6" x14ac:dyDescent="0.25">
      <c r="B20" s="103">
        <f t="shared" si="0"/>
        <v>11</v>
      </c>
      <c r="C20" s="70">
        <f t="shared" si="1"/>
        <v>0.10999999999999999</v>
      </c>
      <c r="D20" s="114">
        <f t="shared" si="3"/>
        <v>957.84403867404183</v>
      </c>
      <c r="E20" s="318">
        <f>(($E$8*'Conversion Factors'!$M$5)*C20)+($E$9*B20)</f>
        <v>264.29922305513372</v>
      </c>
      <c r="F20" s="121">
        <f t="shared" si="2"/>
        <v>-693.54481561890816</v>
      </c>
    </row>
    <row r="21" spans="2:6" x14ac:dyDescent="0.25">
      <c r="B21" s="103">
        <f t="shared" si="0"/>
        <v>12</v>
      </c>
      <c r="C21" s="70">
        <f t="shared" si="1"/>
        <v>0.11999999999999998</v>
      </c>
      <c r="D21" s="114">
        <f t="shared" si="3"/>
        <v>957.84403867404183</v>
      </c>
      <c r="E21" s="318">
        <f>(($E$8*'Conversion Factors'!$M$5)*C21)+($E$9*B21)</f>
        <v>288.32642515105493</v>
      </c>
      <c r="F21" s="121">
        <f t="shared" si="2"/>
        <v>-669.51761352298695</v>
      </c>
    </row>
    <row r="22" spans="2:6" x14ac:dyDescent="0.25">
      <c r="B22" s="103">
        <f t="shared" si="0"/>
        <v>13</v>
      </c>
      <c r="C22" s="70">
        <f t="shared" si="1"/>
        <v>0.12999999999999998</v>
      </c>
      <c r="D22" s="114">
        <f t="shared" si="3"/>
        <v>957.84403867404183</v>
      </c>
      <c r="E22" s="318">
        <f>(($E$8*'Conversion Factors'!$M$5)*C22)+($E$9*B22)</f>
        <v>312.3536272469762</v>
      </c>
      <c r="F22" s="121">
        <f t="shared" si="2"/>
        <v>-645.49041142706562</v>
      </c>
    </row>
    <row r="23" spans="2:6" x14ac:dyDescent="0.25">
      <c r="B23" s="103">
        <f t="shared" si="0"/>
        <v>14</v>
      </c>
      <c r="C23" s="70">
        <f t="shared" si="1"/>
        <v>0.13999999999999999</v>
      </c>
      <c r="D23" s="114">
        <f t="shared" si="3"/>
        <v>957.84403867404183</v>
      </c>
      <c r="E23" s="318">
        <f>(($E$8*'Conversion Factors'!$M$5)*C23)+($E$9*B23)</f>
        <v>336.38082934289747</v>
      </c>
      <c r="F23" s="121">
        <f t="shared" si="2"/>
        <v>-621.4632093311443</v>
      </c>
    </row>
    <row r="24" spans="2:6" x14ac:dyDescent="0.25">
      <c r="B24" s="103">
        <f t="shared" si="0"/>
        <v>15</v>
      </c>
      <c r="C24" s="70">
        <f t="shared" si="1"/>
        <v>0.15</v>
      </c>
      <c r="D24" s="114">
        <f t="shared" si="3"/>
        <v>957.84403867404183</v>
      </c>
      <c r="E24" s="318">
        <f>(($E$8*'Conversion Factors'!$M$5)*C24)+($E$9*B24)</f>
        <v>360.40803143881874</v>
      </c>
      <c r="F24" s="121">
        <f t="shared" si="2"/>
        <v>-597.43600723522309</v>
      </c>
    </row>
    <row r="25" spans="2:6" x14ac:dyDescent="0.25">
      <c r="B25" s="103">
        <f t="shared" si="0"/>
        <v>16</v>
      </c>
      <c r="C25" s="70">
        <f t="shared" si="1"/>
        <v>0.16</v>
      </c>
      <c r="D25" s="114">
        <f t="shared" si="3"/>
        <v>957.84403867404183</v>
      </c>
      <c r="E25" s="318">
        <f>(($E$8*'Conversion Factors'!$M$5)*C25)+($E$9*B25)</f>
        <v>384.43523353474001</v>
      </c>
      <c r="F25" s="121">
        <f t="shared" si="2"/>
        <v>-573.40880513930188</v>
      </c>
    </row>
    <row r="26" spans="2:6" x14ac:dyDescent="0.25">
      <c r="B26" s="103">
        <f t="shared" si="0"/>
        <v>17</v>
      </c>
      <c r="C26" s="70">
        <f t="shared" si="1"/>
        <v>0.17</v>
      </c>
      <c r="D26" s="114">
        <f t="shared" si="3"/>
        <v>957.84403867404183</v>
      </c>
      <c r="E26" s="318">
        <f>(($E$8*'Conversion Factors'!$M$5)*C26)+($E$9*B26)</f>
        <v>408.46243563066133</v>
      </c>
      <c r="F26" s="121">
        <f t="shared" si="2"/>
        <v>-549.38160304338044</v>
      </c>
    </row>
    <row r="27" spans="2:6" x14ac:dyDescent="0.25">
      <c r="B27" s="103">
        <f t="shared" si="0"/>
        <v>18</v>
      </c>
      <c r="C27" s="70">
        <f t="shared" si="1"/>
        <v>0.18000000000000002</v>
      </c>
      <c r="D27" s="114">
        <f t="shared" si="3"/>
        <v>957.84403867404183</v>
      </c>
      <c r="E27" s="318">
        <f>(($E$8*'Conversion Factors'!$M$5)*C27)+($E$9*B27)</f>
        <v>432.4896377265826</v>
      </c>
      <c r="F27" s="121">
        <f t="shared" si="2"/>
        <v>-525.35440094745923</v>
      </c>
    </row>
    <row r="28" spans="2:6" x14ac:dyDescent="0.25">
      <c r="B28" s="103">
        <f t="shared" si="0"/>
        <v>19</v>
      </c>
      <c r="C28" s="70">
        <f t="shared" si="1"/>
        <v>0.19000000000000003</v>
      </c>
      <c r="D28" s="114">
        <f t="shared" si="3"/>
        <v>957.84403867404183</v>
      </c>
      <c r="E28" s="318">
        <f>(($E$8*'Conversion Factors'!$M$5)*C28)+($E$9*B28)</f>
        <v>456.51683982250381</v>
      </c>
      <c r="F28" s="121">
        <f t="shared" si="2"/>
        <v>-501.32719885153801</v>
      </c>
    </row>
    <row r="29" spans="2:6" x14ac:dyDescent="0.25">
      <c r="B29" s="103">
        <f t="shared" si="0"/>
        <v>20</v>
      </c>
      <c r="C29" s="70">
        <f t="shared" si="1"/>
        <v>0.20000000000000004</v>
      </c>
      <c r="D29" s="114">
        <f t="shared" si="3"/>
        <v>957.84403867404183</v>
      </c>
      <c r="E29" s="318">
        <f>(($E$8*'Conversion Factors'!$M$5)*C29)+($E$9*B29)</f>
        <v>480.54404191842508</v>
      </c>
      <c r="F29" s="121">
        <f t="shared" si="2"/>
        <v>-477.29999675561675</v>
      </c>
    </row>
    <row r="30" spans="2:6" x14ac:dyDescent="0.25">
      <c r="B30" s="103">
        <f t="shared" si="0"/>
        <v>21</v>
      </c>
      <c r="C30" s="70">
        <f t="shared" si="1"/>
        <v>0.21000000000000005</v>
      </c>
      <c r="D30" s="114">
        <f t="shared" si="3"/>
        <v>957.84403867404183</v>
      </c>
      <c r="E30" s="318">
        <f>(($E$8*'Conversion Factors'!$M$5)*C30)+($E$9*B30)</f>
        <v>504.57124401434635</v>
      </c>
      <c r="F30" s="121">
        <f t="shared" si="2"/>
        <v>-453.27279465969548</v>
      </c>
    </row>
    <row r="31" spans="2:6" x14ac:dyDescent="0.25">
      <c r="B31" s="103">
        <f t="shared" si="0"/>
        <v>22</v>
      </c>
      <c r="C31" s="70">
        <f t="shared" si="1"/>
        <v>0.22000000000000006</v>
      </c>
      <c r="D31" s="114">
        <f t="shared" si="3"/>
        <v>957.84403867404183</v>
      </c>
      <c r="E31" s="318">
        <f>(($E$8*'Conversion Factors'!$M$5)*C31)+($E$9*B31)</f>
        <v>528.59844611026756</v>
      </c>
      <c r="F31" s="121">
        <f t="shared" si="2"/>
        <v>-429.24559256377427</v>
      </c>
    </row>
    <row r="32" spans="2:6" x14ac:dyDescent="0.25">
      <c r="B32" s="103">
        <f t="shared" si="0"/>
        <v>23</v>
      </c>
      <c r="C32" s="70">
        <f t="shared" si="1"/>
        <v>0.23000000000000007</v>
      </c>
      <c r="D32" s="114">
        <f t="shared" si="3"/>
        <v>957.84403867404183</v>
      </c>
      <c r="E32" s="318">
        <f>(($E$8*'Conversion Factors'!$M$5)*C32)+($E$9*B32)</f>
        <v>552.62564820618888</v>
      </c>
      <c r="F32" s="121">
        <f t="shared" si="2"/>
        <v>-405.21839046785294</v>
      </c>
    </row>
    <row r="33" spans="2:13" x14ac:dyDescent="0.25">
      <c r="B33" s="103">
        <f t="shared" si="0"/>
        <v>24</v>
      </c>
      <c r="C33" s="70">
        <f t="shared" si="1"/>
        <v>0.24000000000000007</v>
      </c>
      <c r="D33" s="114">
        <f t="shared" si="3"/>
        <v>957.84403867404183</v>
      </c>
      <c r="E33" s="318">
        <f>(($E$8*'Conversion Factors'!$M$5)*C33)+($E$9*B33)</f>
        <v>576.6528503021101</v>
      </c>
      <c r="F33" s="121">
        <f t="shared" si="2"/>
        <v>-381.19118837193173</v>
      </c>
    </row>
    <row r="34" spans="2:13" x14ac:dyDescent="0.25">
      <c r="B34" s="103">
        <f t="shared" si="0"/>
        <v>25</v>
      </c>
      <c r="C34" s="70">
        <f t="shared" si="1"/>
        <v>0.25000000000000006</v>
      </c>
      <c r="D34" s="114">
        <f t="shared" si="3"/>
        <v>957.84403867404183</v>
      </c>
      <c r="E34" s="318">
        <f>(($E$8*'Conversion Factors'!$M$5)*C34)+($E$9*B34)</f>
        <v>600.68005239803142</v>
      </c>
      <c r="F34" s="121">
        <f t="shared" si="2"/>
        <v>-357.16398627601041</v>
      </c>
    </row>
    <row r="35" spans="2:13" x14ac:dyDescent="0.25">
      <c r="B35" s="103">
        <f t="shared" si="0"/>
        <v>26</v>
      </c>
      <c r="C35" s="70">
        <f t="shared" si="1"/>
        <v>0.26000000000000006</v>
      </c>
      <c r="D35" s="114">
        <f t="shared" si="3"/>
        <v>957.84403867404183</v>
      </c>
      <c r="E35" s="318">
        <f>(($E$8*'Conversion Factors'!$M$5)*C35)+($E$9*B35)</f>
        <v>624.70725449395275</v>
      </c>
      <c r="F35" s="121">
        <f t="shared" si="2"/>
        <v>-333.13678418008908</v>
      </c>
    </row>
    <row r="36" spans="2:13" ht="13" thickBot="1" x14ac:dyDescent="0.3">
      <c r="B36" s="103">
        <f t="shared" si="0"/>
        <v>27</v>
      </c>
      <c r="C36" s="70">
        <f t="shared" si="1"/>
        <v>0.27000000000000007</v>
      </c>
      <c r="D36" s="114">
        <f t="shared" si="3"/>
        <v>957.84403867404183</v>
      </c>
      <c r="E36" s="318">
        <f>(($E$8*'Conversion Factors'!$M$5)*C36)+($E$9*B36)</f>
        <v>648.73445658987396</v>
      </c>
      <c r="F36" s="121">
        <f t="shared" si="2"/>
        <v>-309.10958208416787</v>
      </c>
    </row>
    <row r="37" spans="2:13" ht="18" thickBot="1" x14ac:dyDescent="0.4">
      <c r="B37" s="103">
        <f t="shared" si="0"/>
        <v>28</v>
      </c>
      <c r="C37" s="70">
        <f t="shared" si="1"/>
        <v>0.28000000000000008</v>
      </c>
      <c r="D37" s="114">
        <f t="shared" si="3"/>
        <v>957.84403867404183</v>
      </c>
      <c r="E37" s="318">
        <f>(($E$8*'Conversion Factors'!$M$5)*C37)+($E$9*B37)</f>
        <v>672.76165868579517</v>
      </c>
      <c r="F37" s="121">
        <f t="shared" si="2"/>
        <v>-285.08237998824666</v>
      </c>
      <c r="H37" s="98" t="s">
        <v>113</v>
      </c>
      <c r="I37" s="92"/>
      <c r="J37" s="92"/>
      <c r="K37" s="92"/>
      <c r="L37" s="226" cm="1">
        <f t="array" ref="L37">INDEX(C14:C79,MATCH(TRUE,INDEX(F14:F79&gt;0,),0))</f>
        <v>0.40000000000000019</v>
      </c>
      <c r="M37" s="99" t="s">
        <v>114</v>
      </c>
    </row>
    <row r="38" spans="2:13" x14ac:dyDescent="0.25">
      <c r="B38" s="103">
        <f t="shared" si="0"/>
        <v>29</v>
      </c>
      <c r="C38" s="70">
        <f t="shared" si="1"/>
        <v>0.29000000000000009</v>
      </c>
      <c r="D38" s="114">
        <f t="shared" si="3"/>
        <v>957.84403867404183</v>
      </c>
      <c r="E38" s="318">
        <f>(($E$8*'Conversion Factors'!$M$5)*C38)+($E$9*B38)</f>
        <v>696.78886078171649</v>
      </c>
      <c r="F38" s="121">
        <f t="shared" si="2"/>
        <v>-261.05517789232533</v>
      </c>
    </row>
    <row r="39" spans="2:13" x14ac:dyDescent="0.25">
      <c r="B39" s="103">
        <f t="shared" si="0"/>
        <v>30</v>
      </c>
      <c r="C39" s="70">
        <f t="shared" si="1"/>
        <v>0.3000000000000001</v>
      </c>
      <c r="D39" s="114">
        <f t="shared" si="3"/>
        <v>957.84403867404183</v>
      </c>
      <c r="E39" s="318">
        <f>(($E$8*'Conversion Factors'!$M$5)*C39)+($E$9*B39)</f>
        <v>720.81606287763771</v>
      </c>
      <c r="F39" s="121">
        <f t="shared" si="2"/>
        <v>-237.02797579640412</v>
      </c>
      <c r="G39" s="100" t="s">
        <v>115</v>
      </c>
    </row>
    <row r="40" spans="2:13" x14ac:dyDescent="0.25">
      <c r="B40" s="103">
        <f t="shared" si="0"/>
        <v>31</v>
      </c>
      <c r="C40" s="70">
        <f t="shared" si="1"/>
        <v>0.31000000000000011</v>
      </c>
      <c r="D40" s="114">
        <f t="shared" si="3"/>
        <v>957.84403867404183</v>
      </c>
      <c r="E40" s="318">
        <f>(($E$8*'Conversion Factors'!$M$5)*C40)+($E$9*B40)</f>
        <v>744.84326497355903</v>
      </c>
      <c r="F40" s="121">
        <f t="shared" si="2"/>
        <v>-213.0007737004828</v>
      </c>
    </row>
    <row r="41" spans="2:13" x14ac:dyDescent="0.25">
      <c r="B41" s="103">
        <f t="shared" si="0"/>
        <v>32</v>
      </c>
      <c r="C41" s="70">
        <f t="shared" si="1"/>
        <v>0.32000000000000012</v>
      </c>
      <c r="D41" s="114">
        <f t="shared" si="3"/>
        <v>957.84403867404183</v>
      </c>
      <c r="E41" s="318">
        <f>(($E$8*'Conversion Factors'!$M$5)*C41)+($E$9*B41)</f>
        <v>768.87046706948024</v>
      </c>
      <c r="F41" s="121">
        <f t="shared" si="2"/>
        <v>-188.97357160456158</v>
      </c>
    </row>
    <row r="42" spans="2:13" x14ac:dyDescent="0.25">
      <c r="B42" s="103">
        <f t="shared" si="0"/>
        <v>33</v>
      </c>
      <c r="C42" s="70">
        <f t="shared" si="1"/>
        <v>0.33000000000000013</v>
      </c>
      <c r="D42" s="114">
        <f t="shared" si="3"/>
        <v>957.84403867404183</v>
      </c>
      <c r="E42" s="318">
        <f>(($E$8*'Conversion Factors'!$M$5)*C42)+($E$9*B42)</f>
        <v>792.89766916540157</v>
      </c>
      <c r="F42" s="121">
        <f t="shared" si="2"/>
        <v>-164.94636950864026</v>
      </c>
    </row>
    <row r="43" spans="2:13" x14ac:dyDescent="0.25">
      <c r="B43" s="103">
        <f t="shared" si="0"/>
        <v>34</v>
      </c>
      <c r="C43" s="70">
        <f t="shared" si="1"/>
        <v>0.34000000000000014</v>
      </c>
      <c r="D43" s="114">
        <f t="shared" si="3"/>
        <v>957.84403867404183</v>
      </c>
      <c r="E43" s="318">
        <f>(($E$8*'Conversion Factors'!$M$5)*C43)+($E$9*B43)</f>
        <v>816.92487126132289</v>
      </c>
      <c r="F43" s="121">
        <f t="shared" si="2"/>
        <v>-140.91916741271893</v>
      </c>
    </row>
    <row r="44" spans="2:13" x14ac:dyDescent="0.25">
      <c r="B44" s="103">
        <f t="shared" si="0"/>
        <v>35</v>
      </c>
      <c r="C44" s="70">
        <f t="shared" si="1"/>
        <v>0.35000000000000014</v>
      </c>
      <c r="D44" s="114">
        <f t="shared" si="3"/>
        <v>957.84403867404183</v>
      </c>
      <c r="E44" s="318">
        <f>(($E$8*'Conversion Factors'!$M$5)*C44)+($E$9*B44)</f>
        <v>840.9520733572441</v>
      </c>
      <c r="F44" s="121">
        <f t="shared" si="2"/>
        <v>-116.89196531679772</v>
      </c>
    </row>
    <row r="45" spans="2:13" x14ac:dyDescent="0.25">
      <c r="B45" s="103">
        <f t="shared" si="0"/>
        <v>36</v>
      </c>
      <c r="C45" s="70">
        <f t="shared" si="1"/>
        <v>0.36000000000000015</v>
      </c>
      <c r="D45" s="114">
        <f t="shared" si="3"/>
        <v>957.84403867404183</v>
      </c>
      <c r="E45" s="318">
        <f>(($E$8*'Conversion Factors'!$M$5)*C45)+($E$9*B45)</f>
        <v>864.97927545316543</v>
      </c>
      <c r="F45" s="121">
        <f t="shared" si="2"/>
        <v>-92.864763220876398</v>
      </c>
    </row>
    <row r="46" spans="2:13" x14ac:dyDescent="0.25">
      <c r="B46" s="103">
        <f t="shared" si="0"/>
        <v>37</v>
      </c>
      <c r="C46" s="70">
        <f t="shared" si="1"/>
        <v>0.37000000000000016</v>
      </c>
      <c r="D46" s="114">
        <f t="shared" si="3"/>
        <v>957.84403867404183</v>
      </c>
      <c r="E46" s="318">
        <f>(($E$8*'Conversion Factors'!$M$5)*C46)+($E$9*B46)</f>
        <v>889.00647754908664</v>
      </c>
      <c r="F46" s="121">
        <f t="shared" si="2"/>
        <v>-68.837561124955187</v>
      </c>
    </row>
    <row r="47" spans="2:13" x14ac:dyDescent="0.25">
      <c r="B47" s="103">
        <f t="shared" ref="B47:B79" si="4">B46+1</f>
        <v>38</v>
      </c>
      <c r="C47" s="70">
        <f t="shared" ref="C47:C79" si="5">C46+0.01</f>
        <v>0.38000000000000017</v>
      </c>
      <c r="D47" s="114">
        <f t="shared" ref="D47:D79" si="6">D46</f>
        <v>957.84403867404183</v>
      </c>
      <c r="E47" s="318">
        <f>(($E$8*'Conversion Factors'!$M$5)*C47)+($E$9*B47)</f>
        <v>913.03367964500796</v>
      </c>
      <c r="F47" s="121">
        <f t="shared" si="2"/>
        <v>-44.810359029033862</v>
      </c>
    </row>
    <row r="48" spans="2:13" x14ac:dyDescent="0.25">
      <c r="B48" s="103">
        <f t="shared" si="4"/>
        <v>39</v>
      </c>
      <c r="C48" s="70">
        <f t="shared" si="5"/>
        <v>0.39000000000000018</v>
      </c>
      <c r="D48" s="114">
        <f t="shared" si="6"/>
        <v>957.84403867404183</v>
      </c>
      <c r="E48" s="318">
        <f>(($E$8*'Conversion Factors'!$M$5)*C48)+($E$9*B48)</f>
        <v>937.06088174092918</v>
      </c>
      <c r="F48" s="121">
        <f t="shared" si="2"/>
        <v>-20.78315693311265</v>
      </c>
    </row>
    <row r="49" spans="2:6" x14ac:dyDescent="0.25">
      <c r="B49" s="103">
        <f t="shared" si="4"/>
        <v>40</v>
      </c>
      <c r="C49" s="70">
        <f t="shared" si="5"/>
        <v>0.40000000000000019</v>
      </c>
      <c r="D49" s="114">
        <f t="shared" si="6"/>
        <v>957.84403867404183</v>
      </c>
      <c r="E49" s="318">
        <f>(($E$8*'Conversion Factors'!$M$5)*C49)+($E$9*B49)</f>
        <v>961.0880838368505</v>
      </c>
      <c r="F49" s="121">
        <f t="shared" si="2"/>
        <v>3.2440451628086748</v>
      </c>
    </row>
    <row r="50" spans="2:6" x14ac:dyDescent="0.25">
      <c r="B50" s="103">
        <f t="shared" si="4"/>
        <v>41</v>
      </c>
      <c r="C50" s="70">
        <f t="shared" si="5"/>
        <v>0.4100000000000002</v>
      </c>
      <c r="D50" s="114">
        <f t="shared" si="6"/>
        <v>957.84403867404183</v>
      </c>
      <c r="E50" s="318">
        <f>(($E$8*'Conversion Factors'!$M$5)*C50)+($E$9*B50)</f>
        <v>985.11528593277171</v>
      </c>
      <c r="F50" s="121">
        <f t="shared" si="2"/>
        <v>27.271247258729886</v>
      </c>
    </row>
    <row r="51" spans="2:6" x14ac:dyDescent="0.25">
      <c r="B51" s="103">
        <f t="shared" si="4"/>
        <v>42</v>
      </c>
      <c r="C51" s="70">
        <f t="shared" si="5"/>
        <v>0.42000000000000021</v>
      </c>
      <c r="D51" s="114">
        <f t="shared" si="6"/>
        <v>957.84403867404183</v>
      </c>
      <c r="E51" s="318">
        <f>(($E$8*'Conversion Factors'!$M$5)*C51)+($E$9*B51)</f>
        <v>1009.1424880286929</v>
      </c>
      <c r="F51" s="121">
        <f t="shared" si="2"/>
        <v>51.298449354651098</v>
      </c>
    </row>
    <row r="52" spans="2:6" x14ac:dyDescent="0.25">
      <c r="B52" s="103">
        <f t="shared" si="4"/>
        <v>43</v>
      </c>
      <c r="C52" s="70">
        <f t="shared" si="5"/>
        <v>0.43000000000000022</v>
      </c>
      <c r="D52" s="114">
        <f t="shared" si="6"/>
        <v>957.84403867404183</v>
      </c>
      <c r="E52" s="318">
        <f>(($E$8*'Conversion Factors'!$M$5)*C52)+($E$9*B52)</f>
        <v>1033.1696901246144</v>
      </c>
      <c r="F52" s="121">
        <f t="shared" si="2"/>
        <v>75.325651450572536</v>
      </c>
    </row>
    <row r="53" spans="2:6" x14ac:dyDescent="0.25">
      <c r="B53" s="103">
        <f t="shared" si="4"/>
        <v>44</v>
      </c>
      <c r="C53" s="70">
        <f t="shared" si="5"/>
        <v>0.44000000000000022</v>
      </c>
      <c r="D53" s="114">
        <f t="shared" si="6"/>
        <v>957.84403867404183</v>
      </c>
      <c r="E53" s="318">
        <f>(($E$8*'Conversion Factors'!$M$5)*C53)+($E$9*B53)</f>
        <v>1057.1968922205356</v>
      </c>
      <c r="F53" s="121">
        <f t="shared" si="2"/>
        <v>99.352853546493748</v>
      </c>
    </row>
    <row r="54" spans="2:6" x14ac:dyDescent="0.25">
      <c r="B54" s="103">
        <f t="shared" si="4"/>
        <v>45</v>
      </c>
      <c r="C54" s="70">
        <f t="shared" si="5"/>
        <v>0.45000000000000023</v>
      </c>
      <c r="D54" s="114">
        <f t="shared" si="6"/>
        <v>957.84403867404183</v>
      </c>
      <c r="E54" s="318">
        <f>(($E$8*'Conversion Factors'!$M$5)*C54)+($E$9*B54)</f>
        <v>1081.2240943164568</v>
      </c>
      <c r="F54" s="121">
        <f t="shared" si="2"/>
        <v>123.38005564241496</v>
      </c>
    </row>
    <row r="55" spans="2:6" x14ac:dyDescent="0.25">
      <c r="B55" s="103">
        <f t="shared" si="4"/>
        <v>46</v>
      </c>
      <c r="C55" s="70">
        <f t="shared" si="5"/>
        <v>0.46000000000000024</v>
      </c>
      <c r="D55" s="114">
        <f t="shared" si="6"/>
        <v>957.84403867404183</v>
      </c>
      <c r="E55" s="318">
        <f>(($E$8*'Conversion Factors'!$M$5)*C55)+($E$9*B55)</f>
        <v>1105.251296412378</v>
      </c>
      <c r="F55" s="121">
        <f t="shared" si="2"/>
        <v>147.40725773833617</v>
      </c>
    </row>
    <row r="56" spans="2:6" x14ac:dyDescent="0.25">
      <c r="B56" s="103">
        <f t="shared" si="4"/>
        <v>47</v>
      </c>
      <c r="C56" s="70">
        <f t="shared" si="5"/>
        <v>0.47000000000000025</v>
      </c>
      <c r="D56" s="114">
        <f t="shared" si="6"/>
        <v>957.84403867404183</v>
      </c>
      <c r="E56" s="318">
        <f>(($E$8*'Conversion Factors'!$M$5)*C56)+($E$9*B56)</f>
        <v>1129.2784985082994</v>
      </c>
      <c r="F56" s="121">
        <f t="shared" si="2"/>
        <v>171.43445983425761</v>
      </c>
    </row>
    <row r="57" spans="2:6" x14ac:dyDescent="0.25">
      <c r="B57" s="103">
        <f t="shared" si="4"/>
        <v>48</v>
      </c>
      <c r="C57" s="70">
        <f t="shared" si="5"/>
        <v>0.48000000000000026</v>
      </c>
      <c r="D57" s="114">
        <f t="shared" si="6"/>
        <v>957.84403867404183</v>
      </c>
      <c r="E57" s="318">
        <f>(($E$8*'Conversion Factors'!$M$5)*C57)+($E$9*B57)</f>
        <v>1153.3057006042206</v>
      </c>
      <c r="F57" s="121">
        <f t="shared" si="2"/>
        <v>195.46166193017882</v>
      </c>
    </row>
    <row r="58" spans="2:6" x14ac:dyDescent="0.25">
      <c r="B58" s="103">
        <f t="shared" si="4"/>
        <v>49</v>
      </c>
      <c r="C58" s="70">
        <f t="shared" si="5"/>
        <v>0.49000000000000027</v>
      </c>
      <c r="D58" s="114">
        <f t="shared" si="6"/>
        <v>957.84403867404183</v>
      </c>
      <c r="E58" s="318">
        <f>(($E$8*'Conversion Factors'!$M$5)*C58)+($E$9*B58)</f>
        <v>1177.3329027001419</v>
      </c>
      <c r="F58" s="121">
        <f t="shared" si="2"/>
        <v>219.48886402610003</v>
      </c>
    </row>
    <row r="59" spans="2:6" x14ac:dyDescent="0.25">
      <c r="B59" s="103">
        <f t="shared" si="4"/>
        <v>50</v>
      </c>
      <c r="C59" s="70">
        <f t="shared" si="5"/>
        <v>0.50000000000000022</v>
      </c>
      <c r="D59" s="114">
        <f t="shared" si="6"/>
        <v>957.84403867404183</v>
      </c>
      <c r="E59" s="318">
        <f>(($E$8*'Conversion Factors'!$M$5)*C59)+($E$9*B59)</f>
        <v>1201.3601047960631</v>
      </c>
      <c r="F59" s="121">
        <f t="shared" si="2"/>
        <v>243.51606612202124</v>
      </c>
    </row>
    <row r="60" spans="2:6" x14ac:dyDescent="0.25">
      <c r="B60" s="103">
        <f t="shared" si="4"/>
        <v>51</v>
      </c>
      <c r="C60" s="70">
        <f t="shared" si="5"/>
        <v>0.51000000000000023</v>
      </c>
      <c r="D60" s="114">
        <f t="shared" si="6"/>
        <v>957.84403867404183</v>
      </c>
      <c r="E60" s="318">
        <f>(($E$8*'Conversion Factors'!$M$5)*C60)+($E$9*B60)</f>
        <v>1225.3873068919843</v>
      </c>
      <c r="F60" s="121">
        <f t="shared" si="2"/>
        <v>267.54326821794245</v>
      </c>
    </row>
    <row r="61" spans="2:6" x14ac:dyDescent="0.25">
      <c r="B61" s="103">
        <f t="shared" si="4"/>
        <v>52</v>
      </c>
      <c r="C61" s="70">
        <f t="shared" si="5"/>
        <v>0.52000000000000024</v>
      </c>
      <c r="D61" s="114">
        <f t="shared" si="6"/>
        <v>957.84403867404183</v>
      </c>
      <c r="E61" s="318">
        <f>(($E$8*'Conversion Factors'!$M$5)*C61)+($E$9*B61)</f>
        <v>1249.4145089879057</v>
      </c>
      <c r="F61" s="121">
        <f t="shared" si="2"/>
        <v>291.57047031386389</v>
      </c>
    </row>
    <row r="62" spans="2:6" x14ac:dyDescent="0.25">
      <c r="B62" s="103">
        <f t="shared" si="4"/>
        <v>53</v>
      </c>
      <c r="C62" s="70">
        <f t="shared" si="5"/>
        <v>0.53000000000000025</v>
      </c>
      <c r="D62" s="114">
        <f t="shared" si="6"/>
        <v>957.84403867404183</v>
      </c>
      <c r="E62" s="318">
        <f>(($E$8*'Conversion Factors'!$M$5)*C62)+($E$9*B62)</f>
        <v>1273.4417110838267</v>
      </c>
      <c r="F62" s="121">
        <f t="shared" si="2"/>
        <v>315.59767240978488</v>
      </c>
    </row>
    <row r="63" spans="2:6" x14ac:dyDescent="0.25">
      <c r="B63" s="103">
        <f t="shared" si="4"/>
        <v>54</v>
      </c>
      <c r="C63" s="70">
        <f t="shared" si="5"/>
        <v>0.54000000000000026</v>
      </c>
      <c r="D63" s="114">
        <f t="shared" si="6"/>
        <v>957.84403867404183</v>
      </c>
      <c r="E63" s="318">
        <f>(($E$8*'Conversion Factors'!$M$5)*C63)+($E$9*B63)</f>
        <v>1297.4689131797481</v>
      </c>
      <c r="F63" s="121">
        <f t="shared" si="2"/>
        <v>339.62487450570632</v>
      </c>
    </row>
    <row r="64" spans="2:6" x14ac:dyDescent="0.25">
      <c r="B64" s="103">
        <f t="shared" si="4"/>
        <v>55</v>
      </c>
      <c r="C64" s="70">
        <f t="shared" si="5"/>
        <v>0.55000000000000027</v>
      </c>
      <c r="D64" s="114">
        <f t="shared" si="6"/>
        <v>957.84403867404183</v>
      </c>
      <c r="E64" s="318">
        <f>(($E$8*'Conversion Factors'!$M$5)*C64)+($E$9*B64)</f>
        <v>1321.4961152756694</v>
      </c>
      <c r="F64" s="121">
        <f t="shared" si="2"/>
        <v>363.65207660162753</v>
      </c>
    </row>
    <row r="65" spans="2:6" x14ac:dyDescent="0.25">
      <c r="B65" s="103">
        <f t="shared" si="4"/>
        <v>56</v>
      </c>
      <c r="C65" s="70">
        <f t="shared" si="5"/>
        <v>0.56000000000000028</v>
      </c>
      <c r="D65" s="114">
        <f t="shared" si="6"/>
        <v>957.84403867404183</v>
      </c>
      <c r="E65" s="318">
        <f>(($E$8*'Conversion Factors'!$M$5)*C65)+($E$9*B65)</f>
        <v>1345.5233173715908</v>
      </c>
      <c r="F65" s="121">
        <f t="shared" si="2"/>
        <v>387.67927869754897</v>
      </c>
    </row>
    <row r="66" spans="2:6" x14ac:dyDescent="0.25">
      <c r="B66" s="103">
        <f t="shared" si="4"/>
        <v>57</v>
      </c>
      <c r="C66" s="70">
        <f t="shared" si="5"/>
        <v>0.57000000000000028</v>
      </c>
      <c r="D66" s="114">
        <f t="shared" si="6"/>
        <v>957.84403867404183</v>
      </c>
      <c r="E66" s="318">
        <f>(($E$8*'Conversion Factors'!$M$5)*C66)+($E$9*B66)</f>
        <v>1369.5505194675118</v>
      </c>
      <c r="F66" s="121">
        <f t="shared" si="2"/>
        <v>411.70648079346995</v>
      </c>
    </row>
    <row r="67" spans="2:6" x14ac:dyDescent="0.25">
      <c r="B67" s="103">
        <f t="shared" si="4"/>
        <v>58</v>
      </c>
      <c r="C67" s="70">
        <f t="shared" si="5"/>
        <v>0.58000000000000029</v>
      </c>
      <c r="D67" s="114">
        <f t="shared" si="6"/>
        <v>957.84403867404183</v>
      </c>
      <c r="E67" s="318">
        <f>(($E$8*'Conversion Factors'!$M$5)*C67)+($E$9*B67)</f>
        <v>1393.5777215634332</v>
      </c>
      <c r="F67" s="121">
        <f t="shared" si="2"/>
        <v>435.73368288939139</v>
      </c>
    </row>
    <row r="68" spans="2:6" x14ac:dyDescent="0.25">
      <c r="B68" s="103">
        <f t="shared" si="4"/>
        <v>59</v>
      </c>
      <c r="C68" s="70">
        <f t="shared" si="5"/>
        <v>0.5900000000000003</v>
      </c>
      <c r="D68" s="114">
        <f t="shared" si="6"/>
        <v>957.84403867404183</v>
      </c>
      <c r="E68" s="318">
        <f>(($E$8*'Conversion Factors'!$M$5)*C68)+($E$9*B68)</f>
        <v>1417.6049236593547</v>
      </c>
      <c r="F68" s="121">
        <f t="shared" si="2"/>
        <v>459.76088498531283</v>
      </c>
    </row>
    <row r="69" spans="2:6" x14ac:dyDescent="0.25">
      <c r="B69" s="103">
        <f t="shared" si="4"/>
        <v>60</v>
      </c>
      <c r="C69" s="70">
        <f t="shared" si="5"/>
        <v>0.60000000000000031</v>
      </c>
      <c r="D69" s="114">
        <f t="shared" si="6"/>
        <v>957.84403867404183</v>
      </c>
      <c r="E69" s="318">
        <f>(($E$8*'Conversion Factors'!$M$5)*C69)+($E$9*B69)</f>
        <v>1441.6321257552756</v>
      </c>
      <c r="F69" s="121">
        <f t="shared" si="2"/>
        <v>483.78808708123381</v>
      </c>
    </row>
    <row r="70" spans="2:6" x14ac:dyDescent="0.25">
      <c r="B70" s="103">
        <f t="shared" si="4"/>
        <v>61</v>
      </c>
      <c r="C70" s="70">
        <f t="shared" si="5"/>
        <v>0.61000000000000032</v>
      </c>
      <c r="D70" s="114">
        <f t="shared" si="6"/>
        <v>957.84403867404183</v>
      </c>
      <c r="E70" s="318">
        <f>(($E$8*'Conversion Factors'!$M$5)*C70)+($E$9*B70)</f>
        <v>1465.6593278511971</v>
      </c>
      <c r="F70" s="121">
        <f t="shared" si="2"/>
        <v>507.81528917715525</v>
      </c>
    </row>
    <row r="71" spans="2:6" x14ac:dyDescent="0.25">
      <c r="B71" s="103">
        <f t="shared" si="4"/>
        <v>62</v>
      </c>
      <c r="C71" s="70">
        <f t="shared" si="5"/>
        <v>0.62000000000000033</v>
      </c>
      <c r="D71" s="114">
        <f t="shared" si="6"/>
        <v>957.84403867404183</v>
      </c>
      <c r="E71" s="318">
        <f>(($E$8*'Conversion Factors'!$M$5)*C71)+($E$9*B71)</f>
        <v>1489.6865299471183</v>
      </c>
      <c r="F71" s="121">
        <f t="shared" si="2"/>
        <v>531.84249127307646</v>
      </c>
    </row>
    <row r="72" spans="2:6" x14ac:dyDescent="0.25">
      <c r="B72" s="103">
        <f t="shared" si="4"/>
        <v>63</v>
      </c>
      <c r="C72" s="70">
        <f t="shared" si="5"/>
        <v>0.63000000000000034</v>
      </c>
      <c r="D72" s="114">
        <f t="shared" si="6"/>
        <v>957.84403867404183</v>
      </c>
      <c r="E72" s="318">
        <f>(($E$8*'Conversion Factors'!$M$5)*C72)+($E$9*B72)</f>
        <v>1513.7137320430397</v>
      </c>
      <c r="F72" s="121">
        <f t="shared" si="2"/>
        <v>555.8696933689979</v>
      </c>
    </row>
    <row r="73" spans="2:6" x14ac:dyDescent="0.25">
      <c r="B73" s="103">
        <f t="shared" si="4"/>
        <v>64</v>
      </c>
      <c r="C73" s="70">
        <f t="shared" si="5"/>
        <v>0.64000000000000035</v>
      </c>
      <c r="D73" s="114">
        <f t="shared" si="6"/>
        <v>957.84403867404183</v>
      </c>
      <c r="E73" s="318">
        <f>(($E$8*'Conversion Factors'!$M$5)*C73)+($E$9*B73)</f>
        <v>1537.7409341389607</v>
      </c>
      <c r="F73" s="121">
        <f t="shared" si="2"/>
        <v>579.89689546491888</v>
      </c>
    </row>
    <row r="74" spans="2:6" x14ac:dyDescent="0.25">
      <c r="B74" s="103">
        <f t="shared" si="4"/>
        <v>65</v>
      </c>
      <c r="C74" s="70">
        <f t="shared" si="5"/>
        <v>0.65000000000000036</v>
      </c>
      <c r="D74" s="114">
        <f t="shared" si="6"/>
        <v>957.84403867404183</v>
      </c>
      <c r="E74" s="318">
        <f>(($E$8*'Conversion Factors'!$M$5)*C74)+($E$9*B74)</f>
        <v>1561.7681362348821</v>
      </c>
      <c r="F74" s="121">
        <f t="shared" si="2"/>
        <v>603.92409756084032</v>
      </c>
    </row>
    <row r="75" spans="2:6" x14ac:dyDescent="0.25">
      <c r="B75" s="103">
        <f t="shared" si="4"/>
        <v>66</v>
      </c>
      <c r="C75" s="70">
        <f t="shared" si="5"/>
        <v>0.66000000000000036</v>
      </c>
      <c r="D75" s="114">
        <f t="shared" si="6"/>
        <v>957.84403867404183</v>
      </c>
      <c r="E75" s="318">
        <f>(($E$8*'Conversion Factors'!$M$5)*C75)+($E$9*B75)</f>
        <v>1585.7953383308034</v>
      </c>
      <c r="F75" s="121">
        <f t="shared" si="2"/>
        <v>627.95129965676153</v>
      </c>
    </row>
    <row r="76" spans="2:6" x14ac:dyDescent="0.25">
      <c r="B76" s="103">
        <f t="shared" si="4"/>
        <v>67</v>
      </c>
      <c r="C76" s="70">
        <f t="shared" si="5"/>
        <v>0.67000000000000037</v>
      </c>
      <c r="D76" s="114">
        <f t="shared" si="6"/>
        <v>957.84403867404183</v>
      </c>
      <c r="E76" s="318">
        <f>(($E$8*'Conversion Factors'!$M$5)*C76)+($E$9*B76)</f>
        <v>1609.8225404267246</v>
      </c>
      <c r="F76" s="121">
        <f t="shared" si="2"/>
        <v>651.97850175268275</v>
      </c>
    </row>
    <row r="77" spans="2:6" x14ac:dyDescent="0.25">
      <c r="B77" s="103">
        <f t="shared" si="4"/>
        <v>68</v>
      </c>
      <c r="C77" s="70">
        <f t="shared" si="5"/>
        <v>0.68000000000000038</v>
      </c>
      <c r="D77" s="114">
        <f t="shared" si="6"/>
        <v>957.84403867404183</v>
      </c>
      <c r="E77" s="318">
        <f>(($E$8*'Conversion Factors'!$M$5)*C77)+($E$9*B77)</f>
        <v>1633.849742522646</v>
      </c>
      <c r="F77" s="121">
        <f t="shared" si="2"/>
        <v>676.00570384860418</v>
      </c>
    </row>
    <row r="78" spans="2:6" x14ac:dyDescent="0.25">
      <c r="B78" s="103">
        <f t="shared" si="4"/>
        <v>69</v>
      </c>
      <c r="C78" s="70">
        <f t="shared" si="5"/>
        <v>0.69000000000000039</v>
      </c>
      <c r="D78" s="114">
        <f t="shared" si="6"/>
        <v>957.84403867404183</v>
      </c>
      <c r="E78" s="318">
        <f>(($E$8*'Conversion Factors'!$M$5)*C78)+($E$9*B78)</f>
        <v>1657.8769446185672</v>
      </c>
      <c r="F78" s="121">
        <f t="shared" si="2"/>
        <v>700.0329059445254</v>
      </c>
    </row>
    <row r="79" spans="2:6" ht="13" thickBot="1" x14ac:dyDescent="0.3">
      <c r="B79" s="105">
        <f t="shared" si="4"/>
        <v>70</v>
      </c>
      <c r="C79" s="116">
        <f t="shared" si="5"/>
        <v>0.7000000000000004</v>
      </c>
      <c r="D79" s="117">
        <f t="shared" si="6"/>
        <v>957.84403867404183</v>
      </c>
      <c r="E79" s="318">
        <f>(($E$8*'Conversion Factors'!$M$5)*C79)+($E$9*B79)</f>
        <v>1681.9041467144887</v>
      </c>
      <c r="F79" s="121">
        <f t="shared" ref="F79" si="7">E79-D79</f>
        <v>724.06010804044683</v>
      </c>
    </row>
    <row r="80" spans="2:6" ht="13" thickBot="1" x14ac:dyDescent="0.3"/>
    <row r="81" spans="2:8" ht="50.5" thickBot="1" x14ac:dyDescent="0.3">
      <c r="B81" s="122" t="s">
        <v>109</v>
      </c>
      <c r="C81" s="123" t="s">
        <v>110</v>
      </c>
      <c r="D81" s="124" t="s">
        <v>108</v>
      </c>
    </row>
    <row r="82" spans="2:8" x14ac:dyDescent="0.25">
      <c r="B82" s="108">
        <v>5</v>
      </c>
      <c r="C82" s="120" t="e">
        <f>(D82-(B82*$E$9))/('Cost sensitivity'!$E$8*'HP Calcs'!#REF!)</f>
        <v>#REF!</v>
      </c>
      <c r="D82" s="121">
        <f>B82*'HP Calcs'!$C$10</f>
        <v>224.67020907197445</v>
      </c>
      <c r="H82" s="130"/>
    </row>
    <row r="83" spans="2:8" x14ac:dyDescent="0.25">
      <c r="B83" s="103">
        <f t="shared" ref="B83:B146" si="8">B82+1</f>
        <v>6</v>
      </c>
      <c r="C83" s="120" t="e">
        <f>(D83-(B83*$E$9))/('Cost sensitivity'!$E$8*'HP Calcs'!#REF!)</f>
        <v>#REF!</v>
      </c>
      <c r="D83" s="121">
        <f>B83*'HP Calcs'!$C$10</f>
        <v>269.6042508863693</v>
      </c>
    </row>
    <row r="84" spans="2:8" x14ac:dyDescent="0.25">
      <c r="B84" s="103">
        <f t="shared" si="8"/>
        <v>7</v>
      </c>
      <c r="C84" s="120" t="e">
        <f>(D84-(B84*$E$9))/('Cost sensitivity'!$E$8*'HP Calcs'!#REF!)</f>
        <v>#REF!</v>
      </c>
      <c r="D84" s="121">
        <f>B84*'HP Calcs'!$C$10</f>
        <v>314.5382927007642</v>
      </c>
    </row>
    <row r="85" spans="2:8" x14ac:dyDescent="0.25">
      <c r="B85" s="103">
        <f t="shared" si="8"/>
        <v>8</v>
      </c>
      <c r="C85" s="120" t="e">
        <f>(D85-(B85*$E$9))/('Cost sensitivity'!$E$8*'HP Calcs'!#REF!)</f>
        <v>#REF!</v>
      </c>
      <c r="D85" s="121">
        <f>B85*'HP Calcs'!$C$10</f>
        <v>359.4723345151591</v>
      </c>
    </row>
    <row r="86" spans="2:8" x14ac:dyDescent="0.25">
      <c r="B86" s="103">
        <f t="shared" si="8"/>
        <v>9</v>
      </c>
      <c r="C86" s="120" t="e">
        <f>(D86-(B86*$E$9))/('Cost sensitivity'!$E$8*'HP Calcs'!#REF!)</f>
        <v>#REF!</v>
      </c>
      <c r="D86" s="121">
        <f>B86*'HP Calcs'!$C$10</f>
        <v>404.40637632955401</v>
      </c>
    </row>
    <row r="87" spans="2:8" x14ac:dyDescent="0.25">
      <c r="B87" s="103">
        <f t="shared" si="8"/>
        <v>10</v>
      </c>
      <c r="C87" s="120" t="e">
        <f>(D87-(B87*$E$9))/('Cost sensitivity'!$E$8*'HP Calcs'!#REF!)</f>
        <v>#REF!</v>
      </c>
      <c r="D87" s="121">
        <f>B87*'HP Calcs'!$C$10</f>
        <v>449.34041814394891</v>
      </c>
    </row>
    <row r="88" spans="2:8" x14ac:dyDescent="0.25">
      <c r="B88" s="103">
        <f t="shared" si="8"/>
        <v>11</v>
      </c>
      <c r="C88" s="120" t="e">
        <f>(D88-(B88*$E$9))/('Cost sensitivity'!$E$8*'HP Calcs'!#REF!)</f>
        <v>#REF!</v>
      </c>
      <c r="D88" s="121">
        <f>B88*'HP Calcs'!$C$10</f>
        <v>494.27445995834375</v>
      </c>
    </row>
    <row r="89" spans="2:8" x14ac:dyDescent="0.25">
      <c r="B89" s="103">
        <f t="shared" si="8"/>
        <v>12</v>
      </c>
      <c r="C89" s="120" t="e">
        <f>(D89-(B89*$E$9))/('Cost sensitivity'!$E$8*'HP Calcs'!#REF!)</f>
        <v>#REF!</v>
      </c>
      <c r="D89" s="121">
        <f>B89*'HP Calcs'!$C$10</f>
        <v>539.2085017727386</v>
      </c>
    </row>
    <row r="90" spans="2:8" x14ac:dyDescent="0.25">
      <c r="B90" s="103">
        <f t="shared" si="8"/>
        <v>13</v>
      </c>
      <c r="C90" s="120" t="e">
        <f>(D90-(B90*$E$9))/('Cost sensitivity'!$E$8*'HP Calcs'!#REF!)</f>
        <v>#REF!</v>
      </c>
      <c r="D90" s="121">
        <f>B90*'HP Calcs'!$C$10</f>
        <v>584.14254358713356</v>
      </c>
    </row>
    <row r="91" spans="2:8" x14ac:dyDescent="0.25">
      <c r="B91" s="103">
        <f t="shared" si="8"/>
        <v>14</v>
      </c>
      <c r="C91" s="120" t="e">
        <f>(D91-(B91*$E$9))/('Cost sensitivity'!$E$8*'HP Calcs'!#REF!)</f>
        <v>#REF!</v>
      </c>
      <c r="D91" s="121">
        <f>B91*'HP Calcs'!$C$10</f>
        <v>629.0765854015284</v>
      </c>
    </row>
    <row r="92" spans="2:8" x14ac:dyDescent="0.25">
      <c r="B92" s="103">
        <f t="shared" si="8"/>
        <v>15</v>
      </c>
      <c r="C92" s="120" t="e">
        <f>(D92-(B92*$E$9))/('Cost sensitivity'!$E$8*'HP Calcs'!#REF!)</f>
        <v>#REF!</v>
      </c>
      <c r="D92" s="121">
        <f>B92*'HP Calcs'!$C$10</f>
        <v>674.01062721592336</v>
      </c>
    </row>
    <row r="93" spans="2:8" x14ac:dyDescent="0.25">
      <c r="B93" s="103">
        <f t="shared" si="8"/>
        <v>16</v>
      </c>
      <c r="C93" s="120" t="e">
        <f>(D93-(B93*$E$9))/('Cost sensitivity'!$E$8*'HP Calcs'!#REF!)</f>
        <v>#REF!</v>
      </c>
      <c r="D93" s="121">
        <f>B93*'HP Calcs'!$C$10</f>
        <v>718.94466903031821</v>
      </c>
    </row>
    <row r="94" spans="2:8" x14ac:dyDescent="0.25">
      <c r="B94" s="103">
        <f t="shared" si="8"/>
        <v>17</v>
      </c>
      <c r="C94" s="120" t="e">
        <f>(D94-(B94*$E$9))/('Cost sensitivity'!$E$8*'HP Calcs'!#REF!)</f>
        <v>#REF!</v>
      </c>
      <c r="D94" s="121">
        <f>B94*'HP Calcs'!$C$10</f>
        <v>763.87871084471305</v>
      </c>
    </row>
    <row r="95" spans="2:8" x14ac:dyDescent="0.25">
      <c r="B95" s="103">
        <f t="shared" si="8"/>
        <v>18</v>
      </c>
      <c r="C95" s="120" t="e">
        <f>(D95-(B95*$E$9))/('Cost sensitivity'!$E$8*'HP Calcs'!#REF!)</f>
        <v>#REF!</v>
      </c>
      <c r="D95" s="121">
        <f>B95*'HP Calcs'!$C$10</f>
        <v>808.81275265910801</v>
      </c>
    </row>
    <row r="96" spans="2:8" x14ac:dyDescent="0.25">
      <c r="B96" s="103">
        <f t="shared" si="8"/>
        <v>19</v>
      </c>
      <c r="C96" s="120" t="e">
        <f>(D96-(B96*$E$9))/('Cost sensitivity'!$E$8*'HP Calcs'!#REF!)</f>
        <v>#REF!</v>
      </c>
      <c r="D96" s="121">
        <f>B96*'HP Calcs'!$C$10</f>
        <v>853.74679447350286</v>
      </c>
    </row>
    <row r="97" spans="2:4" x14ac:dyDescent="0.25">
      <c r="B97" s="103">
        <f t="shared" si="8"/>
        <v>20</v>
      </c>
      <c r="C97" s="120" t="e">
        <f>(D97-(B97*$E$9))/('Cost sensitivity'!$E$8*'HP Calcs'!#REF!)</f>
        <v>#REF!</v>
      </c>
      <c r="D97" s="121">
        <f>B97*'HP Calcs'!$C$10</f>
        <v>898.68083628789782</v>
      </c>
    </row>
    <row r="98" spans="2:4" x14ac:dyDescent="0.25">
      <c r="B98" s="103">
        <f t="shared" si="8"/>
        <v>21</v>
      </c>
      <c r="C98" s="120" t="e">
        <f>(D98-(B98*$E$9))/('Cost sensitivity'!$E$8*'HP Calcs'!#REF!)</f>
        <v>#REF!</v>
      </c>
      <c r="D98" s="121">
        <f>B98*'HP Calcs'!$C$10</f>
        <v>943.61487810229266</v>
      </c>
    </row>
    <row r="99" spans="2:4" x14ac:dyDescent="0.25">
      <c r="B99" s="103">
        <f t="shared" si="8"/>
        <v>22</v>
      </c>
      <c r="C99" s="120" t="e">
        <f>(D99-(B99*$E$9))/('Cost sensitivity'!$E$8*'HP Calcs'!#REF!)</f>
        <v>#REF!</v>
      </c>
      <c r="D99" s="121">
        <f>B99*'HP Calcs'!$C$10</f>
        <v>988.54891991668751</v>
      </c>
    </row>
    <row r="100" spans="2:4" x14ac:dyDescent="0.25">
      <c r="B100" s="103">
        <f t="shared" si="8"/>
        <v>23</v>
      </c>
      <c r="C100" s="120" t="e">
        <f>(D100-(B100*$E$9))/('Cost sensitivity'!$E$8*'HP Calcs'!#REF!)</f>
        <v>#REF!</v>
      </c>
      <c r="D100" s="121">
        <f>B100*'HP Calcs'!$C$10</f>
        <v>1033.4829617310825</v>
      </c>
    </row>
    <row r="101" spans="2:4" x14ac:dyDescent="0.25">
      <c r="B101" s="103">
        <f t="shared" si="8"/>
        <v>24</v>
      </c>
      <c r="C101" s="120" t="e">
        <f>(D101-(B101*$E$9))/('Cost sensitivity'!$E$8*'HP Calcs'!#REF!)</f>
        <v>#REF!</v>
      </c>
      <c r="D101" s="121">
        <f>B101*'HP Calcs'!$C$10</f>
        <v>1078.4170035454772</v>
      </c>
    </row>
    <row r="102" spans="2:4" x14ac:dyDescent="0.25">
      <c r="B102" s="103">
        <f t="shared" si="8"/>
        <v>25</v>
      </c>
      <c r="C102" s="120" t="e">
        <f>(D102-(B102*$E$9))/('Cost sensitivity'!$E$8*'HP Calcs'!#REF!)</f>
        <v>#REF!</v>
      </c>
      <c r="D102" s="121">
        <f>B102*'HP Calcs'!$C$10</f>
        <v>1123.3510453598722</v>
      </c>
    </row>
    <row r="103" spans="2:4" x14ac:dyDescent="0.25">
      <c r="B103" s="103">
        <f t="shared" si="8"/>
        <v>26</v>
      </c>
      <c r="C103" s="120" t="e">
        <f>(D103-(B103*$E$9))/('Cost sensitivity'!$E$8*'HP Calcs'!#REF!)</f>
        <v>#REF!</v>
      </c>
      <c r="D103" s="121">
        <f>B103*'HP Calcs'!$C$10</f>
        <v>1168.2850871742671</v>
      </c>
    </row>
    <row r="104" spans="2:4" x14ac:dyDescent="0.25">
      <c r="B104" s="103">
        <f t="shared" si="8"/>
        <v>27</v>
      </c>
      <c r="C104" s="120" t="e">
        <f>(D104-(B104*$E$9))/('Cost sensitivity'!$E$8*'HP Calcs'!#REF!)</f>
        <v>#REF!</v>
      </c>
      <c r="D104" s="121">
        <f>B104*'HP Calcs'!$C$10</f>
        <v>1213.2191289886621</v>
      </c>
    </row>
    <row r="105" spans="2:4" x14ac:dyDescent="0.25">
      <c r="B105" s="103">
        <f t="shared" si="8"/>
        <v>28</v>
      </c>
      <c r="C105" s="120" t="e">
        <f>(D105-(B105*$E$9))/('Cost sensitivity'!$E$8*'HP Calcs'!#REF!)</f>
        <v>#REF!</v>
      </c>
      <c r="D105" s="121">
        <f>B105*'HP Calcs'!$C$10</f>
        <v>1258.1531708030568</v>
      </c>
    </row>
    <row r="106" spans="2:4" x14ac:dyDescent="0.25">
      <c r="B106" s="103">
        <f t="shared" si="8"/>
        <v>29</v>
      </c>
      <c r="C106" s="120" t="e">
        <f>(D106-(B106*$E$9))/('Cost sensitivity'!$E$8*'HP Calcs'!#REF!)</f>
        <v>#REF!</v>
      </c>
      <c r="D106" s="121">
        <f>B106*'HP Calcs'!$C$10</f>
        <v>1303.0872126174518</v>
      </c>
    </row>
    <row r="107" spans="2:4" x14ac:dyDescent="0.25">
      <c r="B107" s="103">
        <f t="shared" si="8"/>
        <v>30</v>
      </c>
      <c r="C107" s="120" t="e">
        <f>(D107-(B107*$E$9))/('Cost sensitivity'!$E$8*'HP Calcs'!#REF!)</f>
        <v>#REF!</v>
      </c>
      <c r="D107" s="121">
        <f>B107*'HP Calcs'!$C$10</f>
        <v>1348.0212544318467</v>
      </c>
    </row>
    <row r="108" spans="2:4" x14ac:dyDescent="0.25">
      <c r="B108" s="103">
        <f t="shared" si="8"/>
        <v>31</v>
      </c>
      <c r="C108" s="120" t="e">
        <f>(D108-(B108*$E$9))/('Cost sensitivity'!$E$8*'HP Calcs'!#REF!)</f>
        <v>#REF!</v>
      </c>
      <c r="D108" s="121">
        <f>B108*'HP Calcs'!$C$10</f>
        <v>1392.9552962462415</v>
      </c>
    </row>
    <row r="109" spans="2:4" x14ac:dyDescent="0.25">
      <c r="B109" s="103">
        <f t="shared" si="8"/>
        <v>32</v>
      </c>
      <c r="C109" s="120" t="e">
        <f>(D109-(B109*$E$9))/('Cost sensitivity'!$E$8*'HP Calcs'!#REF!)</f>
        <v>#REF!</v>
      </c>
      <c r="D109" s="121">
        <f>B109*'HP Calcs'!$C$10</f>
        <v>1437.8893380606364</v>
      </c>
    </row>
    <row r="110" spans="2:4" x14ac:dyDescent="0.25">
      <c r="B110" s="103">
        <f t="shared" si="8"/>
        <v>33</v>
      </c>
      <c r="C110" s="120" t="e">
        <f>(D110-(B110*$E$9))/('Cost sensitivity'!$E$8*'HP Calcs'!#REF!)</f>
        <v>#REF!</v>
      </c>
      <c r="D110" s="121">
        <f>B110*'HP Calcs'!$C$10</f>
        <v>1482.8233798750314</v>
      </c>
    </row>
    <row r="111" spans="2:4" x14ac:dyDescent="0.25">
      <c r="B111" s="103">
        <f t="shared" si="8"/>
        <v>34</v>
      </c>
      <c r="C111" s="120" t="e">
        <f>(D111-(B111*$E$9))/('Cost sensitivity'!$E$8*'HP Calcs'!#REF!)</f>
        <v>#REF!</v>
      </c>
      <c r="D111" s="121">
        <f>B111*'HP Calcs'!$C$10</f>
        <v>1527.7574216894261</v>
      </c>
    </row>
    <row r="112" spans="2:4" x14ac:dyDescent="0.25">
      <c r="B112" s="103">
        <f t="shared" si="8"/>
        <v>35</v>
      </c>
      <c r="C112" s="120" t="e">
        <f>(D112-(B112*$E$9))/('Cost sensitivity'!$E$8*'HP Calcs'!#REF!)</f>
        <v>#REF!</v>
      </c>
      <c r="D112" s="121">
        <f>B112*'HP Calcs'!$C$10</f>
        <v>1572.6914635038211</v>
      </c>
    </row>
    <row r="113" spans="2:4" x14ac:dyDescent="0.25">
      <c r="B113" s="103">
        <f t="shared" si="8"/>
        <v>36</v>
      </c>
      <c r="C113" s="120" t="e">
        <f>(D113-(B113*$E$9))/('Cost sensitivity'!$E$8*'HP Calcs'!#REF!)</f>
        <v>#REF!</v>
      </c>
      <c r="D113" s="121">
        <f>B113*'HP Calcs'!$C$10</f>
        <v>1617.625505318216</v>
      </c>
    </row>
    <row r="114" spans="2:4" x14ac:dyDescent="0.25">
      <c r="B114" s="103">
        <f t="shared" si="8"/>
        <v>37</v>
      </c>
      <c r="C114" s="120" t="e">
        <f>(D114-(B114*$E$9))/('Cost sensitivity'!$E$8*'HP Calcs'!#REF!)</f>
        <v>#REF!</v>
      </c>
      <c r="D114" s="121">
        <f>B114*'HP Calcs'!$C$10</f>
        <v>1662.5595471326108</v>
      </c>
    </row>
    <row r="115" spans="2:4" x14ac:dyDescent="0.25">
      <c r="B115" s="103">
        <f t="shared" si="8"/>
        <v>38</v>
      </c>
      <c r="C115" s="120" t="e">
        <f>(D115-(B115*$E$9))/('Cost sensitivity'!$E$8*'HP Calcs'!#REF!)</f>
        <v>#REF!</v>
      </c>
      <c r="D115" s="121">
        <f>B115*'HP Calcs'!$C$10</f>
        <v>1707.4935889470057</v>
      </c>
    </row>
    <row r="116" spans="2:4" x14ac:dyDescent="0.25">
      <c r="B116" s="103">
        <f t="shared" si="8"/>
        <v>39</v>
      </c>
      <c r="C116" s="120" t="e">
        <f>(D116-(B116*$E$9))/('Cost sensitivity'!$E$8*'HP Calcs'!#REF!)</f>
        <v>#REF!</v>
      </c>
      <c r="D116" s="121">
        <f>B116*'HP Calcs'!$C$10</f>
        <v>1752.4276307614007</v>
      </c>
    </row>
    <row r="117" spans="2:4" x14ac:dyDescent="0.25">
      <c r="B117" s="103">
        <f t="shared" si="8"/>
        <v>40</v>
      </c>
      <c r="C117" s="120" t="e">
        <f>(D117-(B117*$E$9))/('Cost sensitivity'!$E$8*'HP Calcs'!#REF!)</f>
        <v>#REF!</v>
      </c>
      <c r="D117" s="121">
        <f>B117*'HP Calcs'!$C$10</f>
        <v>1797.3616725757956</v>
      </c>
    </row>
    <row r="118" spans="2:4" x14ac:dyDescent="0.25">
      <c r="B118" s="103">
        <f t="shared" si="8"/>
        <v>41</v>
      </c>
      <c r="C118" s="120" t="e">
        <f>(D118-(B118*$E$9))/('Cost sensitivity'!$E$8*'HP Calcs'!#REF!)</f>
        <v>#REF!</v>
      </c>
      <c r="D118" s="121">
        <f>B118*'HP Calcs'!$C$10</f>
        <v>1842.2957143901904</v>
      </c>
    </row>
    <row r="119" spans="2:4" x14ac:dyDescent="0.25">
      <c r="B119" s="103">
        <f t="shared" si="8"/>
        <v>42</v>
      </c>
      <c r="C119" s="120" t="e">
        <f>(D119-(B119*$E$9))/('Cost sensitivity'!$E$8*'HP Calcs'!#REF!)</f>
        <v>#REF!</v>
      </c>
      <c r="D119" s="121">
        <f>B119*'HP Calcs'!$C$10</f>
        <v>1887.2297562045853</v>
      </c>
    </row>
    <row r="120" spans="2:4" x14ac:dyDescent="0.25">
      <c r="B120" s="103">
        <f t="shared" si="8"/>
        <v>43</v>
      </c>
      <c r="C120" s="120" t="e">
        <f>(D120-(B120*$E$9))/('Cost sensitivity'!$E$8*'HP Calcs'!#REF!)</f>
        <v>#REF!</v>
      </c>
      <c r="D120" s="121">
        <f>B120*'HP Calcs'!$C$10</f>
        <v>1932.1637980189803</v>
      </c>
    </row>
    <row r="121" spans="2:4" x14ac:dyDescent="0.25">
      <c r="B121" s="103">
        <f t="shared" si="8"/>
        <v>44</v>
      </c>
      <c r="C121" s="120" t="e">
        <f>(D121-(B121*$E$9))/('Cost sensitivity'!$E$8*'HP Calcs'!#REF!)</f>
        <v>#REF!</v>
      </c>
      <c r="D121" s="121">
        <f>B121*'HP Calcs'!$C$10</f>
        <v>1977.097839833375</v>
      </c>
    </row>
    <row r="122" spans="2:4" x14ac:dyDescent="0.25">
      <c r="B122" s="103">
        <f t="shared" si="8"/>
        <v>45</v>
      </c>
      <c r="C122" s="120" t="e">
        <f>(D122-(B122*$E$9))/('Cost sensitivity'!$E$8*'HP Calcs'!#REF!)</f>
        <v>#REF!</v>
      </c>
      <c r="D122" s="121">
        <f>B122*'HP Calcs'!$C$10</f>
        <v>2022.03188164777</v>
      </c>
    </row>
    <row r="123" spans="2:4" x14ac:dyDescent="0.25">
      <c r="B123" s="103">
        <f t="shared" si="8"/>
        <v>46</v>
      </c>
      <c r="C123" s="120" t="e">
        <f>(D123-(B123*$E$9))/('Cost sensitivity'!$E$8*'HP Calcs'!#REF!)</f>
        <v>#REF!</v>
      </c>
      <c r="D123" s="121">
        <f>B123*'HP Calcs'!$C$10</f>
        <v>2066.9659234621649</v>
      </c>
    </row>
    <row r="124" spans="2:4" x14ac:dyDescent="0.25">
      <c r="B124" s="103">
        <f t="shared" si="8"/>
        <v>47</v>
      </c>
      <c r="C124" s="120" t="e">
        <f>(D124-(B124*$E$9))/('Cost sensitivity'!$E$8*'HP Calcs'!#REF!)</f>
        <v>#REF!</v>
      </c>
      <c r="D124" s="121">
        <f>B124*'HP Calcs'!$C$10</f>
        <v>2111.8999652765597</v>
      </c>
    </row>
    <row r="125" spans="2:4" x14ac:dyDescent="0.25">
      <c r="B125" s="103">
        <f t="shared" si="8"/>
        <v>48</v>
      </c>
      <c r="C125" s="120" t="e">
        <f>(D125-(B125*$E$9))/('Cost sensitivity'!$E$8*'HP Calcs'!#REF!)</f>
        <v>#REF!</v>
      </c>
      <c r="D125" s="121">
        <f>B125*'HP Calcs'!$C$10</f>
        <v>2156.8340070909544</v>
      </c>
    </row>
    <row r="126" spans="2:4" x14ac:dyDescent="0.25">
      <c r="B126" s="103">
        <f t="shared" si="8"/>
        <v>49</v>
      </c>
      <c r="C126" s="120" t="e">
        <f>(D126-(B126*$E$9))/('Cost sensitivity'!$E$8*'HP Calcs'!#REF!)</f>
        <v>#REF!</v>
      </c>
      <c r="D126" s="121">
        <f>B126*'HP Calcs'!$C$10</f>
        <v>2201.7680489053496</v>
      </c>
    </row>
    <row r="127" spans="2:4" x14ac:dyDescent="0.25">
      <c r="B127" s="103">
        <f t="shared" si="8"/>
        <v>50</v>
      </c>
      <c r="C127" s="120" t="e">
        <f>(D127-(B127*$E$9))/('Cost sensitivity'!$E$8*'HP Calcs'!#REF!)</f>
        <v>#REF!</v>
      </c>
      <c r="D127" s="121">
        <f>B127*'HP Calcs'!$C$10</f>
        <v>2246.7020907197443</v>
      </c>
    </row>
    <row r="128" spans="2:4" x14ac:dyDescent="0.25">
      <c r="B128" s="103">
        <f t="shared" si="8"/>
        <v>51</v>
      </c>
      <c r="C128" s="120" t="e">
        <f>(D128-(B128*$E$9))/('Cost sensitivity'!$E$8*'HP Calcs'!#REF!)</f>
        <v>#REF!</v>
      </c>
      <c r="D128" s="121">
        <f>B128*'HP Calcs'!$C$10</f>
        <v>2291.6361325341395</v>
      </c>
    </row>
    <row r="129" spans="2:4" x14ac:dyDescent="0.25">
      <c r="B129" s="103">
        <f t="shared" si="8"/>
        <v>52</v>
      </c>
      <c r="C129" s="120" t="e">
        <f>(D129-(B129*$E$9))/('Cost sensitivity'!$E$8*'HP Calcs'!#REF!)</f>
        <v>#REF!</v>
      </c>
      <c r="D129" s="121">
        <f>B129*'HP Calcs'!$C$10</f>
        <v>2336.5701743485342</v>
      </c>
    </row>
    <row r="130" spans="2:4" x14ac:dyDescent="0.25">
      <c r="B130" s="103">
        <f t="shared" si="8"/>
        <v>53</v>
      </c>
      <c r="C130" s="120" t="e">
        <f>(D130-(B130*$E$9))/('Cost sensitivity'!$E$8*'HP Calcs'!#REF!)</f>
        <v>#REF!</v>
      </c>
      <c r="D130" s="121">
        <f>B130*'HP Calcs'!$C$10</f>
        <v>2381.504216162929</v>
      </c>
    </row>
    <row r="131" spans="2:4" x14ac:dyDescent="0.25">
      <c r="B131" s="103">
        <f t="shared" si="8"/>
        <v>54</v>
      </c>
      <c r="C131" s="120" t="e">
        <f>(D131-(B131*$E$9))/('Cost sensitivity'!$E$8*'HP Calcs'!#REF!)</f>
        <v>#REF!</v>
      </c>
      <c r="D131" s="121">
        <f>B131*'HP Calcs'!$C$10</f>
        <v>2426.4382579773242</v>
      </c>
    </row>
    <row r="132" spans="2:4" x14ac:dyDescent="0.25">
      <c r="B132" s="103">
        <f t="shared" si="8"/>
        <v>55</v>
      </c>
      <c r="C132" s="120" t="e">
        <f>(D132-(B132*$E$9))/('Cost sensitivity'!$E$8*'HP Calcs'!#REF!)</f>
        <v>#REF!</v>
      </c>
      <c r="D132" s="121">
        <f>B132*'HP Calcs'!$C$10</f>
        <v>2471.3722997917189</v>
      </c>
    </row>
    <row r="133" spans="2:4" x14ac:dyDescent="0.25">
      <c r="B133" s="103">
        <f t="shared" si="8"/>
        <v>56</v>
      </c>
      <c r="C133" s="120" t="e">
        <f>(D133-(B133*$E$9))/('Cost sensitivity'!$E$8*'HP Calcs'!#REF!)</f>
        <v>#REF!</v>
      </c>
      <c r="D133" s="121">
        <f>B133*'HP Calcs'!$C$10</f>
        <v>2516.3063416061136</v>
      </c>
    </row>
    <row r="134" spans="2:4" x14ac:dyDescent="0.25">
      <c r="B134" s="103">
        <f t="shared" si="8"/>
        <v>57</v>
      </c>
      <c r="C134" s="120" t="e">
        <f>(D134-(B134*$E$9))/('Cost sensitivity'!$E$8*'HP Calcs'!#REF!)</f>
        <v>#REF!</v>
      </c>
      <c r="D134" s="121">
        <f>B134*'HP Calcs'!$C$10</f>
        <v>2561.2403834205088</v>
      </c>
    </row>
    <row r="135" spans="2:4" x14ac:dyDescent="0.25">
      <c r="B135" s="103">
        <f t="shared" si="8"/>
        <v>58</v>
      </c>
      <c r="C135" s="120" t="e">
        <f>(D135-(B135*$E$9))/('Cost sensitivity'!$E$8*'HP Calcs'!#REF!)</f>
        <v>#REF!</v>
      </c>
      <c r="D135" s="121">
        <f>B135*'HP Calcs'!$C$10</f>
        <v>2606.1744252349035</v>
      </c>
    </row>
    <row r="136" spans="2:4" x14ac:dyDescent="0.25">
      <c r="B136" s="103">
        <f t="shared" si="8"/>
        <v>59</v>
      </c>
      <c r="C136" s="120" t="e">
        <f>(D136-(B136*$E$9))/('Cost sensitivity'!$E$8*'HP Calcs'!#REF!)</f>
        <v>#REF!</v>
      </c>
      <c r="D136" s="121">
        <f>B136*'HP Calcs'!$C$10</f>
        <v>2651.1084670492983</v>
      </c>
    </row>
    <row r="137" spans="2:4" x14ac:dyDescent="0.25">
      <c r="B137" s="103">
        <f t="shared" si="8"/>
        <v>60</v>
      </c>
      <c r="C137" s="120" t="e">
        <f>(D137-(B137*$E$9))/('Cost sensitivity'!$E$8*'HP Calcs'!#REF!)</f>
        <v>#REF!</v>
      </c>
      <c r="D137" s="121">
        <f>B137*'HP Calcs'!$C$10</f>
        <v>2696.0425088636935</v>
      </c>
    </row>
    <row r="138" spans="2:4" x14ac:dyDescent="0.25">
      <c r="B138" s="103">
        <f t="shared" si="8"/>
        <v>61</v>
      </c>
      <c r="C138" s="120" t="e">
        <f>(D138-(B138*$E$9))/('Cost sensitivity'!$E$8*'HP Calcs'!#REF!)</f>
        <v>#REF!</v>
      </c>
      <c r="D138" s="121">
        <f>B138*'HP Calcs'!$C$10</f>
        <v>2740.9765506780882</v>
      </c>
    </row>
    <row r="139" spans="2:4" x14ac:dyDescent="0.25">
      <c r="B139" s="103">
        <f t="shared" si="8"/>
        <v>62</v>
      </c>
      <c r="C139" s="120" t="e">
        <f>(D139-(B139*$E$9))/('Cost sensitivity'!$E$8*'HP Calcs'!#REF!)</f>
        <v>#REF!</v>
      </c>
      <c r="D139" s="121">
        <f>B139*'HP Calcs'!$C$10</f>
        <v>2785.9105924924829</v>
      </c>
    </row>
    <row r="140" spans="2:4" x14ac:dyDescent="0.25">
      <c r="B140" s="103">
        <f t="shared" si="8"/>
        <v>63</v>
      </c>
      <c r="C140" s="120" t="e">
        <f>(D140-(B140*$E$9))/('Cost sensitivity'!$E$8*'HP Calcs'!#REF!)</f>
        <v>#REF!</v>
      </c>
      <c r="D140" s="121">
        <f>B140*'HP Calcs'!$C$10</f>
        <v>2830.8446343068781</v>
      </c>
    </row>
    <row r="141" spans="2:4" x14ac:dyDescent="0.25">
      <c r="B141" s="103">
        <f t="shared" si="8"/>
        <v>64</v>
      </c>
      <c r="C141" s="120" t="e">
        <f>(D141-(B141*$E$9))/('Cost sensitivity'!$E$8*'HP Calcs'!#REF!)</f>
        <v>#REF!</v>
      </c>
      <c r="D141" s="121">
        <f>B141*'HP Calcs'!$C$10</f>
        <v>2875.7786761212728</v>
      </c>
    </row>
    <row r="142" spans="2:4" x14ac:dyDescent="0.25">
      <c r="B142" s="103">
        <f t="shared" si="8"/>
        <v>65</v>
      </c>
      <c r="C142" s="120" t="e">
        <f>(D142-(B142*$E$9))/('Cost sensitivity'!$E$8*'HP Calcs'!#REF!)</f>
        <v>#REF!</v>
      </c>
      <c r="D142" s="121">
        <f>B142*'HP Calcs'!$C$10</f>
        <v>2920.7127179356676</v>
      </c>
    </row>
    <row r="143" spans="2:4" x14ac:dyDescent="0.25">
      <c r="B143" s="103">
        <f t="shared" si="8"/>
        <v>66</v>
      </c>
      <c r="C143" s="120" t="e">
        <f>(D143-(B143*$E$9))/('Cost sensitivity'!$E$8*'HP Calcs'!#REF!)</f>
        <v>#REF!</v>
      </c>
      <c r="D143" s="121">
        <f>B143*'HP Calcs'!$C$10</f>
        <v>2965.6467597500628</v>
      </c>
    </row>
    <row r="144" spans="2:4" x14ac:dyDescent="0.25">
      <c r="B144" s="103">
        <f t="shared" si="8"/>
        <v>67</v>
      </c>
      <c r="C144" s="120" t="e">
        <f>(D144-(B144*$E$9))/('Cost sensitivity'!$E$8*'HP Calcs'!#REF!)</f>
        <v>#REF!</v>
      </c>
      <c r="D144" s="121">
        <f>B144*'HP Calcs'!$C$10</f>
        <v>3010.5808015644575</v>
      </c>
    </row>
    <row r="145" spans="2:4" x14ac:dyDescent="0.25">
      <c r="B145" s="103">
        <f t="shared" si="8"/>
        <v>68</v>
      </c>
      <c r="C145" s="120" t="e">
        <f>(D145-(B145*$E$9))/('Cost sensitivity'!$E$8*'HP Calcs'!#REF!)</f>
        <v>#REF!</v>
      </c>
      <c r="D145" s="121">
        <f>B145*'HP Calcs'!$C$10</f>
        <v>3055.5148433788522</v>
      </c>
    </row>
    <row r="146" spans="2:4" x14ac:dyDescent="0.25">
      <c r="B146" s="103">
        <f t="shared" si="8"/>
        <v>69</v>
      </c>
      <c r="C146" s="120" t="e">
        <f>(D146-(B146*$E$9))/('Cost sensitivity'!$E$8*'HP Calcs'!#REF!)</f>
        <v>#REF!</v>
      </c>
      <c r="D146" s="121">
        <f>B146*'HP Calcs'!$C$10</f>
        <v>3100.4488851932474</v>
      </c>
    </row>
    <row r="147" spans="2:4" ht="13" thickBot="1" x14ac:dyDescent="0.3">
      <c r="B147" s="105">
        <f t="shared" ref="B147" si="9">B146+1</f>
        <v>70</v>
      </c>
      <c r="C147" s="131" t="e">
        <f>(D147-(B147*$E$9))/('Cost sensitivity'!$E$8*'HP Calcs'!#REF!)</f>
        <v>#REF!</v>
      </c>
      <c r="D147" s="132">
        <f>B147*'HP Calcs'!$C$10</f>
        <v>3145.3829270076421</v>
      </c>
    </row>
  </sheetData>
  <scenarios current="0">
    <scenario name="Cross-over-electricity" count="1" user="Percy, Lewis" comment="Created by Percy, Lewis on 3/23/2023">
      <inputCells r="C83" val="0.65"/>
    </scenario>
  </scenarios>
  <mergeCells count="3">
    <mergeCell ref="B4:D4"/>
    <mergeCell ref="B5:D5"/>
    <mergeCell ref="B6:D6"/>
  </mergeCell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F016A-961C-4583-9B9C-F20A7B1086D8}">
  <sheetPr codeName="Sheet7"/>
  <dimension ref="B2:O79"/>
  <sheetViews>
    <sheetView showGridLines="0" topLeftCell="A14" workbookViewId="0">
      <selection activeCell="B40" sqref="B40:E40"/>
    </sheetView>
  </sheetViews>
  <sheetFormatPr defaultColWidth="8.81640625" defaultRowHeight="12.5" x14ac:dyDescent="0.25"/>
  <cols>
    <col min="1" max="1" width="4.453125" customWidth="1"/>
    <col min="2" max="2" width="16.453125" customWidth="1"/>
    <col min="3" max="3" width="10.453125" bestFit="1" customWidth="1"/>
    <col min="4" max="4" width="14.453125" customWidth="1"/>
    <col min="5" max="5" width="12" bestFit="1" customWidth="1"/>
    <col min="6" max="6" width="10.81640625" bestFit="1" customWidth="1"/>
    <col min="7" max="7" width="13.453125" customWidth="1"/>
    <col min="11" max="11" width="9.1796875" customWidth="1"/>
    <col min="12" max="12" width="17" customWidth="1"/>
    <col min="18" max="18" width="9.1796875" customWidth="1"/>
  </cols>
  <sheetData>
    <row r="2" spans="2:5" ht="20" x14ac:dyDescent="0.4">
      <c r="B2" s="101" t="s">
        <v>117</v>
      </c>
    </row>
    <row r="3" spans="2:5" ht="13" thickBot="1" x14ac:dyDescent="0.3"/>
    <row r="4" spans="2:5" x14ac:dyDescent="0.25">
      <c r="B4" s="453" t="s">
        <v>119</v>
      </c>
      <c r="C4" s="454"/>
      <c r="D4" s="455"/>
      <c r="E4" s="128">
        <f>'HP Calcs'!$C$13</f>
        <v>2375.9760038871582</v>
      </c>
    </row>
    <row r="5" spans="2:5" x14ac:dyDescent="0.25">
      <c r="B5" s="456" t="s">
        <v>120</v>
      </c>
      <c r="C5" s="457"/>
      <c r="D5" s="458"/>
      <c r="E5" s="104">
        <f>'HP Calcs'!$C$17</f>
        <v>116.35420494271924</v>
      </c>
    </row>
    <row r="6" spans="2:5" ht="13" thickBot="1" x14ac:dyDescent="0.3">
      <c r="B6" s="459" t="s">
        <v>121</v>
      </c>
      <c r="C6" s="460"/>
      <c r="D6" s="461"/>
      <c r="E6" s="107">
        <f>'HP Calcs'!$C$19</f>
        <v>2492.3302088298774</v>
      </c>
    </row>
    <row r="7" spans="2:5" ht="13" thickBot="1" x14ac:dyDescent="0.3"/>
    <row r="8" spans="2:5" x14ac:dyDescent="0.25">
      <c r="B8" s="126" t="s">
        <v>105</v>
      </c>
      <c r="C8" s="127"/>
      <c r="D8" s="127"/>
      <c r="E8" s="311">
        <f>'HP Calcs'!E63</f>
        <v>8.6369054079924954</v>
      </c>
    </row>
    <row r="9" spans="2:5" ht="13" thickBot="1" x14ac:dyDescent="0.3">
      <c r="B9" s="105" t="s">
        <v>106</v>
      </c>
      <c r="C9" s="116"/>
      <c r="D9" s="116"/>
      <c r="E9" s="312">
        <f>'HP Calcs'!E65</f>
        <v>3.5778991707855229E-2</v>
      </c>
    </row>
    <row r="12" spans="2:5" ht="13" thickBot="1" x14ac:dyDescent="0.3"/>
    <row r="13" spans="2:5" ht="38" thickBot="1" x14ac:dyDescent="0.3">
      <c r="B13" s="111" t="s">
        <v>118</v>
      </c>
      <c r="C13" s="112" t="s">
        <v>122</v>
      </c>
      <c r="D13" s="112" t="s">
        <v>126</v>
      </c>
      <c r="E13" s="113" t="s">
        <v>127</v>
      </c>
    </row>
    <row r="14" spans="2:5" x14ac:dyDescent="0.25">
      <c r="B14" s="108">
        <v>0.8</v>
      </c>
      <c r="C14" s="109">
        <f>$E$6</f>
        <v>2492.3302088298774</v>
      </c>
      <c r="D14" s="109">
        <f>(($E$8*'Conversion Factors'!$M$5)*B14)+($E$9*'Conversion Factors'!$C$27)</f>
        <v>1921.2057330264633</v>
      </c>
      <c r="E14" s="110">
        <f>D14-C14</f>
        <v>-571.12447580341404</v>
      </c>
    </row>
    <row r="15" spans="2:5" x14ac:dyDescent="0.25">
      <c r="B15" s="103">
        <f>B14-0.01</f>
        <v>0.79</v>
      </c>
      <c r="C15" s="102">
        <f t="shared" ref="C15:C78" si="0">$E$6</f>
        <v>2492.3302088298774</v>
      </c>
      <c r="D15" s="109">
        <f>(($E$8*'Conversion Factors'!$M$5)*B15)+($E$9*'Conversion Factors'!$C$27)</f>
        <v>1897.2143099222499</v>
      </c>
      <c r="E15" s="110">
        <f t="shared" ref="E15:E78" si="1">D15-C15</f>
        <v>-595.11589890762752</v>
      </c>
    </row>
    <row r="16" spans="2:5" x14ac:dyDescent="0.25">
      <c r="B16" s="103">
        <f t="shared" ref="B16:B79" si="2">B15-0.01</f>
        <v>0.78</v>
      </c>
      <c r="C16" s="102">
        <f t="shared" si="0"/>
        <v>2492.3302088298774</v>
      </c>
      <c r="D16" s="109">
        <f>(($E$8*'Conversion Factors'!$M$5)*B16)+($E$9*'Conversion Factors'!$C$27)</f>
        <v>1873.2228868180366</v>
      </c>
      <c r="E16" s="110">
        <f t="shared" si="1"/>
        <v>-619.10732201184078</v>
      </c>
    </row>
    <row r="17" spans="2:5" x14ac:dyDescent="0.25">
      <c r="B17" s="103">
        <f t="shared" si="2"/>
        <v>0.77</v>
      </c>
      <c r="C17" s="102">
        <f t="shared" si="0"/>
        <v>2492.3302088298774</v>
      </c>
      <c r="D17" s="109">
        <f>(($E$8*'Conversion Factors'!$M$5)*B17)+($E$9*'Conversion Factors'!$C$27)</f>
        <v>1849.2314637138231</v>
      </c>
      <c r="E17" s="110">
        <f t="shared" si="1"/>
        <v>-643.09874511605426</v>
      </c>
    </row>
    <row r="18" spans="2:5" x14ac:dyDescent="0.25">
      <c r="B18" s="103">
        <f t="shared" si="2"/>
        <v>0.76</v>
      </c>
      <c r="C18" s="102">
        <f t="shared" si="0"/>
        <v>2492.3302088298774</v>
      </c>
      <c r="D18" s="109">
        <f>(($E$8*'Conversion Factors'!$M$5)*B18)+($E$9*'Conversion Factors'!$C$27)</f>
        <v>1825.2400406096097</v>
      </c>
      <c r="E18" s="110">
        <f t="shared" si="1"/>
        <v>-667.09016822026774</v>
      </c>
    </row>
    <row r="19" spans="2:5" x14ac:dyDescent="0.25">
      <c r="B19" s="103">
        <f t="shared" si="2"/>
        <v>0.75</v>
      </c>
      <c r="C19" s="102">
        <f t="shared" si="0"/>
        <v>2492.3302088298774</v>
      </c>
      <c r="D19" s="109">
        <f>(($E$8*'Conversion Factors'!$M$5)*B19)+($E$9*'Conversion Factors'!$C$27)</f>
        <v>1801.2486175053964</v>
      </c>
      <c r="E19" s="110">
        <f t="shared" si="1"/>
        <v>-691.081591324481</v>
      </c>
    </row>
    <row r="20" spans="2:5" x14ac:dyDescent="0.25">
      <c r="B20" s="103">
        <f t="shared" si="2"/>
        <v>0.74</v>
      </c>
      <c r="C20" s="102">
        <f t="shared" si="0"/>
        <v>2492.3302088298774</v>
      </c>
      <c r="D20" s="109">
        <f>(($E$8*'Conversion Factors'!$M$5)*B20)+($E$9*'Conversion Factors'!$C$27)</f>
        <v>1777.2571944011829</v>
      </c>
      <c r="E20" s="110">
        <f t="shared" si="1"/>
        <v>-715.07301442869448</v>
      </c>
    </row>
    <row r="21" spans="2:5" x14ac:dyDescent="0.25">
      <c r="B21" s="103">
        <f t="shared" si="2"/>
        <v>0.73</v>
      </c>
      <c r="C21" s="102">
        <f t="shared" si="0"/>
        <v>2492.3302088298774</v>
      </c>
      <c r="D21" s="109">
        <f>(($E$8*'Conversion Factors'!$M$5)*B21)+($E$9*'Conversion Factors'!$C$27)</f>
        <v>1753.2657712969694</v>
      </c>
      <c r="E21" s="110">
        <f t="shared" si="1"/>
        <v>-739.06443753290796</v>
      </c>
    </row>
    <row r="22" spans="2:5" x14ac:dyDescent="0.25">
      <c r="B22" s="103">
        <f t="shared" si="2"/>
        <v>0.72</v>
      </c>
      <c r="C22" s="102">
        <f t="shared" si="0"/>
        <v>2492.3302088298774</v>
      </c>
      <c r="D22" s="109">
        <f>(($E$8*'Conversion Factors'!$M$5)*B22)+($E$9*'Conversion Factors'!$C$27)</f>
        <v>1729.274348192756</v>
      </c>
      <c r="E22" s="110">
        <f t="shared" si="1"/>
        <v>-763.05586063712144</v>
      </c>
    </row>
    <row r="23" spans="2:5" x14ac:dyDescent="0.25">
      <c r="B23" s="103">
        <f t="shared" si="2"/>
        <v>0.71</v>
      </c>
      <c r="C23" s="102">
        <f t="shared" si="0"/>
        <v>2492.3302088298774</v>
      </c>
      <c r="D23" s="109">
        <f>(($E$8*'Conversion Factors'!$M$5)*B23)+($E$9*'Conversion Factors'!$C$27)</f>
        <v>1705.2829250885427</v>
      </c>
      <c r="E23" s="110">
        <f t="shared" si="1"/>
        <v>-787.0472837413347</v>
      </c>
    </row>
    <row r="24" spans="2:5" x14ac:dyDescent="0.25">
      <c r="B24" s="103">
        <f t="shared" si="2"/>
        <v>0.7</v>
      </c>
      <c r="C24" s="102">
        <f t="shared" si="0"/>
        <v>2492.3302088298774</v>
      </c>
      <c r="D24" s="109">
        <f>(($E$8*'Conversion Factors'!$M$5)*B24)+($E$9*'Conversion Factors'!$C$27)</f>
        <v>1681.2915019843292</v>
      </c>
      <c r="E24" s="110">
        <f t="shared" si="1"/>
        <v>-811.03870684554818</v>
      </c>
    </row>
    <row r="25" spans="2:5" x14ac:dyDescent="0.25">
      <c r="B25" s="103">
        <f t="shared" si="2"/>
        <v>0.69</v>
      </c>
      <c r="C25" s="102">
        <f t="shared" si="0"/>
        <v>2492.3302088298774</v>
      </c>
      <c r="D25" s="109">
        <f>(($E$8*'Conversion Factors'!$M$5)*B25)+($E$9*'Conversion Factors'!$C$27)</f>
        <v>1657.3000788801157</v>
      </c>
      <c r="E25" s="110">
        <f t="shared" si="1"/>
        <v>-835.03012994976166</v>
      </c>
    </row>
    <row r="26" spans="2:5" x14ac:dyDescent="0.25">
      <c r="B26" s="103">
        <f t="shared" si="2"/>
        <v>0.67999999999999994</v>
      </c>
      <c r="C26" s="102">
        <f t="shared" si="0"/>
        <v>2492.3302088298774</v>
      </c>
      <c r="D26" s="109">
        <f>(($E$8*'Conversion Factors'!$M$5)*B26)+($E$9*'Conversion Factors'!$C$27)</f>
        <v>1633.3086557759025</v>
      </c>
      <c r="E26" s="110">
        <f t="shared" si="1"/>
        <v>-859.02155305397491</v>
      </c>
    </row>
    <row r="27" spans="2:5" x14ac:dyDescent="0.25">
      <c r="B27" s="103">
        <f t="shared" si="2"/>
        <v>0.66999999999999993</v>
      </c>
      <c r="C27" s="102">
        <f t="shared" si="0"/>
        <v>2492.3302088298774</v>
      </c>
      <c r="D27" s="109">
        <f>(($E$8*'Conversion Factors'!$M$5)*B27)+($E$9*'Conversion Factors'!$C$27)</f>
        <v>1609.317232671689</v>
      </c>
      <c r="E27" s="110">
        <f t="shared" si="1"/>
        <v>-883.01297615818839</v>
      </c>
    </row>
    <row r="28" spans="2:5" x14ac:dyDescent="0.25">
      <c r="B28" s="103">
        <f t="shared" si="2"/>
        <v>0.65999999999999992</v>
      </c>
      <c r="C28" s="102">
        <f t="shared" si="0"/>
        <v>2492.3302088298774</v>
      </c>
      <c r="D28" s="109">
        <f>(($E$8*'Conversion Factors'!$M$5)*B28)+($E$9*'Conversion Factors'!$C$27)</f>
        <v>1585.3258095674755</v>
      </c>
      <c r="E28" s="110">
        <f t="shared" si="1"/>
        <v>-907.00439926240188</v>
      </c>
    </row>
    <row r="29" spans="2:5" x14ac:dyDescent="0.25">
      <c r="B29" s="103">
        <f t="shared" si="2"/>
        <v>0.64999999999999991</v>
      </c>
      <c r="C29" s="102">
        <f t="shared" si="0"/>
        <v>2492.3302088298774</v>
      </c>
      <c r="D29" s="109">
        <f>(($E$8*'Conversion Factors'!$M$5)*B29)+($E$9*'Conversion Factors'!$C$27)</f>
        <v>1561.334386463262</v>
      </c>
      <c r="E29" s="110">
        <f t="shared" si="1"/>
        <v>-930.99582236661536</v>
      </c>
    </row>
    <row r="30" spans="2:5" x14ac:dyDescent="0.25">
      <c r="B30" s="103">
        <f t="shared" si="2"/>
        <v>0.6399999999999999</v>
      </c>
      <c r="C30" s="102">
        <f t="shared" si="0"/>
        <v>2492.3302088298774</v>
      </c>
      <c r="D30" s="109">
        <f>(($E$8*'Conversion Factors'!$M$5)*B30)+($E$9*'Conversion Factors'!$C$27)</f>
        <v>1537.3429633590488</v>
      </c>
      <c r="E30" s="110">
        <f t="shared" si="1"/>
        <v>-954.98724547082861</v>
      </c>
    </row>
    <row r="31" spans="2:5" x14ac:dyDescent="0.25">
      <c r="B31" s="103">
        <f t="shared" si="2"/>
        <v>0.62999999999999989</v>
      </c>
      <c r="C31" s="102">
        <f t="shared" si="0"/>
        <v>2492.3302088298774</v>
      </c>
      <c r="D31" s="109">
        <f>(($E$8*'Conversion Factors'!$M$5)*B31)+($E$9*'Conversion Factors'!$C$27)</f>
        <v>1513.3515402548353</v>
      </c>
      <c r="E31" s="110">
        <f t="shared" si="1"/>
        <v>-978.97866857504209</v>
      </c>
    </row>
    <row r="32" spans="2:5" x14ac:dyDescent="0.25">
      <c r="B32" s="103">
        <f t="shared" si="2"/>
        <v>0.61999999999999988</v>
      </c>
      <c r="C32" s="102">
        <f t="shared" si="0"/>
        <v>2492.3302088298774</v>
      </c>
      <c r="D32" s="109">
        <f>(($E$8*'Conversion Factors'!$M$5)*B32)+($E$9*'Conversion Factors'!$C$27)</f>
        <v>1489.3601171506218</v>
      </c>
      <c r="E32" s="110">
        <f t="shared" si="1"/>
        <v>-1002.9700916792556</v>
      </c>
    </row>
    <row r="33" spans="2:15" x14ac:dyDescent="0.25">
      <c r="B33" s="103">
        <f t="shared" si="2"/>
        <v>0.60999999999999988</v>
      </c>
      <c r="C33" s="102">
        <f t="shared" si="0"/>
        <v>2492.3302088298774</v>
      </c>
      <c r="D33" s="109">
        <f>(($E$8*'Conversion Factors'!$M$5)*B33)+($E$9*'Conversion Factors'!$C$27)</f>
        <v>1465.3686940464086</v>
      </c>
      <c r="E33" s="110">
        <f t="shared" si="1"/>
        <v>-1026.9615147834688</v>
      </c>
    </row>
    <row r="34" spans="2:15" x14ac:dyDescent="0.25">
      <c r="B34" s="103">
        <f t="shared" si="2"/>
        <v>0.59999999999999987</v>
      </c>
      <c r="C34" s="102">
        <f t="shared" si="0"/>
        <v>2492.3302088298774</v>
      </c>
      <c r="D34" s="109">
        <f>(($E$8*'Conversion Factors'!$M$5)*B34)+($E$9*'Conversion Factors'!$C$27)</f>
        <v>1441.3772709421951</v>
      </c>
      <c r="E34" s="110">
        <f t="shared" si="1"/>
        <v>-1050.9529378876823</v>
      </c>
    </row>
    <row r="35" spans="2:15" x14ac:dyDescent="0.25">
      <c r="B35" s="103">
        <f t="shared" si="2"/>
        <v>0.58999999999999986</v>
      </c>
      <c r="C35" s="102">
        <f t="shared" si="0"/>
        <v>2492.3302088298774</v>
      </c>
      <c r="D35" s="109">
        <f>(($E$8*'Conversion Factors'!$M$5)*B35)+($E$9*'Conversion Factors'!$C$27)</f>
        <v>1417.3858478379816</v>
      </c>
      <c r="E35" s="110">
        <f t="shared" si="1"/>
        <v>-1074.9443609918958</v>
      </c>
    </row>
    <row r="36" spans="2:15" ht="13" thickBot="1" x14ac:dyDescent="0.3">
      <c r="B36" s="103">
        <f t="shared" si="2"/>
        <v>0.57999999999999985</v>
      </c>
      <c r="C36" s="102">
        <f t="shared" si="0"/>
        <v>2492.3302088298774</v>
      </c>
      <c r="D36" s="109">
        <f>(($E$8*'Conversion Factors'!$M$5)*B36)+($E$9*'Conversion Factors'!$C$27)</f>
        <v>1393.3944247337681</v>
      </c>
      <c r="E36" s="110">
        <f t="shared" si="1"/>
        <v>-1098.9357840961093</v>
      </c>
    </row>
    <row r="37" spans="2:15" ht="18" thickBot="1" x14ac:dyDescent="0.4">
      <c r="B37" s="103">
        <f t="shared" si="2"/>
        <v>0.56999999999999984</v>
      </c>
      <c r="C37" s="102">
        <f t="shared" si="0"/>
        <v>2492.3302088298774</v>
      </c>
      <c r="D37" s="109">
        <f>(($E$8*'Conversion Factors'!$M$5)*B37)+($E$9*'Conversion Factors'!$C$27)</f>
        <v>1369.4030016295549</v>
      </c>
      <c r="E37" s="110">
        <f t="shared" si="1"/>
        <v>-1122.9272072003225</v>
      </c>
      <c r="H37" s="98" t="s">
        <v>123</v>
      </c>
      <c r="I37" s="92"/>
      <c r="J37" s="92"/>
      <c r="K37" s="92"/>
      <c r="L37" s="92"/>
      <c r="M37" s="226" cm="1">
        <f t="array" ref="M37">INDEX(B14:B79,MATCH(TRUE,INDEX(E14:E79&lt;0,),0))</f>
        <v>0.8</v>
      </c>
      <c r="N37" s="99" t="s">
        <v>124</v>
      </c>
      <c r="O37" s="292"/>
    </row>
    <row r="38" spans="2:15" x14ac:dyDescent="0.25">
      <c r="B38" s="103">
        <f t="shared" si="2"/>
        <v>0.55999999999999983</v>
      </c>
      <c r="C38" s="102">
        <f t="shared" si="0"/>
        <v>2492.3302088298774</v>
      </c>
      <c r="D38" s="109">
        <f>(($E$8*'Conversion Factors'!$M$5)*B38)+($E$9*'Conversion Factors'!$C$27)</f>
        <v>1345.4115785253414</v>
      </c>
      <c r="E38" s="110">
        <f t="shared" si="1"/>
        <v>-1146.918630304536</v>
      </c>
      <c r="H38" s="100" t="s">
        <v>125</v>
      </c>
    </row>
    <row r="39" spans="2:15" x14ac:dyDescent="0.25">
      <c r="B39" s="103">
        <f t="shared" si="2"/>
        <v>0.54999999999999982</v>
      </c>
      <c r="C39" s="102">
        <f t="shared" si="0"/>
        <v>2492.3302088298774</v>
      </c>
      <c r="D39" s="109">
        <f>(($E$8*'Conversion Factors'!$M$5)*B39)+($E$9*'Conversion Factors'!$C$27)</f>
        <v>1321.4201554211279</v>
      </c>
      <c r="E39" s="110">
        <f t="shared" si="1"/>
        <v>-1170.9100534087495</v>
      </c>
    </row>
    <row r="40" spans="2:15" x14ac:dyDescent="0.25">
      <c r="B40" s="103">
        <f t="shared" si="2"/>
        <v>0.53999999999999981</v>
      </c>
      <c r="C40" s="102">
        <f t="shared" si="0"/>
        <v>2492.3302088298774</v>
      </c>
      <c r="D40" s="109">
        <f>(($E$8*'Conversion Factors'!$M$5)*B40)+($E$9*'Conversion Factors'!$C$27)</f>
        <v>1297.4287323169146</v>
      </c>
      <c r="E40" s="110">
        <f t="shared" si="1"/>
        <v>-1194.9014765129627</v>
      </c>
    </row>
    <row r="41" spans="2:15" x14ac:dyDescent="0.25">
      <c r="B41" s="103">
        <f t="shared" si="2"/>
        <v>0.5299999999999998</v>
      </c>
      <c r="C41" s="102">
        <f t="shared" si="0"/>
        <v>2492.3302088298774</v>
      </c>
      <c r="D41" s="109">
        <f>(($E$8*'Conversion Factors'!$M$5)*B41)+($E$9*'Conversion Factors'!$C$27)</f>
        <v>1273.4373092127012</v>
      </c>
      <c r="E41" s="110">
        <f t="shared" si="1"/>
        <v>-1218.8928996171762</v>
      </c>
    </row>
    <row r="42" spans="2:15" x14ac:dyDescent="0.25">
      <c r="B42" s="103">
        <f t="shared" si="2"/>
        <v>0.5199999999999998</v>
      </c>
      <c r="C42" s="102">
        <f t="shared" si="0"/>
        <v>2492.3302088298774</v>
      </c>
      <c r="D42" s="109">
        <f>(($E$8*'Conversion Factors'!$M$5)*B42)+($E$9*'Conversion Factors'!$C$27)</f>
        <v>1249.4458861084877</v>
      </c>
      <c r="E42" s="110">
        <f t="shared" si="1"/>
        <v>-1242.8843227213897</v>
      </c>
    </row>
    <row r="43" spans="2:15" x14ac:dyDescent="0.25">
      <c r="B43" s="103">
        <f t="shared" si="2"/>
        <v>0.50999999999999979</v>
      </c>
      <c r="C43" s="102">
        <f t="shared" si="0"/>
        <v>2492.3302088298774</v>
      </c>
      <c r="D43" s="109">
        <f>(($E$8*'Conversion Factors'!$M$5)*B43)+($E$9*'Conversion Factors'!$C$27)</f>
        <v>1225.4544630042742</v>
      </c>
      <c r="E43" s="110">
        <f t="shared" si="1"/>
        <v>-1266.8757458256032</v>
      </c>
    </row>
    <row r="44" spans="2:15" x14ac:dyDescent="0.25">
      <c r="B44" s="103">
        <f t="shared" si="2"/>
        <v>0.49999999999999978</v>
      </c>
      <c r="C44" s="102">
        <f t="shared" si="0"/>
        <v>2492.3302088298774</v>
      </c>
      <c r="D44" s="109">
        <f>(($E$8*'Conversion Factors'!$M$5)*B44)+($E$9*'Conversion Factors'!$C$27)</f>
        <v>1201.4630399000609</v>
      </c>
      <c r="E44" s="110">
        <f t="shared" si="1"/>
        <v>-1290.8671689298164</v>
      </c>
    </row>
    <row r="45" spans="2:15" x14ac:dyDescent="0.25">
      <c r="B45" s="103">
        <f t="shared" si="2"/>
        <v>0.48999999999999977</v>
      </c>
      <c r="C45" s="102">
        <f t="shared" si="0"/>
        <v>2492.3302088298774</v>
      </c>
      <c r="D45" s="109">
        <f>(($E$8*'Conversion Factors'!$M$5)*B45)+($E$9*'Conversion Factors'!$C$27)</f>
        <v>1177.4716167958475</v>
      </c>
      <c r="E45" s="110">
        <f t="shared" si="1"/>
        <v>-1314.8585920340299</v>
      </c>
    </row>
    <row r="46" spans="2:15" x14ac:dyDescent="0.25">
      <c r="B46" s="103">
        <f t="shared" si="2"/>
        <v>0.47999999999999976</v>
      </c>
      <c r="C46" s="102">
        <f t="shared" si="0"/>
        <v>2492.3302088298774</v>
      </c>
      <c r="D46" s="109">
        <f>(($E$8*'Conversion Factors'!$M$5)*B46)+($E$9*'Conversion Factors'!$C$27)</f>
        <v>1153.480193691634</v>
      </c>
      <c r="E46" s="110">
        <f t="shared" si="1"/>
        <v>-1338.8500151382434</v>
      </c>
    </row>
    <row r="47" spans="2:15" x14ac:dyDescent="0.25">
      <c r="B47" s="103">
        <f t="shared" si="2"/>
        <v>0.46999999999999975</v>
      </c>
      <c r="C47" s="102">
        <f t="shared" si="0"/>
        <v>2492.3302088298774</v>
      </c>
      <c r="D47" s="109">
        <f>(($E$8*'Conversion Factors'!$M$5)*B47)+($E$9*'Conversion Factors'!$C$27)</f>
        <v>1129.4887705874207</v>
      </c>
      <c r="E47" s="110">
        <f t="shared" si="1"/>
        <v>-1362.8414382424567</v>
      </c>
    </row>
    <row r="48" spans="2:15" x14ac:dyDescent="0.25">
      <c r="B48" s="103">
        <f t="shared" si="2"/>
        <v>0.45999999999999974</v>
      </c>
      <c r="C48" s="102">
        <f t="shared" si="0"/>
        <v>2492.3302088298774</v>
      </c>
      <c r="D48" s="109">
        <f>(($E$8*'Conversion Factors'!$M$5)*B48)+($E$9*'Conversion Factors'!$C$27)</f>
        <v>1105.4973474832072</v>
      </c>
      <c r="E48" s="110">
        <f t="shared" si="1"/>
        <v>-1386.8328613466701</v>
      </c>
    </row>
    <row r="49" spans="2:5" x14ac:dyDescent="0.25">
      <c r="B49" s="103">
        <f t="shared" si="2"/>
        <v>0.44999999999999973</v>
      </c>
      <c r="C49" s="102">
        <f t="shared" si="0"/>
        <v>2492.3302088298774</v>
      </c>
      <c r="D49" s="109">
        <f>(($E$8*'Conversion Factors'!$M$5)*B49)+($E$9*'Conversion Factors'!$C$27)</f>
        <v>1081.5059243789938</v>
      </c>
      <c r="E49" s="110">
        <f t="shared" si="1"/>
        <v>-1410.8242844508836</v>
      </c>
    </row>
    <row r="50" spans="2:5" x14ac:dyDescent="0.25">
      <c r="B50" s="103">
        <f t="shared" si="2"/>
        <v>0.43999999999999972</v>
      </c>
      <c r="C50" s="102">
        <f t="shared" si="0"/>
        <v>2492.3302088298774</v>
      </c>
      <c r="D50" s="109">
        <f>(($E$8*'Conversion Factors'!$M$5)*B50)+($E$9*'Conversion Factors'!$C$27)</f>
        <v>1057.5145012747803</v>
      </c>
      <c r="E50" s="110">
        <f t="shared" si="1"/>
        <v>-1434.8157075550971</v>
      </c>
    </row>
    <row r="51" spans="2:5" x14ac:dyDescent="0.25">
      <c r="B51" s="103">
        <f t="shared" si="2"/>
        <v>0.42999999999999972</v>
      </c>
      <c r="C51" s="102">
        <f t="shared" si="0"/>
        <v>2492.3302088298774</v>
      </c>
      <c r="D51" s="109">
        <f>(($E$8*'Conversion Factors'!$M$5)*B51)+($E$9*'Conversion Factors'!$C$27)</f>
        <v>1033.523078170567</v>
      </c>
      <c r="E51" s="110">
        <f t="shared" si="1"/>
        <v>-1458.8071306593104</v>
      </c>
    </row>
    <row r="52" spans="2:5" x14ac:dyDescent="0.25">
      <c r="B52" s="103">
        <f t="shared" si="2"/>
        <v>0.41999999999999971</v>
      </c>
      <c r="C52" s="102">
        <f t="shared" si="0"/>
        <v>2492.3302088298774</v>
      </c>
      <c r="D52" s="109">
        <f>(($E$8*'Conversion Factors'!$M$5)*B52)+($E$9*'Conversion Factors'!$C$27)</f>
        <v>1009.5316550663537</v>
      </c>
      <c r="E52" s="110">
        <f t="shared" si="1"/>
        <v>-1482.7985537635236</v>
      </c>
    </row>
    <row r="53" spans="2:5" x14ac:dyDescent="0.25">
      <c r="B53" s="103">
        <f t="shared" si="2"/>
        <v>0.4099999999999997</v>
      </c>
      <c r="C53" s="102">
        <f t="shared" si="0"/>
        <v>2492.3302088298774</v>
      </c>
      <c r="D53" s="109">
        <f>(($E$8*'Conversion Factors'!$M$5)*B53)+($E$9*'Conversion Factors'!$C$27)</f>
        <v>985.54023196214018</v>
      </c>
      <c r="E53" s="110">
        <f t="shared" si="1"/>
        <v>-1506.7899768677371</v>
      </c>
    </row>
    <row r="54" spans="2:5" x14ac:dyDescent="0.25">
      <c r="B54" s="103">
        <f t="shared" si="2"/>
        <v>0.39999999999999969</v>
      </c>
      <c r="C54" s="102">
        <f t="shared" si="0"/>
        <v>2492.3302088298774</v>
      </c>
      <c r="D54" s="109">
        <f>(($E$8*'Conversion Factors'!$M$5)*B54)+($E$9*'Conversion Factors'!$C$27)</f>
        <v>961.54880885792682</v>
      </c>
      <c r="E54" s="110">
        <f t="shared" si="1"/>
        <v>-1530.7813999719506</v>
      </c>
    </row>
    <row r="55" spans="2:5" x14ac:dyDescent="0.25">
      <c r="B55" s="103">
        <f t="shared" si="2"/>
        <v>0.38999999999999968</v>
      </c>
      <c r="C55" s="102">
        <f t="shared" si="0"/>
        <v>2492.3302088298774</v>
      </c>
      <c r="D55" s="109">
        <f>(($E$8*'Conversion Factors'!$M$5)*B55)+($E$9*'Conversion Factors'!$C$27)</f>
        <v>937.55738575371345</v>
      </c>
      <c r="E55" s="110">
        <f t="shared" si="1"/>
        <v>-1554.7728230761641</v>
      </c>
    </row>
    <row r="56" spans="2:5" x14ac:dyDescent="0.25">
      <c r="B56" s="103">
        <f t="shared" si="2"/>
        <v>0.37999999999999967</v>
      </c>
      <c r="C56" s="102">
        <f t="shared" si="0"/>
        <v>2492.3302088298774</v>
      </c>
      <c r="D56" s="109">
        <f>(($E$8*'Conversion Factors'!$M$5)*B56)+($E$9*'Conversion Factors'!$C$27)</f>
        <v>913.56596264949997</v>
      </c>
      <c r="E56" s="110">
        <f t="shared" si="1"/>
        <v>-1578.7642461803775</v>
      </c>
    </row>
    <row r="57" spans="2:5" x14ac:dyDescent="0.25">
      <c r="B57" s="103">
        <f t="shared" si="2"/>
        <v>0.36999999999999966</v>
      </c>
      <c r="C57" s="102">
        <f t="shared" si="0"/>
        <v>2492.3302088298774</v>
      </c>
      <c r="D57" s="109">
        <f>(($E$8*'Conversion Factors'!$M$5)*B57)+($E$9*'Conversion Factors'!$C$27)</f>
        <v>889.5745395452866</v>
      </c>
      <c r="E57" s="110">
        <f t="shared" si="1"/>
        <v>-1602.7556692845908</v>
      </c>
    </row>
    <row r="58" spans="2:5" x14ac:dyDescent="0.25">
      <c r="B58" s="103">
        <f t="shared" si="2"/>
        <v>0.35999999999999965</v>
      </c>
      <c r="C58" s="102">
        <f t="shared" si="0"/>
        <v>2492.3302088298774</v>
      </c>
      <c r="D58" s="109">
        <f>(($E$8*'Conversion Factors'!$M$5)*B58)+($E$9*'Conversion Factors'!$C$27)</f>
        <v>865.58311644107312</v>
      </c>
      <c r="E58" s="110">
        <f t="shared" si="1"/>
        <v>-1626.7470923888043</v>
      </c>
    </row>
    <row r="59" spans="2:5" x14ac:dyDescent="0.25">
      <c r="B59" s="103">
        <f t="shared" si="2"/>
        <v>0.34999999999999964</v>
      </c>
      <c r="C59" s="102">
        <f t="shared" si="0"/>
        <v>2492.3302088298774</v>
      </c>
      <c r="D59" s="109">
        <f>(($E$8*'Conversion Factors'!$M$5)*B59)+($E$9*'Conversion Factors'!$C$27)</f>
        <v>841.59169333685975</v>
      </c>
      <c r="E59" s="110">
        <f t="shared" si="1"/>
        <v>-1650.7385154930175</v>
      </c>
    </row>
    <row r="60" spans="2:5" x14ac:dyDescent="0.25">
      <c r="B60" s="103">
        <f t="shared" si="2"/>
        <v>0.33999999999999964</v>
      </c>
      <c r="C60" s="102">
        <f t="shared" si="0"/>
        <v>2492.3302088298774</v>
      </c>
      <c r="D60" s="109">
        <f>(($E$8*'Conversion Factors'!$M$5)*B60)+($E$9*'Conversion Factors'!$C$27)</f>
        <v>817.60027023264627</v>
      </c>
      <c r="E60" s="110">
        <f t="shared" si="1"/>
        <v>-1674.729938597231</v>
      </c>
    </row>
    <row r="61" spans="2:5" x14ac:dyDescent="0.25">
      <c r="B61" s="103">
        <f t="shared" si="2"/>
        <v>0.32999999999999963</v>
      </c>
      <c r="C61" s="102">
        <f t="shared" si="0"/>
        <v>2492.3302088298774</v>
      </c>
      <c r="D61" s="109">
        <f>(($E$8*'Conversion Factors'!$M$5)*B61)+($E$9*'Conversion Factors'!$C$27)</f>
        <v>793.6088471284329</v>
      </c>
      <c r="E61" s="110">
        <f t="shared" si="1"/>
        <v>-1698.7213617014445</v>
      </c>
    </row>
    <row r="62" spans="2:5" x14ac:dyDescent="0.25">
      <c r="B62" s="103">
        <f t="shared" si="2"/>
        <v>0.31999999999999962</v>
      </c>
      <c r="C62" s="102">
        <f t="shared" si="0"/>
        <v>2492.3302088298774</v>
      </c>
      <c r="D62" s="109">
        <f>(($E$8*'Conversion Factors'!$M$5)*B62)+($E$9*'Conversion Factors'!$C$27)</f>
        <v>769.61742402421953</v>
      </c>
      <c r="E62" s="110">
        <f t="shared" si="1"/>
        <v>-1722.712784805658</v>
      </c>
    </row>
    <row r="63" spans="2:5" x14ac:dyDescent="0.25">
      <c r="B63" s="103">
        <f t="shared" si="2"/>
        <v>0.30999999999999961</v>
      </c>
      <c r="C63" s="102">
        <f t="shared" si="0"/>
        <v>2492.3302088298774</v>
      </c>
      <c r="D63" s="109">
        <f>(($E$8*'Conversion Factors'!$M$5)*B63)+($E$9*'Conversion Factors'!$C$27)</f>
        <v>745.62600092000605</v>
      </c>
      <c r="E63" s="110">
        <f t="shared" si="1"/>
        <v>-1746.7042079098715</v>
      </c>
    </row>
    <row r="64" spans="2:5" x14ac:dyDescent="0.25">
      <c r="B64" s="103">
        <f t="shared" si="2"/>
        <v>0.2999999999999996</v>
      </c>
      <c r="C64" s="102">
        <f t="shared" si="0"/>
        <v>2492.3302088298774</v>
      </c>
      <c r="D64" s="109">
        <f>(($E$8*'Conversion Factors'!$M$5)*B64)+($E$9*'Conversion Factors'!$C$27)</f>
        <v>721.63457781579268</v>
      </c>
      <c r="E64" s="110">
        <f t="shared" si="1"/>
        <v>-1770.6956310140847</v>
      </c>
    </row>
    <row r="65" spans="2:5" x14ac:dyDescent="0.25">
      <c r="B65" s="103">
        <f t="shared" si="2"/>
        <v>0.28999999999999959</v>
      </c>
      <c r="C65" s="102">
        <f t="shared" si="0"/>
        <v>2492.3302088298774</v>
      </c>
      <c r="D65" s="109">
        <f>(($E$8*'Conversion Factors'!$M$5)*B65)+($E$9*'Conversion Factors'!$C$27)</f>
        <v>697.6431547115792</v>
      </c>
      <c r="E65" s="110">
        <f t="shared" si="1"/>
        <v>-1794.6870541182982</v>
      </c>
    </row>
    <row r="66" spans="2:5" x14ac:dyDescent="0.25">
      <c r="B66" s="103">
        <f t="shared" si="2"/>
        <v>0.27999999999999958</v>
      </c>
      <c r="C66" s="102">
        <f t="shared" si="0"/>
        <v>2492.3302088298774</v>
      </c>
      <c r="D66" s="109">
        <f>(($E$8*'Conversion Factors'!$M$5)*B66)+($E$9*'Conversion Factors'!$C$27)</f>
        <v>673.65173160736583</v>
      </c>
      <c r="E66" s="110">
        <f t="shared" si="1"/>
        <v>-1818.6784772225114</v>
      </c>
    </row>
    <row r="67" spans="2:5" x14ac:dyDescent="0.25">
      <c r="B67" s="103">
        <f t="shared" si="2"/>
        <v>0.26999999999999957</v>
      </c>
      <c r="C67" s="102">
        <f t="shared" si="0"/>
        <v>2492.3302088298774</v>
      </c>
      <c r="D67" s="109">
        <f>(($E$8*'Conversion Factors'!$M$5)*B67)+($E$9*'Conversion Factors'!$C$27)</f>
        <v>649.66030850315235</v>
      </c>
      <c r="E67" s="110">
        <f t="shared" si="1"/>
        <v>-1842.6699003267249</v>
      </c>
    </row>
    <row r="68" spans="2:5" x14ac:dyDescent="0.25">
      <c r="B68" s="103">
        <f t="shared" si="2"/>
        <v>0.25999999999999956</v>
      </c>
      <c r="C68" s="102">
        <f t="shared" si="0"/>
        <v>2492.3302088298774</v>
      </c>
      <c r="D68" s="109">
        <f>(($E$8*'Conversion Factors'!$M$5)*B68)+($E$9*'Conversion Factors'!$C$27)</f>
        <v>625.66888539893898</v>
      </c>
      <c r="E68" s="110">
        <f t="shared" si="1"/>
        <v>-1866.6613234309384</v>
      </c>
    </row>
    <row r="69" spans="2:5" x14ac:dyDescent="0.25">
      <c r="B69" s="103">
        <f t="shared" si="2"/>
        <v>0.24999999999999956</v>
      </c>
      <c r="C69" s="102">
        <f t="shared" si="0"/>
        <v>2492.3302088298774</v>
      </c>
      <c r="D69" s="109">
        <f>(($E$8*'Conversion Factors'!$M$5)*B69)+($E$9*'Conversion Factors'!$C$27)</f>
        <v>601.67746229472561</v>
      </c>
      <c r="E69" s="110">
        <f t="shared" si="1"/>
        <v>-1890.6527465351519</v>
      </c>
    </row>
    <row r="70" spans="2:5" x14ac:dyDescent="0.25">
      <c r="B70" s="103">
        <f t="shared" si="2"/>
        <v>0.23999999999999955</v>
      </c>
      <c r="C70" s="102">
        <f t="shared" si="0"/>
        <v>2492.3302088298774</v>
      </c>
      <c r="D70" s="109">
        <f>(($E$8*'Conversion Factors'!$M$5)*B70)+($E$9*'Conversion Factors'!$C$27)</f>
        <v>577.68603919051213</v>
      </c>
      <c r="E70" s="110">
        <f t="shared" si="1"/>
        <v>-1914.6441696393654</v>
      </c>
    </row>
    <row r="71" spans="2:5" x14ac:dyDescent="0.25">
      <c r="B71" s="103">
        <f t="shared" si="2"/>
        <v>0.22999999999999954</v>
      </c>
      <c r="C71" s="102">
        <f t="shared" si="0"/>
        <v>2492.3302088298774</v>
      </c>
      <c r="D71" s="109">
        <f>(($E$8*'Conversion Factors'!$M$5)*B71)+($E$9*'Conversion Factors'!$C$27)</f>
        <v>553.69461608629877</v>
      </c>
      <c r="E71" s="110">
        <f t="shared" si="1"/>
        <v>-1938.6355927435786</v>
      </c>
    </row>
    <row r="72" spans="2:5" x14ac:dyDescent="0.25">
      <c r="B72" s="103">
        <f t="shared" si="2"/>
        <v>0.21999999999999953</v>
      </c>
      <c r="C72" s="102">
        <f t="shared" si="0"/>
        <v>2492.3302088298774</v>
      </c>
      <c r="D72" s="109">
        <f>(($E$8*'Conversion Factors'!$M$5)*B72)+($E$9*'Conversion Factors'!$C$27)</f>
        <v>529.70319298208528</v>
      </c>
      <c r="E72" s="110">
        <f t="shared" si="1"/>
        <v>-1962.6270158477921</v>
      </c>
    </row>
    <row r="73" spans="2:5" x14ac:dyDescent="0.25">
      <c r="B73" s="103">
        <f t="shared" si="2"/>
        <v>0.20999999999999952</v>
      </c>
      <c r="C73" s="102">
        <f t="shared" si="0"/>
        <v>2492.3302088298774</v>
      </c>
      <c r="D73" s="109">
        <f>(($E$8*'Conversion Factors'!$M$5)*B73)+($E$9*'Conversion Factors'!$C$27)</f>
        <v>505.71176987787192</v>
      </c>
      <c r="E73" s="110">
        <f t="shared" si="1"/>
        <v>-1986.6184389520054</v>
      </c>
    </row>
    <row r="74" spans="2:5" x14ac:dyDescent="0.25">
      <c r="B74" s="103">
        <f t="shared" si="2"/>
        <v>0.19999999999999951</v>
      </c>
      <c r="C74" s="102">
        <f t="shared" si="0"/>
        <v>2492.3302088298774</v>
      </c>
      <c r="D74" s="109">
        <f>(($E$8*'Conversion Factors'!$M$5)*B74)+($E$9*'Conversion Factors'!$C$27)</f>
        <v>481.72034677365849</v>
      </c>
      <c r="E74" s="110">
        <f t="shared" si="1"/>
        <v>-2010.6098620562188</v>
      </c>
    </row>
    <row r="75" spans="2:5" x14ac:dyDescent="0.25">
      <c r="B75" s="103">
        <f t="shared" si="2"/>
        <v>0.1899999999999995</v>
      </c>
      <c r="C75" s="102">
        <f t="shared" si="0"/>
        <v>2492.3302088298774</v>
      </c>
      <c r="D75" s="109">
        <f>(($E$8*'Conversion Factors'!$M$5)*B75)+($E$9*'Conversion Factors'!$C$27)</f>
        <v>457.72892366944507</v>
      </c>
      <c r="E75" s="110">
        <f t="shared" si="1"/>
        <v>-2034.6012851604323</v>
      </c>
    </row>
    <row r="76" spans="2:5" x14ac:dyDescent="0.25">
      <c r="B76" s="103">
        <f t="shared" si="2"/>
        <v>0.17999999999999949</v>
      </c>
      <c r="C76" s="102">
        <f t="shared" si="0"/>
        <v>2492.3302088298774</v>
      </c>
      <c r="D76" s="109">
        <f>(($E$8*'Conversion Factors'!$M$5)*B76)+($E$9*'Conversion Factors'!$C$27)</f>
        <v>433.73750056523164</v>
      </c>
      <c r="E76" s="110">
        <f t="shared" si="1"/>
        <v>-2058.5927082646458</v>
      </c>
    </row>
    <row r="77" spans="2:5" x14ac:dyDescent="0.25">
      <c r="B77" s="103">
        <f t="shared" si="2"/>
        <v>0.16999999999999948</v>
      </c>
      <c r="C77" s="102">
        <f t="shared" si="0"/>
        <v>2492.3302088298774</v>
      </c>
      <c r="D77" s="109">
        <f>(($E$8*'Conversion Factors'!$M$5)*B77)+($E$9*'Conversion Factors'!$C$27)</f>
        <v>409.74607746101822</v>
      </c>
      <c r="E77" s="110">
        <f t="shared" si="1"/>
        <v>-2082.5841313688593</v>
      </c>
    </row>
    <row r="78" spans="2:5" x14ac:dyDescent="0.25">
      <c r="B78" s="103">
        <f t="shared" si="2"/>
        <v>0.15999999999999948</v>
      </c>
      <c r="C78" s="102">
        <f t="shared" si="0"/>
        <v>2492.3302088298774</v>
      </c>
      <c r="D78" s="109">
        <f>(($E$8*'Conversion Factors'!$M$5)*B78)+($E$9*'Conversion Factors'!$C$27)</f>
        <v>385.75465435680485</v>
      </c>
      <c r="E78" s="110">
        <f t="shared" si="1"/>
        <v>-2106.5755544730728</v>
      </c>
    </row>
    <row r="79" spans="2:5" ht="13" thickBot="1" x14ac:dyDescent="0.3">
      <c r="B79" s="105">
        <f t="shared" si="2"/>
        <v>0.14999999999999947</v>
      </c>
      <c r="C79" s="106">
        <f t="shared" ref="C79" si="3">$E$6</f>
        <v>2492.3302088298774</v>
      </c>
      <c r="D79" s="109">
        <f>(($E$8*'Conversion Factors'!$M$5)*B79)+($E$9*'Conversion Factors'!$C$27)</f>
        <v>361.76323125259142</v>
      </c>
      <c r="E79" s="110">
        <f t="shared" ref="E79" si="4">D79-C79</f>
        <v>-2130.5669775772858</v>
      </c>
    </row>
  </sheetData>
  <mergeCells count="3">
    <mergeCell ref="B4:D4"/>
    <mergeCell ref="B5:D5"/>
    <mergeCell ref="B6:D6"/>
  </mergeCell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B7DDE-7231-4F52-A6FE-C3B0DF0DFF08}">
  <sheetPr codeName="Sheet5"/>
  <dimension ref="C2:P30"/>
  <sheetViews>
    <sheetView showGridLines="0" zoomScale="130" zoomScaleNormal="130" workbookViewId="0">
      <selection activeCell="I19" sqref="I19"/>
    </sheetView>
  </sheetViews>
  <sheetFormatPr defaultColWidth="8.81640625" defaultRowHeight="12.5" x14ac:dyDescent="0.25"/>
  <cols>
    <col min="2" max="2" width="4.453125" customWidth="1"/>
    <col min="9" max="9" width="10.453125" customWidth="1"/>
    <col min="10" max="10" width="9.453125" customWidth="1"/>
  </cols>
  <sheetData>
    <row r="2" spans="3:16" ht="20.5" thickBot="1" x14ac:dyDescent="0.45">
      <c r="C2" s="11" t="s">
        <v>56</v>
      </c>
      <c r="L2" s="11" t="s">
        <v>145</v>
      </c>
    </row>
    <row r="3" spans="3:16" ht="14" x14ac:dyDescent="0.3">
      <c r="C3" s="12" t="s">
        <v>57</v>
      </c>
      <c r="D3" s="13"/>
      <c r="E3" s="13"/>
      <c r="F3" s="13"/>
      <c r="G3" s="14"/>
    </row>
    <row r="4" spans="3:16" x14ac:dyDescent="0.25">
      <c r="C4" s="15">
        <v>590</v>
      </c>
      <c r="D4" s="16" t="s">
        <v>58</v>
      </c>
      <c r="E4" s="16"/>
      <c r="F4" s="16"/>
      <c r="G4" s="17"/>
      <c r="L4" s="1" t="s">
        <v>0</v>
      </c>
      <c r="M4" s="1">
        <v>1.05506E-6</v>
      </c>
      <c r="N4" s="1" t="s">
        <v>1</v>
      </c>
    </row>
    <row r="5" spans="3:16" x14ac:dyDescent="0.25">
      <c r="C5" s="15"/>
      <c r="D5" s="16"/>
      <c r="E5" s="16"/>
      <c r="F5" s="16"/>
      <c r="G5" s="17"/>
      <c r="L5" s="40" t="s">
        <v>107</v>
      </c>
      <c r="M5" s="40">
        <v>277.77800000000002</v>
      </c>
      <c r="N5" t="s">
        <v>44</v>
      </c>
    </row>
    <row r="6" spans="3:16" x14ac:dyDescent="0.25">
      <c r="C6" s="18" t="s">
        <v>59</v>
      </c>
      <c r="D6" s="19">
        <v>3.5999999999999999E-3</v>
      </c>
      <c r="E6" s="16" t="s">
        <v>1</v>
      </c>
      <c r="F6" s="16"/>
      <c r="G6" s="17"/>
    </row>
    <row r="7" spans="3:16" x14ac:dyDescent="0.25">
      <c r="C7" s="15"/>
      <c r="D7" s="16"/>
      <c r="E7" s="16"/>
      <c r="F7" s="16"/>
      <c r="G7" s="17"/>
    </row>
    <row r="8" spans="3:16" x14ac:dyDescent="0.25">
      <c r="C8" s="20">
        <f>C4/D6</f>
        <v>163888.88888888891</v>
      </c>
      <c r="D8" s="16" t="s">
        <v>60</v>
      </c>
      <c r="E8" s="16"/>
      <c r="F8" s="16"/>
      <c r="G8" s="17"/>
    </row>
    <row r="9" spans="3:16" ht="14" x14ac:dyDescent="0.3">
      <c r="C9" s="21">
        <f>C8/1000</f>
        <v>163.88888888888891</v>
      </c>
      <c r="D9" s="22" t="s">
        <v>61</v>
      </c>
      <c r="E9" s="22"/>
      <c r="F9" s="22"/>
      <c r="G9" s="23"/>
      <c r="L9" s="40" t="s">
        <v>276</v>
      </c>
    </row>
    <row r="10" spans="3:16" ht="13" thickBot="1" x14ac:dyDescent="0.3">
      <c r="C10" s="24"/>
      <c r="D10" s="25"/>
      <c r="E10" s="25"/>
      <c r="F10" s="25"/>
      <c r="G10" s="26"/>
      <c r="L10">
        <v>10.7639104</v>
      </c>
      <c r="M10" s="40" t="s">
        <v>278</v>
      </c>
      <c r="N10" s="40" t="s">
        <v>279</v>
      </c>
      <c r="O10">
        <v>1</v>
      </c>
      <c r="P10" s="40" t="s">
        <v>277</v>
      </c>
    </row>
    <row r="11" spans="3:16" x14ac:dyDescent="0.25">
      <c r="C11" s="27" t="s">
        <v>62</v>
      </c>
      <c r="G11" t="s">
        <v>63</v>
      </c>
    </row>
    <row r="12" spans="3:16" ht="13" thickBot="1" x14ac:dyDescent="0.3"/>
    <row r="13" spans="3:16" ht="14" x14ac:dyDescent="0.3">
      <c r="C13" s="12" t="s">
        <v>64</v>
      </c>
      <c r="D13" s="13"/>
      <c r="E13" s="13"/>
      <c r="F13" s="14" t="s">
        <v>65</v>
      </c>
      <c r="L13" s="40" t="s">
        <v>328</v>
      </c>
      <c r="M13" s="40" t="s">
        <v>327</v>
      </c>
    </row>
    <row r="14" spans="3:16" x14ac:dyDescent="0.25">
      <c r="C14" s="15">
        <v>1962</v>
      </c>
      <c r="D14" s="16" t="s">
        <v>66</v>
      </c>
      <c r="E14" s="16"/>
      <c r="F14" s="17">
        <v>1</v>
      </c>
      <c r="K14" s="40" t="s">
        <v>355</v>
      </c>
    </row>
    <row r="15" spans="3:16" x14ac:dyDescent="0.25">
      <c r="C15" s="15">
        <v>3.6999999999999998E-2</v>
      </c>
      <c r="D15" s="16" t="s">
        <v>67</v>
      </c>
      <c r="E15" s="16"/>
      <c r="F15" s="17">
        <v>28</v>
      </c>
      <c r="I15" s="86"/>
      <c r="K15" s="40" t="s">
        <v>356</v>
      </c>
    </row>
    <row r="16" spans="3:16" x14ac:dyDescent="0.25">
      <c r="C16" s="15">
        <v>3.5000000000000003E-2</v>
      </c>
      <c r="D16" s="16" t="s">
        <v>68</v>
      </c>
      <c r="E16" s="16"/>
      <c r="F16" s="17">
        <v>265</v>
      </c>
      <c r="K16" s="40" t="s">
        <v>357</v>
      </c>
    </row>
    <row r="17" spans="3:15" x14ac:dyDescent="0.25">
      <c r="C17" s="15"/>
      <c r="D17" s="16"/>
      <c r="E17" s="16"/>
      <c r="F17" s="17"/>
    </row>
    <row r="18" spans="3:15" x14ac:dyDescent="0.25">
      <c r="C18" s="15">
        <f>C14*F14</f>
        <v>1962</v>
      </c>
      <c r="D18" s="16" t="s">
        <v>66</v>
      </c>
      <c r="E18" s="16"/>
      <c r="F18" s="17"/>
    </row>
    <row r="19" spans="3:15" ht="13" thickBot="1" x14ac:dyDescent="0.3">
      <c r="C19" s="15">
        <f>C15*F15</f>
        <v>1.036</v>
      </c>
      <c r="D19" s="16" t="s">
        <v>69</v>
      </c>
      <c r="E19" s="16"/>
      <c r="F19" s="17"/>
    </row>
    <row r="20" spans="3:15" x14ac:dyDescent="0.25">
      <c r="C20" s="28">
        <f>C16*F16</f>
        <v>9.2750000000000004</v>
      </c>
      <c r="D20" s="16" t="s">
        <v>69</v>
      </c>
      <c r="E20" s="16"/>
      <c r="F20" s="17"/>
      <c r="K20" s="238" t="s">
        <v>101</v>
      </c>
      <c r="L20" s="249"/>
      <c r="M20" s="249"/>
      <c r="N20" s="250">
        <f>VLOOKUP('User Inputs'!$N$6,'Conversion Factors'!$L$25:$N$27,2,FALSE)</f>
        <v>20</v>
      </c>
    </row>
    <row r="21" spans="3:15" ht="13" thickBot="1" x14ac:dyDescent="0.3">
      <c r="C21" s="15"/>
      <c r="D21" s="16"/>
      <c r="E21" s="16"/>
      <c r="F21" s="17"/>
      <c r="K21" s="251" t="s">
        <v>102</v>
      </c>
      <c r="L21" s="239"/>
      <c r="M21" s="239"/>
      <c r="N21" s="252">
        <f>VLOOKUP('User Inputs'!$N$7,'Conversion Factors'!$L$25:$N$27,3,FALSE)</f>
        <v>0.3</v>
      </c>
      <c r="O21" s="95"/>
    </row>
    <row r="22" spans="3:15" x14ac:dyDescent="0.25">
      <c r="C22" s="20">
        <f>SUM(C18:C20)</f>
        <v>1972.3110000000001</v>
      </c>
      <c r="D22" s="16" t="s">
        <v>69</v>
      </c>
      <c r="E22" s="16"/>
      <c r="F22" s="17"/>
      <c r="K22" s="40" t="s">
        <v>268</v>
      </c>
    </row>
    <row r="23" spans="3:15" x14ac:dyDescent="0.25">
      <c r="C23" s="15"/>
      <c r="D23" s="16"/>
      <c r="E23" s="16"/>
      <c r="F23" s="17"/>
    </row>
    <row r="24" spans="3:15" x14ac:dyDescent="0.25">
      <c r="C24" s="18" t="s">
        <v>70</v>
      </c>
      <c r="D24" s="19">
        <v>3.73E-2</v>
      </c>
      <c r="E24" s="16" t="s">
        <v>1</v>
      </c>
      <c r="F24" s="17"/>
      <c r="M24" s="40" t="s">
        <v>358</v>
      </c>
      <c r="N24" s="40" t="s">
        <v>359</v>
      </c>
    </row>
    <row r="25" spans="3:15" x14ac:dyDescent="0.25">
      <c r="C25" s="15"/>
      <c r="D25" s="16"/>
      <c r="E25" s="16"/>
      <c r="F25" s="17"/>
      <c r="L25" s="40" t="s">
        <v>355</v>
      </c>
      <c r="M25" s="78">
        <v>30</v>
      </c>
      <c r="N25" s="78">
        <v>0.4</v>
      </c>
    </row>
    <row r="26" spans="3:15" x14ac:dyDescent="0.25">
      <c r="C26" s="15">
        <f>C22/D24</f>
        <v>52876.970509383384</v>
      </c>
      <c r="D26" s="16" t="s">
        <v>60</v>
      </c>
      <c r="E26" s="16"/>
      <c r="F26" s="17"/>
      <c r="L26" s="40" t="s">
        <v>360</v>
      </c>
      <c r="M26" s="78">
        <v>20</v>
      </c>
      <c r="N26" s="78">
        <v>0.3</v>
      </c>
    </row>
    <row r="27" spans="3:15" ht="14.5" thickBot="1" x14ac:dyDescent="0.35">
      <c r="C27" s="29">
        <f>C26/1000</f>
        <v>52.876970509383384</v>
      </c>
      <c r="D27" s="30" t="s">
        <v>71</v>
      </c>
      <c r="E27" s="25"/>
      <c r="F27" s="26"/>
      <c r="L27" s="40" t="s">
        <v>357</v>
      </c>
      <c r="M27" s="78">
        <v>10</v>
      </c>
      <c r="N27" s="78">
        <v>0.2</v>
      </c>
    </row>
    <row r="28" spans="3:15" x14ac:dyDescent="0.25">
      <c r="C28" s="27" t="s">
        <v>72</v>
      </c>
      <c r="F28" t="s">
        <v>73</v>
      </c>
    </row>
    <row r="29" spans="3:15" x14ac:dyDescent="0.25">
      <c r="F29" t="s">
        <v>74</v>
      </c>
    </row>
    <row r="30" spans="3:15" x14ac:dyDescent="0.25">
      <c r="C30" s="27" t="s">
        <v>75</v>
      </c>
      <c r="F30" t="s">
        <v>76</v>
      </c>
    </row>
  </sheetData>
  <hyperlinks>
    <hyperlink ref="C28" r:id="rId1" display="https://publications.gc.ca/collections/collection_2022/eccc/En81-4-2020-2-eng.pdf" xr:uid="{F7D478CB-70E0-44FA-86C9-FCA3803277F6}"/>
    <hyperlink ref="C11" r:id="rId2" display="https://publications.gc.ca/collections/collection_2022/eccc/En81-4-2020-3-eng.pdf" xr:uid="{00BBF6DF-2915-4E96-9EF0-7250FDC1ADDD}"/>
    <hyperlink ref="C30" r:id="rId3" display="https://www.nrcan.gc.ca/energy/energy-sources-distribution/natural-gas/natural-gas-primer/5641" xr:uid="{91FD7003-F249-409C-8089-794D1560EC53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53204-A1B6-44C9-B11F-A98B393A0975}">
  <sheetPr codeName="Sheet9">
    <tabColor rgb="FFFF0000"/>
  </sheetPr>
  <dimension ref="B2:V83"/>
  <sheetViews>
    <sheetView zoomScale="85" zoomScaleNormal="85" workbookViewId="0">
      <selection activeCell="C49" sqref="C49"/>
    </sheetView>
  </sheetViews>
  <sheetFormatPr defaultColWidth="8.81640625" defaultRowHeight="12.5" x14ac:dyDescent="0.25"/>
  <cols>
    <col min="3" max="3" width="19.1796875" customWidth="1"/>
    <col min="4" max="4" width="13.453125" customWidth="1"/>
    <col min="9" max="9" width="10.1796875" bestFit="1" customWidth="1"/>
    <col min="10" max="10" width="12" customWidth="1"/>
    <col min="15" max="15" width="15.453125" customWidth="1"/>
    <col min="16" max="16" width="18.453125" customWidth="1"/>
    <col min="17" max="17" width="26" customWidth="1"/>
    <col min="18" max="18" width="22.453125" customWidth="1"/>
    <col min="19" max="19" width="23.453125" customWidth="1"/>
    <col min="20" max="20" width="21.1796875" customWidth="1"/>
    <col min="21" max="21" width="20" customWidth="1"/>
    <col min="22" max="22" width="11.1796875" bestFit="1" customWidth="1"/>
  </cols>
  <sheetData>
    <row r="2" spans="2:22" ht="13" x14ac:dyDescent="0.3">
      <c r="B2" t="str">
        <f>'HP Calcs'!B52</f>
        <v>High Efficiency Furnace Upgade</v>
      </c>
      <c r="H2" t="str">
        <f>'HP Calcs'!B62</f>
        <v>Heat Pump + HEF</v>
      </c>
      <c r="O2" s="94" t="str">
        <f>'HP Calcs'!B72</f>
        <v>Heat Pump + HEF + Solar PV</v>
      </c>
    </row>
    <row r="3" spans="2:22" ht="13" x14ac:dyDescent="0.3">
      <c r="H3" s="80" t="s">
        <v>190</v>
      </c>
      <c r="O3" s="80" t="s">
        <v>193</v>
      </c>
    </row>
    <row r="4" spans="2:22" ht="13" x14ac:dyDescent="0.3">
      <c r="B4" s="196" t="s">
        <v>52</v>
      </c>
      <c r="C4" s="40" t="s">
        <v>216</v>
      </c>
      <c r="D4" s="40" t="s">
        <v>99</v>
      </c>
      <c r="H4" s="196" t="s">
        <v>52</v>
      </c>
      <c r="I4" s="40" t="s">
        <v>189</v>
      </c>
      <c r="J4" s="40" t="s">
        <v>99</v>
      </c>
      <c r="O4" s="80" t="s">
        <v>191</v>
      </c>
    </row>
    <row r="5" spans="2:22" ht="13" x14ac:dyDescent="0.3">
      <c r="B5">
        <v>1</v>
      </c>
      <c r="C5" s="197">
        <f>'User Inputs'!N3</f>
        <v>8000</v>
      </c>
      <c r="D5" s="95">
        <f>IF(C5&gt;0,'HP Calcs'!J57,0)</f>
        <v>0</v>
      </c>
      <c r="H5">
        <v>1</v>
      </c>
      <c r="I5" s="199">
        <f>IF(('User Inputs (old)'!P10-'User Inputs (old)'!P14)&gt;0,'User Inputs (old)'!P10-'User Inputs (old)'!P14,0)</f>
        <v>11600</v>
      </c>
      <c r="J5" s="95">
        <f>'HP Calcs'!J67</f>
        <v>237.3857657134829</v>
      </c>
      <c r="N5" s="80"/>
      <c r="O5" s="80" t="s">
        <v>192</v>
      </c>
      <c r="R5" s="200"/>
      <c r="S5" s="95"/>
    </row>
    <row r="6" spans="2:22" ht="13" x14ac:dyDescent="0.3">
      <c r="B6">
        <v>2</v>
      </c>
      <c r="C6" s="197">
        <f>IF(C5-D5&gt;0,C5-D5,0)</f>
        <v>8000</v>
      </c>
      <c r="D6" s="95">
        <f t="shared" ref="D6:D31" si="0">IF(C6&gt;0,D5*1.02,0)</f>
        <v>0</v>
      </c>
      <c r="H6">
        <v>2</v>
      </c>
      <c r="I6" s="197">
        <f>IF((I5-J5)&gt;0,I5-J5,0)</f>
        <v>11362.614234286517</v>
      </c>
      <c r="J6" s="95">
        <f>J5*1.02</f>
        <v>242.13348102775257</v>
      </c>
      <c r="O6" s="80"/>
    </row>
    <row r="7" spans="2:22" ht="13" x14ac:dyDescent="0.3">
      <c r="B7">
        <v>3</v>
      </c>
      <c r="C7" s="197">
        <f t="shared" ref="C7:C34" si="1">IF(C6-D6&gt;0,C6-D6,0)</f>
        <v>8000</v>
      </c>
      <c r="D7" s="95">
        <f t="shared" si="0"/>
        <v>0</v>
      </c>
      <c r="H7">
        <v>3</v>
      </c>
      <c r="I7" s="197">
        <f t="shared" ref="I7:I34" si="2">IF((I6-J6)&gt;0,I6-J6,0)</f>
        <v>11120.480753258764</v>
      </c>
      <c r="J7" s="95">
        <f t="shared" ref="J7:J34" si="3">J6*1.02</f>
        <v>246.97615064830762</v>
      </c>
      <c r="O7" s="205" t="s">
        <v>52</v>
      </c>
      <c r="P7" s="206" t="s">
        <v>215</v>
      </c>
      <c r="Q7" s="207" t="s">
        <v>204</v>
      </c>
      <c r="R7" s="207" t="s">
        <v>194</v>
      </c>
      <c r="S7" s="207" t="s">
        <v>199</v>
      </c>
      <c r="T7" s="207" t="s">
        <v>201</v>
      </c>
      <c r="U7" s="208" t="s">
        <v>203</v>
      </c>
    </row>
    <row r="8" spans="2:22" x14ac:dyDescent="0.25">
      <c r="B8" s="40">
        <v>4</v>
      </c>
      <c r="C8" s="197">
        <f t="shared" si="1"/>
        <v>8000</v>
      </c>
      <c r="D8" s="95">
        <f t="shared" si="0"/>
        <v>0</v>
      </c>
      <c r="E8" s="78"/>
      <c r="F8" s="78"/>
      <c r="G8" s="95"/>
      <c r="H8" s="40">
        <v>4</v>
      </c>
      <c r="I8" s="197">
        <f t="shared" si="2"/>
        <v>10873.504602610456</v>
      </c>
      <c r="J8" s="95">
        <f t="shared" si="3"/>
        <v>251.91567366127379</v>
      </c>
      <c r="O8" s="201">
        <v>1</v>
      </c>
      <c r="P8" s="210">
        <f>'User Inputs (old)'!P10-'User Inputs (old)'!P14</f>
        <v>11600</v>
      </c>
      <c r="Q8" s="203">
        <f>'User Inputs (old)'!P11-'User Inputs (old)'!P15</f>
        <v>9180</v>
      </c>
      <c r="R8" s="204">
        <f>Q8*'User Inputs (old)'!$P$16</f>
        <v>270.81</v>
      </c>
      <c r="S8" s="204">
        <f>IF(R8=0,0,Q8/25)</f>
        <v>367.2</v>
      </c>
      <c r="T8" s="204">
        <f>IF(Q8&gt;0,'User Inputs (old)'!$P$17,0)</f>
        <v>0</v>
      </c>
      <c r="U8" s="209">
        <f>'HP Calcs'!J80</f>
        <v>1223.422563327339</v>
      </c>
      <c r="V8" s="95"/>
    </row>
    <row r="9" spans="2:22" x14ac:dyDescent="0.25">
      <c r="B9">
        <v>5</v>
      </c>
      <c r="C9" s="197">
        <f t="shared" si="1"/>
        <v>8000</v>
      </c>
      <c r="D9" s="95">
        <f t="shared" si="0"/>
        <v>0</v>
      </c>
      <c r="E9" s="78"/>
      <c r="F9" s="78"/>
      <c r="G9" s="95"/>
      <c r="H9">
        <v>5</v>
      </c>
      <c r="I9" s="197">
        <f t="shared" si="2"/>
        <v>10621.588928949182</v>
      </c>
      <c r="J9" s="95">
        <f t="shared" si="3"/>
        <v>256.95398713449924</v>
      </c>
      <c r="O9" s="201">
        <v>2</v>
      </c>
      <c r="P9" s="202">
        <f>IF(P8-(U8/2)&gt;0,P8-(U8/2),0)</f>
        <v>10988.288718336331</v>
      </c>
      <c r="Q9" s="203">
        <f>IF((Q8-S8+R8-(U8/2)-T8)&gt;0,Q8-S8+R8-(U8/2)-T8,0)</f>
        <v>8471.8987183363297</v>
      </c>
      <c r="R9" s="204">
        <f>Q9*'User Inputs (old)'!$P$16</f>
        <v>249.92101219092172</v>
      </c>
      <c r="S9" s="204">
        <f t="shared" ref="S9:S37" si="4">IF(R9=0,0,Q9/25)</f>
        <v>338.87594873345319</v>
      </c>
      <c r="T9" s="204">
        <f>IF(Q9&gt;0,'User Inputs (old)'!$P$17,0)</f>
        <v>0</v>
      </c>
      <c r="U9" s="209">
        <f>U8*1.02</f>
        <v>1247.8910145938858</v>
      </c>
    </row>
    <row r="10" spans="2:22" x14ac:dyDescent="0.25">
      <c r="B10">
        <v>6</v>
      </c>
      <c r="C10" s="197">
        <f t="shared" si="1"/>
        <v>8000</v>
      </c>
      <c r="D10" s="95">
        <f t="shared" si="0"/>
        <v>0</v>
      </c>
      <c r="E10" s="78"/>
      <c r="F10" s="78"/>
      <c r="G10" s="95"/>
      <c r="H10">
        <v>6</v>
      </c>
      <c r="I10" s="197">
        <f t="shared" si="2"/>
        <v>10364.634941814684</v>
      </c>
      <c r="J10" s="95">
        <f t="shared" si="3"/>
        <v>262.09306687718924</v>
      </c>
      <c r="O10" s="201">
        <v>3</v>
      </c>
      <c r="P10" s="202">
        <f t="shared" ref="P10:P37" si="5">IF(P9-(U9/2)&gt;0,P9-(U9/2),0)</f>
        <v>10364.343211039388</v>
      </c>
      <c r="Q10" s="203">
        <f t="shared" ref="Q10:Q37" si="6">IF((Q9-S9+R9-(U9/2)-T9)&gt;0,Q9-S9+R9-(U9/2)-T9,0)</f>
        <v>7758.9982744968547</v>
      </c>
      <c r="R10" s="204">
        <f>Q10*'User Inputs (old)'!$P$16</f>
        <v>228.89044909765721</v>
      </c>
      <c r="S10" s="204">
        <f t="shared" si="4"/>
        <v>310.35993097987421</v>
      </c>
      <c r="T10" s="204">
        <f>IF(Q10&gt;0,'User Inputs (old)'!$P$17,0)</f>
        <v>0</v>
      </c>
      <c r="U10" s="209">
        <f t="shared" ref="U10:U37" si="7">U9*1.02</f>
        <v>1272.8488348857634</v>
      </c>
    </row>
    <row r="11" spans="2:22" x14ac:dyDescent="0.25">
      <c r="B11">
        <v>7</v>
      </c>
      <c r="C11" s="197">
        <f t="shared" si="1"/>
        <v>8000</v>
      </c>
      <c r="D11" s="95">
        <f t="shared" si="0"/>
        <v>0</v>
      </c>
      <c r="E11" s="78"/>
      <c r="F11" s="78"/>
      <c r="G11" s="95"/>
      <c r="H11">
        <v>7</v>
      </c>
      <c r="I11" s="197">
        <f t="shared" si="2"/>
        <v>10102.541874937495</v>
      </c>
      <c r="J11" s="95">
        <f t="shared" si="3"/>
        <v>267.33492821473305</v>
      </c>
      <c r="O11" s="91">
        <v>4</v>
      </c>
      <c r="P11" s="202">
        <f t="shared" si="5"/>
        <v>9727.9187935965056</v>
      </c>
      <c r="Q11" s="203">
        <f t="shared" si="6"/>
        <v>7041.1043751717571</v>
      </c>
      <c r="R11" s="204">
        <f>Q11*'User Inputs (old)'!$P$16</f>
        <v>207.71257906756682</v>
      </c>
      <c r="S11" s="204">
        <f t="shared" si="4"/>
        <v>281.64417500687028</v>
      </c>
      <c r="T11" s="204">
        <f>IF(Q11&gt;0,'User Inputs (old)'!$P$17,0)</f>
        <v>0</v>
      </c>
      <c r="U11" s="209">
        <f t="shared" si="7"/>
        <v>1298.3058115834788</v>
      </c>
    </row>
    <row r="12" spans="2:22" x14ac:dyDescent="0.25">
      <c r="B12">
        <v>8</v>
      </c>
      <c r="C12" s="197">
        <f t="shared" si="1"/>
        <v>8000</v>
      </c>
      <c r="D12" s="95">
        <f t="shared" si="0"/>
        <v>0</v>
      </c>
      <c r="E12" s="78"/>
      <c r="F12" s="78"/>
      <c r="G12" s="95"/>
      <c r="H12">
        <v>8</v>
      </c>
      <c r="I12" s="197">
        <f t="shared" si="2"/>
        <v>9835.2069467227611</v>
      </c>
      <c r="J12" s="95">
        <f t="shared" si="3"/>
        <v>272.68162677902774</v>
      </c>
      <c r="O12" s="201">
        <v>5</v>
      </c>
      <c r="P12" s="202">
        <f t="shared" si="5"/>
        <v>9078.765887804766</v>
      </c>
      <c r="Q12" s="203">
        <f t="shared" si="6"/>
        <v>6318.0198734407131</v>
      </c>
      <c r="R12" s="204">
        <f>Q12*'User Inputs (old)'!$P$16</f>
        <v>186.38158626650102</v>
      </c>
      <c r="S12" s="204">
        <f t="shared" si="4"/>
        <v>252.72079493762851</v>
      </c>
      <c r="T12" s="204">
        <f>IF(Q12&gt;0,'User Inputs (old)'!$P$17,0)</f>
        <v>0</v>
      </c>
      <c r="U12" s="209">
        <f t="shared" si="7"/>
        <v>1324.2719278151483</v>
      </c>
    </row>
    <row r="13" spans="2:22" x14ac:dyDescent="0.25">
      <c r="B13" s="40">
        <v>9</v>
      </c>
      <c r="C13" s="197">
        <f t="shared" si="1"/>
        <v>8000</v>
      </c>
      <c r="D13" s="95">
        <f t="shared" si="0"/>
        <v>0</v>
      </c>
      <c r="E13" s="78"/>
      <c r="F13" s="78"/>
      <c r="G13" s="95"/>
      <c r="H13" s="40">
        <v>9</v>
      </c>
      <c r="I13" s="197">
        <f t="shared" si="2"/>
        <v>9562.5253199437338</v>
      </c>
      <c r="J13" s="95">
        <f t="shared" si="3"/>
        <v>278.13525931460828</v>
      </c>
      <c r="O13" s="201">
        <v>6</v>
      </c>
      <c r="P13" s="202">
        <f t="shared" si="5"/>
        <v>8416.6299238971915</v>
      </c>
      <c r="Q13" s="203">
        <f t="shared" si="6"/>
        <v>5589.5447008620104</v>
      </c>
      <c r="R13" s="204">
        <f>Q13*'User Inputs (old)'!$P$16</f>
        <v>164.89156867542928</v>
      </c>
      <c r="S13" s="204">
        <f t="shared" si="4"/>
        <v>223.58178803448041</v>
      </c>
      <c r="T13" s="204">
        <f>IF(Q13&gt;0,'User Inputs (old)'!$P$17,0)</f>
        <v>0</v>
      </c>
      <c r="U13" s="209">
        <f t="shared" si="7"/>
        <v>1350.7573663714513</v>
      </c>
    </row>
    <row r="14" spans="2:22" x14ac:dyDescent="0.25">
      <c r="B14">
        <v>10</v>
      </c>
      <c r="C14" s="197">
        <f t="shared" si="1"/>
        <v>8000</v>
      </c>
      <c r="D14" s="95">
        <f t="shared" si="0"/>
        <v>0</v>
      </c>
      <c r="E14" s="78"/>
      <c r="F14" s="78"/>
      <c r="G14" s="95"/>
      <c r="H14">
        <v>10</v>
      </c>
      <c r="I14" s="197">
        <f t="shared" si="2"/>
        <v>9284.3900606291263</v>
      </c>
      <c r="J14" s="95">
        <f t="shared" si="3"/>
        <v>283.69796450090047</v>
      </c>
      <c r="O14" s="201">
        <v>7</v>
      </c>
      <c r="P14" s="202">
        <f t="shared" si="5"/>
        <v>7741.2512407114655</v>
      </c>
      <c r="Q14" s="203">
        <f t="shared" si="6"/>
        <v>4855.4757983172331</v>
      </c>
      <c r="R14" s="204">
        <f>Q14*'User Inputs (old)'!$P$16</f>
        <v>143.23653605035838</v>
      </c>
      <c r="S14" s="204">
        <f t="shared" si="4"/>
        <v>194.21903193268932</v>
      </c>
      <c r="T14" s="204">
        <f>IF(Q14&gt;0,'User Inputs (old)'!$P$17,0)</f>
        <v>0</v>
      </c>
      <c r="U14" s="209">
        <f t="shared" si="7"/>
        <v>1377.7725136988804</v>
      </c>
    </row>
    <row r="15" spans="2:22" x14ac:dyDescent="0.25">
      <c r="B15">
        <v>11</v>
      </c>
      <c r="C15" s="197">
        <f t="shared" si="1"/>
        <v>8000</v>
      </c>
      <c r="D15" s="95">
        <f t="shared" si="0"/>
        <v>0</v>
      </c>
      <c r="E15" s="78"/>
      <c r="F15" s="78"/>
      <c r="G15" s="95"/>
      <c r="H15">
        <v>11</v>
      </c>
      <c r="I15" s="197">
        <f t="shared" si="2"/>
        <v>9000.6920961282267</v>
      </c>
      <c r="J15" s="95">
        <f t="shared" si="3"/>
        <v>289.37192379091846</v>
      </c>
      <c r="O15" s="201">
        <v>8</v>
      </c>
      <c r="P15" s="202">
        <f t="shared" si="5"/>
        <v>7052.3649838620249</v>
      </c>
      <c r="Q15" s="203">
        <f t="shared" si="6"/>
        <v>4115.6070455854615</v>
      </c>
      <c r="R15" s="204">
        <f>Q15*'User Inputs (old)'!$P$16</f>
        <v>121.41040784477111</v>
      </c>
      <c r="S15" s="204">
        <f t="shared" si="4"/>
        <v>164.62428182341847</v>
      </c>
      <c r="T15" s="204">
        <f>IF(Q15&gt;0,'User Inputs (old)'!$P$17,0)</f>
        <v>0</v>
      </c>
      <c r="U15" s="209">
        <f t="shared" si="7"/>
        <v>1405.327963972858</v>
      </c>
    </row>
    <row r="16" spans="2:22" x14ac:dyDescent="0.25">
      <c r="B16">
        <v>12</v>
      </c>
      <c r="C16" s="197">
        <f t="shared" si="1"/>
        <v>8000</v>
      </c>
      <c r="D16" s="95">
        <f t="shared" si="0"/>
        <v>0</v>
      </c>
      <c r="E16" s="78"/>
      <c r="F16" s="78"/>
      <c r="G16" s="95"/>
      <c r="H16">
        <v>12</v>
      </c>
      <c r="I16" s="197">
        <f t="shared" si="2"/>
        <v>8711.3201723373077</v>
      </c>
      <c r="J16" s="95">
        <f t="shared" si="3"/>
        <v>295.15936226673682</v>
      </c>
      <c r="O16" s="91">
        <v>9</v>
      </c>
      <c r="P16" s="202">
        <f t="shared" si="5"/>
        <v>6349.7010018755955</v>
      </c>
      <c r="Q16" s="203">
        <f t="shared" si="6"/>
        <v>3369.7291896203851</v>
      </c>
      <c r="R16" s="204">
        <f>Q16*'User Inputs (old)'!$P$16</f>
        <v>99.407011093801358</v>
      </c>
      <c r="S16" s="204">
        <f t="shared" si="4"/>
        <v>134.7891675848154</v>
      </c>
      <c r="T16" s="204">
        <f>IF(Q16&gt;0,'User Inputs (old)'!$P$17,0)</f>
        <v>0</v>
      </c>
      <c r="U16" s="209">
        <f t="shared" si="7"/>
        <v>1433.4345232523151</v>
      </c>
    </row>
    <row r="17" spans="2:22" x14ac:dyDescent="0.25">
      <c r="B17">
        <v>13</v>
      </c>
      <c r="C17" s="197">
        <f t="shared" si="1"/>
        <v>8000</v>
      </c>
      <c r="D17" s="95">
        <f t="shared" si="0"/>
        <v>0</v>
      </c>
      <c r="E17" s="78"/>
      <c r="F17" s="78"/>
      <c r="G17" s="95"/>
      <c r="H17">
        <v>13</v>
      </c>
      <c r="I17" s="197">
        <f t="shared" si="2"/>
        <v>8416.1608100705707</v>
      </c>
      <c r="J17" s="95">
        <f t="shared" si="3"/>
        <v>301.06254951207154</v>
      </c>
      <c r="O17" s="201">
        <v>10</v>
      </c>
      <c r="P17" s="202">
        <f t="shared" si="5"/>
        <v>5632.9837402494377</v>
      </c>
      <c r="Q17" s="203">
        <f t="shared" si="6"/>
        <v>2617.6297715032133</v>
      </c>
      <c r="R17" s="204">
        <f>Q17*'User Inputs (old)'!$P$16</f>
        <v>77.220078259344788</v>
      </c>
      <c r="S17" s="204">
        <f t="shared" si="4"/>
        <v>104.70519086012854</v>
      </c>
      <c r="T17" s="204">
        <f>IF(Q17&gt;0,'User Inputs (old)'!$P$17,0)</f>
        <v>0</v>
      </c>
      <c r="U17" s="209">
        <f t="shared" si="7"/>
        <v>1462.1032137173615</v>
      </c>
    </row>
    <row r="18" spans="2:22" x14ac:dyDescent="0.25">
      <c r="B18">
        <v>14</v>
      </c>
      <c r="C18" s="197">
        <f t="shared" si="1"/>
        <v>8000</v>
      </c>
      <c r="D18" s="95">
        <f t="shared" si="0"/>
        <v>0</v>
      </c>
      <c r="E18" s="78"/>
      <c r="F18" s="78"/>
      <c r="G18" s="95"/>
      <c r="H18" s="40">
        <v>14</v>
      </c>
      <c r="I18" s="197">
        <f t="shared" si="2"/>
        <v>8115.0982605584995</v>
      </c>
      <c r="J18" s="95">
        <f t="shared" si="3"/>
        <v>307.08380050231295</v>
      </c>
      <c r="O18" s="201">
        <v>11</v>
      </c>
      <c r="P18" s="202">
        <f t="shared" si="5"/>
        <v>4901.9321333907574</v>
      </c>
      <c r="Q18" s="203">
        <f t="shared" si="6"/>
        <v>1859.0930520437491</v>
      </c>
      <c r="R18" s="204">
        <f>Q18*'User Inputs (old)'!$P$16</f>
        <v>54.8432450352906</v>
      </c>
      <c r="S18" s="204">
        <f t="shared" si="4"/>
        <v>74.36372208174997</v>
      </c>
      <c r="T18" s="204">
        <f>IF(Q18&gt;0,'User Inputs (old)'!$P$17,0)</f>
        <v>0</v>
      </c>
      <c r="U18" s="209">
        <f t="shared" si="7"/>
        <v>1491.3452779917088</v>
      </c>
    </row>
    <row r="19" spans="2:22" x14ac:dyDescent="0.25">
      <c r="B19">
        <v>15</v>
      </c>
      <c r="C19" s="197">
        <f t="shared" si="1"/>
        <v>8000</v>
      </c>
      <c r="D19" s="95">
        <f t="shared" si="0"/>
        <v>0</v>
      </c>
      <c r="E19" s="78"/>
      <c r="F19" s="78"/>
      <c r="G19" s="95"/>
      <c r="H19">
        <v>15</v>
      </c>
      <c r="I19" s="197">
        <f t="shared" si="2"/>
        <v>7808.0144600561862</v>
      </c>
      <c r="J19" s="95">
        <f t="shared" si="3"/>
        <v>313.22547651235919</v>
      </c>
      <c r="O19" s="201">
        <v>12</v>
      </c>
      <c r="P19" s="202">
        <f t="shared" si="5"/>
        <v>4156.2594943949025</v>
      </c>
      <c r="Q19" s="203">
        <f t="shared" si="6"/>
        <v>1093.8999360014354</v>
      </c>
      <c r="R19" s="204">
        <f>Q19*'User Inputs (old)'!$P$16</f>
        <v>32.270048112042346</v>
      </c>
      <c r="S19" s="204">
        <f t="shared" si="4"/>
        <v>43.755997440057421</v>
      </c>
      <c r="T19" s="204">
        <f>IF(Q19&gt;0,'User Inputs (old)'!$P$17,0)</f>
        <v>0</v>
      </c>
      <c r="U19" s="209">
        <f t="shared" si="7"/>
        <v>1521.172183551543</v>
      </c>
    </row>
    <row r="20" spans="2:22" x14ac:dyDescent="0.25">
      <c r="B20">
        <v>16</v>
      </c>
      <c r="C20" s="197">
        <f t="shared" si="1"/>
        <v>8000</v>
      </c>
      <c r="D20" s="95">
        <f t="shared" si="0"/>
        <v>0</v>
      </c>
      <c r="E20" s="78"/>
      <c r="F20" s="78"/>
      <c r="G20" s="95"/>
      <c r="H20">
        <v>16</v>
      </c>
      <c r="I20" s="197">
        <f t="shared" si="2"/>
        <v>7494.7889835438273</v>
      </c>
      <c r="J20" s="95">
        <f t="shared" si="3"/>
        <v>319.4899860426064</v>
      </c>
      <c r="O20" s="201">
        <v>13</v>
      </c>
      <c r="P20" s="202">
        <f t="shared" si="5"/>
        <v>3395.6734026191311</v>
      </c>
      <c r="Q20" s="203">
        <f t="shared" si="6"/>
        <v>321.82789489764889</v>
      </c>
      <c r="R20" s="204">
        <f>Q20*'User Inputs (old)'!$P$16</f>
        <v>9.4939228994806424</v>
      </c>
      <c r="S20" s="204">
        <f t="shared" si="4"/>
        <v>12.873115795905955</v>
      </c>
      <c r="T20" s="204">
        <f>IF(Q20&gt;0,'User Inputs (old)'!$P$17,0)</f>
        <v>0</v>
      </c>
      <c r="U20" s="209">
        <f t="shared" si="7"/>
        <v>1551.5956272225737</v>
      </c>
    </row>
    <row r="21" spans="2:22" x14ac:dyDescent="0.25">
      <c r="B21">
        <v>17</v>
      </c>
      <c r="C21" s="197">
        <f t="shared" si="1"/>
        <v>8000</v>
      </c>
      <c r="D21" s="95">
        <f t="shared" si="0"/>
        <v>0</v>
      </c>
      <c r="E21" s="78"/>
      <c r="F21" s="78"/>
      <c r="G21" s="95"/>
      <c r="H21">
        <v>17</v>
      </c>
      <c r="I21" s="197">
        <f t="shared" si="2"/>
        <v>7175.2989975012206</v>
      </c>
      <c r="J21" s="95">
        <f t="shared" si="3"/>
        <v>325.87978576345853</v>
      </c>
      <c r="O21" s="91">
        <v>14</v>
      </c>
      <c r="P21" s="202">
        <f t="shared" si="5"/>
        <v>2619.8755890078442</v>
      </c>
      <c r="Q21" s="203">
        <f t="shared" si="6"/>
        <v>0</v>
      </c>
      <c r="R21" s="204">
        <f>Q21*'User Inputs (old)'!$P$16</f>
        <v>0</v>
      </c>
      <c r="S21" s="204">
        <f t="shared" si="4"/>
        <v>0</v>
      </c>
      <c r="T21" s="204">
        <f>IF(Q21&gt;0,'User Inputs (old)'!$P$17,0)</f>
        <v>0</v>
      </c>
      <c r="U21" s="209">
        <f t="shared" si="7"/>
        <v>1582.6275397670252</v>
      </c>
    </row>
    <row r="22" spans="2:22" x14ac:dyDescent="0.25">
      <c r="B22">
        <v>18</v>
      </c>
      <c r="C22" s="197">
        <f t="shared" si="1"/>
        <v>8000</v>
      </c>
      <c r="D22" s="95">
        <f t="shared" si="0"/>
        <v>0</v>
      </c>
      <c r="E22" s="78"/>
      <c r="F22" s="78"/>
      <c r="G22" s="95"/>
      <c r="H22">
        <v>18</v>
      </c>
      <c r="I22" s="197">
        <f t="shared" si="2"/>
        <v>6849.4192117377625</v>
      </c>
      <c r="J22" s="95">
        <f t="shared" si="3"/>
        <v>332.39738147872771</v>
      </c>
      <c r="O22" s="201">
        <v>15</v>
      </c>
      <c r="P22" s="202">
        <f t="shared" si="5"/>
        <v>1828.5618191243316</v>
      </c>
      <c r="Q22" s="203">
        <f t="shared" si="6"/>
        <v>0</v>
      </c>
      <c r="R22" s="204">
        <f>Q22*'User Inputs (old)'!$P$16</f>
        <v>0</v>
      </c>
      <c r="S22" s="204">
        <f t="shared" si="4"/>
        <v>0</v>
      </c>
      <c r="T22" s="204">
        <f>IF(Q22&gt;0,'User Inputs (old)'!$P$17,0)</f>
        <v>0</v>
      </c>
      <c r="U22" s="209">
        <f t="shared" si="7"/>
        <v>1614.2800905623658</v>
      </c>
      <c r="V22" s="58" t="s">
        <v>198</v>
      </c>
    </row>
    <row r="23" spans="2:22" x14ac:dyDescent="0.25">
      <c r="B23">
        <v>19</v>
      </c>
      <c r="C23" s="197">
        <f t="shared" si="1"/>
        <v>8000</v>
      </c>
      <c r="D23" s="95">
        <f t="shared" si="0"/>
        <v>0</v>
      </c>
      <c r="E23" s="78"/>
      <c r="F23" s="78"/>
      <c r="G23" s="95"/>
      <c r="H23" s="40">
        <v>19</v>
      </c>
      <c r="I23" s="197">
        <f t="shared" si="2"/>
        <v>6517.0218302590347</v>
      </c>
      <c r="J23" s="95">
        <f t="shared" si="3"/>
        <v>339.04532910830227</v>
      </c>
      <c r="O23" s="201">
        <v>16</v>
      </c>
      <c r="P23" s="202">
        <f t="shared" si="5"/>
        <v>1021.4217738431487</v>
      </c>
      <c r="Q23" s="203">
        <f t="shared" si="6"/>
        <v>0</v>
      </c>
      <c r="R23" s="204">
        <f>Q23*'User Inputs (old)'!$P$16</f>
        <v>0</v>
      </c>
      <c r="S23" s="204">
        <f t="shared" si="4"/>
        <v>0</v>
      </c>
      <c r="T23" s="204">
        <f>IF(Q23&gt;0,'User Inputs (old)'!$P$17,0)</f>
        <v>0</v>
      </c>
      <c r="U23" s="209">
        <f t="shared" si="7"/>
        <v>1646.565692373613</v>
      </c>
    </row>
    <row r="24" spans="2:22" x14ac:dyDescent="0.25">
      <c r="B24">
        <v>20</v>
      </c>
      <c r="C24" s="197">
        <f t="shared" si="1"/>
        <v>8000</v>
      </c>
      <c r="D24" s="95">
        <f t="shared" si="0"/>
        <v>0</v>
      </c>
      <c r="E24" s="78"/>
      <c r="F24" s="78"/>
      <c r="G24" s="95"/>
      <c r="H24">
        <v>20</v>
      </c>
      <c r="I24" s="197">
        <f t="shared" si="2"/>
        <v>6177.9765011507325</v>
      </c>
      <c r="J24" s="95">
        <f t="shared" si="3"/>
        <v>345.82623569046831</v>
      </c>
      <c r="O24" s="201">
        <v>17</v>
      </c>
      <c r="P24" s="202">
        <f t="shared" si="5"/>
        <v>198.13892765634216</v>
      </c>
      <c r="Q24" s="203">
        <f t="shared" si="6"/>
        <v>0</v>
      </c>
      <c r="R24" s="204">
        <f>Q24*'User Inputs (old)'!$P$16</f>
        <v>0</v>
      </c>
      <c r="S24" s="204">
        <f t="shared" si="4"/>
        <v>0</v>
      </c>
      <c r="T24" s="204">
        <f>IF(Q24&gt;0,'User Inputs (old)'!$P$17,0)</f>
        <v>0</v>
      </c>
      <c r="U24" s="209">
        <f t="shared" si="7"/>
        <v>1679.4970062210853</v>
      </c>
    </row>
    <row r="25" spans="2:22" x14ac:dyDescent="0.25">
      <c r="B25">
        <v>21</v>
      </c>
      <c r="C25" s="197">
        <f t="shared" si="1"/>
        <v>8000</v>
      </c>
      <c r="D25" s="95">
        <f t="shared" si="0"/>
        <v>0</v>
      </c>
      <c r="E25" s="78"/>
      <c r="F25" s="78"/>
      <c r="G25" s="95"/>
      <c r="H25">
        <v>21</v>
      </c>
      <c r="I25" s="197">
        <f t="shared" si="2"/>
        <v>5832.1502654602646</v>
      </c>
      <c r="J25" s="95">
        <f t="shared" si="3"/>
        <v>352.7427604042777</v>
      </c>
      <c r="O25" s="201">
        <v>18</v>
      </c>
      <c r="P25" s="202">
        <f t="shared" si="5"/>
        <v>0</v>
      </c>
      <c r="Q25" s="203">
        <f t="shared" si="6"/>
        <v>0</v>
      </c>
      <c r="R25" s="204">
        <f>Q25*'User Inputs (old)'!$P$16</f>
        <v>0</v>
      </c>
      <c r="S25" s="204">
        <f t="shared" si="4"/>
        <v>0</v>
      </c>
      <c r="T25" s="204">
        <f>IF(Q25&gt;0,'User Inputs (old)'!$P$17,0)</f>
        <v>0</v>
      </c>
      <c r="U25" s="209">
        <f t="shared" si="7"/>
        <v>1713.0869463455069</v>
      </c>
    </row>
    <row r="26" spans="2:22" x14ac:dyDescent="0.25">
      <c r="B26">
        <v>22</v>
      </c>
      <c r="C26" s="197">
        <f t="shared" si="1"/>
        <v>8000</v>
      </c>
      <c r="D26" s="95">
        <f t="shared" si="0"/>
        <v>0</v>
      </c>
      <c r="E26" s="78"/>
      <c r="F26" s="78"/>
      <c r="G26" s="95"/>
      <c r="H26">
        <v>22</v>
      </c>
      <c r="I26" s="197">
        <f t="shared" si="2"/>
        <v>5479.4075050559868</v>
      </c>
      <c r="J26" s="95">
        <f t="shared" si="3"/>
        <v>359.79761561236324</v>
      </c>
      <c r="O26" s="201">
        <v>19</v>
      </c>
      <c r="P26" s="202">
        <f t="shared" si="5"/>
        <v>0</v>
      </c>
      <c r="Q26" s="203">
        <f t="shared" si="6"/>
        <v>0</v>
      </c>
      <c r="R26" s="204">
        <f>Q26*'User Inputs (old)'!$P$16</f>
        <v>0</v>
      </c>
      <c r="S26" s="204">
        <f t="shared" si="4"/>
        <v>0</v>
      </c>
      <c r="T26" s="204">
        <f>IF(Q26&gt;0,'User Inputs (old)'!$P$17,0)</f>
        <v>0</v>
      </c>
      <c r="U26" s="209">
        <f t="shared" si="7"/>
        <v>1747.348685272417</v>
      </c>
    </row>
    <row r="27" spans="2:22" x14ac:dyDescent="0.25">
      <c r="B27">
        <v>23</v>
      </c>
      <c r="C27" s="197">
        <f t="shared" si="1"/>
        <v>8000</v>
      </c>
      <c r="D27" s="95">
        <f t="shared" si="0"/>
        <v>0</v>
      </c>
      <c r="H27">
        <v>23</v>
      </c>
      <c r="I27" s="197">
        <f t="shared" si="2"/>
        <v>5119.6098894436236</v>
      </c>
      <c r="J27" s="95">
        <f t="shared" si="3"/>
        <v>366.99356792461049</v>
      </c>
      <c r="O27" s="201">
        <v>20</v>
      </c>
      <c r="P27" s="202">
        <f t="shared" si="5"/>
        <v>0</v>
      </c>
      <c r="Q27" s="203">
        <f t="shared" si="6"/>
        <v>0</v>
      </c>
      <c r="R27" s="204">
        <f>Q27*'User Inputs (old)'!$P$16</f>
        <v>0</v>
      </c>
      <c r="S27" s="204">
        <f t="shared" si="4"/>
        <v>0</v>
      </c>
      <c r="T27" s="204">
        <f>IF(Q27&gt;0,'User Inputs (old)'!$P$17,0)</f>
        <v>0</v>
      </c>
      <c r="U27" s="209">
        <f t="shared" si="7"/>
        <v>1782.2956589778653</v>
      </c>
    </row>
    <row r="28" spans="2:22" x14ac:dyDescent="0.25">
      <c r="B28">
        <v>24</v>
      </c>
      <c r="C28" s="197">
        <f t="shared" si="1"/>
        <v>8000</v>
      </c>
      <c r="D28" s="95">
        <f t="shared" si="0"/>
        <v>0</v>
      </c>
      <c r="H28" s="40">
        <v>24</v>
      </c>
      <c r="I28" s="197">
        <f t="shared" si="2"/>
        <v>4752.6163215190136</v>
      </c>
      <c r="J28" s="95">
        <f t="shared" si="3"/>
        <v>374.33343928310268</v>
      </c>
      <c r="O28" s="201">
        <v>21</v>
      </c>
      <c r="P28" s="202">
        <f t="shared" si="5"/>
        <v>0</v>
      </c>
      <c r="Q28" s="203">
        <f t="shared" si="6"/>
        <v>0</v>
      </c>
      <c r="R28" s="204">
        <f>Q28*'User Inputs (old)'!$P$16</f>
        <v>0</v>
      </c>
      <c r="S28" s="204">
        <f t="shared" si="4"/>
        <v>0</v>
      </c>
      <c r="T28" s="204">
        <f>IF(Q28&gt;0,'User Inputs (old)'!$P$17,0)</f>
        <v>0</v>
      </c>
      <c r="U28" s="209">
        <f t="shared" si="7"/>
        <v>1817.9415721574226</v>
      </c>
    </row>
    <row r="29" spans="2:22" x14ac:dyDescent="0.25">
      <c r="B29">
        <v>25</v>
      </c>
      <c r="C29" s="197">
        <f t="shared" si="1"/>
        <v>8000</v>
      </c>
      <c r="D29" s="95">
        <f t="shared" si="0"/>
        <v>0</v>
      </c>
      <c r="H29">
        <v>25</v>
      </c>
      <c r="I29" s="197">
        <f t="shared" si="2"/>
        <v>4378.2828822359106</v>
      </c>
      <c r="J29" s="95">
        <f t="shared" si="3"/>
        <v>381.82010806876474</v>
      </c>
      <c r="O29" s="201">
        <v>22</v>
      </c>
      <c r="P29" s="202">
        <f t="shared" si="5"/>
        <v>0</v>
      </c>
      <c r="Q29" s="203">
        <f t="shared" si="6"/>
        <v>0</v>
      </c>
      <c r="R29" s="204">
        <f>Q29*'User Inputs (old)'!$P$16</f>
        <v>0</v>
      </c>
      <c r="S29" s="204">
        <f t="shared" si="4"/>
        <v>0</v>
      </c>
      <c r="T29" s="204">
        <f>IF(Q29&gt;0,'User Inputs (old)'!$P$17,0)</f>
        <v>0</v>
      </c>
      <c r="U29" s="209">
        <f t="shared" si="7"/>
        <v>1854.3004036005711</v>
      </c>
    </row>
    <row r="30" spans="2:22" x14ac:dyDescent="0.25">
      <c r="B30">
        <v>26</v>
      </c>
      <c r="C30" s="197">
        <f t="shared" si="1"/>
        <v>8000</v>
      </c>
      <c r="D30" s="95">
        <f t="shared" si="0"/>
        <v>0</v>
      </c>
      <c r="H30">
        <v>26</v>
      </c>
      <c r="I30" s="197">
        <f t="shared" si="2"/>
        <v>3996.4627741671457</v>
      </c>
      <c r="J30" s="95">
        <f t="shared" si="3"/>
        <v>389.45651023014005</v>
      </c>
      <c r="O30" s="201">
        <v>23</v>
      </c>
      <c r="P30" s="202">
        <f t="shared" si="5"/>
        <v>0</v>
      </c>
      <c r="Q30" s="203">
        <f t="shared" si="6"/>
        <v>0</v>
      </c>
      <c r="R30" s="204">
        <f>Q30*'User Inputs (old)'!$P$16</f>
        <v>0</v>
      </c>
      <c r="S30" s="204">
        <f t="shared" si="4"/>
        <v>0</v>
      </c>
      <c r="T30" s="204">
        <f>IF(Q30&gt;0,'User Inputs (old)'!$P$17,0)</f>
        <v>0</v>
      </c>
      <c r="U30" s="209">
        <f t="shared" si="7"/>
        <v>1891.3864116725827</v>
      </c>
    </row>
    <row r="31" spans="2:22" x14ac:dyDescent="0.25">
      <c r="B31">
        <v>27</v>
      </c>
      <c r="C31" s="197">
        <f t="shared" si="1"/>
        <v>8000</v>
      </c>
      <c r="D31" s="95">
        <f t="shared" si="0"/>
        <v>0</v>
      </c>
      <c r="H31">
        <v>27</v>
      </c>
      <c r="I31" s="197">
        <f t="shared" si="2"/>
        <v>3607.0062639370058</v>
      </c>
      <c r="J31" s="95">
        <f t="shared" si="3"/>
        <v>397.24564043474288</v>
      </c>
      <c r="O31" s="201">
        <v>24</v>
      </c>
      <c r="P31" s="202">
        <f t="shared" si="5"/>
        <v>0</v>
      </c>
      <c r="Q31" s="203">
        <f t="shared" si="6"/>
        <v>0</v>
      </c>
      <c r="R31" s="204">
        <f>Q31*'User Inputs (old)'!$P$16</f>
        <v>0</v>
      </c>
      <c r="S31" s="204">
        <f t="shared" si="4"/>
        <v>0</v>
      </c>
      <c r="T31" s="204">
        <f>IF(Q31&gt;0,'User Inputs (old)'!$P$17,0)</f>
        <v>0</v>
      </c>
      <c r="U31" s="209">
        <f t="shared" si="7"/>
        <v>1929.2141399060342</v>
      </c>
    </row>
    <row r="32" spans="2:22" x14ac:dyDescent="0.25">
      <c r="B32">
        <v>28</v>
      </c>
      <c r="C32" s="197">
        <f t="shared" si="1"/>
        <v>8000</v>
      </c>
      <c r="D32" s="95">
        <f>IF(C32&gt;0,D31*1.02,0)</f>
        <v>0</v>
      </c>
      <c r="H32">
        <v>28</v>
      </c>
      <c r="I32" s="197">
        <f t="shared" si="2"/>
        <v>3209.7606235022631</v>
      </c>
      <c r="J32" s="95">
        <f t="shared" si="3"/>
        <v>405.19055324343776</v>
      </c>
      <c r="O32" s="201">
        <v>25</v>
      </c>
      <c r="P32" s="202">
        <f t="shared" si="5"/>
        <v>0</v>
      </c>
      <c r="Q32" s="203">
        <f t="shared" si="6"/>
        <v>0</v>
      </c>
      <c r="R32" s="204">
        <f>Q32*'User Inputs (old)'!$P$16</f>
        <v>0</v>
      </c>
      <c r="S32" s="204">
        <f t="shared" si="4"/>
        <v>0</v>
      </c>
      <c r="T32" s="204">
        <f>IF(Q32&gt;0,'User Inputs (old)'!$P$17,0)</f>
        <v>0</v>
      </c>
      <c r="U32" s="209">
        <f t="shared" si="7"/>
        <v>1967.798422704155</v>
      </c>
      <c r="V32" s="58" t="s">
        <v>200</v>
      </c>
    </row>
    <row r="33" spans="2:22" x14ac:dyDescent="0.25">
      <c r="B33">
        <v>29</v>
      </c>
      <c r="C33" s="197">
        <f t="shared" si="1"/>
        <v>8000</v>
      </c>
      <c r="D33" s="95">
        <f t="shared" ref="D33:D34" si="8">IF(C33&gt;0,D32*1.02,0)</f>
        <v>0</v>
      </c>
      <c r="H33" s="40">
        <v>29</v>
      </c>
      <c r="I33" s="197">
        <f t="shared" si="2"/>
        <v>2804.5700702588256</v>
      </c>
      <c r="J33" s="95">
        <f t="shared" si="3"/>
        <v>413.29436430830651</v>
      </c>
      <c r="O33" s="201">
        <v>26</v>
      </c>
      <c r="P33" s="202">
        <f t="shared" si="5"/>
        <v>0</v>
      </c>
      <c r="Q33" s="203">
        <f t="shared" si="6"/>
        <v>0</v>
      </c>
      <c r="R33" s="204">
        <f>Q33*'User Inputs (old)'!$P$16</f>
        <v>0</v>
      </c>
      <c r="S33" s="204">
        <f t="shared" si="4"/>
        <v>0</v>
      </c>
      <c r="T33" s="204">
        <f>IF(Q33&gt;0,'User Inputs (old)'!$P$17,0)</f>
        <v>0</v>
      </c>
      <c r="U33" s="209">
        <f t="shared" si="7"/>
        <v>2007.154391158238</v>
      </c>
    </row>
    <row r="34" spans="2:22" x14ac:dyDescent="0.25">
      <c r="B34">
        <v>30</v>
      </c>
      <c r="C34" s="197">
        <f t="shared" si="1"/>
        <v>8000</v>
      </c>
      <c r="D34" s="95">
        <f t="shared" si="8"/>
        <v>0</v>
      </c>
      <c r="H34">
        <v>30</v>
      </c>
      <c r="I34" s="197">
        <f t="shared" si="2"/>
        <v>2391.2757059505193</v>
      </c>
      <c r="J34" s="95">
        <f t="shared" si="3"/>
        <v>421.56025159447267</v>
      </c>
      <c r="O34" s="201">
        <v>27</v>
      </c>
      <c r="P34" s="202">
        <f t="shared" si="5"/>
        <v>0</v>
      </c>
      <c r="Q34" s="203">
        <f t="shared" si="6"/>
        <v>0</v>
      </c>
      <c r="R34" s="204">
        <f>Q34*'User Inputs (old)'!$P$16</f>
        <v>0</v>
      </c>
      <c r="S34" s="204">
        <f t="shared" si="4"/>
        <v>0</v>
      </c>
      <c r="T34" s="204">
        <f>IF(Q34&gt;0,'User Inputs (old)'!$P$17,0)</f>
        <v>0</v>
      </c>
      <c r="U34" s="209">
        <f t="shared" si="7"/>
        <v>2047.2974789814027</v>
      </c>
    </row>
    <row r="35" spans="2:22" x14ac:dyDescent="0.25">
      <c r="H35" s="198" t="s">
        <v>196</v>
      </c>
      <c r="O35" s="201">
        <v>28</v>
      </c>
      <c r="P35" s="202">
        <f t="shared" si="5"/>
        <v>0</v>
      </c>
      <c r="Q35" s="203">
        <f t="shared" si="6"/>
        <v>0</v>
      </c>
      <c r="R35" s="204">
        <f>Q35*'User Inputs (old)'!$P$16</f>
        <v>0</v>
      </c>
      <c r="S35" s="204">
        <f t="shared" si="4"/>
        <v>0</v>
      </c>
      <c r="T35" s="204">
        <f>IF(Q35&gt;0,'User Inputs (old)'!$P$17,0)</f>
        <v>0</v>
      </c>
      <c r="U35" s="209">
        <f t="shared" si="7"/>
        <v>2088.2434285610307</v>
      </c>
    </row>
    <row r="36" spans="2:22" x14ac:dyDescent="0.25">
      <c r="H36" s="40" t="s">
        <v>210</v>
      </c>
      <c r="O36" s="201">
        <v>29</v>
      </c>
      <c r="P36" s="202">
        <f t="shared" si="5"/>
        <v>0</v>
      </c>
      <c r="Q36" s="203">
        <f t="shared" si="6"/>
        <v>0</v>
      </c>
      <c r="R36" s="204">
        <f>Q36*'User Inputs (old)'!$P$16</f>
        <v>0</v>
      </c>
      <c r="S36" s="204">
        <f t="shared" si="4"/>
        <v>0</v>
      </c>
      <c r="T36" s="204">
        <f>IF(Q36&gt;0,'User Inputs (old)'!$P$17,0)</f>
        <v>0</v>
      </c>
      <c r="U36" s="209">
        <f t="shared" si="7"/>
        <v>2130.0082971322513</v>
      </c>
    </row>
    <row r="37" spans="2:22" x14ac:dyDescent="0.25">
      <c r="O37" s="201">
        <v>30</v>
      </c>
      <c r="P37" s="202">
        <f t="shared" si="5"/>
        <v>0</v>
      </c>
      <c r="Q37" s="203">
        <f t="shared" si="6"/>
        <v>0</v>
      </c>
      <c r="R37" s="204">
        <f>Q37*'User Inputs (old)'!$P$16</f>
        <v>0</v>
      </c>
      <c r="S37" s="204">
        <f t="shared" si="4"/>
        <v>0</v>
      </c>
      <c r="T37" s="204">
        <f>IF(Q37&gt;0,'User Inputs (old)'!$P$17,0)</f>
        <v>0</v>
      </c>
      <c r="U37" s="209">
        <f t="shared" si="7"/>
        <v>2172.6084630748965</v>
      </c>
    </row>
    <row r="39" spans="2:22" x14ac:dyDescent="0.25">
      <c r="R39" s="95"/>
      <c r="S39" s="95"/>
      <c r="T39" s="95"/>
      <c r="U39" s="95"/>
      <c r="V39" s="197"/>
    </row>
    <row r="40" spans="2:22" x14ac:dyDescent="0.25">
      <c r="C40">
        <f>31000-28588</f>
        <v>2412</v>
      </c>
      <c r="V40" s="197"/>
    </row>
    <row r="41" spans="2:22" x14ac:dyDescent="0.25">
      <c r="C41" s="360">
        <f>(1-(C40/31000))</f>
        <v>0.92219354838709677</v>
      </c>
    </row>
    <row r="45" spans="2:22" x14ac:dyDescent="0.25">
      <c r="O45" s="198" t="s">
        <v>195</v>
      </c>
    </row>
    <row r="46" spans="2:22" x14ac:dyDescent="0.25">
      <c r="O46" s="40" t="s">
        <v>202</v>
      </c>
    </row>
    <row r="47" spans="2:22" ht="13" x14ac:dyDescent="0.3">
      <c r="Q47" s="94"/>
      <c r="R47" s="94"/>
    </row>
    <row r="48" spans="2:22" x14ac:dyDescent="0.25">
      <c r="B48" s="198" t="s">
        <v>197</v>
      </c>
      <c r="N48" s="40" t="s">
        <v>52</v>
      </c>
      <c r="O48" s="40" t="s">
        <v>207</v>
      </c>
      <c r="P48" s="40" t="s">
        <v>99</v>
      </c>
      <c r="Q48" s="40" t="s">
        <v>208</v>
      </c>
      <c r="R48" s="40" t="s">
        <v>209</v>
      </c>
      <c r="S48" s="40" t="s">
        <v>211</v>
      </c>
    </row>
    <row r="49" spans="14:19" x14ac:dyDescent="0.25">
      <c r="N49">
        <v>1</v>
      </c>
      <c r="O49" s="95">
        <f>-R8</f>
        <v>-270.81</v>
      </c>
      <c r="P49" s="95">
        <f>U8/2</f>
        <v>611.71128166366952</v>
      </c>
      <c r="Q49" s="95">
        <f>-S8</f>
        <v>-367.2</v>
      </c>
      <c r="R49" s="95">
        <f>-T8</f>
        <v>0</v>
      </c>
      <c r="S49" s="95">
        <f>P49+O49+Q49+R49</f>
        <v>-26.298718336330467</v>
      </c>
    </row>
    <row r="50" spans="14:19" x14ac:dyDescent="0.25">
      <c r="N50">
        <v>2</v>
      </c>
      <c r="O50" s="95">
        <f t="shared" ref="O50:O78" si="9">-R9</f>
        <v>-249.92101219092172</v>
      </c>
      <c r="P50" s="95">
        <f t="shared" ref="P50:P65" si="10">U9/2</f>
        <v>623.94550729694288</v>
      </c>
      <c r="Q50" s="95">
        <f t="shared" ref="Q50:Q65" si="11">-S9</f>
        <v>-338.87594873345319</v>
      </c>
      <c r="R50" s="95">
        <f t="shared" ref="R50:R65" si="12">-T9</f>
        <v>0</v>
      </c>
      <c r="S50" s="95">
        <f t="shared" ref="S50:S65" si="13">P50+O50+Q50+R50</f>
        <v>35.148546372567978</v>
      </c>
    </row>
    <row r="51" spans="14:19" x14ac:dyDescent="0.25">
      <c r="N51">
        <v>3</v>
      </c>
      <c r="O51" s="95">
        <f t="shared" si="9"/>
        <v>-228.89044909765721</v>
      </c>
      <c r="P51" s="95">
        <f t="shared" si="10"/>
        <v>636.42441744288169</v>
      </c>
      <c r="Q51" s="95">
        <f t="shared" si="11"/>
        <v>-310.35993097987421</v>
      </c>
      <c r="R51" s="95">
        <f t="shared" si="12"/>
        <v>0</v>
      </c>
      <c r="S51" s="95">
        <f t="shared" si="13"/>
        <v>97.174037365350273</v>
      </c>
    </row>
    <row r="52" spans="14:19" x14ac:dyDescent="0.25">
      <c r="N52">
        <v>4</v>
      </c>
      <c r="O52" s="95">
        <f t="shared" si="9"/>
        <v>-207.71257906756682</v>
      </c>
      <c r="P52" s="95">
        <f t="shared" si="10"/>
        <v>649.15290579173939</v>
      </c>
      <c r="Q52" s="95">
        <f t="shared" si="11"/>
        <v>-281.64417500687028</v>
      </c>
      <c r="R52" s="95">
        <f t="shared" si="12"/>
        <v>0</v>
      </c>
      <c r="S52" s="95">
        <f t="shared" si="13"/>
        <v>159.79615171730228</v>
      </c>
    </row>
    <row r="53" spans="14:19" x14ac:dyDescent="0.25">
      <c r="N53">
        <v>5</v>
      </c>
      <c r="O53" s="95">
        <f t="shared" si="9"/>
        <v>-186.38158626650102</v>
      </c>
      <c r="P53" s="95">
        <f t="shared" si="10"/>
        <v>662.13596390757414</v>
      </c>
      <c r="Q53" s="95">
        <f t="shared" si="11"/>
        <v>-252.72079493762851</v>
      </c>
      <c r="R53" s="95">
        <f t="shared" si="12"/>
        <v>0</v>
      </c>
      <c r="S53" s="95">
        <f t="shared" si="13"/>
        <v>223.03358270344461</v>
      </c>
    </row>
    <row r="54" spans="14:19" x14ac:dyDescent="0.25">
      <c r="N54">
        <v>6</v>
      </c>
      <c r="O54" s="95">
        <f t="shared" si="9"/>
        <v>-164.89156867542928</v>
      </c>
      <c r="P54" s="95">
        <f t="shared" si="10"/>
        <v>675.37868318572566</v>
      </c>
      <c r="Q54" s="95">
        <f t="shared" si="11"/>
        <v>-223.58178803448041</v>
      </c>
      <c r="R54" s="95">
        <f t="shared" si="12"/>
        <v>0</v>
      </c>
      <c r="S54" s="95">
        <f t="shared" si="13"/>
        <v>286.90532647581597</v>
      </c>
    </row>
    <row r="55" spans="14:19" x14ac:dyDescent="0.25">
      <c r="N55">
        <v>7</v>
      </c>
      <c r="O55" s="95">
        <f t="shared" si="9"/>
        <v>-143.23653605035838</v>
      </c>
      <c r="P55" s="95">
        <f t="shared" si="10"/>
        <v>688.8862568494402</v>
      </c>
      <c r="Q55" s="95">
        <f t="shared" si="11"/>
        <v>-194.21903193268932</v>
      </c>
      <c r="R55" s="95">
        <f t="shared" si="12"/>
        <v>0</v>
      </c>
      <c r="S55" s="95">
        <f t="shared" si="13"/>
        <v>351.43068886639253</v>
      </c>
    </row>
    <row r="56" spans="14:19" x14ac:dyDescent="0.25">
      <c r="N56">
        <v>8</v>
      </c>
      <c r="O56" s="95">
        <f t="shared" si="9"/>
        <v>-121.41040784477111</v>
      </c>
      <c r="P56" s="95">
        <f t="shared" si="10"/>
        <v>702.66398198642901</v>
      </c>
      <c r="Q56" s="95">
        <f t="shared" si="11"/>
        <v>-164.62428182341847</v>
      </c>
      <c r="R56" s="95">
        <f t="shared" si="12"/>
        <v>0</v>
      </c>
      <c r="S56" s="95">
        <f t="shared" si="13"/>
        <v>416.62929231823938</v>
      </c>
    </row>
    <row r="57" spans="14:19" x14ac:dyDescent="0.25">
      <c r="N57">
        <v>9</v>
      </c>
      <c r="O57" s="95">
        <f t="shared" si="9"/>
        <v>-99.407011093801358</v>
      </c>
      <c r="P57" s="95">
        <f t="shared" si="10"/>
        <v>716.71726162615755</v>
      </c>
      <c r="Q57" s="95">
        <f t="shared" si="11"/>
        <v>-134.7891675848154</v>
      </c>
      <c r="R57" s="95">
        <f t="shared" si="12"/>
        <v>0</v>
      </c>
      <c r="S57" s="95">
        <f t="shared" si="13"/>
        <v>482.52108294754083</v>
      </c>
    </row>
    <row r="58" spans="14:19" x14ac:dyDescent="0.25">
      <c r="N58">
        <v>10</v>
      </c>
      <c r="O58" s="95">
        <f t="shared" si="9"/>
        <v>-77.220078259344788</v>
      </c>
      <c r="P58" s="95">
        <f t="shared" si="10"/>
        <v>731.05160685868077</v>
      </c>
      <c r="Q58" s="95">
        <f t="shared" si="11"/>
        <v>-104.70519086012854</v>
      </c>
      <c r="R58" s="95">
        <f t="shared" si="12"/>
        <v>0</v>
      </c>
      <c r="S58" s="95">
        <f t="shared" si="13"/>
        <v>549.12633773920743</v>
      </c>
    </row>
    <row r="59" spans="14:19" x14ac:dyDescent="0.25">
      <c r="N59">
        <v>11</v>
      </c>
      <c r="O59" s="95">
        <f t="shared" si="9"/>
        <v>-54.8432450352906</v>
      </c>
      <c r="P59" s="95">
        <f t="shared" si="10"/>
        <v>745.67263899585441</v>
      </c>
      <c r="Q59" s="95">
        <f t="shared" si="11"/>
        <v>-74.36372208174997</v>
      </c>
      <c r="R59" s="95">
        <f t="shared" si="12"/>
        <v>0</v>
      </c>
      <c r="S59" s="95">
        <f t="shared" si="13"/>
        <v>616.46567187881385</v>
      </c>
    </row>
    <row r="60" spans="14:19" x14ac:dyDescent="0.25">
      <c r="N60">
        <v>12</v>
      </c>
      <c r="O60" s="95">
        <f t="shared" si="9"/>
        <v>-32.270048112042346</v>
      </c>
      <c r="P60" s="95">
        <f t="shared" si="10"/>
        <v>760.58609177577148</v>
      </c>
      <c r="Q60" s="95">
        <f t="shared" si="11"/>
        <v>-43.755997440057421</v>
      </c>
      <c r="R60" s="95">
        <f t="shared" si="12"/>
        <v>0</v>
      </c>
      <c r="S60" s="95">
        <f t="shared" si="13"/>
        <v>684.56004622367175</v>
      </c>
    </row>
    <row r="61" spans="14:19" x14ac:dyDescent="0.25">
      <c r="N61">
        <v>13</v>
      </c>
      <c r="O61" s="95">
        <f t="shared" si="9"/>
        <v>-9.4939228994806424</v>
      </c>
      <c r="P61" s="95">
        <f t="shared" si="10"/>
        <v>775.79781361128687</v>
      </c>
      <c r="Q61" s="95">
        <f t="shared" si="11"/>
        <v>-12.873115795905955</v>
      </c>
      <c r="R61" s="95">
        <f t="shared" si="12"/>
        <v>0</v>
      </c>
      <c r="S61" s="95">
        <f t="shared" si="13"/>
        <v>753.43077491590032</v>
      </c>
    </row>
    <row r="62" spans="14:19" x14ac:dyDescent="0.25">
      <c r="N62">
        <v>14</v>
      </c>
      <c r="O62" s="95">
        <f t="shared" si="9"/>
        <v>0</v>
      </c>
      <c r="P62" s="95">
        <f t="shared" si="10"/>
        <v>791.31376988351258</v>
      </c>
      <c r="Q62" s="95">
        <f t="shared" si="11"/>
        <v>0</v>
      </c>
      <c r="R62" s="95">
        <f t="shared" si="12"/>
        <v>0</v>
      </c>
      <c r="S62" s="95">
        <f t="shared" si="13"/>
        <v>791.31376988351258</v>
      </c>
    </row>
    <row r="63" spans="14:19" x14ac:dyDescent="0.25">
      <c r="N63">
        <v>15</v>
      </c>
      <c r="O63" s="95">
        <f t="shared" si="9"/>
        <v>0</v>
      </c>
      <c r="P63" s="95">
        <f t="shared" si="10"/>
        <v>807.14004528118289</v>
      </c>
      <c r="Q63" s="95">
        <f t="shared" si="11"/>
        <v>0</v>
      </c>
      <c r="R63" s="95">
        <f t="shared" si="12"/>
        <v>0</v>
      </c>
      <c r="S63" s="95">
        <f t="shared" si="13"/>
        <v>807.14004528118289</v>
      </c>
    </row>
    <row r="64" spans="14:19" x14ac:dyDescent="0.25">
      <c r="N64">
        <v>16</v>
      </c>
      <c r="O64" s="95">
        <f t="shared" si="9"/>
        <v>0</v>
      </c>
      <c r="P64" s="95">
        <f t="shared" si="10"/>
        <v>823.28284618680652</v>
      </c>
      <c r="Q64" s="95">
        <f t="shared" si="11"/>
        <v>0</v>
      </c>
      <c r="R64" s="95">
        <f t="shared" si="12"/>
        <v>0</v>
      </c>
      <c r="S64" s="95">
        <f t="shared" si="13"/>
        <v>823.28284618680652</v>
      </c>
    </row>
    <row r="65" spans="14:19" x14ac:dyDescent="0.25">
      <c r="N65">
        <v>17</v>
      </c>
      <c r="O65" s="95">
        <f t="shared" si="9"/>
        <v>0</v>
      </c>
      <c r="P65" s="95">
        <f t="shared" si="10"/>
        <v>839.74850311054263</v>
      </c>
      <c r="Q65" s="95">
        <f t="shared" si="11"/>
        <v>0</v>
      </c>
      <c r="R65" s="95">
        <f t="shared" si="12"/>
        <v>0</v>
      </c>
      <c r="S65" s="95">
        <f t="shared" si="13"/>
        <v>839.74850311054263</v>
      </c>
    </row>
    <row r="66" spans="14:19" x14ac:dyDescent="0.25">
      <c r="N66">
        <v>18</v>
      </c>
      <c r="O66" s="95">
        <f t="shared" ref="O66" si="14">-R25</f>
        <v>0</v>
      </c>
      <c r="P66" s="95">
        <f t="shared" ref="P66" si="15">U25/2</f>
        <v>856.54347317275347</v>
      </c>
      <c r="Q66" s="95">
        <f t="shared" ref="Q66" si="16">-S25</f>
        <v>0</v>
      </c>
      <c r="R66" s="95">
        <f t="shared" ref="R66" si="17">-T25</f>
        <v>0</v>
      </c>
      <c r="S66" s="95">
        <f t="shared" ref="S66" si="18">P66+O66+Q66+R66</f>
        <v>856.54347317275347</v>
      </c>
    </row>
    <row r="67" spans="14:19" x14ac:dyDescent="0.25">
      <c r="N67">
        <v>19</v>
      </c>
      <c r="O67" s="95">
        <f t="shared" ref="O67" si="19">-R26</f>
        <v>0</v>
      </c>
      <c r="P67" s="95"/>
      <c r="Q67" s="95">
        <f t="shared" ref="Q67" si="20">-S26</f>
        <v>0</v>
      </c>
      <c r="R67" s="95">
        <f t="shared" ref="R67" si="21">-T26</f>
        <v>0</v>
      </c>
      <c r="S67" s="95">
        <f t="shared" ref="S67" si="22">P67+O67+Q67+R67</f>
        <v>0</v>
      </c>
    </row>
    <row r="68" spans="14:19" x14ac:dyDescent="0.25">
      <c r="N68">
        <v>20</v>
      </c>
      <c r="O68" s="95">
        <f t="shared" ref="O68" si="23">-R27</f>
        <v>0</v>
      </c>
      <c r="P68" s="95"/>
      <c r="Q68" s="95">
        <f t="shared" ref="Q68" si="24">-S27</f>
        <v>0</v>
      </c>
      <c r="R68" s="95">
        <f t="shared" ref="R68" si="25">-T27</f>
        <v>0</v>
      </c>
      <c r="S68" s="95">
        <f t="shared" ref="S68" si="26">P68+O68+Q68+R68</f>
        <v>0</v>
      </c>
    </row>
    <row r="69" spans="14:19" x14ac:dyDescent="0.25">
      <c r="N69">
        <v>21</v>
      </c>
      <c r="O69" s="95">
        <f t="shared" si="9"/>
        <v>0</v>
      </c>
      <c r="P69" s="95"/>
      <c r="Q69" s="95"/>
      <c r="R69" s="95">
        <f t="shared" ref="R69:R79" si="27">T28</f>
        <v>0</v>
      </c>
    </row>
    <row r="70" spans="14:19" x14ac:dyDescent="0.25">
      <c r="N70">
        <v>22</v>
      </c>
      <c r="O70" s="95">
        <f t="shared" si="9"/>
        <v>0</v>
      </c>
      <c r="P70" s="95"/>
      <c r="Q70" s="95"/>
      <c r="R70" s="95">
        <f t="shared" si="27"/>
        <v>0</v>
      </c>
    </row>
    <row r="71" spans="14:19" x14ac:dyDescent="0.25">
      <c r="N71">
        <v>23</v>
      </c>
      <c r="O71" s="95">
        <f t="shared" si="9"/>
        <v>0</v>
      </c>
      <c r="P71" s="95"/>
      <c r="Q71" s="95"/>
      <c r="R71" s="95">
        <f t="shared" si="27"/>
        <v>0</v>
      </c>
    </row>
    <row r="72" spans="14:19" x14ac:dyDescent="0.25">
      <c r="N72">
        <v>24</v>
      </c>
      <c r="O72" s="95">
        <f t="shared" si="9"/>
        <v>0</v>
      </c>
      <c r="P72" s="95"/>
      <c r="Q72" s="95"/>
      <c r="R72" s="95">
        <f t="shared" si="27"/>
        <v>0</v>
      </c>
    </row>
    <row r="73" spans="14:19" x14ac:dyDescent="0.25">
      <c r="N73">
        <v>25</v>
      </c>
      <c r="O73" s="95">
        <f t="shared" si="9"/>
        <v>0</v>
      </c>
      <c r="P73" s="95"/>
      <c r="Q73" s="95"/>
      <c r="R73" s="95">
        <f t="shared" si="27"/>
        <v>0</v>
      </c>
    </row>
    <row r="74" spans="14:19" x14ac:dyDescent="0.25">
      <c r="N74">
        <v>26</v>
      </c>
      <c r="O74" s="95">
        <f t="shared" si="9"/>
        <v>0</v>
      </c>
      <c r="P74" s="95"/>
      <c r="Q74" s="95"/>
      <c r="R74" s="95">
        <f t="shared" si="27"/>
        <v>0</v>
      </c>
    </row>
    <row r="75" spans="14:19" x14ac:dyDescent="0.25">
      <c r="N75">
        <v>27</v>
      </c>
      <c r="O75" s="95">
        <f t="shared" si="9"/>
        <v>0</v>
      </c>
      <c r="P75" s="95"/>
      <c r="Q75" s="95"/>
      <c r="R75" s="95">
        <f t="shared" si="27"/>
        <v>0</v>
      </c>
    </row>
    <row r="76" spans="14:19" x14ac:dyDescent="0.25">
      <c r="N76">
        <v>28</v>
      </c>
      <c r="O76" s="95">
        <f t="shared" si="9"/>
        <v>0</v>
      </c>
      <c r="P76" s="95"/>
      <c r="Q76" s="95"/>
      <c r="R76" s="95">
        <f t="shared" si="27"/>
        <v>0</v>
      </c>
    </row>
    <row r="77" spans="14:19" x14ac:dyDescent="0.25">
      <c r="N77">
        <v>29</v>
      </c>
      <c r="O77" s="95">
        <f t="shared" si="9"/>
        <v>0</v>
      </c>
      <c r="P77" s="95"/>
      <c r="Q77" s="95"/>
      <c r="R77" s="95">
        <f t="shared" si="27"/>
        <v>0</v>
      </c>
    </row>
    <row r="78" spans="14:19" x14ac:dyDescent="0.25">
      <c r="N78">
        <v>30</v>
      </c>
      <c r="O78" s="95">
        <f t="shared" si="9"/>
        <v>0</v>
      </c>
      <c r="P78" s="95"/>
      <c r="Q78" s="95"/>
      <c r="R78" s="95">
        <f t="shared" si="27"/>
        <v>0</v>
      </c>
    </row>
    <row r="79" spans="14:19" x14ac:dyDescent="0.25">
      <c r="Q79" s="95"/>
      <c r="R79" s="95">
        <f t="shared" si="27"/>
        <v>0</v>
      </c>
    </row>
    <row r="80" spans="14:19" x14ac:dyDescent="0.25">
      <c r="Q80" s="95"/>
      <c r="R80" s="95"/>
    </row>
    <row r="81" spans="17:18" x14ac:dyDescent="0.25">
      <c r="Q81" s="95"/>
      <c r="R81" s="95"/>
    </row>
    <row r="82" spans="17:18" x14ac:dyDescent="0.25">
      <c r="Q82" s="95"/>
      <c r="R82" s="95"/>
    </row>
    <row r="83" spans="17:18" x14ac:dyDescent="0.25">
      <c r="R83" s="95"/>
    </row>
  </sheetData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233A7-46D3-4FAC-9602-26F7B54BA965}">
  <sheetPr codeName="Sheet2">
    <tabColor rgb="FFFF0000"/>
  </sheetPr>
  <dimension ref="A1:R36"/>
  <sheetViews>
    <sheetView showGridLines="0" zoomScaleNormal="100" workbookViewId="0">
      <selection activeCell="H1" sqref="H1"/>
    </sheetView>
  </sheetViews>
  <sheetFormatPr defaultColWidth="8.81640625" defaultRowHeight="12.5" x14ac:dyDescent="0.25"/>
  <cols>
    <col min="2" max="2" width="14.453125" customWidth="1"/>
    <col min="3" max="3" width="15.453125" bestFit="1" customWidth="1"/>
    <col min="4" max="5" width="16.453125" bestFit="1" customWidth="1"/>
    <col min="6" max="8" width="22.1796875" customWidth="1"/>
    <col min="9" max="9" width="14.453125" bestFit="1" customWidth="1"/>
    <col min="11" max="11" width="16.453125" customWidth="1"/>
    <col min="13" max="13" width="12.453125" bestFit="1" customWidth="1"/>
    <col min="14" max="14" width="12.453125" customWidth="1"/>
    <col min="15" max="15" width="14.1796875" customWidth="1"/>
    <col min="17" max="17" width="13.453125" bestFit="1" customWidth="1"/>
    <col min="18" max="18" width="21.453125" bestFit="1" customWidth="1"/>
    <col min="19" max="19" width="24.453125" bestFit="1" customWidth="1"/>
  </cols>
  <sheetData>
    <row r="1" spans="1:18" s="133" customFormat="1" ht="52.5" thickBot="1" x14ac:dyDescent="0.3">
      <c r="A1" s="135" t="s">
        <v>53</v>
      </c>
      <c r="B1" s="135" t="s">
        <v>175</v>
      </c>
      <c r="C1" s="135" t="s">
        <v>149</v>
      </c>
      <c r="D1" s="135" t="s">
        <v>147</v>
      </c>
      <c r="E1" s="135" t="s">
        <v>143</v>
      </c>
      <c r="F1" s="135" t="s">
        <v>144</v>
      </c>
      <c r="G1" s="135" t="s">
        <v>376</v>
      </c>
      <c r="H1" s="135" t="s">
        <v>176</v>
      </c>
      <c r="J1"/>
      <c r="K1" s="1"/>
      <c r="L1" s="1"/>
      <c r="M1" s="1"/>
    </row>
    <row r="2" spans="1:18" ht="14.5" thickBot="1" x14ac:dyDescent="0.35">
      <c r="A2" s="136" t="s">
        <v>131</v>
      </c>
      <c r="B2" s="184">
        <v>162.86000000000001</v>
      </c>
      <c r="C2" s="93">
        <v>10.89</v>
      </c>
      <c r="D2" s="139">
        <f t="shared" ref="D2:D13" si="0">C2-E2</f>
        <v>0.55000000000000071</v>
      </c>
      <c r="E2" s="140">
        <f t="shared" ref="E2:E13" si="1">C2-(MIN($C$2:$C$13))</f>
        <v>10.34</v>
      </c>
      <c r="F2" s="141">
        <f>E2/'Conversion Factors'!$M$4</f>
        <v>9800390.499118533</v>
      </c>
      <c r="G2" s="388">
        <f>C2/$C$14</f>
        <v>0.15346674182638109</v>
      </c>
      <c r="H2" s="185">
        <f>B2/C2</f>
        <v>14.955004591368228</v>
      </c>
      <c r="I2" s="95"/>
      <c r="K2" s="164" t="s">
        <v>159</v>
      </c>
      <c r="L2" s="165"/>
      <c r="M2" s="165"/>
      <c r="N2" s="164"/>
      <c r="O2" s="164"/>
      <c r="P2" s="166">
        <v>0.8</v>
      </c>
      <c r="Q2" s="164"/>
      <c r="R2" s="164"/>
    </row>
    <row r="3" spans="1:18" ht="14.5" thickBot="1" x14ac:dyDescent="0.35">
      <c r="A3" s="136" t="s">
        <v>132</v>
      </c>
      <c r="B3" s="184">
        <v>143.87</v>
      </c>
      <c r="C3" s="93">
        <v>9.92</v>
      </c>
      <c r="D3" s="139">
        <f t="shared" si="0"/>
        <v>0.55000000000000071</v>
      </c>
      <c r="E3" s="140">
        <f t="shared" si="1"/>
        <v>9.3699999999999992</v>
      </c>
      <c r="F3" s="141">
        <f>E3/'Conversion Factors'!$M$4</f>
        <v>8881011.5064546075</v>
      </c>
      <c r="G3" s="388">
        <f t="shared" ref="G3:G13" si="2">C3/$C$14</f>
        <v>0.13979706877113868</v>
      </c>
      <c r="H3" s="185">
        <f t="shared" ref="H3:H13" si="3">B3/C3</f>
        <v>14.503024193548388</v>
      </c>
      <c r="I3" s="95"/>
      <c r="K3" s="165" t="s">
        <v>181</v>
      </c>
      <c r="L3" s="164"/>
      <c r="M3" s="164"/>
      <c r="N3" s="164"/>
      <c r="O3" s="164"/>
      <c r="P3" s="163">
        <v>17</v>
      </c>
      <c r="Q3" s="165" t="s">
        <v>158</v>
      </c>
      <c r="R3" s="164"/>
    </row>
    <row r="4" spans="1:18" ht="14.5" thickBot="1" x14ac:dyDescent="0.35">
      <c r="A4" s="136" t="s">
        <v>133</v>
      </c>
      <c r="B4" s="184">
        <v>170.17</v>
      </c>
      <c r="C4" s="93">
        <v>11.8</v>
      </c>
      <c r="D4" s="139">
        <f t="shared" si="0"/>
        <v>0.55000000000000071</v>
      </c>
      <c r="E4" s="140">
        <f t="shared" si="1"/>
        <v>11.25</v>
      </c>
      <c r="F4" s="141">
        <f>E4/'Conversion Factors'!$M$4</f>
        <v>10662900.688112523</v>
      </c>
      <c r="G4" s="388">
        <f t="shared" si="2"/>
        <v>0.16629086809470126</v>
      </c>
      <c r="H4" s="185">
        <f t="shared" si="3"/>
        <v>14.421186440677964</v>
      </c>
      <c r="I4" s="95"/>
      <c r="K4" s="165" t="s">
        <v>182</v>
      </c>
      <c r="L4" s="164"/>
      <c r="M4" s="164"/>
      <c r="N4" s="164"/>
      <c r="O4" s="164"/>
      <c r="P4" s="163">
        <v>24</v>
      </c>
      <c r="Q4" s="165" t="s">
        <v>158</v>
      </c>
      <c r="R4" s="164"/>
    </row>
    <row r="5" spans="1:18" ht="14.5" thickBot="1" x14ac:dyDescent="0.35">
      <c r="A5" s="136" t="s">
        <v>134</v>
      </c>
      <c r="B5" s="184">
        <v>117</v>
      </c>
      <c r="C5" s="93">
        <v>5.9</v>
      </c>
      <c r="D5" s="139">
        <f t="shared" si="0"/>
        <v>0.54999999999999982</v>
      </c>
      <c r="E5" s="140">
        <f t="shared" si="1"/>
        <v>5.3500000000000005</v>
      </c>
      <c r="F5" s="141">
        <f>E5/'Conversion Factors'!$M$4</f>
        <v>5070801.6605690671</v>
      </c>
      <c r="G5" s="388">
        <f t="shared" si="2"/>
        <v>8.3145434047350628E-2</v>
      </c>
      <c r="H5" s="185">
        <f t="shared" si="3"/>
        <v>19.83050847457627</v>
      </c>
      <c r="I5" s="95"/>
    </row>
    <row r="6" spans="1:18" ht="14.5" thickBot="1" x14ac:dyDescent="0.35">
      <c r="A6" s="136" t="s">
        <v>135</v>
      </c>
      <c r="B6" s="184">
        <v>68.180000000000007</v>
      </c>
      <c r="C6" s="93">
        <f>1.97</f>
        <v>1.97</v>
      </c>
      <c r="D6" s="139">
        <f t="shared" si="0"/>
        <v>0.55000000000000004</v>
      </c>
      <c r="E6" s="140">
        <f t="shared" si="1"/>
        <v>1.42</v>
      </c>
      <c r="F6" s="141">
        <f>E6/'Conversion Factors'!$M$4</f>
        <v>1345895.0201884252</v>
      </c>
      <c r="G6" s="388">
        <f t="shared" si="2"/>
        <v>2.7762119503945887E-2</v>
      </c>
      <c r="H6" s="185">
        <f t="shared" si="3"/>
        <v>34.609137055837564</v>
      </c>
      <c r="I6" s="95"/>
      <c r="K6" s="164" t="s">
        <v>161</v>
      </c>
      <c r="L6" s="164"/>
      <c r="M6" s="164"/>
      <c r="N6" s="164"/>
      <c r="O6" s="164"/>
      <c r="P6" s="177">
        <v>3800</v>
      </c>
      <c r="Q6" s="165" t="s">
        <v>162</v>
      </c>
    </row>
    <row r="7" spans="1:18" ht="14" x14ac:dyDescent="0.3">
      <c r="A7" s="136" t="s">
        <v>136</v>
      </c>
      <c r="B7" s="184">
        <v>63.89</v>
      </c>
      <c r="C7" s="93">
        <v>0.98</v>
      </c>
      <c r="D7" s="139">
        <f t="shared" si="0"/>
        <v>0.55000000000000004</v>
      </c>
      <c r="E7" s="140">
        <f t="shared" si="1"/>
        <v>0.42999999999999994</v>
      </c>
      <c r="F7" s="141">
        <f>E7/'Conversion Factors'!$M$4</f>
        <v>407559.75963452307</v>
      </c>
      <c r="G7" s="388">
        <f t="shared" si="2"/>
        <v>1.3810597519729425E-2</v>
      </c>
      <c r="H7" s="185">
        <f t="shared" si="3"/>
        <v>65.193877551020407</v>
      </c>
      <c r="I7" s="95"/>
    </row>
    <row r="8" spans="1:18" ht="14.5" thickBot="1" x14ac:dyDescent="0.35">
      <c r="A8" s="136" t="s">
        <v>137</v>
      </c>
      <c r="B8" s="184">
        <v>46.36</v>
      </c>
      <c r="C8" s="93">
        <v>0.99</v>
      </c>
      <c r="D8" s="139">
        <f t="shared" si="0"/>
        <v>0.55000000000000004</v>
      </c>
      <c r="E8" s="140">
        <f t="shared" si="1"/>
        <v>0.43999999999999995</v>
      </c>
      <c r="F8" s="141">
        <f>E8/'Conversion Factors'!$M$4</f>
        <v>417037.89357951202</v>
      </c>
      <c r="G8" s="388">
        <f t="shared" si="2"/>
        <v>1.3951521984216462E-2</v>
      </c>
      <c r="H8" s="185">
        <f t="shared" si="3"/>
        <v>46.828282828282831</v>
      </c>
      <c r="I8" s="95"/>
      <c r="K8" s="195" t="s">
        <v>185</v>
      </c>
      <c r="L8" s="164"/>
      <c r="M8" s="164"/>
      <c r="N8" s="164"/>
      <c r="O8" s="164"/>
      <c r="P8" s="164"/>
    </row>
    <row r="9" spans="1:18" ht="14.5" thickBot="1" x14ac:dyDescent="0.35">
      <c r="A9" s="136" t="s">
        <v>138</v>
      </c>
      <c r="B9" s="184">
        <v>41.04</v>
      </c>
      <c r="C9" s="93">
        <v>0.55000000000000004</v>
      </c>
      <c r="D9" s="139">
        <f t="shared" si="0"/>
        <v>0.55000000000000004</v>
      </c>
      <c r="E9" s="140">
        <f t="shared" si="1"/>
        <v>0</v>
      </c>
      <c r="F9" s="141">
        <f>E9/'Conversion Factors'!$M$4</f>
        <v>0</v>
      </c>
      <c r="G9" s="388">
        <f t="shared" si="2"/>
        <v>7.7508455467869232E-3</v>
      </c>
      <c r="H9" s="185">
        <f t="shared" si="3"/>
        <v>74.61818181818181</v>
      </c>
      <c r="I9" s="95"/>
      <c r="K9" s="164" t="s">
        <v>184</v>
      </c>
      <c r="L9" s="164"/>
      <c r="M9" s="164"/>
      <c r="N9" s="164"/>
      <c r="O9" s="164"/>
      <c r="P9" s="178">
        <v>7500</v>
      </c>
    </row>
    <row r="10" spans="1:18" ht="14.5" thickBot="1" x14ac:dyDescent="0.35">
      <c r="A10" s="136" t="s">
        <v>139</v>
      </c>
      <c r="B10" s="184">
        <v>62.36</v>
      </c>
      <c r="C10" s="93">
        <f>1.95-C9</f>
        <v>1.4</v>
      </c>
      <c r="D10" s="139">
        <f t="shared" si="0"/>
        <v>0.55000000000000004</v>
      </c>
      <c r="E10" s="140">
        <f t="shared" si="1"/>
        <v>0.84999999999999987</v>
      </c>
      <c r="F10" s="141">
        <f>E10/'Conversion Factors'!$M$4</f>
        <v>805641.38532405731</v>
      </c>
      <c r="G10" s="388">
        <f t="shared" si="2"/>
        <v>1.9729425028184894E-2</v>
      </c>
      <c r="H10" s="185">
        <f t="shared" si="3"/>
        <v>44.542857142857144</v>
      </c>
      <c r="I10" s="95"/>
      <c r="K10" s="165" t="s">
        <v>212</v>
      </c>
      <c r="L10" s="164"/>
      <c r="M10" s="164"/>
      <c r="N10" s="164"/>
      <c r="O10" s="164"/>
      <c r="P10" s="178">
        <v>16000</v>
      </c>
    </row>
    <row r="11" spans="1:18" ht="14.5" thickBot="1" x14ac:dyDescent="0.35">
      <c r="A11" s="136" t="s">
        <v>140</v>
      </c>
      <c r="B11" s="184">
        <v>71.67</v>
      </c>
      <c r="C11" s="93">
        <v>2.96</v>
      </c>
      <c r="D11" s="139">
        <f t="shared" si="0"/>
        <v>0.54999999999999982</v>
      </c>
      <c r="E11" s="140">
        <f t="shared" si="1"/>
        <v>2.41</v>
      </c>
      <c r="F11" s="141">
        <f>E11/'Conversion Factors'!$M$4</f>
        <v>2284230.2807423277</v>
      </c>
      <c r="G11" s="388">
        <f t="shared" si="2"/>
        <v>4.1713641488162347E-2</v>
      </c>
      <c r="H11" s="185">
        <f t="shared" si="3"/>
        <v>24.212837837837839</v>
      </c>
      <c r="I11" s="95"/>
      <c r="K11" s="164" t="s">
        <v>167</v>
      </c>
      <c r="L11" s="164"/>
      <c r="M11" s="164"/>
      <c r="N11" s="164"/>
      <c r="O11" s="164"/>
      <c r="P11" s="178">
        <v>10200</v>
      </c>
      <c r="R11" s="40"/>
    </row>
    <row r="12" spans="1:18" ht="14" x14ac:dyDescent="0.3">
      <c r="A12" s="136" t="s">
        <v>141</v>
      </c>
      <c r="B12" s="184">
        <v>143.72999999999999</v>
      </c>
      <c r="C12" s="93">
        <v>8.8000000000000007</v>
      </c>
      <c r="D12" s="139">
        <f t="shared" si="0"/>
        <v>0.55000000000000071</v>
      </c>
      <c r="E12" s="140">
        <f t="shared" si="1"/>
        <v>8.25</v>
      </c>
      <c r="F12" s="141">
        <f>E12/'Conversion Factors'!$M$4</f>
        <v>7819460.5046158507</v>
      </c>
      <c r="G12" s="388">
        <f t="shared" si="2"/>
        <v>0.12401352874859077</v>
      </c>
      <c r="H12" s="185">
        <f t="shared" si="3"/>
        <v>16.332954545454545</v>
      </c>
      <c r="I12" s="95"/>
    </row>
    <row r="13" spans="1:18" ht="14.5" thickBot="1" x14ac:dyDescent="0.35">
      <c r="A13" s="137" t="s">
        <v>142</v>
      </c>
      <c r="B13" s="194">
        <v>213.84</v>
      </c>
      <c r="C13" s="134">
        <v>14.8</v>
      </c>
      <c r="D13" s="142">
        <f t="shared" si="0"/>
        <v>0.55000000000000071</v>
      </c>
      <c r="E13" s="143">
        <f t="shared" si="1"/>
        <v>14.25</v>
      </c>
      <c r="F13" s="144">
        <f>E13/'Conversion Factors'!$M$4</f>
        <v>13506340.871609198</v>
      </c>
      <c r="G13" s="388">
        <f t="shared" si="2"/>
        <v>0.20856820744081175</v>
      </c>
      <c r="H13" s="187">
        <f t="shared" si="3"/>
        <v>14.448648648648648</v>
      </c>
      <c r="I13" s="95"/>
      <c r="K13" s="195" t="s">
        <v>186</v>
      </c>
      <c r="L13" s="164"/>
      <c r="M13" s="164"/>
      <c r="N13" s="164"/>
      <c r="O13" s="164"/>
      <c r="P13" s="164"/>
    </row>
    <row r="14" spans="1:18" ht="14" thickTop="1" thickBot="1" x14ac:dyDescent="0.35">
      <c r="A14" s="138" t="s">
        <v>146</v>
      </c>
      <c r="B14" s="191">
        <f>SUM(B2:B13)</f>
        <v>1304.9699999999998</v>
      </c>
      <c r="C14" s="148">
        <f>SUM(C2:C13)</f>
        <v>70.959999999999994</v>
      </c>
      <c r="D14" s="145">
        <f>SUM(D2:D13)</f>
        <v>6.6000000000000023</v>
      </c>
      <c r="E14" s="146">
        <f>SUM(E2:E13)</f>
        <v>64.36</v>
      </c>
      <c r="F14" s="147">
        <f>SUM(F2:F13)</f>
        <v>61001270.069948629</v>
      </c>
      <c r="G14" s="147"/>
      <c r="H14" s="186">
        <f>B14/C14</f>
        <v>18.390219842164598</v>
      </c>
      <c r="I14" s="95"/>
      <c r="K14" s="164" t="s">
        <v>187</v>
      </c>
      <c r="L14" s="164"/>
      <c r="M14" s="164"/>
      <c r="N14" s="164"/>
      <c r="O14" s="164"/>
      <c r="P14" s="178">
        <v>4400</v>
      </c>
    </row>
    <row r="15" spans="1:18" x14ac:dyDescent="0.25">
      <c r="K15" s="164" t="s">
        <v>188</v>
      </c>
      <c r="L15" s="164"/>
      <c r="M15" s="164"/>
      <c r="N15" s="164"/>
      <c r="O15" s="164"/>
      <c r="P15" s="211">
        <f>P11*10%</f>
        <v>1020</v>
      </c>
    </row>
    <row r="16" spans="1:18" ht="39" x14ac:dyDescent="0.25">
      <c r="A16" s="135" t="s">
        <v>53</v>
      </c>
      <c r="B16" s="135" t="s">
        <v>177</v>
      </c>
      <c r="C16" s="135" t="s">
        <v>148</v>
      </c>
      <c r="D16" s="135" t="s">
        <v>150</v>
      </c>
      <c r="E16" s="135" t="s">
        <v>148</v>
      </c>
      <c r="F16" s="135" t="s">
        <v>153</v>
      </c>
      <c r="G16" s="135"/>
      <c r="H16" s="135" t="s">
        <v>178</v>
      </c>
      <c r="I16" s="135" t="s">
        <v>154</v>
      </c>
      <c r="O16" s="212" t="s">
        <v>205</v>
      </c>
      <c r="P16" s="214">
        <v>2.9499999999999998E-2</v>
      </c>
    </row>
    <row r="17" spans="1:16" ht="25" x14ac:dyDescent="0.3">
      <c r="A17" s="136" t="s">
        <v>131</v>
      </c>
      <c r="B17" s="192">
        <f>44.79+75</f>
        <v>119.78999999999999</v>
      </c>
      <c r="C17" s="93">
        <v>452</v>
      </c>
      <c r="D17" s="93">
        <v>0</v>
      </c>
      <c r="E17" s="139">
        <f t="shared" ref="E17:E28" si="4">($I$17*$I$18*D17)/1000</f>
        <v>0</v>
      </c>
      <c r="F17" s="139">
        <f t="shared" ref="F17:F22" si="5">E17/277.778</f>
        <v>0</v>
      </c>
      <c r="G17" s="139"/>
      <c r="H17" s="185">
        <f>SUM(B17:B28)/(SUM(C17:C28))</f>
        <v>0.27597886719588066</v>
      </c>
      <c r="I17" s="150">
        <v>8</v>
      </c>
      <c r="J17" s="40" t="s">
        <v>151</v>
      </c>
      <c r="O17" s="212" t="s">
        <v>206</v>
      </c>
      <c r="P17" s="213">
        <v>0</v>
      </c>
    </row>
    <row r="18" spans="1:16" ht="14" x14ac:dyDescent="0.3">
      <c r="A18" s="136" t="s">
        <v>132</v>
      </c>
      <c r="B18" s="192">
        <f>95.5+25</f>
        <v>120.5</v>
      </c>
      <c r="C18" s="93">
        <v>458</v>
      </c>
      <c r="D18" s="93">
        <v>0</v>
      </c>
      <c r="E18" s="139">
        <f t="shared" si="4"/>
        <v>0</v>
      </c>
      <c r="F18" s="139">
        <f t="shared" si="5"/>
        <v>0</v>
      </c>
      <c r="G18" s="139"/>
      <c r="H18" s="185"/>
      <c r="I18" s="150">
        <v>208</v>
      </c>
      <c r="J18" s="40" t="s">
        <v>152</v>
      </c>
      <c r="P18" s="40"/>
    </row>
    <row r="19" spans="1:16" ht="14" x14ac:dyDescent="0.3">
      <c r="A19" s="136" t="s">
        <v>133</v>
      </c>
      <c r="B19" s="192">
        <f>61.1+25</f>
        <v>86.1</v>
      </c>
      <c r="C19" s="93">
        <v>288</v>
      </c>
      <c r="D19" s="93">
        <v>0</v>
      </c>
      <c r="E19" s="139">
        <f t="shared" si="4"/>
        <v>0</v>
      </c>
      <c r="F19" s="139">
        <f t="shared" si="5"/>
        <v>0</v>
      </c>
      <c r="G19" s="139"/>
      <c r="H19" s="185"/>
      <c r="P19" s="40"/>
    </row>
    <row r="20" spans="1:16" ht="14" x14ac:dyDescent="0.3">
      <c r="A20" s="136" t="s">
        <v>134</v>
      </c>
      <c r="B20" s="184">
        <v>64.48</v>
      </c>
      <c r="C20" s="93">
        <v>203</v>
      </c>
      <c r="D20" s="93">
        <v>0</v>
      </c>
      <c r="E20" s="139">
        <f t="shared" si="4"/>
        <v>0</v>
      </c>
      <c r="F20" s="139">
        <f t="shared" si="5"/>
        <v>0</v>
      </c>
      <c r="G20" s="139"/>
      <c r="H20" s="185"/>
      <c r="P20" s="40"/>
    </row>
    <row r="21" spans="1:16" ht="14" x14ac:dyDescent="0.3">
      <c r="A21" s="136" t="s">
        <v>135</v>
      </c>
      <c r="B21" s="184">
        <v>88.24</v>
      </c>
      <c r="C21" s="93">
        <v>312</v>
      </c>
      <c r="D21" s="93">
        <v>0</v>
      </c>
      <c r="E21" s="139">
        <f t="shared" si="4"/>
        <v>0</v>
      </c>
      <c r="F21" s="139">
        <f t="shared" si="5"/>
        <v>0</v>
      </c>
      <c r="G21" s="139"/>
      <c r="H21" s="185"/>
      <c r="P21" s="40"/>
    </row>
    <row r="22" spans="1:16" ht="14" x14ac:dyDescent="0.3">
      <c r="A22" s="136" t="s">
        <v>136</v>
      </c>
      <c r="B22" s="192">
        <f>12.44+50</f>
        <v>62.44</v>
      </c>
      <c r="C22" s="93">
        <v>183</v>
      </c>
      <c r="D22" s="93">
        <v>0</v>
      </c>
      <c r="E22" s="139">
        <f t="shared" si="4"/>
        <v>0</v>
      </c>
      <c r="F22" s="139">
        <f t="shared" si="5"/>
        <v>0</v>
      </c>
      <c r="G22" s="139"/>
      <c r="H22" s="185"/>
      <c r="P22" s="40"/>
    </row>
    <row r="23" spans="1:16" ht="14" x14ac:dyDescent="0.3">
      <c r="A23" s="136" t="s">
        <v>137</v>
      </c>
      <c r="B23" s="192">
        <f>14.39+50</f>
        <v>64.39</v>
      </c>
      <c r="C23" s="93">
        <v>195</v>
      </c>
      <c r="D23" s="93">
        <v>7.7</v>
      </c>
      <c r="E23" s="139">
        <f>($I$17*$I$18*D23)/1000</f>
        <v>12.812800000000001</v>
      </c>
      <c r="F23" s="139">
        <f>E23/277.778</f>
        <v>4.6126043099165522E-2</v>
      </c>
      <c r="G23" s="139"/>
      <c r="H23" s="185"/>
      <c r="P23" s="40"/>
    </row>
    <row r="24" spans="1:16" ht="14" x14ac:dyDescent="0.3">
      <c r="A24" s="136" t="s">
        <v>138</v>
      </c>
      <c r="B24" s="192">
        <f>27.07+50</f>
        <v>77.069999999999993</v>
      </c>
      <c r="C24" s="93">
        <v>281.8</v>
      </c>
      <c r="D24" s="93">
        <v>18.7</v>
      </c>
      <c r="E24" s="139">
        <f t="shared" si="4"/>
        <v>31.116799999999998</v>
      </c>
      <c r="F24" s="139">
        <f t="shared" ref="F24:F28" si="6">E24/277.778</f>
        <v>0.11202039038368768</v>
      </c>
      <c r="G24" s="139"/>
      <c r="H24" s="185"/>
    </row>
    <row r="25" spans="1:16" ht="14" x14ac:dyDescent="0.3">
      <c r="A25" s="136" t="s">
        <v>139</v>
      </c>
      <c r="B25" s="192">
        <f>11.3+50</f>
        <v>61.3</v>
      </c>
      <c r="C25" s="93">
        <v>213.44</v>
      </c>
      <c r="D25" s="93">
        <v>12.5</v>
      </c>
      <c r="E25" s="139">
        <f t="shared" si="4"/>
        <v>20.8</v>
      </c>
      <c r="F25" s="139">
        <f t="shared" si="6"/>
        <v>7.4879940096047926E-2</v>
      </c>
      <c r="G25" s="139"/>
      <c r="H25" s="185"/>
    </row>
    <row r="26" spans="1:16" ht="14" x14ac:dyDescent="0.3">
      <c r="A26" s="136" t="s">
        <v>140</v>
      </c>
      <c r="B26" s="192">
        <f>12.24+50</f>
        <v>62.24</v>
      </c>
      <c r="C26" s="93">
        <v>220.56</v>
      </c>
      <c r="D26" s="93">
        <v>0</v>
      </c>
      <c r="E26" s="139">
        <f t="shared" si="4"/>
        <v>0</v>
      </c>
      <c r="F26" s="139">
        <f>E26/277.778</f>
        <v>0</v>
      </c>
      <c r="G26" s="139"/>
      <c r="H26" s="185"/>
    </row>
    <row r="27" spans="1:16" ht="14" x14ac:dyDescent="0.3">
      <c r="A27" s="136" t="s">
        <v>141</v>
      </c>
      <c r="B27" s="192">
        <f>44.32+50</f>
        <v>94.32</v>
      </c>
      <c r="C27" s="93">
        <v>379</v>
      </c>
      <c r="D27" s="93">
        <v>0</v>
      </c>
      <c r="E27" s="139">
        <f t="shared" si="4"/>
        <v>0</v>
      </c>
      <c r="F27" s="139">
        <f t="shared" si="6"/>
        <v>0</v>
      </c>
      <c r="G27" s="139"/>
      <c r="H27" s="185"/>
    </row>
    <row r="28" spans="1:16" ht="14.5" thickBot="1" x14ac:dyDescent="0.35">
      <c r="A28" s="137" t="s">
        <v>142</v>
      </c>
      <c r="B28" s="193">
        <f>53.2+75</f>
        <v>128.19999999999999</v>
      </c>
      <c r="C28" s="134">
        <v>543</v>
      </c>
      <c r="D28" s="134">
        <v>0</v>
      </c>
      <c r="E28" s="142">
        <f t="shared" si="4"/>
        <v>0</v>
      </c>
      <c r="F28" s="142">
        <f t="shared" si="6"/>
        <v>0</v>
      </c>
      <c r="G28" s="142"/>
      <c r="H28" s="187"/>
    </row>
    <row r="29" spans="1:16" ht="13.5" thickTop="1" x14ac:dyDescent="0.3">
      <c r="A29" s="138" t="s">
        <v>146</v>
      </c>
      <c r="B29" s="138"/>
      <c r="C29" s="148"/>
      <c r="D29" s="148">
        <f>SUM(D17:D28)</f>
        <v>38.9</v>
      </c>
      <c r="E29" s="145">
        <f>SUM(E17:E28)</f>
        <v>64.729600000000005</v>
      </c>
      <c r="F29" s="145">
        <f>SUM(F17:F28)</f>
        <v>0.23302637357890113</v>
      </c>
      <c r="G29" s="145"/>
      <c r="H29" s="186"/>
    </row>
    <row r="32" spans="1:16" x14ac:dyDescent="0.25">
      <c r="A32" s="40"/>
    </row>
    <row r="33" spans="1:9" x14ac:dyDescent="0.25">
      <c r="A33" s="40"/>
      <c r="B33" s="40"/>
      <c r="E33" s="179"/>
      <c r="F33" s="40"/>
      <c r="G33" s="40"/>
      <c r="I33" s="40"/>
    </row>
    <row r="34" spans="1:9" x14ac:dyDescent="0.25">
      <c r="A34" s="40"/>
      <c r="B34" s="40"/>
      <c r="E34" s="150"/>
      <c r="F34" s="40"/>
      <c r="G34" s="40"/>
      <c r="I34" s="40"/>
    </row>
    <row r="35" spans="1:9" x14ac:dyDescent="0.25">
      <c r="A35" s="40"/>
      <c r="B35" s="40"/>
      <c r="E35" s="150"/>
      <c r="F35" s="40"/>
      <c r="G35" s="40"/>
      <c r="I35" s="40"/>
    </row>
    <row r="36" spans="1:9" x14ac:dyDescent="0.25">
      <c r="F36" s="227"/>
      <c r="G36" s="227"/>
      <c r="H36" s="227"/>
      <c r="I36" s="227"/>
    </row>
  </sheetData>
  <phoneticPr fontId="27" type="noConversion"/>
  <pageMargins left="0.7" right="0.7" top="0.75" bottom="0.75" header="0.3" footer="0.3"/>
  <pageSetup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C724B21205494791EFEB68778A6143" ma:contentTypeVersion="16" ma:contentTypeDescription="Create a new document." ma:contentTypeScope="" ma:versionID="e4ad5ca26cdc3f9cd021d0d2445432f7">
  <xsd:schema xmlns:xsd="http://www.w3.org/2001/XMLSchema" xmlns:xs="http://www.w3.org/2001/XMLSchema" xmlns:p="http://schemas.microsoft.com/office/2006/metadata/properties" xmlns:ns2="a4c2990d-8ecd-4d4b-8b03-b0e402925896" xmlns:ns3="fc42688c-e68d-4134-b0ef-892669d68e0b" targetNamespace="http://schemas.microsoft.com/office/2006/metadata/properties" ma:root="true" ma:fieldsID="2af220d33f28968a983e6419a2035e41" ns2:_="" ns3:_="">
    <xsd:import namespace="a4c2990d-8ecd-4d4b-8b03-b0e402925896"/>
    <xsd:import namespace="fc42688c-e68d-4134-b0ef-892669d68e0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LengthInSecond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4c2990d-8ecd-4d4b-8b03-b0e40292589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341d824f-8fcb-403c-8eb0-24d834084a5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bjectDetectorVersions" ma:index="2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42688c-e68d-4134-b0ef-892669d68e0b" elementFormDefault="qualified">
    <xsd:import namespace="http://schemas.microsoft.com/office/2006/documentManagement/types"/>
    <xsd:import namespace="http://schemas.microsoft.com/office/infopath/2007/PartnerControls"/>
    <xsd:element name="SharedWithUsers" ma:index="1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1" nillable="true" ma:displayName="Taxonomy Catch All Column" ma:hidden="true" ma:list="{e735a690-7a4a-4c3e-bcd8-28a69bd2c02e}" ma:internalName="TaxCatchAll" ma:showField="CatchAllData" ma:web="fc42688c-e68d-4134-b0ef-892669d68e0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�� 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fc42688c-e68d-4134-b0ef-892669d68e0b" xsi:nil="true"/>
    <lcf76f155ced4ddcb4097134ff3c332f xmlns="a4c2990d-8ecd-4d4b-8b03-b0e402925896">
      <Terms xmlns="http://schemas.microsoft.com/office/infopath/2007/PartnerControls"/>
    </lcf76f155ced4ddcb4097134ff3c332f>
  </documentManagement>
</p:properties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18CE845-6523-4F36-A77F-3D188D5B133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4c2990d-8ecd-4d4b-8b03-b0e402925896"/>
    <ds:schemaRef ds:uri="fc42688c-e68d-4134-b0ef-892669d68e0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F2CE999-20F1-43FA-A7CD-F9573A0CAC5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91369E20-5123-4E0E-80F4-40379D42AFE3}">
  <ds:schemaRefs>
    <ds:schemaRef ds:uri="http://www.w3.org/XML/1998/namespace"/>
    <ds:schemaRef ds:uri="http://schemas.microsoft.com/office/infopath/2007/PartnerControls"/>
    <ds:schemaRef ds:uri="http://purl.org/dc/dcmitype/"/>
    <ds:schemaRef ds:uri="http://schemas.microsoft.com/office/2006/metadata/properties"/>
    <ds:schemaRef ds:uri="fc42688c-e68d-4134-b0ef-892669d68e0b"/>
    <ds:schemaRef ds:uri="http://schemas.microsoft.com/office/2006/documentManagement/types"/>
    <ds:schemaRef ds:uri="http://purl.org/dc/terms/"/>
    <ds:schemaRef ds:uri="http://schemas.openxmlformats.org/package/2006/metadata/core-properties"/>
    <ds:schemaRef ds:uri="a4c2990d-8ecd-4d4b-8b03-b0e402925896"/>
    <ds:schemaRef ds:uri="http://purl.org/dc/elements/1.1/"/>
  </ds:schemaRefs>
</ds:datastoreItem>
</file>

<file path=customXml/itemProps4.xml><?xml version="1.0" encoding="utf-8"?>
<ds:datastoreItem xmlns:ds="http://schemas.openxmlformats.org/officeDocument/2006/customXml" ds:itemID="{850AFCC5-2862-4053-A0B0-BA97B667C431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4</vt:i4>
      </vt:variant>
    </vt:vector>
  </HeadingPairs>
  <TitlesOfParts>
    <vt:vector size="16" baseType="lpstr">
      <vt:lpstr>Notes</vt:lpstr>
      <vt:lpstr>User Inputs</vt:lpstr>
      <vt:lpstr>HP Calcs</vt:lpstr>
      <vt:lpstr>HP Table</vt:lpstr>
      <vt:lpstr>Financial Calcs</vt:lpstr>
      <vt:lpstr>Outputs</vt:lpstr>
      <vt:lpstr>HP Database</vt:lpstr>
      <vt:lpstr>Cost sensitivity</vt:lpstr>
      <vt:lpstr>Emissions sensitivity</vt:lpstr>
      <vt:lpstr>Conversion Factors</vt:lpstr>
      <vt:lpstr>Financing(old)</vt:lpstr>
      <vt:lpstr>User Inputs (old)</vt:lpstr>
      <vt:lpstr>_2600</vt:lpstr>
      <vt:lpstr>Dwelling_Size</vt:lpstr>
      <vt:lpstr>Single_Family_Home</vt:lpstr>
      <vt:lpstr>Townhome_Rowhome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DeFraine, Cory</dc:creator>
  <cp:keywords/>
  <dc:description/>
  <cp:lastModifiedBy>Downey, Brent</cp:lastModifiedBy>
  <cp:revision/>
  <dcterms:created xsi:type="dcterms:W3CDTF">2023-01-09T23:32:43Z</dcterms:created>
  <dcterms:modified xsi:type="dcterms:W3CDTF">2024-02-28T17:04:08Z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0x01010061C724B21205494791EFEB68778A6143</vt:lpwstr>
  </property>
  <property fmtid="{D5CDD505-2E9C-101B-9397-08002B2CF9AE}" pid="3" name="MediaServiceImageTags">
    <vt:lpwstr/>
  </property>
</Properties>
</file>